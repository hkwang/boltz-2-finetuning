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stefan/WORK/Mac1/submission_pnas_share/"/>
    </mc:Choice>
  </mc:AlternateContent>
  <xr:revisionPtr revIDLastSave="0" documentId="13_ncr:1_{9542A6EB-0A11-A243-8A08-5390A6D59516}" xr6:coauthVersionLast="47" xr6:coauthVersionMax="47" xr10:uidLastSave="{00000000-0000-0000-0000-000000000000}"/>
  <bookViews>
    <workbookView xWindow="360" yWindow="820" windowWidth="28800" windowHeight="16600" xr2:uid="{00000000-000D-0000-FFFF-FFFF00000000}"/>
  </bookViews>
  <sheets>
    <sheet name="Compound Summary" sheetId="1" r:id="rId1"/>
    <sheet name="Screening Over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90" i="1" l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</calcChain>
</file>

<file path=xl/sharedStrings.xml><?xml version="1.0" encoding="utf-8"?>
<sst xmlns="http://schemas.openxmlformats.org/spreadsheetml/2006/main" count="2642" uniqueCount="1593">
  <si>
    <t>Set</t>
  </si>
  <si>
    <t>No</t>
  </si>
  <si>
    <t>ID</t>
  </si>
  <si>
    <t>Library code ID</t>
  </si>
  <si>
    <t>Enamine Catalog ID</t>
  </si>
  <si>
    <t>Formula</t>
  </si>
  <si>
    <t>MWT</t>
  </si>
  <si>
    <t>Purity (LC/MS)</t>
  </si>
  <si>
    <t>Smiles</t>
  </si>
  <si>
    <t>Stereochemistry</t>
  </si>
  <si>
    <t>salt</t>
  </si>
  <si>
    <t>ratio</t>
  </si>
  <si>
    <t>salt MWT</t>
  </si>
  <si>
    <t>HIT*</t>
  </si>
  <si>
    <t>Xtal</t>
  </si>
  <si>
    <t>PDB</t>
  </si>
  <si>
    <t>Res [Å]</t>
  </si>
  <si>
    <t>RMSD [Å]**</t>
  </si>
  <si>
    <t>HTRF</t>
  </si>
  <si>
    <t>IC50 [µM]</t>
  </si>
  <si>
    <t>SEM [µM]</t>
  </si>
  <si>
    <t>Ki*** [µM]</t>
  </si>
  <si>
    <t>DSF HIT****</t>
  </si>
  <si>
    <t>DSF adj p-value</t>
  </si>
  <si>
    <t>DSF max dTma</t>
  </si>
  <si>
    <t>DOCK Score at PDB 6W02</t>
  </si>
  <si>
    <t>DOCK Score at PDB 5SOI</t>
  </si>
  <si>
    <t>DOCK Score at PDB 5SOP (everted)</t>
  </si>
  <si>
    <t>ADPr</t>
  </si>
  <si>
    <t>Y</t>
  </si>
  <si>
    <t>0.5, 1.2, 1.4</t>
  </si>
  <si>
    <t>0.03, 0.07, 0.05</t>
  </si>
  <si>
    <t>0.4, 1.0, 1.2</t>
  </si>
  <si>
    <t>First docking screen</t>
  </si>
  <si>
    <t>Z8637</t>
  </si>
  <si>
    <t>ZINC000361138637</t>
  </si>
  <si>
    <t>C17H17FN4O</t>
  </si>
  <si>
    <t>CC1CN(CC=2C=NC=3NN=C(C)C3C2)C=4C=CC=C(F)C4O1</t>
  </si>
  <si>
    <t>Achiral</t>
  </si>
  <si>
    <t>Z9020</t>
  </si>
  <si>
    <t>ZINC000884519020</t>
  </si>
  <si>
    <t>C14H15N5O</t>
  </si>
  <si>
    <t>O=C1NCCCC1NC=2N=CN=C(N2)C=3C=CC=CC3</t>
  </si>
  <si>
    <t>Racemic or presumed racemic or meso</t>
  </si>
  <si>
    <t>Z6511</t>
  </si>
  <si>
    <t>ZINC000078036511</t>
  </si>
  <si>
    <t>C14H18N4O2</t>
  </si>
  <si>
    <t>OC(=O)CCC1CCCN(C1)C=2N=CN=C3NC=CC23</t>
  </si>
  <si>
    <t>5SOI</t>
  </si>
  <si>
    <t>Z8648</t>
  </si>
  <si>
    <t>ZINC000649348648</t>
  </si>
  <si>
    <t>Z2272518272</t>
  </si>
  <si>
    <t>C17H20N4O2S</t>
  </si>
  <si>
    <t>CS(=O)(=O)C1CCCCN(C1)C=2N=CN=C3NC=4C=CC=CC4C23</t>
  </si>
  <si>
    <t>Z9572</t>
  </si>
  <si>
    <t>ZINC000579359572</t>
  </si>
  <si>
    <t>Z2466029852</t>
  </si>
  <si>
    <t>C12H14N4O3</t>
  </si>
  <si>
    <t>OC(=O)CC1CN(CCO1)C=2N=CN=C3NC=CC23</t>
  </si>
  <si>
    <t>5SP2</t>
  </si>
  <si>
    <t>Z1628</t>
  </si>
  <si>
    <t>ZINC000641881628</t>
  </si>
  <si>
    <t>Z292244616</t>
  </si>
  <si>
    <t>C14H11N5O2S</t>
  </si>
  <si>
    <t>CC1=CC(CSC2=NN=C3C(=O)NC=4C=CC=CC4N23)=NO1</t>
  </si>
  <si>
    <t>Z5167</t>
  </si>
  <si>
    <t>ZINC000679635167</t>
  </si>
  <si>
    <t>Z1633273067</t>
  </si>
  <si>
    <t>C17H16FNO2</t>
  </si>
  <si>
    <t>CC1N(CCC=2C=C(F)C=CC12)C(=O)C=3C=CC=C(O)C3</t>
  </si>
  <si>
    <t>Z6395</t>
  </si>
  <si>
    <t>ZINC000798346395</t>
  </si>
  <si>
    <t>Z1983043995</t>
  </si>
  <si>
    <t>C17H12N4O2</t>
  </si>
  <si>
    <t>O=C(OCC=1C=CC=NC1)C=2C=CN(N2)C=3C=CC=C(C#N)C3</t>
  </si>
  <si>
    <t>Z1635</t>
  </si>
  <si>
    <t>ZINC001184571635</t>
  </si>
  <si>
    <t>Z4487949141</t>
  </si>
  <si>
    <t>C17H16N4</t>
  </si>
  <si>
    <t>CC=1C=CC=CC1CNC=2N=CN=C(N2)C=3C=CC=CC3</t>
  </si>
  <si>
    <t>Z2024</t>
  </si>
  <si>
    <t>ZINC000371562024</t>
  </si>
  <si>
    <t>Z2457179839</t>
  </si>
  <si>
    <t>C18H19NO3</t>
  </si>
  <si>
    <t>CC=1C=CC(=CC1O)C(=O)N2CC[C@@H](C2)OC=3C=CC=CC3</t>
  </si>
  <si>
    <t>Single known enantiomer</t>
  </si>
  <si>
    <t>Z4135</t>
  </si>
  <si>
    <t>ZINC000373034135</t>
  </si>
  <si>
    <t>Z1872719808</t>
  </si>
  <si>
    <t>C16H17FN4O3</t>
  </si>
  <si>
    <t>CC(C(=O)N1CCCC1C2=NC(=NO2)C(=O)N)C=3C=CC=C(F)C3</t>
  </si>
  <si>
    <t>Diastereomeric mixture</t>
  </si>
  <si>
    <t>Z3291</t>
  </si>
  <si>
    <t>ZINC001337833291</t>
  </si>
  <si>
    <t>Z3076613852</t>
  </si>
  <si>
    <t>C9H12ClN7</t>
  </si>
  <si>
    <t>CN(CC1=NC=C(Cl)N1C)C=2N=CN=C(N)N2</t>
  </si>
  <si>
    <t>Z0329</t>
  </si>
  <si>
    <t>ZINC000773730329</t>
  </si>
  <si>
    <t>Z1894536786</t>
  </si>
  <si>
    <t>C15H17NO4</t>
  </si>
  <si>
    <t>CC1=CN=C(COC(=O)C(C)(C)C=2C=CC(O)=CC2)O1</t>
  </si>
  <si>
    <t>Z4508</t>
  </si>
  <si>
    <t>ZINC000182324508</t>
  </si>
  <si>
    <t>Z1633133671</t>
  </si>
  <si>
    <t>C17H18N2O2</t>
  </si>
  <si>
    <t>OC=1C=CC=C(C1)C(=O)N2CCC(C2)NC=3C=CC=CC3</t>
  </si>
  <si>
    <t>Z4141</t>
  </si>
  <si>
    <t>ZINC000336444141</t>
  </si>
  <si>
    <t>Z1633706618</t>
  </si>
  <si>
    <t>C17H15NO2</t>
  </si>
  <si>
    <t>OC=1C=CC=C(C1)C(=O)N2CC=C(C2)C=3C=CC=CC3</t>
  </si>
  <si>
    <t>Z9710</t>
  </si>
  <si>
    <t>ZINC000302059710</t>
  </si>
  <si>
    <t>Z1640934037</t>
  </si>
  <si>
    <t>C13H14ClN5O</t>
  </si>
  <si>
    <t>NC=1N=CN=C(N2CCC(C2)OC=3C=CN=CC3)C1Cl</t>
  </si>
  <si>
    <t>5SOK</t>
  </si>
  <si>
    <t>Z1086</t>
  </si>
  <si>
    <t>ZINC001641481086</t>
  </si>
  <si>
    <t>Z4487949886</t>
  </si>
  <si>
    <t>C11H10Cl2N4S</t>
  </si>
  <si>
    <t>NC=1N=CN=C(SCCC=2C=CC=C(Cl)C2Cl)N1</t>
  </si>
  <si>
    <t>Z5722</t>
  </si>
  <si>
    <t>ZINC000910475722</t>
  </si>
  <si>
    <t>Z3011798979</t>
  </si>
  <si>
    <t>C15H21FN4O3</t>
  </si>
  <si>
    <t>CC(O)CNC=1C=C(N=CN1)N2CC3(CCC3)C(F)(C2)C(=O)O</t>
  </si>
  <si>
    <t>5SOL</t>
  </si>
  <si>
    <t>Z5547</t>
  </si>
  <si>
    <t>ZINC000368135547</t>
  </si>
  <si>
    <t>Z2165045968</t>
  </si>
  <si>
    <t>C17H14F3NO3</t>
  </si>
  <si>
    <t>OC=1C=CC(F)=C(C(=O)N2CCC(C2)OC=3C=CC=C(F)C3)C1F</t>
  </si>
  <si>
    <t>Z2380</t>
  </si>
  <si>
    <t>ZINC000779122380</t>
  </si>
  <si>
    <t>Z4497139876</t>
  </si>
  <si>
    <t>C15H10N2O3S</t>
  </si>
  <si>
    <t>O=C(COC(=O)C=1C=CC2=NSN=C2C1)C=3C=CC=CC3</t>
  </si>
  <si>
    <t>Z5356</t>
  </si>
  <si>
    <t>ZINC000881775356</t>
  </si>
  <si>
    <t>Z2850028638</t>
  </si>
  <si>
    <t>C16H16N6OS</t>
  </si>
  <si>
    <t>CC1=CSC(=NC=2C=CC=CC2)N1CC3=NN=C4C(=O)NCCN34</t>
  </si>
  <si>
    <t>Z2051</t>
  </si>
  <si>
    <t>ZINC000664632051</t>
  </si>
  <si>
    <t>Z2615946612</t>
  </si>
  <si>
    <t>C14H17F3N4O</t>
  </si>
  <si>
    <t>CC=1NC=2N=CN=C(N3CCOC(CC(F)(F)F)C3)C2C1C</t>
  </si>
  <si>
    <t>N</t>
  </si>
  <si>
    <t>Z5505</t>
  </si>
  <si>
    <t>ZINC000835985505</t>
  </si>
  <si>
    <t>Z2289338199</t>
  </si>
  <si>
    <t>C17H19N3O3</t>
  </si>
  <si>
    <t>O=C(CC=1C=CC(=CC1)N2C=CC=N2)OCC3CCCNC3=O</t>
  </si>
  <si>
    <t>5SOM</t>
  </si>
  <si>
    <t>Z0856</t>
  </si>
  <si>
    <t>ZINC000173980856</t>
  </si>
  <si>
    <t>Z1275893099</t>
  </si>
  <si>
    <t>C20H20N4O2</t>
  </si>
  <si>
    <t>CC1CN(C1C=2C=CC=CC2)C(=O)CCC3=NC(=NO3)C=4C=CN=CC4</t>
  </si>
  <si>
    <t>Z8885</t>
  </si>
  <si>
    <t>ZINC001165768885</t>
  </si>
  <si>
    <t>Z4487949989</t>
  </si>
  <si>
    <t>C15H14FNOS</t>
  </si>
  <si>
    <t>NC(=O)C=1C=CC(CCSC=2C=CC=C(F)C2)=CC1</t>
  </si>
  <si>
    <t>Z7864</t>
  </si>
  <si>
    <t>ZINC000292637864</t>
  </si>
  <si>
    <t>Z2217993152</t>
  </si>
  <si>
    <t>C14H17N7O</t>
  </si>
  <si>
    <t>OCC1=CN(N=N1)C2CCCN(C2)C=3N=CN=C4NC=CC34</t>
  </si>
  <si>
    <t>5SOT</t>
  </si>
  <si>
    <t>Z7665</t>
  </si>
  <si>
    <t>ZINC000882897665</t>
  </si>
  <si>
    <t>Z2852334606</t>
  </si>
  <si>
    <t>C12H10F3N7O</t>
  </si>
  <si>
    <t>CN(CC1=NN=C2C(=O)NC=CN12)C=3N=CC=C(N3)C(F)(F)F</t>
  </si>
  <si>
    <t>Z3280</t>
  </si>
  <si>
    <t>ZINC000920153280</t>
  </si>
  <si>
    <t>Z2919094570</t>
  </si>
  <si>
    <t>C12H13N5S</t>
  </si>
  <si>
    <t>CC(CSC1=NN=C2NC=NN12)C=3C=CC=CC3</t>
  </si>
  <si>
    <t>5SON</t>
  </si>
  <si>
    <t>Z7041</t>
  </si>
  <si>
    <t>ZINC000352487041</t>
  </si>
  <si>
    <t>Z1247440146</t>
  </si>
  <si>
    <t>C17H18N4O2S</t>
  </si>
  <si>
    <t>CC1=NC(=CN1C)S(=O)(=O)NCC=2C=CC(=CC2)C=3C=CN=CC3</t>
  </si>
  <si>
    <t>Z7570</t>
  </si>
  <si>
    <t>ZINC001652467570</t>
  </si>
  <si>
    <t>Z4487949892</t>
  </si>
  <si>
    <t>C17H15N5OS</t>
  </si>
  <si>
    <t>CC=1C=C(C)N=C(CSC2=NN=C3C(=O)NC=4C=CC=CC4N23)C1</t>
  </si>
  <si>
    <t>Z6891</t>
  </si>
  <si>
    <t>ZINC000897286891</t>
  </si>
  <si>
    <t>Z2977110982</t>
  </si>
  <si>
    <t>C14H15N5S</t>
  </si>
  <si>
    <t>C(C1CCN(C1)C=2N=CN=C3NC=CC23)C4=NC=CS4</t>
  </si>
  <si>
    <t>5SOO</t>
  </si>
  <si>
    <t>Z9550</t>
  </si>
  <si>
    <t>ZINC000865679550</t>
  </si>
  <si>
    <t>Z2770190602</t>
  </si>
  <si>
    <t>C12H15ClN4O2S</t>
  </si>
  <si>
    <t>CS(=O)(=O)C1CCCN(C1)C=2N=CN=C3NC(Cl)=CC23</t>
  </si>
  <si>
    <t>Z4305</t>
  </si>
  <si>
    <t>ZINC001364194305</t>
  </si>
  <si>
    <t>Z3829620497</t>
  </si>
  <si>
    <t>C14H18N4O2S</t>
  </si>
  <si>
    <t>O=S1(=O)CCC2(C1)CCCN(C2)C=3N=CN=C4NC=CC34</t>
  </si>
  <si>
    <t>5SOP</t>
  </si>
  <si>
    <t>Z8680</t>
  </si>
  <si>
    <t>ZINC000866018680</t>
  </si>
  <si>
    <t>Z2771332573</t>
  </si>
  <si>
    <t>C16H16ClN5</t>
  </si>
  <si>
    <t>ClC1=CC=2C(=NC=NC2N1)N3CCCC(C3)C=4C=CC=NC4</t>
  </si>
  <si>
    <t>Z6019</t>
  </si>
  <si>
    <t>ZINC000189176019</t>
  </si>
  <si>
    <t>Z1817115813</t>
  </si>
  <si>
    <t>C16H15N5O2</t>
  </si>
  <si>
    <t>CC=1C=CC(=CC1)C2=NOC(=N2)C3CN(C(=O)C3)C=4C=NNC4</t>
  </si>
  <si>
    <t>Z4911</t>
  </si>
  <si>
    <t>ZINC000371804911</t>
  </si>
  <si>
    <t>Z1272437580</t>
  </si>
  <si>
    <t>C17H16N4O2</t>
  </si>
  <si>
    <t>COC(=O)CC1CN(C=2C=CC=CC12)C=3N=CN=C4NC=CC34</t>
  </si>
  <si>
    <t>Z7655</t>
  </si>
  <si>
    <t>ZINC000285507655</t>
  </si>
  <si>
    <t>Z2033609742</t>
  </si>
  <si>
    <t>C13H14N6O2</t>
  </si>
  <si>
    <t>O=C1NN=C(O1)C2CCCN(C2)C=3N=CN=C4NC=CC34</t>
  </si>
  <si>
    <t>5SOU</t>
  </si>
  <si>
    <t>Z1027</t>
  </si>
  <si>
    <t>ZINC000893191027</t>
  </si>
  <si>
    <t>Z2971171460</t>
  </si>
  <si>
    <t>C14H20N4O2S</t>
  </si>
  <si>
    <t>CCC1=CNC=2N=CN=C(N3CCCC(C3)S(=O)(=O)C)C12</t>
  </si>
  <si>
    <t>5SOV</t>
  </si>
  <si>
    <t>Z9920</t>
  </si>
  <si>
    <t>ZINC000118179920</t>
  </si>
  <si>
    <t>Z1227796397</t>
  </si>
  <si>
    <t>C11H13N5OS</t>
  </si>
  <si>
    <t>O=C1CCCN1CCSC=2N=CN=C3NC=NC23</t>
  </si>
  <si>
    <t>5SOW</t>
  </si>
  <si>
    <t>Z7766</t>
  </si>
  <si>
    <t>ZINC000882897766</t>
  </si>
  <si>
    <t>Z2852333953</t>
  </si>
  <si>
    <t>C14H14ClN7O</t>
  </si>
  <si>
    <t>CN(CC1=NN=C2C(=O)NC=CN12)C=3C=C(Cl)N=C(N3)C4CC4</t>
  </si>
  <si>
    <t>Z5531</t>
  </si>
  <si>
    <t>ZINC000896845531</t>
  </si>
  <si>
    <t>Z2976439815</t>
  </si>
  <si>
    <t>C17H22N6O</t>
  </si>
  <si>
    <t>CCC1=CNC=2N=CN=C(N3CCCC(CC4=NC(C)=NO4)C3)C12</t>
  </si>
  <si>
    <t>5SOQ</t>
  </si>
  <si>
    <t>Z1015</t>
  </si>
  <si>
    <t>ZINC001458791015</t>
  </si>
  <si>
    <t>Z4487950019</t>
  </si>
  <si>
    <t>C13H9N5OS2</t>
  </si>
  <si>
    <t>O=C1NC=CN2C(CSC3=NC=4C=CC=CC4S3)=NN=C12</t>
  </si>
  <si>
    <t>Z3167</t>
  </si>
  <si>
    <t>ZINC000413143167</t>
  </si>
  <si>
    <t>Z2347031126</t>
  </si>
  <si>
    <t>C17H23N7</t>
  </si>
  <si>
    <t>CN(C1CCCN(C1)C=2C=CC=NN2)C=3C=C(NC4CC4)N=CN3</t>
  </si>
  <si>
    <t>Z5728</t>
  </si>
  <si>
    <t>ZINC000905245728</t>
  </si>
  <si>
    <t>Z2904246700</t>
  </si>
  <si>
    <t>C12H12Cl2N2O2S</t>
  </si>
  <si>
    <t>CC(C=1C=CC(Cl)=C(Cl)C1)S(=O)(=O)CC=2C=NNC2</t>
  </si>
  <si>
    <t>Z3896</t>
  </si>
  <si>
    <t>ZINC000745413896</t>
  </si>
  <si>
    <t>Z1304817700</t>
  </si>
  <si>
    <t>C20H19N3O3</t>
  </si>
  <si>
    <t>CC=1C=C(C=CC1C(=O)OCC2OCCC=3C=CC=CC23)N4C=NC=N4</t>
  </si>
  <si>
    <t>Z8387</t>
  </si>
  <si>
    <t>ZINC001559178387</t>
  </si>
  <si>
    <t>Z4493166733</t>
  </si>
  <si>
    <t>C13H13ClN6O2</t>
  </si>
  <si>
    <t>ClC1=CC=2C(=NC=NC2N1)N3CCCC(C3)C4=NNC(=O)O4</t>
  </si>
  <si>
    <t>Z2995</t>
  </si>
  <si>
    <t>ZINC000772152995</t>
  </si>
  <si>
    <t>Z1579562365</t>
  </si>
  <si>
    <t>C15H16N2O4</t>
  </si>
  <si>
    <t>CC=1C=CC(CC(=O)OCC2=NOC(=N2)C3CC3)=CC1O</t>
  </si>
  <si>
    <t>Z8074</t>
  </si>
  <si>
    <t>ZINC000879258074</t>
  </si>
  <si>
    <t>Z2838825288</t>
  </si>
  <si>
    <t>C17H21N3O2</t>
  </si>
  <si>
    <t>CC1CCC2=NNC=C2C1C(=O)N(C)OCC=3C=CC=CC3</t>
  </si>
  <si>
    <t>Z9310</t>
  </si>
  <si>
    <t>ZINC000352369310</t>
  </si>
  <si>
    <t>Z1247232419</t>
  </si>
  <si>
    <t>C16H14N4</t>
  </si>
  <si>
    <t>C1CC12CN(C=3C=CC=CC32)C=4N=CN=C5NC=CC45</t>
  </si>
  <si>
    <t>Z1211</t>
  </si>
  <si>
    <t>ZINC000043461211</t>
  </si>
  <si>
    <t>Z839134474</t>
  </si>
  <si>
    <t>C14H12N6O</t>
  </si>
  <si>
    <t>NC=1N=CN=C2N(CCOC=3C=CC(C#N)=CC3)C=NC12</t>
  </si>
  <si>
    <t>5SOX (N3)</t>
  </si>
  <si>
    <t>[6.22]</t>
  </si>
  <si>
    <t>Z8186</t>
  </si>
  <si>
    <t>ZINC001472868186</t>
  </si>
  <si>
    <t>Z4487949829</t>
  </si>
  <si>
    <t>C14H12N8O</t>
  </si>
  <si>
    <t>CN(CC1=NN=C2C(=O)NC=CN12)C=3C=CC=4N=CC=NC4N3</t>
  </si>
  <si>
    <t>5SP1</t>
  </si>
  <si>
    <t>Z3700</t>
  </si>
  <si>
    <t>ZINC000910053700</t>
  </si>
  <si>
    <t>Z2911330075</t>
  </si>
  <si>
    <t>C16H18N4O2S</t>
  </si>
  <si>
    <t>CN(C(=O)CN1CCNC(=O)C1)C=2C=CC(=CC2)C3=NC=CS3</t>
  </si>
  <si>
    <t>Z3271</t>
  </si>
  <si>
    <t>ZINC000891493271</t>
  </si>
  <si>
    <t>Z3080034649</t>
  </si>
  <si>
    <t>C14H19N5O</t>
  </si>
  <si>
    <t>CCC1=CNC=2N=CN=C(N3CCC[C@@H](C3)C(=O)N)C12</t>
  </si>
  <si>
    <t>Z5972</t>
  </si>
  <si>
    <t>ZINC000570815972</t>
  </si>
  <si>
    <t>Z2569185178</t>
  </si>
  <si>
    <t>NC=1N=CN=C2N(CCCC=3C=CSC3)C=NC12</t>
  </si>
  <si>
    <t>Z5262</t>
  </si>
  <si>
    <t>ZINC000345855262</t>
  </si>
  <si>
    <t>Z1959750559</t>
  </si>
  <si>
    <t>C14H12N6O2</t>
  </si>
  <si>
    <t>CC1=NC(CC2=NOC(CC=3C=CC=4NN=CC4C3)=N2)=NO1</t>
  </si>
  <si>
    <t>Z0132</t>
  </si>
  <si>
    <t>ZINC000733430132</t>
  </si>
  <si>
    <t>Z1195567143</t>
  </si>
  <si>
    <t>C20H17NO4</t>
  </si>
  <si>
    <t>O=C(CC=1C=CC=2OCCC2C1)OCC3=CC=4C=CC=CC4NC3=O</t>
  </si>
  <si>
    <t>Z0953</t>
  </si>
  <si>
    <t>ZINC000110510953</t>
  </si>
  <si>
    <t>Z994884020</t>
  </si>
  <si>
    <t>C13H12ClN5O</t>
  </si>
  <si>
    <t>COC=1C=CC(Cl)=CC1CN2C=NC=3C(N)=NC=NC23</t>
  </si>
  <si>
    <t>Z4827</t>
  </si>
  <si>
    <t>ZINC000681764827</t>
  </si>
  <si>
    <t>Z1749321559</t>
  </si>
  <si>
    <t>C13H10N6O2</t>
  </si>
  <si>
    <t>NC=1N=CN=C2N(CC=3C=C(ON3)C4=CC=CO4)C=NC12</t>
  </si>
  <si>
    <t>5SP0 (N3)</t>
  </si>
  <si>
    <t>[3.94]</t>
  </si>
  <si>
    <t>Z0893</t>
  </si>
  <si>
    <t>ZINC000110510893</t>
  </si>
  <si>
    <t>Z994883510</t>
  </si>
  <si>
    <t>C13H10F3N5</t>
  </si>
  <si>
    <t>NC=1N=CN=C2N(CC=3C=CC=C(C3)C(F)(F)F)C=NC12</t>
  </si>
  <si>
    <t>5SOR (N3)</t>
  </si>
  <si>
    <t>[3.5]</t>
  </si>
  <si>
    <t>Z0078</t>
  </si>
  <si>
    <t>ZINC000559260078</t>
  </si>
  <si>
    <t>Z1749323087</t>
  </si>
  <si>
    <t>C11H9ClN6</t>
  </si>
  <si>
    <t>NC=1N=CN=C2N(CC=3C=CC(Cl)=CN3)C=NC12</t>
  </si>
  <si>
    <t>5SOS (N3)</t>
  </si>
  <si>
    <t>[1.42]</t>
  </si>
  <si>
    <t>Z6028</t>
  </si>
  <si>
    <t>ZINC000904236028</t>
  </si>
  <si>
    <t>Z2997536925</t>
  </si>
  <si>
    <t>C12H14N6O2</t>
  </si>
  <si>
    <t>CNC=1C=C(N=CN1)C2=NOC(CN3CCCC3=O)=N2</t>
  </si>
  <si>
    <t>Z0288</t>
  </si>
  <si>
    <t>ZINC001364630288</t>
  </si>
  <si>
    <t>Z4487950013</t>
  </si>
  <si>
    <t>C12H15N5O3</t>
  </si>
  <si>
    <t>CN(CC1=NN=C2C(=O)NC=CN12)C(=O)COC3CC3</t>
  </si>
  <si>
    <t>Z4066</t>
  </si>
  <si>
    <t>ZINC000896334066</t>
  </si>
  <si>
    <t>Z2878876689</t>
  </si>
  <si>
    <t>C16H17N5O</t>
  </si>
  <si>
    <t>CC(CC=1C=CC=CC1C)C2=NC(=NO2)C=3C=C(N)N=CN3</t>
  </si>
  <si>
    <t>Z1347</t>
  </si>
  <si>
    <t>ZINC000351161347</t>
  </si>
  <si>
    <t>Z2286320485</t>
  </si>
  <si>
    <t>C16H16N6O2</t>
  </si>
  <si>
    <t>CC(C)C1=NOC(CCC2=NC(=NO2)C=3C=CN=C4NC=CC34)=N1</t>
  </si>
  <si>
    <t>Z6468</t>
  </si>
  <si>
    <t>ZINC000350686468</t>
  </si>
  <si>
    <t>Z1942457172</t>
  </si>
  <si>
    <t>C16H13FN4O2S</t>
  </si>
  <si>
    <t>COC=1C=CC(=CC1)C2=NN=C(NC(=O)CC=3N=CC=CC3F)S2</t>
  </si>
  <si>
    <t>Z9652</t>
  </si>
  <si>
    <t>ZINC000356759652</t>
  </si>
  <si>
    <t>Z1685063887</t>
  </si>
  <si>
    <t>C17H16N6O2</t>
  </si>
  <si>
    <t>C(CC1=NC(=NO1)C2CC2)CC3=NC(=NO3)C4=NNC=5C=CC=CC45</t>
  </si>
  <si>
    <t>Z5289</t>
  </si>
  <si>
    <t>ZINC000339235289</t>
  </si>
  <si>
    <t>Z1039063898</t>
  </si>
  <si>
    <t>C12H7F2N3S</t>
  </si>
  <si>
    <t>FC=1C=CC(F)=C(SC=2N=CN=C3NC=CC23)C1</t>
  </si>
  <si>
    <t>Z5086</t>
  </si>
  <si>
    <t>ZINC000820965086</t>
  </si>
  <si>
    <t>Z2234571750</t>
  </si>
  <si>
    <t>C11H11N7O</t>
  </si>
  <si>
    <t>NC=1C=C(N=CN1)C2=NOC(CCN3C=CC=N3)=N2</t>
  </si>
  <si>
    <t>Z7156</t>
  </si>
  <si>
    <t>ZINC001187497156</t>
  </si>
  <si>
    <t>Z2769913762</t>
  </si>
  <si>
    <t>C13H14ClN7</t>
  </si>
  <si>
    <t>ClC1=CC=2C(=NC=NC2N1)N3CCCC(C3)C4=NN=CN4</t>
  </si>
  <si>
    <t>ZINC000546336511</t>
  </si>
  <si>
    <t>Z1682870861</t>
  </si>
  <si>
    <t>C16H15N3O3</t>
  </si>
  <si>
    <t>NC(=O)C=1C=CC(CC2=NOC(CCC=3C=COC3)=N2)=CC1</t>
  </si>
  <si>
    <t>Z1186</t>
  </si>
  <si>
    <t>ZINC000542791186</t>
  </si>
  <si>
    <t>Z1626738799</t>
  </si>
  <si>
    <t>C15H16N2O2</t>
  </si>
  <si>
    <t>CN(CC=1C=CC=C(O)C1)C(=O)CC=2C=CN=CC2</t>
  </si>
  <si>
    <t>Z4620</t>
  </si>
  <si>
    <t>ZINC000924094620</t>
  </si>
  <si>
    <t>Z2924154370</t>
  </si>
  <si>
    <t>C16H17N5O2</t>
  </si>
  <si>
    <t>CN(C)C=1C=C(COC(=O)C=2C=CN=C3NC(C)=NC23)C=CN1</t>
  </si>
  <si>
    <t>Z0828</t>
  </si>
  <si>
    <t>ZINC000827900828</t>
  </si>
  <si>
    <t>Z4487949152</t>
  </si>
  <si>
    <t>C16H18N4O</t>
  </si>
  <si>
    <t>O=C(N1CC=CC21CCCCC2)C=3N=CN=C4NC=CC34</t>
  </si>
  <si>
    <t>5SOZ</t>
  </si>
  <si>
    <t>Z3789</t>
  </si>
  <si>
    <t>ZINC000350813789</t>
  </si>
  <si>
    <t>Z1890780818</t>
  </si>
  <si>
    <t>C15H12N6O2S</t>
  </si>
  <si>
    <t>CC=1OC(=NC1CC2=NC(=NO2)C=3C=NC=NC3N)C4=CC=CS4</t>
  </si>
  <si>
    <t>Z7873</t>
  </si>
  <si>
    <t>ZINC000642067873</t>
  </si>
  <si>
    <t>Z3831819916</t>
  </si>
  <si>
    <t>C16H17FN4O</t>
  </si>
  <si>
    <t>OC[C@H]1CCCN(C1)C=2N=CN=C3NC=4C=C(F)C=CC4C23</t>
  </si>
  <si>
    <t>5SOJ</t>
  </si>
  <si>
    <t>Z6923</t>
  </si>
  <si>
    <t>ZINC000450476923</t>
  </si>
  <si>
    <t>Z4027450995</t>
  </si>
  <si>
    <t>C16H18N4O2</t>
  </si>
  <si>
    <t>C[C@@H]1CN(C[C@@H](CO)O1)C=2N=CN=C3NC=4C=CC=CC4C23</t>
  </si>
  <si>
    <t>Racemic diastereomer with known relative stereochemistry</t>
  </si>
  <si>
    <t>5SP3</t>
  </si>
  <si>
    <t>Z7450</t>
  </si>
  <si>
    <t>ZINC000222377450</t>
  </si>
  <si>
    <t>Z2982250405</t>
  </si>
  <si>
    <t>C10H8N4O3S</t>
  </si>
  <si>
    <t>CC=1OC(=O)OC1CSC=2N=CN=C3NC=NC23</t>
  </si>
  <si>
    <t>5SOY</t>
  </si>
  <si>
    <t>Z1121</t>
  </si>
  <si>
    <t>ZINC000359061121</t>
  </si>
  <si>
    <t>Z1839333834</t>
  </si>
  <si>
    <t>C17H20FN3O2S</t>
  </si>
  <si>
    <t>CC=1C=CC(=CC1F)C2=NOC(CCCSC3CCCNC3=O)=N2</t>
  </si>
  <si>
    <t>Fragmentstein initial</t>
  </si>
  <si>
    <t>Z8539</t>
  </si>
  <si>
    <t>Z4718398539</t>
  </si>
  <si>
    <t>C21H21N3O5</t>
  </si>
  <si>
    <t>OC(=O)C1CC=2C(=CC=CC2O)C1NC(=O)C=3C=CC(NC(=O)NC4CC4)=CC3</t>
  </si>
  <si>
    <t>5SPD</t>
  </si>
  <si>
    <t>0.8, 1.2</t>
  </si>
  <si>
    <t>0.03, 0.05</t>
  </si>
  <si>
    <t>0.7, 1.0</t>
  </si>
  <si>
    <t>Z8515</t>
  </si>
  <si>
    <t>Z4718398515</t>
  </si>
  <si>
    <t>C19H19N3O4</t>
  </si>
  <si>
    <t>CNC(=O)NC=1C=CC(=CC1)C(=O)NC2C(CC=3C=CC=CC23)C(=O)O</t>
  </si>
  <si>
    <t>5SPH</t>
  </si>
  <si>
    <t>Z8531</t>
  </si>
  <si>
    <t>Z4718398531</t>
  </si>
  <si>
    <t>C19H18N2O5</t>
  </si>
  <si>
    <t>COC(=O)NC=1C=CC(=CC1)C(=O)NC2C(CC=3C=CC=CC23)C(=O)O</t>
  </si>
  <si>
    <t>5SPE</t>
  </si>
  <si>
    <t>Z8580</t>
  </si>
  <si>
    <t>Z4718398580</t>
  </si>
  <si>
    <t>C14H13N7OS</t>
  </si>
  <si>
    <t>CC1=CC=C(O1)C2=NC(CN3C=NC=4C(N)=NC(N)=NC34)=CS2</t>
  </si>
  <si>
    <t>5SP6</t>
  </si>
  <si>
    <t>Z8554</t>
  </si>
  <si>
    <t>Z4718398554</t>
  </si>
  <si>
    <t>C18H14FNO3S</t>
  </si>
  <si>
    <t>FC1CC=2C=CC=CC2C1OC(=O)C=3C=CC=4NC(=O)CSC4C3</t>
  </si>
  <si>
    <t>Z8572</t>
  </si>
  <si>
    <t>Z4718398572</t>
  </si>
  <si>
    <t>C9H8ClN7S</t>
  </si>
  <si>
    <t>NC=1N=C(N)C=2N=CN(CC3=CSC(Cl)=N3)C2N1</t>
  </si>
  <si>
    <t>5SP4</t>
  </si>
  <si>
    <t>Z8569</t>
  </si>
  <si>
    <t>Z4718398569</t>
  </si>
  <si>
    <t>C10H11N7S</t>
  </si>
  <si>
    <t>CC1=NC(CN2C=NC=3C(N)=NC(N)=NC23)=CS1</t>
  </si>
  <si>
    <t>5SPF</t>
  </si>
  <si>
    <t>Z8598</t>
  </si>
  <si>
    <t>Z4718398598</t>
  </si>
  <si>
    <t>C15H13N5O2</t>
  </si>
  <si>
    <t>O=C(NCC1=NC=2C=CC=CC2C(=O)N1)NC=3C=CC=NC3</t>
  </si>
  <si>
    <t>Z8585</t>
  </si>
  <si>
    <t>Z4718398585</t>
  </si>
  <si>
    <t>C12H13N7S</t>
  </si>
  <si>
    <t>NC=1N=C(N)C=2N=CN(CC3=CSC(=N3)C4CC4)C2N1</t>
  </si>
  <si>
    <t>5SPG</t>
  </si>
  <si>
    <t>Z8593</t>
  </si>
  <si>
    <t>Z4718398593</t>
  </si>
  <si>
    <t>C14H11N5O2</t>
  </si>
  <si>
    <t>O=C(NC=1C=CC=NC1)NC2=NC=3C=CC=CC3C(=O)N2</t>
  </si>
  <si>
    <t>Z9604</t>
  </si>
  <si>
    <t>Z4574659604</t>
  </si>
  <si>
    <t>C21H20N2O4</t>
  </si>
  <si>
    <t>OC(=O)C1CC=2C=CC=CC2C1NC(=O)C=3C=CC(NC(=O)C4CC4)=CC3</t>
  </si>
  <si>
    <t>5SPI</t>
  </si>
  <si>
    <t>Z3628</t>
  </si>
  <si>
    <t>Z1082933628</t>
  </si>
  <si>
    <t>C14H10N4O2</t>
  </si>
  <si>
    <t>O=C(NC1=NC=2C=CC=CC2C(=O)N1)C=3C=CC=NC3</t>
  </si>
  <si>
    <t>Z8614</t>
  </si>
  <si>
    <t>Z4718398614</t>
  </si>
  <si>
    <t>C15H12N4O</t>
  </si>
  <si>
    <t>O=C(NC=1C=CC=NC1)NC=2C=CC=3C=CC=CC3N2</t>
  </si>
  <si>
    <t>8539
 isomers</t>
  </si>
  <si>
    <t>Z9050</t>
  </si>
  <si>
    <t>Z5021669050</t>
  </si>
  <si>
    <t>OC(=O)[C@H]1CC=2C(=CC=CC2O)[C@H]1NC(=O)C=3C=CC(NC(=O)NC4CC4)=CC3</t>
  </si>
  <si>
    <t>Single unknown enantiomer</t>
  </si>
  <si>
    <t>5SR3</t>
  </si>
  <si>
    <t>NT</t>
  </si>
  <si>
    <t>Z8601</t>
  </si>
  <si>
    <t>Z5021668601</t>
  </si>
  <si>
    <t>OC(=O)[C@@H]1CC=2C(=CC=CC2O)[C@@H]1NC(=O)C=3C=CC(NC(=O)NC4CC4)=CC3</t>
  </si>
  <si>
    <t>5SQJ</t>
  </si>
  <si>
    <t>E2158</t>
  </si>
  <si>
    <t>EN300-36602158</t>
  </si>
  <si>
    <t>OC(=O)[C@H]1CC=2C(=CC=CC2O)[C@@H]1NC(=O)C=3C=CC(NC(=O)NC4CC4)=CC3</t>
  </si>
  <si>
    <t>E2160</t>
  </si>
  <si>
    <t>EN300-36602160</t>
  </si>
  <si>
    <t>OC(=O)[C@@H]1CC=2C(=CC=CC2O)[C@H]1NC(=O)C=3C=CC(NC(=O)NC4CC4)=CC3</t>
  </si>
  <si>
    <t>5SR2</t>
  </si>
  <si>
    <t>8539_analogs</t>
  </si>
  <si>
    <t>Z8539_0029</t>
  </si>
  <si>
    <t>8539_0029</t>
  </si>
  <si>
    <t>Z5010894407</t>
  </si>
  <si>
    <t>C21H21N3O4</t>
  </si>
  <si>
    <t>OC(=O)C1CC=2C=CC=CC2C1NC(=O)C=3C=CC(NC(=O)NC4CC4)=CC3</t>
  </si>
  <si>
    <t>5SQ5</t>
  </si>
  <si>
    <t>Z8539_0027</t>
  </si>
  <si>
    <t>8539_0027</t>
  </si>
  <si>
    <t>Z5010894406</t>
  </si>
  <si>
    <t>C21H20N4O4</t>
  </si>
  <si>
    <t>OC(=O)C=1NC=2C=CC=CC2C1CNC(=O)C=3C=CC(NC(=O)NC4CC4)=CC3</t>
  </si>
  <si>
    <t>5SQ6</t>
  </si>
  <si>
    <t>Z8539_0030</t>
  </si>
  <si>
    <t>8539_0030</t>
  </si>
  <si>
    <t>Z5010903509</t>
  </si>
  <si>
    <t>C22H23N3O4</t>
  </si>
  <si>
    <t>OC(=O)[C@@H]1CCC=2C=CC=CC2[C@@H]1NC(=O)C=3C=CC(NC(=O)NC4CC4)=CC3 |&amp;1:3,12,r|</t>
  </si>
  <si>
    <t>5SP7</t>
  </si>
  <si>
    <t>Z8539_0026</t>
  </si>
  <si>
    <t>8539_0026</t>
  </si>
  <si>
    <t>Z1445235880</t>
  </si>
  <si>
    <t>C21H19N3O5</t>
  </si>
  <si>
    <t>OC(=O)C=1OC=2C=CC=CC2C1CNC(=O)C=3C=CC(NC(=O)NC4CC4)=CC3</t>
  </si>
  <si>
    <t>5SQ7</t>
  </si>
  <si>
    <t>Z8539_0025</t>
  </si>
  <si>
    <t>8539_0025</t>
  </si>
  <si>
    <t>Z1445261766</t>
  </si>
  <si>
    <t>C21H19N3O4S</t>
  </si>
  <si>
    <t>OC(=O)C=1SC=2C=CC=CC2C1CNC(=O)C=3C=CC(NC(=O)NC4CC4)=CC3</t>
  </si>
  <si>
    <t>5SQ8</t>
  </si>
  <si>
    <t>Z8539_0037</t>
  </si>
  <si>
    <t>8539_0037</t>
  </si>
  <si>
    <t>Z5010894415</t>
  </si>
  <si>
    <t>C18H20N6O4</t>
  </si>
  <si>
    <t>CC1=NN=C2CN(C(CN12)C(=O)O)C(=O)C=3C=CC(NC(=O)NC4CC4)=CC3</t>
  </si>
  <si>
    <t>5SP8</t>
  </si>
  <si>
    <t>Z8539_0038</t>
  </si>
  <si>
    <t>8539_0038</t>
  </si>
  <si>
    <t>Z3508769536</t>
  </si>
  <si>
    <t>OC(=O)C1CN(C(=O)C=2C=CC(NC(=O)NC3CC3)=CC2)C=4C=CC=CC4C1</t>
  </si>
  <si>
    <t>5SP9</t>
  </si>
  <si>
    <t>Z8539_0039</t>
  </si>
  <si>
    <t>8539_0039</t>
  </si>
  <si>
    <t>Z2911635718</t>
  </si>
  <si>
    <t>OC(=O)CC1CC=2C=CC=CC2N1C(=O)C=3C=CC(NC(=O)NC4CC4)=CC3</t>
  </si>
  <si>
    <t>Z8539_0046</t>
  </si>
  <si>
    <t>8539_0046</t>
  </si>
  <si>
    <t>Z5010894420</t>
  </si>
  <si>
    <t>C21H23N3O5</t>
  </si>
  <si>
    <t>CC(C)NC(=O)NC=1C=CC(=CC1)C(=O)NC2C(CC=3C2=CC=CC3O)C(=O)O</t>
  </si>
  <si>
    <t>5SQ9</t>
  </si>
  <si>
    <t>Z8539_0041</t>
  </si>
  <si>
    <t>8539_0041</t>
  </si>
  <si>
    <t>Z5010894417</t>
  </si>
  <si>
    <t>C18H17N3O5</t>
  </si>
  <si>
    <t>NC(=O)NC=1C=CC(=CC1)C(=O)NC2C(CC=3C2=CC=CC3O)C(=O)O</t>
  </si>
  <si>
    <t>5SPA</t>
  </si>
  <si>
    <t>Z8539_0014</t>
  </si>
  <si>
    <t>8539_0014</t>
  </si>
  <si>
    <t>Z5010894395</t>
  </si>
  <si>
    <t>C19H16N2O6</t>
  </si>
  <si>
    <t>OC(=O)C1CC=2C(=CC=CC2O)C1NC(=O)C=3C=CC=4NC(=O)COC4C3</t>
  </si>
  <si>
    <t>5SQA</t>
  </si>
  <si>
    <t>Z8539_0009</t>
  </si>
  <si>
    <t>8539_0009</t>
  </si>
  <si>
    <t>Z5010894390</t>
  </si>
  <si>
    <t>C20H21N3O4</t>
  </si>
  <si>
    <t>OC(=O)C1CC=2C(=CC=CC2O)C1NC(=O)C=3C=CC(NCC4CC4)=NC3</t>
  </si>
  <si>
    <t>5SQB</t>
  </si>
  <si>
    <t>Z8539_0076</t>
  </si>
  <si>
    <t>8539_0076</t>
  </si>
  <si>
    <t>Z5016127254</t>
  </si>
  <si>
    <t>C22H23N3O5</t>
  </si>
  <si>
    <t>COC(=O)C1CC=2C(=CC=CC2O)C1NC(=O)C=3C=CC(NC(=O)NC4CC4)=CC3</t>
  </si>
  <si>
    <t>Z8539_0007</t>
  </si>
  <si>
    <t>8539_0007</t>
  </si>
  <si>
    <t>Z5010894388</t>
  </si>
  <si>
    <t>C20H22N4O5</t>
  </si>
  <si>
    <t>OC(=O)C1CC=2C(=CC=CC2O)C1NC(=O)C=3C=NC(NC4CCOCC4)=CN3</t>
  </si>
  <si>
    <t>5SQC</t>
  </si>
  <si>
    <t>Z8539_0002</t>
  </si>
  <si>
    <t>8539_0002</t>
  </si>
  <si>
    <t>Z5010894382</t>
  </si>
  <si>
    <t>C19H17N3O5</t>
  </si>
  <si>
    <t>OCC1=NC=2C=C(C=CC2N1)C(=O)NC3C(CC=4C3=CC=CC4O)C(=O)O</t>
  </si>
  <si>
    <t>5SQD</t>
  </si>
  <si>
    <t>1.3, 6.7</t>
  </si>
  <si>
    <t>0.1, 1.1</t>
  </si>
  <si>
    <t>1.1, 5.8</t>
  </si>
  <si>
    <t>Z8539_0023</t>
  </si>
  <si>
    <t>8539_0023</t>
  </si>
  <si>
    <t>Z5010894404</t>
  </si>
  <si>
    <t>C24H21N3O5</t>
  </si>
  <si>
    <t>OC(=O)C1CC=2C(=CC=CC2O)C1NC(=O)C=3C=CC(NC(=O)NC=4C=CC=CC4)=CC3</t>
  </si>
  <si>
    <t>5SPB</t>
  </si>
  <si>
    <t>Z8539_0011</t>
  </si>
  <si>
    <t>8539_0011</t>
  </si>
  <si>
    <t>Z5010894392</t>
  </si>
  <si>
    <t>C20H18N4O4</t>
  </si>
  <si>
    <t>OC(=O)C1CC=2C(=CC=CC2O)C1NC(=O)C=3C=CC(NN4C=CN=C4)=CC3</t>
  </si>
  <si>
    <t>5SQE</t>
  </si>
  <si>
    <t>Z8539_0006</t>
  </si>
  <si>
    <t>8539_0006</t>
  </si>
  <si>
    <t>Z5010894387</t>
  </si>
  <si>
    <t>OC(=O)C1CC=2C(=CC=CC2O)C1NC(=O)C=3C=NC=4NCCCC4C3</t>
  </si>
  <si>
    <t>5SPC</t>
  </si>
  <si>
    <t>Z8539_0018</t>
  </si>
  <si>
    <t>8539_0018</t>
  </si>
  <si>
    <t>Z5010894399</t>
  </si>
  <si>
    <t>C22H19N3O4</t>
  </si>
  <si>
    <t>OC(=O)C1CC=2C(=CC=CC2O)C1NC(=O)C=3C=CC(NC=4C=CC=NC4)=CC3</t>
  </si>
  <si>
    <t>5SQV</t>
  </si>
  <si>
    <t>Z8539_0054</t>
  </si>
  <si>
    <t>8539_0054</t>
  </si>
  <si>
    <t>Z5010894430</t>
  </si>
  <si>
    <t>C20H20N4O5</t>
  </si>
  <si>
    <t>OC(=O)C1CC=2C(=CC=CC2O)C1NC(=O)C=3C=CC(NC(=O)NC4CC4)=NC3</t>
  </si>
  <si>
    <t>5SQG</t>
  </si>
  <si>
    <t>Z8539_0055</t>
  </si>
  <si>
    <t>8539_0055</t>
  </si>
  <si>
    <t>Z5010894431</t>
  </si>
  <si>
    <t>C21H20ClN3O5</t>
  </si>
  <si>
    <t>OC(=O)C1CC=2C(=CC=CC2O)C1NC(=O)C=3C=CC(NC(=O)NC4CC4)=CC3Cl</t>
  </si>
  <si>
    <t>5SQH</t>
  </si>
  <si>
    <t>Z8539_0072</t>
  </si>
  <si>
    <t>8539_0072</t>
  </si>
  <si>
    <t>Z5014193706</t>
  </si>
  <si>
    <t>C21H21N3O6</t>
  </si>
  <si>
    <t>OC(=O)C1CC=2C(=CC=CC2O)C1NC(=O)C=3C=CC(NC(=O)NC4CC4)=CC3O</t>
  </si>
  <si>
    <t>5SQW</t>
  </si>
  <si>
    <t>Z8539_0059</t>
  </si>
  <si>
    <t>8539_0059</t>
  </si>
  <si>
    <t>Z5183357278</t>
  </si>
  <si>
    <t>C21H23ClN4O5</t>
  </si>
  <si>
    <t>Cl.NC=1C=C(NC(=O)NC2CC2)C=CC1C(=O)NC3C(CC=4C3=CC=CC4O)C(=O)O</t>
  </si>
  <si>
    <t>hydrogen chloride</t>
  </si>
  <si>
    <t>5SQX</t>
  </si>
  <si>
    <t>Z8539_0077</t>
  </si>
  <si>
    <t>8539_0077</t>
  </si>
  <si>
    <t>Z5016127255</t>
  </si>
  <si>
    <t>C19H19N3O5</t>
  </si>
  <si>
    <t>CNC(=O)NC=1C=CC(=CC1)C(=O)NC2C(CC=3C2=CC=CC3O)C(=O)O</t>
  </si>
  <si>
    <t>5SQI</t>
  </si>
  <si>
    <t>Z8539_0056</t>
  </si>
  <si>
    <t>8539_0056</t>
  </si>
  <si>
    <t>Z5010894432</t>
  </si>
  <si>
    <t>CN(C1C(CC=2C1=CC=CC2O)C(=O)O)C(=O)C=3C=CC(NC(=O)NC4CC4)=CC3</t>
  </si>
  <si>
    <t>Z8539_0065</t>
  </si>
  <si>
    <t>8539_0065</t>
  </si>
  <si>
    <t>Z5211314110</t>
  </si>
  <si>
    <t>C22H21ClN4O5S</t>
  </si>
  <si>
    <t>Cl.OC(=O)C1CC=2C(=CC=CC2O)C1NC(=O)C=3C=CC(NC(=O)NC4CC4)=C5N=CSC35</t>
  </si>
  <si>
    <t>5SQY</t>
  </si>
  <si>
    <t>Second docking screen</t>
  </si>
  <si>
    <t>Z1964</t>
  </si>
  <si>
    <t>ZINC000893101964</t>
  </si>
  <si>
    <t>Z2970986897</t>
  </si>
  <si>
    <t>C11H14ClN7</t>
  </si>
  <si>
    <t>CC1=NN=C(CNC=2C=NC(N)=C(Cl)N2)N1C3CC3</t>
  </si>
  <si>
    <t>5SPJ (C5)</t>
  </si>
  <si>
    <t>[1.25]</t>
  </si>
  <si>
    <t>R6134</t>
  </si>
  <si>
    <t>REAL250003296134</t>
  </si>
  <si>
    <t>Z2607171030</t>
  </si>
  <si>
    <t>C12H17ClN4O2</t>
  </si>
  <si>
    <t>NC=1N=CN=C(N2CCCC(CCC(=O)O)C2)C1Cl</t>
  </si>
  <si>
    <t>5SPK</t>
  </si>
  <si>
    <t>F9046</t>
  </si>
  <si>
    <t>FRESH00014649046</t>
  </si>
  <si>
    <t>Z1835896308</t>
  </si>
  <si>
    <t>C13H15N5O4S</t>
  </si>
  <si>
    <t>CNS(=O)(=O)C1=CC(=CO1)C(=O)N2CCC=3N=C(N)N=CC3C2</t>
  </si>
  <si>
    <t>5SQQ</t>
  </si>
  <si>
    <t>F7028</t>
  </si>
  <si>
    <t>FRESH00010267028</t>
  </si>
  <si>
    <t>Z3860389286</t>
  </si>
  <si>
    <t>C14H14N4O2S</t>
  </si>
  <si>
    <t>O=C1CC2(CC2)C(CSC3=NNC(=N3)C=4C=CC=CN4)O1</t>
  </si>
  <si>
    <t>Z4196</t>
  </si>
  <si>
    <t>ZINC000611664196</t>
  </si>
  <si>
    <t>Z3715803656</t>
  </si>
  <si>
    <t>C18H20N4O2</t>
  </si>
  <si>
    <t>C[C@@H]1CCN([C@H](C1)C2=CC=C(C)O2)C(=O)C=3N=CN=C4NC=CC34 |&amp;1:1.5.r|</t>
  </si>
  <si>
    <t>5SPL</t>
  </si>
  <si>
    <t>F0346</t>
  </si>
  <si>
    <t>FRESH00002410346</t>
  </si>
  <si>
    <t>Z4878240947</t>
  </si>
  <si>
    <t>C13H13N3O5</t>
  </si>
  <si>
    <t>CN1N=C(O)C=2CCN(CC21)C(=O)C3=CC(O)=CC(=O)O3</t>
  </si>
  <si>
    <t>5SPM</t>
  </si>
  <si>
    <t>Z8835</t>
  </si>
  <si>
    <t>ZINC000885048835</t>
  </si>
  <si>
    <t>Z2962565723</t>
  </si>
  <si>
    <t>C13H14N4O2</t>
  </si>
  <si>
    <t>CC1N(CCCC1=O)C(=O)C=2C=CN=C3NC=NC23</t>
  </si>
  <si>
    <t>Z8619</t>
  </si>
  <si>
    <t>ZINC001320848619</t>
  </si>
  <si>
    <t>Z1891870554</t>
  </si>
  <si>
    <t>C15H17N3O4</t>
  </si>
  <si>
    <t>OC[C@@H]1NC(=O)N(C1=O)C=2C=CC=C(CN3CCCC3=O)C2</t>
  </si>
  <si>
    <t>F8284</t>
  </si>
  <si>
    <t>FRESH00010608284</t>
  </si>
  <si>
    <t>Z3494721111</t>
  </si>
  <si>
    <t>C16H19N5O2S</t>
  </si>
  <si>
    <t>CC=1C=C(N(N1)C2CCCC2)S(=O)(=O)NC=3C=NC=4NC=CC4C3</t>
  </si>
  <si>
    <t>5SPN</t>
  </si>
  <si>
    <t>Z3247</t>
  </si>
  <si>
    <t>ZINC000891943247</t>
  </si>
  <si>
    <t>Z2968378474</t>
  </si>
  <si>
    <t>C13H18N6O</t>
  </si>
  <si>
    <t>CNC=1C=C(N=CN1)N2CCCC(C2)C3=NC(C)=NO3</t>
  </si>
  <si>
    <t>F9192</t>
  </si>
  <si>
    <t>FRESH00020289192</t>
  </si>
  <si>
    <t>Z4026845220</t>
  </si>
  <si>
    <t>C14H17ClN6O</t>
  </si>
  <si>
    <t>ClC1=CC(=NC(=O)N1)N2CC(CN3C=NN=C3)C4(CCC4)C2</t>
  </si>
  <si>
    <t>5SPO</t>
  </si>
  <si>
    <t>R3575</t>
  </si>
  <si>
    <t>REAL300016493575</t>
  </si>
  <si>
    <t>Z4878240901</t>
  </si>
  <si>
    <t>C14H16ClN3O4S</t>
  </si>
  <si>
    <t>CC1C(CCCN1S(=O)(=O)C2=CNC=3N=CC(Cl)=CC23)C(=O)O</t>
  </si>
  <si>
    <t>5SQR</t>
  </si>
  <si>
    <t>R8538</t>
  </si>
  <si>
    <t>REAL250000548538</t>
  </si>
  <si>
    <t>Z3523874152</t>
  </si>
  <si>
    <t>C14H15N3O3</t>
  </si>
  <si>
    <t>OC(=O)[C@@H]1CCCN(C1)C(=O)C=2C=CN=C3NC=CC23</t>
  </si>
  <si>
    <t>5SQF</t>
  </si>
  <si>
    <t>R5324</t>
  </si>
  <si>
    <t>REAL250002155324</t>
  </si>
  <si>
    <t>Z2595539502</t>
  </si>
  <si>
    <t>CN(CCCC(=O)O)C(=O)C=1N=CN=C2NC=CC12</t>
  </si>
  <si>
    <t>5SPP</t>
  </si>
  <si>
    <t>Z1747</t>
  </si>
  <si>
    <t>ZINC001240411747</t>
  </si>
  <si>
    <t>Z4878241033</t>
  </si>
  <si>
    <t>C15H11N5O</t>
  </si>
  <si>
    <t>CC1=NOC(=N1)C=2C=CN=C(C2)C=3C=CN=C4NC=CC34</t>
  </si>
  <si>
    <t>5SQS</t>
  </si>
  <si>
    <t>Z8095</t>
  </si>
  <si>
    <t>ZINC000751938095</t>
  </si>
  <si>
    <t>Z1498243020</t>
  </si>
  <si>
    <t>C14H13N3O5</t>
  </si>
  <si>
    <t>CCC1=NOC(=N1)C(C)OC(=O)C=2C=CC=C3NC(=O)OC23</t>
  </si>
  <si>
    <t>F4848</t>
  </si>
  <si>
    <t>FRESH00014134848</t>
  </si>
  <si>
    <t>Z4068273645</t>
  </si>
  <si>
    <t>C15H16ClN3O3</t>
  </si>
  <si>
    <t>CC1(CCN(C1)C(=O)CC2=CNC=3N=CC=C(Cl)C23)C(=O)O</t>
  </si>
  <si>
    <t>5SQP</t>
  </si>
  <si>
    <t>Z4464</t>
  </si>
  <si>
    <t>ZINC000833624464</t>
  </si>
  <si>
    <t>Z4878249236</t>
  </si>
  <si>
    <t>C14H14N2O5</t>
  </si>
  <si>
    <t>C[C@@H]1CN(C[C@H]1C(=O)O)C(=O)C=2C=CC=C3NC(=O)OC23 |&amp;1:1.5.r|</t>
  </si>
  <si>
    <t>5SQT</t>
  </si>
  <si>
    <t>R4764</t>
  </si>
  <si>
    <t>REAL250003324764</t>
  </si>
  <si>
    <t>Z4878240829</t>
  </si>
  <si>
    <t>C11H14N4O3</t>
  </si>
  <si>
    <t>NC(=O)C=1C=C(N=CN1)N2CCCC[C@H]2C(=O)O</t>
  </si>
  <si>
    <t>R2032</t>
  </si>
  <si>
    <t>REAL250002852032</t>
  </si>
  <si>
    <t>Z3497025748</t>
  </si>
  <si>
    <t>C12H15N5O2</t>
  </si>
  <si>
    <t>OC(=O)C[C@@H]1CCCN(C1)C=2N=CN=C3N=CNC23</t>
  </si>
  <si>
    <t>5SPR</t>
  </si>
  <si>
    <t>F2804</t>
  </si>
  <si>
    <t>FRESH00012962804</t>
  </si>
  <si>
    <t>Z3510194742</t>
  </si>
  <si>
    <t>C15H18N4O3</t>
  </si>
  <si>
    <t>CC1(C)CCC(CN1C(=O)C=2N=CN=C3NC=CC23)C(=O)O</t>
  </si>
  <si>
    <t>5SPS</t>
  </si>
  <si>
    <t>Z9614</t>
  </si>
  <si>
    <t>ZINC001434309614</t>
  </si>
  <si>
    <t>Z4878249547</t>
  </si>
  <si>
    <t>C12H15N7O2</t>
  </si>
  <si>
    <t>CC(C(=O)N1CC(C1)C(=O)N)N2C=NC=3C(N)=NC=NC23</t>
  </si>
  <si>
    <t>Z8207</t>
  </si>
  <si>
    <t>ZINC000850008207</t>
  </si>
  <si>
    <t>Z2589504453</t>
  </si>
  <si>
    <t>C12H12N4O4</t>
  </si>
  <si>
    <t>O=C(OCCN1CCOC1=O)C=2N=CN=C3NC=CC23</t>
  </si>
  <si>
    <t>5SPT</t>
  </si>
  <si>
    <t>Z3432</t>
  </si>
  <si>
    <t>ZINC001327823432</t>
  </si>
  <si>
    <t>Z2627009130</t>
  </si>
  <si>
    <t>C12H11N7O</t>
  </si>
  <si>
    <t>O=C(N1CC(C1)N2C=NC=N2)C=3N=CN=C4NC=CC34</t>
  </si>
  <si>
    <t>Z1110</t>
  </si>
  <si>
    <t>ZINC001335091110</t>
  </si>
  <si>
    <t>Z2635803467</t>
  </si>
  <si>
    <t>O=C(N1CC(C1)N2C=CN=N2)C=3N=CN=C4NC=CC34</t>
  </si>
  <si>
    <t>Z9028</t>
  </si>
  <si>
    <t>ZINC001119059028</t>
  </si>
  <si>
    <t>Z2785508402</t>
  </si>
  <si>
    <t>C14H13N5O3</t>
  </si>
  <si>
    <t>CN1C(=O)[C@H]2CN(C[C@H]2C1=O)C(=O)C=3N=CN=C4NC=CC34</t>
  </si>
  <si>
    <t>R8908</t>
  </si>
  <si>
    <t>REAL300007318908</t>
  </si>
  <si>
    <t>Z3655134556</t>
  </si>
  <si>
    <t>C16H21N3O4</t>
  </si>
  <si>
    <t>CNC=1C=CC(=CN1)C(=O)N2CC(CC32CCOCC3)C(=O)O</t>
  </si>
  <si>
    <t>R2488</t>
  </si>
  <si>
    <t>REAL250001652488</t>
  </si>
  <si>
    <t>Z3655105654</t>
  </si>
  <si>
    <t>C14H19N3O3</t>
  </si>
  <si>
    <t>CNC=1C=CC(=CN1)C(=O)N2CC(CC2(C)C)C(=O)O</t>
  </si>
  <si>
    <t>Z4273</t>
  </si>
  <si>
    <t>ZINC001364774273</t>
  </si>
  <si>
    <t>Z4878241054</t>
  </si>
  <si>
    <t>C12H18N4O3S</t>
  </si>
  <si>
    <t>CC=1C=C(C=NC1N)S(=O)(=O)N2CCC[C@@H](C2)C(=O)N</t>
  </si>
  <si>
    <t>5SPU</t>
  </si>
  <si>
    <t>F6831</t>
  </si>
  <si>
    <t>FRESH00020236831</t>
  </si>
  <si>
    <t>Z3775841286</t>
  </si>
  <si>
    <t>OC(=O)CC1CN(CC2(CCC2)O1)C=3N=CN=C4NC=CC34</t>
  </si>
  <si>
    <t>Z0063</t>
  </si>
  <si>
    <t>ZINC000273900063</t>
  </si>
  <si>
    <t>Z1684606021</t>
  </si>
  <si>
    <t>C15H15N5O2</t>
  </si>
  <si>
    <t>C(C1=NOC(=N1)[C@@H]2CCCO2)C3=NC(=NN3)C=4C=CC=CC4</t>
  </si>
  <si>
    <t>R7335</t>
  </si>
  <si>
    <t>REAL250004627335</t>
  </si>
  <si>
    <t>Z4878240835</t>
  </si>
  <si>
    <t>CN(C(=O)C=1C=NC=2NC=C(C)C2C1)C3=NN=NN3</t>
  </si>
  <si>
    <t>5SQU</t>
  </si>
  <si>
    <t>Z7098</t>
  </si>
  <si>
    <t>ZINC000949397098</t>
  </si>
  <si>
    <t>Z4878249266</t>
  </si>
  <si>
    <t>C16H17N7O2</t>
  </si>
  <si>
    <t>CN1C=NC(=C1)C(=O)NCC2CCN2C(=O)C=3N=CN=C4NC=CC34</t>
  </si>
  <si>
    <t>Z9274</t>
  </si>
  <si>
    <t>ZINC000359659274</t>
  </si>
  <si>
    <t>Z1838747210</t>
  </si>
  <si>
    <t>C12H10F3N3O3S</t>
  </si>
  <si>
    <t>CC=1C=CC(NS(=O)(=O)C=2C=CC(=CN2)C(F)(F)F)=C(O)N1</t>
  </si>
  <si>
    <t>R4401</t>
  </si>
  <si>
    <t>REAL250003774401</t>
  </si>
  <si>
    <t>Z4878240834</t>
  </si>
  <si>
    <t>C10H10N4O4</t>
  </si>
  <si>
    <t>CN(CC(=O)O)C(=O)C=1C=CC2=NNC(=O)N2C1</t>
  </si>
  <si>
    <t>5SPV</t>
  </si>
  <si>
    <t>Z1527</t>
  </si>
  <si>
    <t>ZINC001365141527</t>
  </si>
  <si>
    <t>Z3779666785</t>
  </si>
  <si>
    <t>C13H13FN4O2S</t>
  </si>
  <si>
    <t>NC=1N=CC(=CN1)S(=O)(=O)N2CCC2C=3C=CC=C(F)C3</t>
  </si>
  <si>
    <t>F4769</t>
  </si>
  <si>
    <t>FRESH00004674769</t>
  </si>
  <si>
    <t>Z3795817775</t>
  </si>
  <si>
    <t>C14H17N5O2</t>
  </si>
  <si>
    <t>OC(=O)C1CC2CCC1CN(C2)C=3N=CN=C4N=CNC34</t>
  </si>
  <si>
    <t>5SPW</t>
  </si>
  <si>
    <t>Z6402</t>
  </si>
  <si>
    <t>ZINC001240776402</t>
  </si>
  <si>
    <t>Z4878241034</t>
  </si>
  <si>
    <t>C17H14N4O2S</t>
  </si>
  <si>
    <t>CNS(=O)(=O)C=1C=CC=C(C1)C=2N=CN=C3NC=4C=CC=CC4C23</t>
  </si>
  <si>
    <t>Z2483</t>
  </si>
  <si>
    <t>ZINC000183202483</t>
  </si>
  <si>
    <t>Z1643928765</t>
  </si>
  <si>
    <t>CC=1C=C(C=C(O)N1)C(=O)C(C#N)C2=NN=C3CCCCCN23</t>
  </si>
  <si>
    <t>Z6960</t>
  </si>
  <si>
    <t>ZINC000904346960</t>
  </si>
  <si>
    <t>Z2902521655</t>
  </si>
  <si>
    <t>C12H9N7O2</t>
  </si>
  <si>
    <t>CC1=NC(CC2=NOC(=N2)C=3N=CN=C4NC=CC34)=NO1</t>
  </si>
  <si>
    <t>R8539</t>
  </si>
  <si>
    <t>REAL250003958539</t>
  </si>
  <si>
    <t>Z3547661853</t>
  </si>
  <si>
    <t>C15H16N4O2</t>
  </si>
  <si>
    <t>CCC1=CNC=2N=CC(=CC12)C3=C(C(=O)O)C(C)=NN3C</t>
  </si>
  <si>
    <t>5SPX</t>
  </si>
  <si>
    <t>R1104</t>
  </si>
  <si>
    <t>REAL300019621104</t>
  </si>
  <si>
    <t>Z4878240941</t>
  </si>
  <si>
    <t>C10H7BrN6OS</t>
  </si>
  <si>
    <t>BrC=1C=NC=2NC=C(C(=O)CSC3=NN=NN3)C2C1</t>
  </si>
  <si>
    <t>5SPY</t>
  </si>
  <si>
    <t>R8407</t>
  </si>
  <si>
    <t>REAL250001448407</t>
  </si>
  <si>
    <t>Z4878240730</t>
  </si>
  <si>
    <t>C11H12FN3O4</t>
  </si>
  <si>
    <t>OC(=O)C1(CF)CCN(C1)C(=O)C=2C=NNC(=O)C2</t>
  </si>
  <si>
    <t>5SPZ</t>
  </si>
  <si>
    <t>Z6512</t>
  </si>
  <si>
    <t>ZINC001156036512</t>
  </si>
  <si>
    <t>Z4878241030</t>
  </si>
  <si>
    <t>C15H16N8O</t>
  </si>
  <si>
    <t>NC=1N=C(N)C=2N=CN(C3CN(C3)C(=O)CC=4C=CC=NC4)C2N1</t>
  </si>
  <si>
    <t>R0658</t>
  </si>
  <si>
    <t>REAL300007260658</t>
  </si>
  <si>
    <t>Z4926803476</t>
  </si>
  <si>
    <t>C17H14F4N2O6</t>
  </si>
  <si>
    <t>CC1CC(N1C(=O)C=2C=C(O)N=C3C=CC(F)=CC23)C(=O)O.OC(=O)C(F)(F)F</t>
  </si>
  <si>
    <t>trifluoroacetic acid</t>
  </si>
  <si>
    <t>5SQ0</t>
  </si>
  <si>
    <t>Z1314</t>
  </si>
  <si>
    <t>ZINC001601221314</t>
  </si>
  <si>
    <t>Z4878241070</t>
  </si>
  <si>
    <t>C9H10F2N4O4S</t>
  </si>
  <si>
    <t>NC=1N=CC(=CN1)S(=O)(=O)N2CC(F)(F)C[C@H]2C(=O)O</t>
  </si>
  <si>
    <t>5SQ1</t>
  </si>
  <si>
    <t>Lead-like analogs 
 LL1</t>
  </si>
  <si>
    <t>LL1_0016</t>
  </si>
  <si>
    <t>Z2364735172</t>
  </si>
  <si>
    <t>C16H16FN5O</t>
  </si>
  <si>
    <t>NC(=O)C1CCCN(C1)C=2N=CN=C3NC=4C=C(F)C=CC4C23</t>
  </si>
  <si>
    <t>LL1_0010</t>
  </si>
  <si>
    <t>Z2365085454</t>
  </si>
  <si>
    <t>C18H19FN4O2S</t>
  </si>
  <si>
    <t>FC=1C=CC2=C(C1)NC=3N=CN=C(N4CCCC5(CCS(=O)(=O)C5)C4)C23</t>
  </si>
  <si>
    <t>LL1_0005</t>
  </si>
  <si>
    <t>Z2976440814</t>
  </si>
  <si>
    <t>C19H19FN6O</t>
  </si>
  <si>
    <t>CC1=NOC(CC2CCCN(C2)C=3N=CN=C4NC=5C=C(F)C=CC5C34)=N1</t>
  </si>
  <si>
    <t>5SQ2</t>
  </si>
  <si>
    <t>LL1_0017</t>
  </si>
  <si>
    <t>Z5028367849</t>
  </si>
  <si>
    <t>C17H15FN6O2</t>
  </si>
  <si>
    <t>FC=1C=CC2=C(C1)NC=3N=CN=C(N4CCCC(C4)C5=NNC(=O)O5)C23</t>
  </si>
  <si>
    <t>5SQM</t>
  </si>
  <si>
    <t>LL1_0023</t>
  </si>
  <si>
    <t>Z5030903496</t>
  </si>
  <si>
    <t>C18H16F2N4O2</t>
  </si>
  <si>
    <t>OC(=O)C1(F)CN(CC21CCC2)C=3N=CN=C4NC=5C=C(F)C=CC5C34</t>
  </si>
  <si>
    <t>5SQO</t>
  </si>
  <si>
    <t>5.8, 10.9</t>
  </si>
  <si>
    <t>5.0, 9.5</t>
  </si>
  <si>
    <t>LL1_0025</t>
  </si>
  <si>
    <t>Z5028367859</t>
  </si>
  <si>
    <t>C18H19FN4O2</t>
  </si>
  <si>
    <t>OC(=O)C1(F)CN(CC21CCC2)C=3C=C(NC=4C=CC=CC4)N=CN3</t>
  </si>
  <si>
    <t>LL1_0018</t>
  </si>
  <si>
    <t>Z4914649780</t>
  </si>
  <si>
    <t>OC(=O)CCC1CCCN(C1)C=2N=CN=C3NC=4C=C(F)C=CC4C23</t>
  </si>
  <si>
    <t>5SQN</t>
  </si>
  <si>
    <t>LL1_0014</t>
  </si>
  <si>
    <t>Z5028367848</t>
  </si>
  <si>
    <t>C16H15FN4O3</t>
  </si>
  <si>
    <t>OC(=O)CC1CN(CCO1)C=2N=CN=C3NC=4C=C(F)C=CC4C23</t>
  </si>
  <si>
    <t>5SQ3</t>
  </si>
  <si>
    <t>16.4, 28.7</t>
  </si>
  <si>
    <t>0.7, 2.3</t>
  </si>
  <si>
    <t>14.3, 25.0</t>
  </si>
  <si>
    <t>LL1_0027</t>
  </si>
  <si>
    <t>Z2364980062</t>
  </si>
  <si>
    <t>C16H17FN4O2S</t>
  </si>
  <si>
    <t>CS(=O)(=O)C1CCCN(C1)C=2N=CN=C3NC=4C=C(F)C=CC4C23</t>
  </si>
  <si>
    <t>5SQ4</t>
  </si>
  <si>
    <t>LL1_analogs</t>
  </si>
  <si>
    <t>LL114_0019</t>
  </si>
  <si>
    <t>Z5373433775</t>
  </si>
  <si>
    <t>C16H17ClFN5O4S</t>
  </si>
  <si>
    <t>Cl.CS(=O)(=O)NC(=O)C1CN(CCO1)C=2N=CN=C3NC=4C=C(F)C=CC4C23</t>
  </si>
  <si>
    <t>5SRK</t>
  </si>
  <si>
    <t>LL123_0036</t>
  </si>
  <si>
    <t>Z5373433723</t>
  </si>
  <si>
    <t>C19H20ClF2N5O3S</t>
  </si>
  <si>
    <t>Cl.CS(=O)(=O)NC(=O)C1(F)CN(CC21CCC2)C=3N=CN=C4NC=5C=C(F)C=CC5C34</t>
  </si>
  <si>
    <t>5SRD</t>
  </si>
  <si>
    <t>LL114_0001</t>
  </si>
  <si>
    <t>Z5352447655</t>
  </si>
  <si>
    <t>C17H18ClFN4O4</t>
  </si>
  <si>
    <t>Cl.OC[C@@H]1CN(C[C@H](CC(=O)O)O1)C=2N=CN=C3NC=4C=C(F)C=CC4C23 |&amp;1:3,7,r|</t>
  </si>
  <si>
    <t>5SRL</t>
  </si>
  <si>
    <t>LL123_0029</t>
  </si>
  <si>
    <t>Z5198562530</t>
  </si>
  <si>
    <t>C19H19FN4O2</t>
  </si>
  <si>
    <t>OC(=O)C1CN(CCC21CCC2)C=3N=CN=C4NC=5C=C(F)C=CC5C34</t>
  </si>
  <si>
    <t>5SRE</t>
  </si>
  <si>
    <t>Z2215</t>
  </si>
  <si>
    <t>Z3860662215</t>
  </si>
  <si>
    <t>C18H20N4O3</t>
  </si>
  <si>
    <t>CC1(C)CN(CC(CC(=O)O)O1)C=2N=CN=C3NC=4C=CC=CC4C23</t>
  </si>
  <si>
    <t>5SRM</t>
  </si>
  <si>
    <t>Z3011799020</t>
  </si>
  <si>
    <t>C18H17FN4O2</t>
  </si>
  <si>
    <t>OC(=O)C1(F)CN(CC21CCC2)C=3N=CN=C4NC=5C=CC=CC5C34</t>
  </si>
  <si>
    <t>5SR6</t>
  </si>
  <si>
    <t>Z9596</t>
  </si>
  <si>
    <t>Z2466029596</t>
  </si>
  <si>
    <t>C16H16N4O3</t>
  </si>
  <si>
    <t>OC(=O)CC1CN(CCO1)C=2N=CN=C3NC=4C=CC=CC4C23</t>
  </si>
  <si>
    <t>5SRN</t>
  </si>
  <si>
    <t>Z6423</t>
  </si>
  <si>
    <t>Z3634656423</t>
  </si>
  <si>
    <t>C18H18F2N4O2</t>
  </si>
  <si>
    <t>OC(=O)CC1CCN(CCC1(F)F)C=2N=CN=C3NC=4C=CC=CC4C23</t>
  </si>
  <si>
    <t>Z1229</t>
  </si>
  <si>
    <t>Z4445151229</t>
  </si>
  <si>
    <t>C17H15F3N4O3</t>
  </si>
  <si>
    <t>OC(=O)CC1CN(CC(O1)C(F)(F)F)C=2N=CN=C3NC=4C=CC=CC4C23</t>
  </si>
  <si>
    <t>LL123_0006</t>
  </si>
  <si>
    <t>Z5198562509</t>
  </si>
  <si>
    <t>C18H16BrFN4O2</t>
  </si>
  <si>
    <t>OC(=O)C1(F)CN(CC21CCC2)C=3N=CN=C4NC=5C=C(Br)C=CC5C34</t>
  </si>
  <si>
    <t>5SRO</t>
  </si>
  <si>
    <t>Z4706</t>
  </si>
  <si>
    <t>Z2466054706</t>
  </si>
  <si>
    <t>Z5340019182</t>
  </si>
  <si>
    <t>C20H19F3N4O4</t>
  </si>
  <si>
    <t>OC(=O)C1CN(CC21CCC2)C=3N=CN=C4NC=5C=CC=CC5C34.OC(=O)C(F)(F)F</t>
  </si>
  <si>
    <t>5SRP</t>
  </si>
  <si>
    <t>Z2539</t>
  </si>
  <si>
    <t>Z3561462539</t>
  </si>
  <si>
    <t>C18H18F2N4O</t>
  </si>
  <si>
    <t>OCC1(F)CN(CC21CCC2)C=3N=CN=C4NC=5C=C(F)C=CC5C34</t>
  </si>
  <si>
    <t>LL123_0025</t>
  </si>
  <si>
    <t>Z3831836449</t>
  </si>
  <si>
    <t>OCC1CN(CC2(CCC2)O1)C=3N=CN=C4NC=5C=C(F)C=CC5C34</t>
  </si>
  <si>
    <t>5SRQ</t>
  </si>
  <si>
    <t>LL114_0014</t>
  </si>
  <si>
    <t>Z5198562480</t>
  </si>
  <si>
    <t>C16H15BrN4O3</t>
  </si>
  <si>
    <t>OC(=O)CC1CN(CCO1)C=2N=CN=C3NC=4C=C(Br)C=CC4C23</t>
  </si>
  <si>
    <t>Z8973</t>
  </si>
  <si>
    <t>Z4158218973</t>
  </si>
  <si>
    <t>CO[C@@H]1CN(C[C@@H](CO)O1)C=2N=CN=C3NC=4C=C(F)C=CC4C23</t>
  </si>
  <si>
    <t>5SRR</t>
  </si>
  <si>
    <t>Z5107</t>
  </si>
  <si>
    <t>Z2614735107</t>
  </si>
  <si>
    <t>C17H16FN5O2</t>
  </si>
  <si>
    <t>FC=1C=CC2=C(C1)NC=3N=CN=C(N4CCC(C4)N5CCOC5=O)C23</t>
  </si>
  <si>
    <t>5SRS</t>
  </si>
  <si>
    <t>LL123_0021</t>
  </si>
  <si>
    <t>Z5028382470</t>
  </si>
  <si>
    <t>C20H20F2N4O2</t>
  </si>
  <si>
    <t>CCOC(=O)C1(F)CN(CC21CCC2)C=3N=CN=C4NC=5C=C(F)C=CC5C34</t>
  </si>
  <si>
    <t>LL114_0008</t>
  </si>
  <si>
    <t>Z5198562791</t>
  </si>
  <si>
    <t>C15H13FN8O</t>
  </si>
  <si>
    <t>FC=1C=CC2=C(C1)NC=3N=CN=C(N4CCOC(C4)C5=NN=NN5)C23</t>
  </si>
  <si>
    <t>5SRT</t>
  </si>
  <si>
    <t>LL123_0020</t>
  </si>
  <si>
    <t>Z5198562523</t>
  </si>
  <si>
    <t>OC(=O)C1CN(CC21CCC2)C=3N=CN=C4NC=5C=C(F)C=CC5C34</t>
  </si>
  <si>
    <t>5SRU</t>
  </si>
  <si>
    <t>LL123_0032</t>
  </si>
  <si>
    <t>Z5198562533</t>
  </si>
  <si>
    <t>OC(=O)C1(F)CN(CC1C2CC2)C=3N=CN=C4NC=5C=C(F)C=CC5C34</t>
  </si>
  <si>
    <t>5SRV</t>
  </si>
  <si>
    <t>LL114_0040</t>
  </si>
  <si>
    <t>Z2364914118</t>
  </si>
  <si>
    <t>C17H17FN4O3</t>
  </si>
  <si>
    <t>COC(=O)CC1CN(CCO1)C=2N=CN=C3NC=4C=C(F)C=CC4C23</t>
  </si>
  <si>
    <t>5SRW</t>
  </si>
  <si>
    <t>LL114_0041</t>
  </si>
  <si>
    <t>Z5198562503</t>
  </si>
  <si>
    <t>OC(=O)CCC1CN(CCO1)C=2N=CN=C3NC=4C=C(F)C=CC4C23</t>
  </si>
  <si>
    <t>5SRX</t>
  </si>
  <si>
    <t>LL114_0037</t>
  </si>
  <si>
    <t>Z4914649782</t>
  </si>
  <si>
    <t>C17H15FN4O2</t>
  </si>
  <si>
    <t>OC(=O)[C@@H]1[C@@H]2CCN(C[C@H]12)C=3N=CN=C4NC=5C=C(F)C=CC5C34 |&amp;1:3,4,9,r|</t>
  </si>
  <si>
    <t>5SR7</t>
  </si>
  <si>
    <t>LL114_0024</t>
  </si>
  <si>
    <t>Z4914650235</t>
  </si>
  <si>
    <t>C19H19FN4O3</t>
  </si>
  <si>
    <t>OC(=O)CC1CN(CC2(CCC2)O1)C=3N=CN=C4NC=5C=C(F)C=CC5C34</t>
  </si>
  <si>
    <t>5SR8</t>
  </si>
  <si>
    <t>Z9556</t>
  </si>
  <si>
    <t>Z3562259556</t>
  </si>
  <si>
    <t>COC(=O)C1(CO)CCN(C1)C=2N=CN=C3NC=4C=C(F)C=CC4C23</t>
  </si>
  <si>
    <t>5SR9</t>
  </si>
  <si>
    <t>LL114_0033</t>
  </si>
  <si>
    <t>Z5372052920</t>
  </si>
  <si>
    <t>C15H14ClFN4O3</t>
  </si>
  <si>
    <t>Cl.OC(=O)C1CN(CCO1)C=2N=CN=C3NC=4C=C(F)C=CC4C23</t>
  </si>
  <si>
    <t>5SRA</t>
  </si>
  <si>
    <t>Z4948</t>
  </si>
  <si>
    <t>Z2976494948</t>
  </si>
  <si>
    <t>C16H17FN4O3S</t>
  </si>
  <si>
    <t>CS(=O)(=O)CC1CN(CCO1)C=2N=CN=C3NC=4C=C(F)C=CC4C23</t>
  </si>
  <si>
    <t>LL123_0031</t>
  </si>
  <si>
    <t>Z5198562532</t>
  </si>
  <si>
    <t>C17H14F2N4O3</t>
  </si>
  <si>
    <t>OC(=O)C1(F)CN(CC21COC2)C=3N=CN=C4NC=5C=C(F)C=CC5C34</t>
  </si>
  <si>
    <t>5SRB</t>
  </si>
  <si>
    <t>LL114_0036</t>
  </si>
  <si>
    <t>Z5198562500</t>
  </si>
  <si>
    <t>OC(C1CCCN(C1)C=2N=CN=C3NC=4C=C(F)C=CC4C23)C(=O)O</t>
  </si>
  <si>
    <t>5SRC</t>
  </si>
  <si>
    <t>LL123_0016</t>
  </si>
  <si>
    <t>Z5198562519</t>
  </si>
  <si>
    <t>C18H17F2N5O2</t>
  </si>
  <si>
    <t>NC=1N=C(N2CC3(CCC3)C(F)(C2)C(=O)O)C=4C=5C=CC(F)=CC5NC4N1</t>
  </si>
  <si>
    <t>5SSO</t>
  </si>
  <si>
    <t>LL114_0039</t>
  </si>
  <si>
    <t>Z5198562502</t>
  </si>
  <si>
    <t>C17H18FN5O2</t>
  </si>
  <si>
    <t>OC(=O)CN1CCCN(CC1)C=2N=CN=C3NC=4C=C(F)C=CC4C23</t>
  </si>
  <si>
    <t>8539_2</t>
  </si>
  <si>
    <t>Z8539_2004</t>
  </si>
  <si>
    <t>8539_2004</t>
  </si>
  <si>
    <t>Z5459166285</t>
  </si>
  <si>
    <t>C19H16N2O4</t>
  </si>
  <si>
    <t>OC(=O)C1CC=2C(=CC=CC2O)C1NC(=O)C=3C=CC=4NC=CC4C3</t>
  </si>
  <si>
    <t>5SSP</t>
  </si>
  <si>
    <t>Z8539_2005</t>
  </si>
  <si>
    <t>8539_2005</t>
  </si>
  <si>
    <t>Z5459166291</t>
  </si>
  <si>
    <t>C18H14N4O3</t>
  </si>
  <si>
    <t>OC(=O)C=1NC=2C=CC=CC2C1CNC(=O)C=3C=CC=4NC=NC4C3</t>
  </si>
  <si>
    <t>5SSQ</t>
  </si>
  <si>
    <t>Z8539_2001</t>
  </si>
  <si>
    <t>8539_2001</t>
  </si>
  <si>
    <t>Z5459166256</t>
  </si>
  <si>
    <t>C18H15N3O4</t>
  </si>
  <si>
    <t>OC(=O)C1CC=2C(=CC=CC2O)C1NC(=O)C=3C=CC=4NC=NC4C3</t>
  </si>
  <si>
    <t>5SSM</t>
  </si>
  <si>
    <t>Z8539_2006</t>
  </si>
  <si>
    <t>8539_2006</t>
  </si>
  <si>
    <t>Z5459166300</t>
  </si>
  <si>
    <t>C18H14N4O4</t>
  </si>
  <si>
    <t>OC(=O)C=1NC=2C=CC=CC2C1CNC(=O)C=3C=CC=4NC(O)=NC4C3</t>
  </si>
  <si>
    <t>5SSR</t>
  </si>
  <si>
    <t>Neutral probe set for oxyanion site</t>
  </si>
  <si>
    <t>SRH-0028</t>
  </si>
  <si>
    <t>Z1039058598</t>
  </si>
  <si>
    <t>C12H11N5</t>
  </si>
  <si>
    <t>C(NC=1N=CN=C2NC=CC12)C=3C=CC=CN3</t>
  </si>
  <si>
    <t>SRH-0015</t>
  </si>
  <si>
    <t>SRH-0015.4</t>
  </si>
  <si>
    <t>Z3649721459</t>
  </si>
  <si>
    <t>C12H16N4O</t>
  </si>
  <si>
    <t>O[C@H]1CCCC[C@H]1NC=2N=CN=C3NC=CC23</t>
  </si>
  <si>
    <t>5SR0</t>
  </si>
  <si>
    <t>SRH-0018</t>
  </si>
  <si>
    <t>SRH-0018.3</t>
  </si>
  <si>
    <t>Z2479782408</t>
  </si>
  <si>
    <t>C11H14N4O</t>
  </si>
  <si>
    <t>O[C@@H]1CC[C@@H](C1)NC=2N=CN=C3NC=CC23 |&amp;1:1,4,r|</t>
  </si>
  <si>
    <t>5SQK</t>
  </si>
  <si>
    <t>SRH-0010</t>
  </si>
  <si>
    <t>SRH-0010.1</t>
  </si>
  <si>
    <t>Z1272415642</t>
  </si>
  <si>
    <t>C11H14N4O2S</t>
  </si>
  <si>
    <t>O=S1(=O)CCCC(C1)NC=2N=CN=C3NC=CC23</t>
  </si>
  <si>
    <t>5SR1</t>
  </si>
  <si>
    <t>SRM-0010</t>
  </si>
  <si>
    <t>SRM-0010.1</t>
  </si>
  <si>
    <t>Z4175153844</t>
  </si>
  <si>
    <t>C12H16N4O2S</t>
  </si>
  <si>
    <t>CN(C1CCCS(=O)(=O)C1)C=2N=CN=C3NC=CC23</t>
  </si>
  <si>
    <t>SRH-0005</t>
  </si>
  <si>
    <t>Z2689779890</t>
  </si>
  <si>
    <t>C10H12N4O2S</t>
  </si>
  <si>
    <t>O=S1(=O)CC(CNC=2N=CN=C3NC=CC23)C1</t>
  </si>
  <si>
    <t>5SQL</t>
  </si>
  <si>
    <t>SRH-0014</t>
  </si>
  <si>
    <t>SRH-0014.2</t>
  </si>
  <si>
    <t>Z1446853037</t>
  </si>
  <si>
    <t>C12H14F2N4</t>
  </si>
  <si>
    <t>FC1(F)CCCC(C1)NC=2N=CN=C3NC=CC23</t>
  </si>
  <si>
    <t>LRH-0028</t>
  </si>
  <si>
    <t>Z5265428311</t>
  </si>
  <si>
    <t>C16H12FN5</t>
  </si>
  <si>
    <t>FC=1C=CC2=C(C1)NC=3N=CN=C(NCC=4C=CC=CN4)C23</t>
  </si>
  <si>
    <t>LRH-0021</t>
  </si>
  <si>
    <t>LRH-0021.4</t>
  </si>
  <si>
    <t>Z5281440906</t>
  </si>
  <si>
    <t>C17H17FN4O2</t>
  </si>
  <si>
    <t>OC(=O)[C@@H]1CCCC[C@@H]1NC=2N=CN=C3NC=4C=C(F)C=CC4C23 |&amp;1:3,8,r|</t>
  </si>
  <si>
    <t>5SRZ</t>
  </si>
  <si>
    <t>LRH-0003</t>
  </si>
  <si>
    <t>Z5265428218</t>
  </si>
  <si>
    <t>C14H12FN5O</t>
  </si>
  <si>
    <t>FC=1C=CC2=C(C1)NC=3N=CN=C(NN4CCCC4=O)C23</t>
  </si>
  <si>
    <t>5SRY</t>
  </si>
  <si>
    <t>LRH-0030</t>
  </si>
  <si>
    <t>Z5496676722</t>
  </si>
  <si>
    <t>C17H11F4N5O2</t>
  </si>
  <si>
    <t>OC(=O)C(F)(F)F.FC=1C=CC2=C(C1)NC=3N=CN=C(NC=4C=CC=NC4)C23</t>
  </si>
  <si>
    <t>LRH-0008</t>
  </si>
  <si>
    <t>LRH-0008.2</t>
  </si>
  <si>
    <t>Z5281441444</t>
  </si>
  <si>
    <t>C15H13FN4O</t>
  </si>
  <si>
    <t>FC=1C=CC2=C(C1)NC=3N=CN=C(NC4CCCC4=O)C23</t>
  </si>
  <si>
    <t>LRH-0018</t>
  </si>
  <si>
    <t>LRH-0018.3</t>
  </si>
  <si>
    <t>Z2479779298</t>
  </si>
  <si>
    <t>C15H15FN4O</t>
  </si>
  <si>
    <t>O[C@@H]1CC[C@@H](C1)NC=2N=CN=C3NC=4C=C(F)C=CC4C23 |&amp;1:1,4,r|</t>
  </si>
  <si>
    <t>5SR4</t>
  </si>
  <si>
    <t>LRH-0012</t>
  </si>
  <si>
    <t>LRH-0012.2</t>
  </si>
  <si>
    <t>Z5265454473</t>
  </si>
  <si>
    <t>C14H13FN4O2S</t>
  </si>
  <si>
    <t>FC=1C=CC2=C(C1)NC=3N=CN=C(NCC4CCS4(=O)=O)C23</t>
  </si>
  <si>
    <t>5SR5</t>
  </si>
  <si>
    <t>LRH-0014</t>
  </si>
  <si>
    <t>LRH-0014.2</t>
  </si>
  <si>
    <t>Z5265469172</t>
  </si>
  <si>
    <t>C16H15F3N4</t>
  </si>
  <si>
    <t>FC=1C=CC2=C(C1)NC=3N=CN=C(NC4CCCC(F)(F)C4)C23</t>
  </si>
  <si>
    <t>LRM-0010</t>
  </si>
  <si>
    <t>LRM-0010.2</t>
  </si>
  <si>
    <t>Z4175156780</t>
  </si>
  <si>
    <t>CN(C1CCCS(=O)(=O)C1)C=2N=CN=C3NC=4C=C(F)C=CC4C23</t>
  </si>
  <si>
    <t>5SRF</t>
  </si>
  <si>
    <t>LRM-0028</t>
  </si>
  <si>
    <t>Z5265428403</t>
  </si>
  <si>
    <t>C17H14FN5</t>
  </si>
  <si>
    <t>CN(CC=1C=CC=CN1)C=2N=CN=C3NC=4C=C(F)C=CC4C23</t>
  </si>
  <si>
    <t>5SRG</t>
  </si>
  <si>
    <t>LRH-0022</t>
  </si>
  <si>
    <t>LRH-0022.1</t>
  </si>
  <si>
    <t>Z5265470867</t>
  </si>
  <si>
    <t>OC(=O)[C@@H]1CCC[C@@H](C1)NC=2N=CN=C3NC=4C=C(F)C=CC4C23 |&amp;1:3,7,r|</t>
  </si>
  <si>
    <t>5SRH (head)</t>
  </si>
  <si>
    <t>LRH-0031</t>
  </si>
  <si>
    <t>Z5278734565</t>
  </si>
  <si>
    <t>C15H10FN5O</t>
  </si>
  <si>
    <t>[O-][N+]=1C=CC=C(NC=2N=CN=C3NC=4C=C(F)C=CC4C23)C1</t>
  </si>
  <si>
    <t>5SRI (head)</t>
  </si>
  <si>
    <t>LRH-0005</t>
  </si>
  <si>
    <t>Z5265428226</t>
  </si>
  <si>
    <t>FC=1C=CC2=C(C1)NC=3N=CN=C(NCC4CS(=O)(=O)C4)C23</t>
  </si>
  <si>
    <t>5SRJ</t>
  </si>
  <si>
    <t>Open Structure Screen</t>
  </si>
  <si>
    <t>Z6634</t>
  </si>
  <si>
    <t>ZINCn9000000uj1v</t>
  </si>
  <si>
    <t>Z5356306634</t>
  </si>
  <si>
    <t>C15H16N4O4</t>
  </si>
  <si>
    <t>COC=1C=NC=C(C1)C(=O)NCCNC(=O)C=2N=CC=CC2O</t>
  </si>
  <si>
    <t>5SS0</t>
  </si>
  <si>
    <t>Z9008</t>
  </si>
  <si>
    <t>ZINCoD000004ZkjO</t>
  </si>
  <si>
    <t>Z2910839008</t>
  </si>
  <si>
    <t>C18H17ClN2O3</t>
  </si>
  <si>
    <t>OC(=O)[C@@H]1CC[C@@H](C1)NC(=O)C=2C=NC=C(C2)C=3C=CC(Cl)=CC3</t>
  </si>
  <si>
    <t>Z3148</t>
  </si>
  <si>
    <t>ZINCor000000eujK</t>
  </si>
  <si>
    <t>Z5398393148</t>
  </si>
  <si>
    <t>C17H22ClN5O3</t>
  </si>
  <si>
    <t>C[C@@H](CNC(=O)NCC1=NC(=NN1)C(O)C2CC2)OC=3C=CC(Cl)=CC3</t>
  </si>
  <si>
    <t>Z3087</t>
  </si>
  <si>
    <t>ZINCn600000biyhN</t>
  </si>
  <si>
    <t>Z5398393087</t>
  </si>
  <si>
    <t>C13H17N7O3</t>
  </si>
  <si>
    <t>O=C(NCC1=NC(=NN1)C2CC2)N3CCC(C3)C4=NOC(=O)N4</t>
  </si>
  <si>
    <t>Z3209</t>
  </si>
  <si>
    <t>ZINCou000000a2Hm</t>
  </si>
  <si>
    <t>Z5398393209</t>
  </si>
  <si>
    <t>C15H11BrFN3O3S</t>
  </si>
  <si>
    <t>FC=1C=C(CS(=O)(=O)NC(=O)C=2C=NN3C=CC=CC23)C=CC1Br</t>
  </si>
  <si>
    <t>5SS1</t>
  </si>
  <si>
    <t>Z3191</t>
  </si>
  <si>
    <t>ZINCoC000000Sg65</t>
  </si>
  <si>
    <t>Z5398393191</t>
  </si>
  <si>
    <t>OC=1C=C(F)C=C(C1)S(=O)(=O)NC=2C=NN(C2)C=3C=CC=CC3Br</t>
  </si>
  <si>
    <t>Z6707</t>
  </si>
  <si>
    <t>ZINCnt000006kx7L</t>
  </si>
  <si>
    <t>Z5356306707</t>
  </si>
  <si>
    <t>C14H14N4O3S2</t>
  </si>
  <si>
    <t>CC(=O)NC1=NC(C)=C(S1)S(=O)(=O)NC=2C=CC(C)=C(C#N)C2</t>
  </si>
  <si>
    <t>5SS2</t>
  </si>
  <si>
    <t>Z0611</t>
  </si>
  <si>
    <t>ZINCnu000001eLaQ</t>
  </si>
  <si>
    <t>Z5272010611</t>
  </si>
  <si>
    <t>CCC(=O)NC1=NC(C)=C(S1)S(=O)(=O)NC=2C=CC=C(C#N)C2</t>
  </si>
  <si>
    <t>5SS3</t>
  </si>
  <si>
    <t>Z0844</t>
  </si>
  <si>
    <t>ZINCmk000001M6Mg</t>
  </si>
  <si>
    <t>Z4009850844</t>
  </si>
  <si>
    <t>C16H16N2O4</t>
  </si>
  <si>
    <t>OC(=O)C1COC(CNC(=O)C=2C=NC=C3C=CC=CC23)C1</t>
  </si>
  <si>
    <t>Z5712</t>
  </si>
  <si>
    <t>ZINCns000000RJoU</t>
  </si>
  <si>
    <t>Z5405525712</t>
  </si>
  <si>
    <t>C16H13N3O3S</t>
  </si>
  <si>
    <t>OC(=O)CC=1C=CC=C(CNC(=O)C=2N=CN=C3C=CSC23)C1</t>
  </si>
  <si>
    <t>5SS4</t>
  </si>
  <si>
    <t>Z6670</t>
  </si>
  <si>
    <t>ZINCns000000RNQW</t>
  </si>
  <si>
    <t>Z5356306670</t>
  </si>
  <si>
    <t>C17H13N3O3</t>
  </si>
  <si>
    <t>OC(=O)C=1C=CC=C(CNC(=O)C=2C=NN=C3C=CC=CC23)C1</t>
  </si>
  <si>
    <t>Z3722</t>
  </si>
  <si>
    <t>ZINCpE000000mAwk</t>
  </si>
  <si>
    <t>Z929093722</t>
  </si>
  <si>
    <t>C17H13BrFN3O3</t>
  </si>
  <si>
    <t>OC(=O)CC(NC(=O)C=1C=C(F)C=C2NC=NC12)C=3C=CC(Br)=CC3</t>
  </si>
  <si>
    <t>5SS5</t>
  </si>
  <si>
    <t>Z0180</t>
  </si>
  <si>
    <t>ZINCor0000003q0u</t>
  </si>
  <si>
    <t>Z3307890180</t>
  </si>
  <si>
    <t>C20H24N4O2</t>
  </si>
  <si>
    <t>COC(=O)C1(CC1)C=2C=CC(CN3CCN(CC3)C=4N=CC=CN4)=CC2</t>
  </si>
  <si>
    <t>Z6637</t>
  </si>
  <si>
    <t>ZINCmk000001IsAx</t>
  </si>
  <si>
    <t>Z5356306637</t>
  </si>
  <si>
    <t>C15H15N3O4</t>
  </si>
  <si>
    <t>COC=1C=CC(CNC(=O)C=2C=NN=C(C)C2)=CC1C(=O)O</t>
  </si>
  <si>
    <t>Z3109</t>
  </si>
  <si>
    <t>ZINCou0000047keg</t>
  </si>
  <si>
    <t>Z5398393109</t>
  </si>
  <si>
    <t>C15H10BrFN4O3</t>
  </si>
  <si>
    <t>OC(=O)C=1C=CC(F)=C(CNC(=O)C=2N=CN=C3NC=C(Br)C23)C1</t>
  </si>
  <si>
    <t>Z6684</t>
  </si>
  <si>
    <t>ZINClf00000cdzal</t>
  </si>
  <si>
    <t>Z5356306684</t>
  </si>
  <si>
    <t>C12H15N5O3S</t>
  </si>
  <si>
    <t>CCNC1=NC=C(S1)C(=O)NCCN2C=NC(=C2)C(=O)O</t>
  </si>
  <si>
    <t>5SS6</t>
  </si>
  <si>
    <t>Z7647</t>
  </si>
  <si>
    <t>ZINCnz000004Qo8S</t>
  </si>
  <si>
    <t>Z1870367647</t>
  </si>
  <si>
    <t>C17H13FN2O3</t>
  </si>
  <si>
    <t>OC(=O)C=1C=CC(F)=C(CNC(=O)C=2C=CC=3NC=CC3C2)C1</t>
  </si>
  <si>
    <t>5SS7</t>
  </si>
  <si>
    <t>Z6625</t>
  </si>
  <si>
    <t>ZINCny000002NPIr</t>
  </si>
  <si>
    <t>Z5356306625</t>
  </si>
  <si>
    <t>C17H14N2O3S</t>
  </si>
  <si>
    <t>OC(=O)CC=1C=CC(CNC(=O)C=2C=CN=C3C=CSC23)=CC1</t>
  </si>
  <si>
    <t>5SS8</t>
  </si>
  <si>
    <t>Z1766</t>
  </si>
  <si>
    <t>ZINCny000002NUaH</t>
  </si>
  <si>
    <t>Z1154771766</t>
  </si>
  <si>
    <t>C18H16N2O3</t>
  </si>
  <si>
    <t>OC(=O)C=1C=CC=C(CCNC(=O)C=2C=CC=3NC=CC3C2)C1</t>
  </si>
  <si>
    <t>Z3122</t>
  </si>
  <si>
    <t>ZINCow000000AiWv</t>
  </si>
  <si>
    <t>Z5398393122</t>
  </si>
  <si>
    <t>C16H13BrN4O3</t>
  </si>
  <si>
    <t>OC(=O)CC(NC(=O)C=1N=CN=C2NC=CC12)C=3C=CC(Br)=CC3</t>
  </si>
  <si>
    <t>5SS9</t>
  </si>
  <si>
    <t>Z1558</t>
  </si>
  <si>
    <t>ZINClv000001jcNa</t>
  </si>
  <si>
    <t>Z3009811558</t>
  </si>
  <si>
    <t>C15H16N2O3S</t>
  </si>
  <si>
    <t>OC(=O)CC1CC(CNC(=O)C=2C=NC=C3SC=CC23)C1</t>
  </si>
  <si>
    <t>5SSA (C4)</t>
  </si>
  <si>
    <t>Z6724</t>
  </si>
  <si>
    <t>ZINCng00000cegiT</t>
  </si>
  <si>
    <t>Z5356306724</t>
  </si>
  <si>
    <t>C12H10F3N5O3</t>
  </si>
  <si>
    <t>NC=1N=CC(C(=O)N2CC(C2)C3=CC(O)=NO3)=C(N1)C(F)(F)F</t>
  </si>
  <si>
    <t>Z5426</t>
  </si>
  <si>
    <t>ZINCki00000dCBgq</t>
  </si>
  <si>
    <t>Z1470535426</t>
  </si>
  <si>
    <t>C14H13N3O3</t>
  </si>
  <si>
    <t>NC=1C=CC(=NC1)C(=O)NCC=2C=CC=C(C2)C(=O)O</t>
  </si>
  <si>
    <t>Z6629</t>
  </si>
  <si>
    <t>ZINCkz000001Clk4</t>
  </si>
  <si>
    <t>Z5356306629</t>
  </si>
  <si>
    <t>C13H11N3O3S</t>
  </si>
  <si>
    <t>CC=1OC(=CC1CNC=2N=CN=C3C=CSC23)C(=O)O</t>
  </si>
  <si>
    <t>Z8404</t>
  </si>
  <si>
    <t>ZINClp00000kFVhF</t>
  </si>
  <si>
    <t>Z1544888404</t>
  </si>
  <si>
    <t>C14H11N3O4</t>
  </si>
  <si>
    <t>OC(=O)C=1C=CC(NN=CC=2C=CC=C3OCOC32)=NC1</t>
  </si>
  <si>
    <t>Z6569</t>
  </si>
  <si>
    <t>ZINCl500000ccekw</t>
  </si>
  <si>
    <t>Z5356306569</t>
  </si>
  <si>
    <t>C13H15N5O3</t>
  </si>
  <si>
    <t>NC=1C=CC(CC(=O)N2CCC(C2)C3=NOC(=O)N3)=CN1</t>
  </si>
  <si>
    <t>Z6746</t>
  </si>
  <si>
    <t>ZINCmk000007RhkC</t>
  </si>
  <si>
    <t>Z5356306746</t>
  </si>
  <si>
    <t>C12H9ClN4O4S</t>
  </si>
  <si>
    <t>CC=1OC(=CC1S(=O)(=O)NC=2C=NC(Cl)=C(C#N)C2)C(=O)N</t>
  </si>
  <si>
    <t>5SSB</t>
  </si>
  <si>
    <t>Z6567</t>
  </si>
  <si>
    <t>ZINCk500000doQ8X</t>
  </si>
  <si>
    <t>Z5356306567</t>
  </si>
  <si>
    <t>C13H13F3N6O5</t>
  </si>
  <si>
    <t>CNC=1C=NC(=CN1)C(=O)N2CC(C2)C3=NOC(O)=N3.OC(=O)C(F)(F)F</t>
  </si>
  <si>
    <t>5SSC</t>
  </si>
  <si>
    <t>Z1366</t>
  </si>
  <si>
    <t>ZINCki00000h8wdv</t>
  </si>
  <si>
    <t>Z4479171366</t>
  </si>
  <si>
    <t>C13H11ClF3N5O4S</t>
  </si>
  <si>
    <t>NC=1C=CC(C(=O)N2CC(C2)C3=NN=C(S)O3)=C(Cl)N1.OC(=O)C(F)(F)F</t>
  </si>
  <si>
    <t>Z3092</t>
  </si>
  <si>
    <t>ZINCl500000cc1yU</t>
  </si>
  <si>
    <t>Z5398393092</t>
  </si>
  <si>
    <t>C13H15F3N6O5S</t>
  </si>
  <si>
    <t>CNC1=NN=C(CC(=O)N2CCC(C2)C3=NOC(=O)N3)S1.OC(=O)C(F)(F)F</t>
  </si>
  <si>
    <t>Z6744</t>
  </si>
  <si>
    <t>ZINCm4000007vvRA</t>
  </si>
  <si>
    <t>Z5356306744</t>
  </si>
  <si>
    <t>C13H14N5NaO4</t>
  </si>
  <si>
    <t>[Na+].CN1C=CN2C(CCNC(=O)[C@@H]3C[C@@H]3C(=O)[O-])=NN=C2C1=O |&amp;1:12,14,r|</t>
  </si>
  <si>
    <t>sodium(1+) ion</t>
  </si>
  <si>
    <t>5SSD</t>
  </si>
  <si>
    <t>Z3124</t>
  </si>
  <si>
    <t>ZINCoD000001aHBe</t>
  </si>
  <si>
    <t>Z5398393124</t>
  </si>
  <si>
    <t>C17H14N4O3</t>
  </si>
  <si>
    <t>CC=1OC(CNC=2N=CN=C3NC=4C=CC=CC4C23)=CC1C(=O)O</t>
  </si>
  <si>
    <t>5SSE</t>
  </si>
  <si>
    <t>Z6574</t>
  </si>
  <si>
    <t>ZINCnr000000sxeA</t>
  </si>
  <si>
    <t>Z5356306574</t>
  </si>
  <si>
    <t>C16H14N4O3</t>
  </si>
  <si>
    <t>C[C@@H](NC(=O)C=1N=CN=C2NC=CC12)C=3C=CC(=CC3)C(=O)O</t>
  </si>
  <si>
    <t>Z6708</t>
  </si>
  <si>
    <t>ZINCmr000000sTGN</t>
  </si>
  <si>
    <t>Z5356306708</t>
  </si>
  <si>
    <t>C13H10BrN3O4S</t>
  </si>
  <si>
    <t>CC=1OC(=CC1S(=O)(=O)NC=2C=CC(Br)=C(C#N)C2)C(=O)N</t>
  </si>
  <si>
    <t>5SSF</t>
  </si>
  <si>
    <t>Z6624</t>
  </si>
  <si>
    <t>ZINCoA000000wF7m</t>
  </si>
  <si>
    <t>Z5356306624</t>
  </si>
  <si>
    <t>C18H13FN2O3</t>
  </si>
  <si>
    <t>OC(=O)C=1C=CC=C(CNC(=O)C=2C=NC=C3C=CC(F)=CC23)C1</t>
  </si>
  <si>
    <t>Z4747</t>
  </si>
  <si>
    <t>ZINCkE000002j65B</t>
  </si>
  <si>
    <t>Z1324904747</t>
  </si>
  <si>
    <t>C12H10N4OS3</t>
  </si>
  <si>
    <t>SC1=NN=C(SCC(=O)NC=2C=CC=3NC=CC3C2)S1</t>
  </si>
  <si>
    <t>Z6865</t>
  </si>
  <si>
    <t>ZINCou0000048aka</t>
  </si>
  <si>
    <t>Z4322636865</t>
  </si>
  <si>
    <t>C18H16N2O4</t>
  </si>
  <si>
    <t>OC(=O)C=1C=CC=C(CNC(=O)C=2C=CC(NC(=O)C=C)=CC2)C1</t>
  </si>
  <si>
    <t>Z1877</t>
  </si>
  <si>
    <t>ZINCpv000006Li5M</t>
  </si>
  <si>
    <t>Z4574881877</t>
  </si>
  <si>
    <t>C18H19NO6</t>
  </si>
  <si>
    <t>CC(CC1=CC=CO1)C(=O)N[C@@H](CC(=O)O)C=2C=CC=3OCOC3C2</t>
  </si>
  <si>
    <t>5SSG</t>
  </si>
  <si>
    <t>Z6734</t>
  </si>
  <si>
    <t>ZINCoi00000lafby</t>
  </si>
  <si>
    <t>Z5356306734</t>
  </si>
  <si>
    <t>C16H13N5O3</t>
  </si>
  <si>
    <t>OC(=O)C1=CN(N=N1)C2CN(C2)C(=O)C=3C=CN=C4C=CC=CC34</t>
  </si>
  <si>
    <t>Z2241</t>
  </si>
  <si>
    <t>ZINCpr000005upXv</t>
  </si>
  <si>
    <t>Z4577012241</t>
  </si>
  <si>
    <t>C18H23FN2O4</t>
  </si>
  <si>
    <t>CC(C(=O)N1CC(CC(=O)O)CC21CCOCC2)C=3C=NC=C(F)C3</t>
  </si>
  <si>
    <t>Z6615</t>
  </si>
  <si>
    <t>ZINCoo00000jadYf</t>
  </si>
  <si>
    <t>Z5356306615</t>
  </si>
  <si>
    <t>C15H14ClN7O</t>
  </si>
  <si>
    <t>CNC=1C=CC(C(=O)NCC=2C=CN=C(C2)C=3N=NNN3)=C(Cl)C1</t>
  </si>
  <si>
    <t>Z2579</t>
  </si>
  <si>
    <t>ZINCle00000j67V7</t>
  </si>
  <si>
    <t>Z4490842579</t>
  </si>
  <si>
    <t>C14H14N4O3</t>
  </si>
  <si>
    <t>OC=1C=C(ON1)C2CN(C2)C(=O)C=3N=CN=C4CCCC43</t>
  </si>
  <si>
    <t>Z6617</t>
  </si>
  <si>
    <t>ZINClc00000cd9jR</t>
  </si>
  <si>
    <t>Z5356306617</t>
  </si>
  <si>
    <t>C12H13N5O3S</t>
  </si>
  <si>
    <t>CNC1=NC=C(S1)C(=O)NCCC=2N=CC=C(N2)C(=O)O</t>
  </si>
  <si>
    <t>Z3213</t>
  </si>
  <si>
    <t>ZINCpA000006Bvd9</t>
  </si>
  <si>
    <t>Z5398393213</t>
  </si>
  <si>
    <t>C18H22BrN3O3</t>
  </si>
  <si>
    <t>OC(=O)C(CCC=1C=NNC1)NC(=O)CCCCC=2C=CC(Br)=CC2</t>
  </si>
  <si>
    <t>Z1364</t>
  </si>
  <si>
    <t>ZINCpw000006LZfs</t>
  </si>
  <si>
    <t>Z4322261364</t>
  </si>
  <si>
    <t>C17H15F3N2O3</t>
  </si>
  <si>
    <t>CC=1C=NC=C(C1)C(=O)NC(CC(=O)O)CC=2C=C(F)C(F)=CC2F</t>
  </si>
  <si>
    <t>Z6264</t>
  </si>
  <si>
    <t>ZINCpq000005tTDa</t>
  </si>
  <si>
    <t>Z4577416264</t>
  </si>
  <si>
    <t>C16H14F3N3O3</t>
  </si>
  <si>
    <t>CC=1C=C(C=NN1)C(=O)N[C@@H](CC(=O)O)CC=2C=C(F)C(F)=CC2F</t>
  </si>
  <si>
    <t>Z6752</t>
  </si>
  <si>
    <t>ZINCk800000gtUJz</t>
  </si>
  <si>
    <t>Z5356306752</t>
  </si>
  <si>
    <t>C13H13ClF3N7O3</t>
  </si>
  <si>
    <t>CC1(CN(C1)C(=O)C=2C=CC(N)=NC2Cl)C=3N=NNN3.OC(=O)C(F)(F)F</t>
  </si>
  <si>
    <t>Z3202</t>
  </si>
  <si>
    <t>ZINCoi0000096SSZ</t>
  </si>
  <si>
    <t>Z5398393202</t>
  </si>
  <si>
    <t>C18H33N3O3</t>
  </si>
  <si>
    <t>CCN(CC)CCC(=O)N(C)CCNC(=O)[C@@]1(C)C[C@H]2CC[C@@H]1O2 |&amp;1:16,19,22,r|</t>
  </si>
  <si>
    <t>Z5736</t>
  </si>
  <si>
    <t>ZINCor000004B4bn</t>
  </si>
  <si>
    <t>Z5405525736</t>
  </si>
  <si>
    <t>C18H17N3O3</t>
  </si>
  <si>
    <t>CN(C(=O)CC=1C=NC=C(C#N)C1)C=2C=CC=C(CCC(=O)O)C2</t>
  </si>
  <si>
    <t>Z3140</t>
  </si>
  <si>
    <t>ZINCpx000006Mh4L</t>
  </si>
  <si>
    <t>Z5398393140</t>
  </si>
  <si>
    <t>C16H14BrF2N3O3</t>
  </si>
  <si>
    <t>CC(F)(F)C=1C=NC=C(C1)C(=O)NC(CC=2C=NC=C(Br)C2)C(=O)O</t>
  </si>
  <si>
    <t>5SSH</t>
  </si>
  <si>
    <t>Z6689</t>
  </si>
  <si>
    <t>ZINCn500000bifGU</t>
  </si>
  <si>
    <t>Z5356306689</t>
  </si>
  <si>
    <t>C14H15N5O4</t>
  </si>
  <si>
    <t>CN1N=CC=2C(=O)NC(CCC(=O)N3CC=C(C3)C(=O)O)=NC12</t>
  </si>
  <si>
    <t>5SSI</t>
  </si>
  <si>
    <t>Z5740</t>
  </si>
  <si>
    <t>ZINCno00000broQT</t>
  </si>
  <si>
    <t>Z5405525740</t>
  </si>
  <si>
    <t>C14H11FN4O3S</t>
  </si>
  <si>
    <t>OC(=O)C1=CSC(CCNC(=O)C=2C=C3NC=NC3=CC2F)=N1</t>
  </si>
  <si>
    <t>5SSJ</t>
  </si>
  <si>
    <t>Z6645</t>
  </si>
  <si>
    <t>ZINCkk00000cjQyM</t>
  </si>
  <si>
    <t>Z5356306645</t>
  </si>
  <si>
    <t>OC(=O)C1CC(NC(=O)C=2N=CN=C3SC=CC23)C=C1</t>
  </si>
  <si>
    <t>5SSK</t>
  </si>
  <si>
    <t>Z6604</t>
  </si>
  <si>
    <t>ZINCmd00000aFU43</t>
  </si>
  <si>
    <t>Z5356306604</t>
  </si>
  <si>
    <t>C13H14ClN5O3</t>
  </si>
  <si>
    <t>CC(CNC(=O)C1=CNN=N1)NC(=O)C=2C=CC(Cl)=C(O)C2</t>
  </si>
  <si>
    <t>Z6641</t>
  </si>
  <si>
    <t>ZINCok00000e1mjP</t>
  </si>
  <si>
    <t>Z5356306641</t>
  </si>
  <si>
    <t>C16H26N4O3S</t>
  </si>
  <si>
    <t>CCOC(C1CCC1)C(=O)N[C@@H](C)CNC(=O)C=2C(C)=NSC2N</t>
  </si>
  <si>
    <t>Z6742</t>
  </si>
  <si>
    <t>ZINCoj00000doMWF</t>
  </si>
  <si>
    <t>Z5356306742</t>
  </si>
  <si>
    <t>C15H14N6O2S</t>
  </si>
  <si>
    <t>CN1N=CC=2N=CN=C(NS(=O)(=O)CC=3C=CC(CC#N)=CC3)C12</t>
  </si>
  <si>
    <t>5SSL</t>
  </si>
  <si>
    <t>NT: Not Tested</t>
  </si>
  <si>
    <t>* Compounds are considered true it if they showed binding in crystallographic soaking or the HTRF-based binding assay</t>
  </si>
  <si>
    <t>** Hungarian Root Mean Square Devations between docked and experimentally solved binding poses of molecules were calcualted using DOCK6.</t>
  </si>
  <si>
    <t>*** Ki estimation from HTRF-derived IC50. ITC measurment of ADPr-conjugated peptide used for HTRF yields Kd of 2.68µM. 
 According to the Cheng-Prusoff approximation and a peptide concentration of 400nM, Ki = IC50/(1+(0.4/2.68))</t>
  </si>
  <si>
    <t>**** Compounds are considered hits in DSF if a statistically significant (p &lt; 0.05) thermal upshift of at least 0.5˚C was achieved.</t>
  </si>
  <si>
    <t>Discovery strategy</t>
  </si>
  <si>
    <t># purchased compounds</t>
  </si>
  <si>
    <t># synthesized compounds</t>
  </si>
  <si>
    <t># binders in X-ray</t>
  </si>
  <si>
    <t># binders in DSF</t>
  </si>
  <si>
    <t># binders in HTRF</t>
  </si>
  <si>
    <t># IC50 &lt; 50 µM (HTRF)</t>
  </si>
  <si>
    <t># IC50 &lt; 10 µM (HTRF)</t>
  </si>
  <si>
    <t># IC50 &lt; 1 µM (HTRF)</t>
  </si>
  <si>
    <t>1st docking screen</t>
  </si>
  <si>
    <t>2nd docking screen</t>
  </si>
  <si>
    <t>Everted loop docking</t>
  </si>
  <si>
    <t>Docking hit analogs (LL1)</t>
  </si>
  <si>
    <t>LL1 analogs</t>
  </si>
  <si>
    <t>Fragmenstein</t>
  </si>
  <si>
    <t>Merger Z8539 stereoisomers</t>
  </si>
  <si>
    <t>Merger Z8539 analogs</t>
  </si>
  <si>
    <t>8*</t>
  </si>
  <si>
    <t>Neutral probe set</t>
  </si>
  <si>
    <t>TOTAL</t>
  </si>
  <si>
    <t>-</t>
  </si>
  <si>
    <t>* Only 18/27 obtained Z8539 analogs were tested in DSF</t>
  </si>
  <si>
    <t>NT: Not tested</t>
  </si>
  <si>
    <t>Z4718398507</t>
  </si>
  <si>
    <t>Z8507</t>
  </si>
  <si>
    <t>C17H15NO5</t>
  </si>
  <si>
    <t>313.3047</t>
  </si>
  <si>
    <t>NC=1C=CC(C(=O)OC2C(CC=3C=CC=CC23)C(=O)O)=C(O)C1</t>
  </si>
  <si>
    <t>8ERS</t>
  </si>
  <si>
    <t>Original Fragmenstein merger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</si>
</sst>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8" xfId="0" applyFont="1" applyBorder="1"/>
    <xf numFmtId="11" fontId="4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4" fillId="0" borderId="5" xfId="0" applyFont="1" applyBorder="1"/>
    <xf numFmtId="11" fontId="4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" xfId="0" applyFont="1" applyBorder="1"/>
    <xf numFmtId="0" fontId="12" fillId="0" borderId="1" xfId="0" applyFont="1" applyBorder="1"/>
    <xf numFmtId="2" fontId="8" fillId="0" borderId="6" xfId="0" applyNumberFormat="1" applyFont="1" applyBorder="1" applyAlignment="1">
      <alignment horizontal="center"/>
    </xf>
    <xf numFmtId="2" fontId="8" fillId="0" borderId="9" xfId="0" applyNumberFormat="1" applyFont="1" applyBorder="1"/>
    <xf numFmtId="2" fontId="8" fillId="0" borderId="1" xfId="0" applyNumberFormat="1" applyFont="1" applyBorder="1"/>
    <xf numFmtId="0" fontId="4" fillId="0" borderId="0" xfId="0" applyFont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2" xfId="0" applyFont="1" applyBorder="1"/>
    <xf numFmtId="0" fontId="13" fillId="0" borderId="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 textRotation="90" wrapText="1"/>
    </xf>
    <xf numFmtId="0" fontId="9" fillId="0" borderId="7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7" xfId="0" applyFont="1" applyBorder="1" applyAlignment="1">
      <alignment horizontal="center" vertical="center" textRotation="90" wrapText="1"/>
    </xf>
    <xf numFmtId="0" fontId="16" fillId="0" borderId="0" xfId="0" applyFont="1"/>
    <xf numFmtId="0" fontId="15" fillId="0" borderId="11" xfId="0" applyFont="1" applyBorder="1" applyAlignment="1">
      <alignment horizontal="left"/>
    </xf>
    <xf numFmtId="0" fontId="15" fillId="0" borderId="11" xfId="0" applyFont="1" applyBorder="1" applyAlignment="1">
      <alignment horizontal="center" wrapText="1"/>
    </xf>
    <xf numFmtId="0" fontId="15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17" fillId="0" borderId="7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8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textRotation="90" wrapText="1"/>
    </xf>
    <xf numFmtId="0" fontId="9" fillId="0" borderId="14" xfId="0" applyFont="1" applyBorder="1" applyAlignment="1">
      <alignment wrapText="1"/>
    </xf>
    <xf numFmtId="0" fontId="4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/>
    <xf numFmtId="0" fontId="4" fillId="0" borderId="16" xfId="0" applyFont="1" applyBorder="1" applyAlignment="1">
      <alignment horizontal="right"/>
    </xf>
    <xf numFmtId="0" fontId="11" fillId="0" borderId="15" xfId="0" applyFont="1" applyBorder="1" applyAlignment="1">
      <alignment horizontal="center"/>
    </xf>
    <xf numFmtId="2" fontId="8" fillId="0" borderId="15" xfId="0" applyNumberFormat="1" applyFont="1" applyBorder="1"/>
    <xf numFmtId="0" fontId="4" fillId="0" borderId="1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topLeftCell="A282" zoomScale="75" zoomScaleNormal="74" workbookViewId="0">
      <selection activeCell="E311" sqref="E311"/>
    </sheetView>
  </sheetViews>
  <sheetFormatPr baseColWidth="10" defaultColWidth="12.6640625" defaultRowHeight="15.75" customHeight="1" x14ac:dyDescent="0.15"/>
  <cols>
    <col min="1" max="1" width="16.33203125" customWidth="1"/>
    <col min="2" max="2" width="10.33203125" customWidth="1"/>
    <col min="4" max="4" width="19.83203125" customWidth="1"/>
    <col min="5" max="5" width="21.6640625" customWidth="1"/>
    <col min="6" max="6" width="19.6640625" customWidth="1"/>
    <col min="8" max="8" width="15.33203125" customWidth="1"/>
    <col min="9" max="9" width="98.33203125" customWidth="1"/>
    <col min="10" max="10" width="56.33203125" customWidth="1"/>
    <col min="11" max="11" width="20.83203125" customWidth="1"/>
    <col min="20" max="20" width="16.33203125" customWidth="1"/>
    <col min="21" max="21" width="17.83203125" customWidth="1"/>
    <col min="22" max="22" width="15.1640625" customWidth="1"/>
    <col min="24" max="24" width="15.1640625" customWidth="1"/>
    <col min="25" max="25" width="16.33203125" customWidth="1"/>
    <col min="28" max="28" width="16.33203125" customWidth="1"/>
  </cols>
  <sheetData>
    <row r="1" spans="1:28" s="47" customFormat="1" ht="60" customHeight="1" x14ac:dyDescent="0.15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4" t="s">
        <v>23</v>
      </c>
      <c r="Y1" s="42" t="s">
        <v>24</v>
      </c>
      <c r="Z1" s="45" t="s">
        <v>25</v>
      </c>
      <c r="AA1" s="46" t="s">
        <v>26</v>
      </c>
      <c r="AB1" s="46" t="s">
        <v>27</v>
      </c>
    </row>
    <row r="2" spans="1:28" ht="17" thickBot="1" x14ac:dyDescent="0.25">
      <c r="A2" s="1"/>
      <c r="B2" s="2"/>
      <c r="C2" s="2" t="s">
        <v>28</v>
      </c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29</v>
      </c>
      <c r="O2" s="2" t="s">
        <v>29</v>
      </c>
      <c r="P2" s="2"/>
      <c r="Q2" s="2"/>
      <c r="R2" s="2"/>
      <c r="S2" s="2" t="s">
        <v>29</v>
      </c>
      <c r="T2" s="3" t="s">
        <v>30</v>
      </c>
      <c r="U2" s="2" t="s">
        <v>31</v>
      </c>
      <c r="V2" s="2" t="s">
        <v>32</v>
      </c>
      <c r="W2" s="2"/>
      <c r="X2" s="2"/>
      <c r="Y2" s="2"/>
      <c r="Z2" s="4"/>
      <c r="AA2" s="5"/>
      <c r="AB2" s="5"/>
    </row>
    <row r="3" spans="1:28" ht="16" x14ac:dyDescent="0.2">
      <c r="A3" s="48" t="s">
        <v>33</v>
      </c>
      <c r="B3" s="6">
        <v>1</v>
      </c>
      <c r="C3" s="6" t="s">
        <v>34</v>
      </c>
      <c r="D3" s="7" t="s">
        <v>35</v>
      </c>
      <c r="E3" s="7" t="s">
        <v>35</v>
      </c>
      <c r="F3" s="7" t="s">
        <v>36</v>
      </c>
      <c r="G3" s="7">
        <v>312.33999999999997</v>
      </c>
      <c r="H3" s="7">
        <v>100</v>
      </c>
      <c r="I3" s="7" t="s">
        <v>37</v>
      </c>
      <c r="J3" s="7" t="s">
        <v>38</v>
      </c>
      <c r="K3" s="8"/>
      <c r="L3" s="8"/>
      <c r="M3" s="8"/>
      <c r="N3" s="6"/>
      <c r="O3" s="6"/>
      <c r="P3" s="6"/>
      <c r="Q3" s="6"/>
      <c r="R3" s="6"/>
      <c r="S3" s="6"/>
      <c r="T3" s="8"/>
      <c r="U3" s="8"/>
      <c r="V3" s="8"/>
      <c r="W3" s="6" t="str">
        <f t="shared" ref="W3:W60" si="0">IF(AND(X3&lt;0.05,Y3&gt;0.5), "Y", "")</f>
        <v/>
      </c>
      <c r="X3" s="9">
        <v>0.73</v>
      </c>
      <c r="Y3" s="6">
        <v>0.16</v>
      </c>
      <c r="Z3" s="10">
        <v>-41.89</v>
      </c>
      <c r="AA3" s="11"/>
      <c r="AB3" s="11"/>
    </row>
    <row r="4" spans="1:28" ht="16" x14ac:dyDescent="0.2">
      <c r="A4" s="49"/>
      <c r="B4" s="6">
        <v>2</v>
      </c>
      <c r="C4" s="6" t="s">
        <v>39</v>
      </c>
      <c r="D4" s="7" t="s">
        <v>40</v>
      </c>
      <c r="E4" s="7" t="s">
        <v>40</v>
      </c>
      <c r="F4" s="7" t="s">
        <v>41</v>
      </c>
      <c r="G4" s="7">
        <v>269.3</v>
      </c>
      <c r="H4" s="7">
        <v>100</v>
      </c>
      <c r="I4" s="7" t="s">
        <v>42</v>
      </c>
      <c r="J4" s="7" t="s">
        <v>43</v>
      </c>
      <c r="K4" s="8"/>
      <c r="L4" s="8"/>
      <c r="M4" s="8"/>
      <c r="N4" s="6"/>
      <c r="O4" s="6"/>
      <c r="P4" s="6"/>
      <c r="Q4" s="6"/>
      <c r="R4" s="6"/>
      <c r="S4" s="6"/>
      <c r="T4" s="8"/>
      <c r="U4" s="8"/>
      <c r="V4" s="8"/>
      <c r="W4" s="6" t="str">
        <f t="shared" si="0"/>
        <v>Y</v>
      </c>
      <c r="X4" s="9">
        <v>2.7000000000000001E-7</v>
      </c>
      <c r="Y4" s="6">
        <v>1.01</v>
      </c>
      <c r="Z4" s="12">
        <v>-39.19</v>
      </c>
      <c r="AA4" s="13"/>
      <c r="AB4" s="13"/>
    </row>
    <row r="5" spans="1:28" ht="16" x14ac:dyDescent="0.2">
      <c r="A5" s="49"/>
      <c r="B5" s="6">
        <v>3</v>
      </c>
      <c r="C5" s="6" t="s">
        <v>44</v>
      </c>
      <c r="D5" s="7" t="s">
        <v>45</v>
      </c>
      <c r="E5" s="7" t="s">
        <v>45</v>
      </c>
      <c r="F5" s="7" t="s">
        <v>46</v>
      </c>
      <c r="G5" s="7">
        <v>274.31</v>
      </c>
      <c r="H5" s="7">
        <v>100</v>
      </c>
      <c r="I5" s="7" t="s">
        <v>47</v>
      </c>
      <c r="J5" s="7" t="s">
        <v>43</v>
      </c>
      <c r="K5" s="8"/>
      <c r="L5" s="8"/>
      <c r="M5" s="8"/>
      <c r="N5" s="6" t="s">
        <v>29</v>
      </c>
      <c r="O5" s="6" t="s">
        <v>29</v>
      </c>
      <c r="P5" s="6" t="s">
        <v>48</v>
      </c>
      <c r="Q5" s="6">
        <v>1.05</v>
      </c>
      <c r="R5" s="6">
        <v>1.45</v>
      </c>
      <c r="S5" s="6" t="s">
        <v>29</v>
      </c>
      <c r="T5" s="14">
        <v>504.4</v>
      </c>
      <c r="U5" s="14">
        <v>25</v>
      </c>
      <c r="V5" s="14">
        <v>438.9</v>
      </c>
      <c r="W5" s="6" t="str">
        <f t="shared" si="0"/>
        <v/>
      </c>
      <c r="X5" s="9">
        <v>0.12</v>
      </c>
      <c r="Y5" s="6">
        <v>0.65</v>
      </c>
      <c r="Z5" s="12">
        <v>-42.78</v>
      </c>
      <c r="AA5" s="13"/>
      <c r="AB5" s="13"/>
    </row>
    <row r="6" spans="1:28" ht="16" x14ac:dyDescent="0.2">
      <c r="A6" s="49"/>
      <c r="B6" s="6">
        <v>4</v>
      </c>
      <c r="C6" s="6" t="s">
        <v>49</v>
      </c>
      <c r="D6" s="7" t="s">
        <v>50</v>
      </c>
      <c r="E6" s="7" t="s">
        <v>51</v>
      </c>
      <c r="F6" s="7" t="s">
        <v>52</v>
      </c>
      <c r="G6" s="7">
        <v>344.43099999999998</v>
      </c>
      <c r="H6" s="7">
        <v>100</v>
      </c>
      <c r="I6" s="7" t="s">
        <v>53</v>
      </c>
      <c r="J6" s="7" t="s">
        <v>43</v>
      </c>
      <c r="K6" s="8"/>
      <c r="L6" s="8"/>
      <c r="M6" s="8"/>
      <c r="N6" s="6"/>
      <c r="O6" s="6"/>
      <c r="P6" s="6"/>
      <c r="Q6" s="6"/>
      <c r="R6" s="6"/>
      <c r="S6" s="6"/>
      <c r="T6" s="8"/>
      <c r="U6" s="8"/>
      <c r="V6" s="8"/>
      <c r="W6" s="6" t="str">
        <f t="shared" si="0"/>
        <v/>
      </c>
      <c r="X6" s="9">
        <v>8.1000000000000003E-2</v>
      </c>
      <c r="Y6" s="6">
        <v>0.24</v>
      </c>
      <c r="Z6" s="12">
        <v>-40.840000000000003</v>
      </c>
      <c r="AA6" s="13"/>
      <c r="AB6" s="13"/>
    </row>
    <row r="7" spans="1:28" ht="16" x14ac:dyDescent="0.2">
      <c r="A7" s="49"/>
      <c r="B7" s="6">
        <v>5</v>
      </c>
      <c r="C7" s="6" t="s">
        <v>54</v>
      </c>
      <c r="D7" s="7" t="s">
        <v>55</v>
      </c>
      <c r="E7" s="7" t="s">
        <v>56</v>
      </c>
      <c r="F7" s="7" t="s">
        <v>57</v>
      </c>
      <c r="G7" s="7">
        <v>262.26400000000001</v>
      </c>
      <c r="H7" s="7">
        <v>100</v>
      </c>
      <c r="I7" s="7" t="s">
        <v>58</v>
      </c>
      <c r="J7" s="7" t="s">
        <v>43</v>
      </c>
      <c r="K7" s="8"/>
      <c r="L7" s="8"/>
      <c r="M7" s="8"/>
      <c r="N7" s="6" t="s">
        <v>29</v>
      </c>
      <c r="O7" s="6" t="s">
        <v>29</v>
      </c>
      <c r="P7" s="6" t="s">
        <v>59</v>
      </c>
      <c r="Q7" s="6">
        <v>0.97</v>
      </c>
      <c r="R7" s="6">
        <v>2.98</v>
      </c>
      <c r="S7" s="6" t="s">
        <v>29</v>
      </c>
      <c r="T7" s="14">
        <v>226.6</v>
      </c>
      <c r="U7" s="14">
        <v>3.7</v>
      </c>
      <c r="V7" s="14">
        <v>197.2</v>
      </c>
      <c r="W7" s="6" t="str">
        <f t="shared" si="0"/>
        <v>Y</v>
      </c>
      <c r="X7" s="9">
        <v>1.1000000000000001E-3</v>
      </c>
      <c r="Y7" s="6">
        <v>0.66</v>
      </c>
      <c r="Z7" s="12">
        <v>-37.92</v>
      </c>
      <c r="AA7" s="13"/>
      <c r="AB7" s="13"/>
    </row>
    <row r="8" spans="1:28" ht="16" x14ac:dyDescent="0.2">
      <c r="A8" s="49"/>
      <c r="B8" s="6">
        <v>6</v>
      </c>
      <c r="C8" s="6" t="s">
        <v>60</v>
      </c>
      <c r="D8" s="7" t="s">
        <v>61</v>
      </c>
      <c r="E8" s="7" t="s">
        <v>62</v>
      </c>
      <c r="F8" s="7" t="s">
        <v>63</v>
      </c>
      <c r="G8" s="7">
        <v>313.334</v>
      </c>
      <c r="H8" s="7">
        <v>100</v>
      </c>
      <c r="I8" s="7" t="s">
        <v>64</v>
      </c>
      <c r="J8" s="7" t="s">
        <v>38</v>
      </c>
      <c r="K8" s="8"/>
      <c r="L8" s="8"/>
      <c r="M8" s="8"/>
      <c r="N8" s="6"/>
      <c r="O8" s="6"/>
      <c r="P8" s="6"/>
      <c r="Q8" s="6"/>
      <c r="R8" s="6"/>
      <c r="S8" s="6"/>
      <c r="T8" s="8"/>
      <c r="U8" s="8"/>
      <c r="V8" s="8"/>
      <c r="W8" s="6" t="str">
        <f t="shared" si="0"/>
        <v>Y</v>
      </c>
      <c r="X8" s="9">
        <v>2.3E-3</v>
      </c>
      <c r="Y8" s="6">
        <v>0.68</v>
      </c>
      <c r="Z8" s="12">
        <v>-39.299999999999997</v>
      </c>
      <c r="AA8" s="13"/>
      <c r="AB8" s="13"/>
    </row>
    <row r="9" spans="1:28" ht="16" x14ac:dyDescent="0.2">
      <c r="A9" s="49"/>
      <c r="B9" s="6">
        <v>7</v>
      </c>
      <c r="C9" s="6" t="s">
        <v>65</v>
      </c>
      <c r="D9" s="7" t="s">
        <v>66</v>
      </c>
      <c r="E9" s="7" t="s">
        <v>67</v>
      </c>
      <c r="F9" s="7" t="s">
        <v>68</v>
      </c>
      <c r="G9" s="7">
        <v>285.31200000000001</v>
      </c>
      <c r="H9" s="7">
        <v>100</v>
      </c>
      <c r="I9" s="7" t="s">
        <v>69</v>
      </c>
      <c r="J9" s="7" t="s">
        <v>43</v>
      </c>
      <c r="K9" s="8"/>
      <c r="L9" s="8"/>
      <c r="M9" s="8"/>
      <c r="N9" s="6"/>
      <c r="O9" s="6"/>
      <c r="P9" s="6"/>
      <c r="Q9" s="6"/>
      <c r="R9" s="6"/>
      <c r="S9" s="6"/>
      <c r="T9" s="8"/>
      <c r="U9" s="8"/>
      <c r="V9" s="8"/>
      <c r="W9" s="6" t="str">
        <f t="shared" si="0"/>
        <v/>
      </c>
      <c r="X9" s="9">
        <v>1.1E-12</v>
      </c>
      <c r="Y9" s="6">
        <v>0</v>
      </c>
      <c r="Z9" s="12">
        <v>-41.52</v>
      </c>
      <c r="AA9" s="13"/>
      <c r="AB9" s="13"/>
    </row>
    <row r="10" spans="1:28" ht="16" x14ac:dyDescent="0.2">
      <c r="A10" s="49"/>
      <c r="B10" s="6">
        <v>8</v>
      </c>
      <c r="C10" s="6" t="s">
        <v>70</v>
      </c>
      <c r="D10" s="7" t="s">
        <v>71</v>
      </c>
      <c r="E10" s="7" t="s">
        <v>72</v>
      </c>
      <c r="F10" s="7" t="s">
        <v>73</v>
      </c>
      <c r="G10" s="7">
        <v>304.30200000000002</v>
      </c>
      <c r="H10" s="7">
        <v>96</v>
      </c>
      <c r="I10" s="7" t="s">
        <v>74</v>
      </c>
      <c r="J10" s="7" t="s">
        <v>38</v>
      </c>
      <c r="K10" s="8"/>
      <c r="L10" s="8"/>
      <c r="M10" s="8"/>
      <c r="N10" s="6"/>
      <c r="O10" s="6"/>
      <c r="P10" s="6"/>
      <c r="Q10" s="6"/>
      <c r="R10" s="6"/>
      <c r="S10" s="6"/>
      <c r="T10" s="8"/>
      <c r="U10" s="8"/>
      <c r="V10" s="8"/>
      <c r="W10" s="6" t="str">
        <f t="shared" si="0"/>
        <v/>
      </c>
      <c r="X10" s="9">
        <v>1.4E-3</v>
      </c>
      <c r="Y10" s="6">
        <v>0.18</v>
      </c>
      <c r="Z10" s="12">
        <v>-41.43</v>
      </c>
      <c r="AA10" s="13"/>
      <c r="AB10" s="13"/>
    </row>
    <row r="11" spans="1:28" ht="16" x14ac:dyDescent="0.2">
      <c r="A11" s="49"/>
      <c r="B11" s="6">
        <v>9</v>
      </c>
      <c r="C11" s="6" t="s">
        <v>75</v>
      </c>
      <c r="D11" s="7" t="s">
        <v>76</v>
      </c>
      <c r="E11" s="7" t="s">
        <v>77</v>
      </c>
      <c r="F11" s="7" t="s">
        <v>78</v>
      </c>
      <c r="G11" s="7">
        <v>276.33499999999998</v>
      </c>
      <c r="H11" s="7">
        <v>100</v>
      </c>
      <c r="I11" s="7" t="s">
        <v>79</v>
      </c>
      <c r="J11" s="7" t="s">
        <v>38</v>
      </c>
      <c r="K11" s="8"/>
      <c r="L11" s="8"/>
      <c r="M11" s="8"/>
      <c r="N11" s="6"/>
      <c r="O11" s="6"/>
      <c r="P11" s="6"/>
      <c r="Q11" s="6"/>
      <c r="R11" s="6"/>
      <c r="S11" s="6"/>
      <c r="T11" s="8"/>
      <c r="U11" s="8"/>
      <c r="V11" s="8"/>
      <c r="W11" s="6" t="str">
        <f t="shared" si="0"/>
        <v>Y</v>
      </c>
      <c r="X11" s="9">
        <v>8.5000000000000001E-7</v>
      </c>
      <c r="Y11" s="6">
        <v>0.85</v>
      </c>
      <c r="Z11" s="12">
        <v>-42.71</v>
      </c>
      <c r="AA11" s="13"/>
      <c r="AB11" s="13"/>
    </row>
    <row r="12" spans="1:28" ht="16" x14ac:dyDescent="0.2">
      <c r="A12" s="49"/>
      <c r="B12" s="6">
        <v>10</v>
      </c>
      <c r="C12" s="6" t="s">
        <v>80</v>
      </c>
      <c r="D12" s="7" t="s">
        <v>81</v>
      </c>
      <c r="E12" s="7" t="s">
        <v>82</v>
      </c>
      <c r="F12" s="7" t="s">
        <v>83</v>
      </c>
      <c r="G12" s="7">
        <v>297.34800000000001</v>
      </c>
      <c r="H12" s="7">
        <v>100</v>
      </c>
      <c r="I12" s="7" t="s">
        <v>84</v>
      </c>
      <c r="J12" s="7" t="s">
        <v>85</v>
      </c>
      <c r="K12" s="8"/>
      <c r="L12" s="8"/>
      <c r="M12" s="8"/>
      <c r="N12" s="6"/>
      <c r="O12" s="6"/>
      <c r="P12" s="6"/>
      <c r="Q12" s="6"/>
      <c r="R12" s="6"/>
      <c r="S12" s="6"/>
      <c r="T12" s="8"/>
      <c r="U12" s="8"/>
      <c r="V12" s="8"/>
      <c r="W12" s="6" t="str">
        <f t="shared" si="0"/>
        <v/>
      </c>
      <c r="X12" s="9">
        <v>1.9E-3</v>
      </c>
      <c r="Y12" s="6">
        <v>0.36</v>
      </c>
      <c r="Z12" s="12">
        <v>-39.72</v>
      </c>
      <c r="AA12" s="13"/>
      <c r="AB12" s="13"/>
    </row>
    <row r="13" spans="1:28" ht="16" x14ac:dyDescent="0.2">
      <c r="A13" s="49"/>
      <c r="B13" s="6">
        <v>11</v>
      </c>
      <c r="C13" s="6" t="s">
        <v>86</v>
      </c>
      <c r="D13" s="7" t="s">
        <v>87</v>
      </c>
      <c r="E13" s="7" t="s">
        <v>88</v>
      </c>
      <c r="F13" s="7" t="s">
        <v>89</v>
      </c>
      <c r="G13" s="7">
        <v>332.32900000000001</v>
      </c>
      <c r="H13" s="7">
        <v>100</v>
      </c>
      <c r="I13" s="7" t="s">
        <v>90</v>
      </c>
      <c r="J13" s="7" t="s">
        <v>91</v>
      </c>
      <c r="K13" s="8"/>
      <c r="L13" s="8"/>
      <c r="M13" s="8"/>
      <c r="N13" s="6"/>
      <c r="O13" s="6"/>
      <c r="P13" s="6"/>
      <c r="Q13" s="6"/>
      <c r="R13" s="6"/>
      <c r="S13" s="6"/>
      <c r="T13" s="8"/>
      <c r="U13" s="8"/>
      <c r="V13" s="8"/>
      <c r="W13" s="6" t="str">
        <f t="shared" si="0"/>
        <v/>
      </c>
      <c r="X13" s="9">
        <v>0.17</v>
      </c>
      <c r="Y13" s="6">
        <v>0.15</v>
      </c>
      <c r="Z13" s="12">
        <v>-42.51</v>
      </c>
      <c r="AA13" s="13"/>
      <c r="AB13" s="13"/>
    </row>
    <row r="14" spans="1:28" ht="16" x14ac:dyDescent="0.2">
      <c r="A14" s="49"/>
      <c r="B14" s="6">
        <v>12</v>
      </c>
      <c r="C14" s="6" t="s">
        <v>92</v>
      </c>
      <c r="D14" s="7" t="s">
        <v>93</v>
      </c>
      <c r="E14" s="7" t="s">
        <v>94</v>
      </c>
      <c r="F14" s="7" t="s">
        <v>95</v>
      </c>
      <c r="G14" s="7">
        <v>253.691</v>
      </c>
      <c r="H14" s="7">
        <v>100</v>
      </c>
      <c r="I14" s="7" t="s">
        <v>96</v>
      </c>
      <c r="J14" s="7" t="s">
        <v>38</v>
      </c>
      <c r="K14" s="8"/>
      <c r="L14" s="8"/>
      <c r="M14" s="8"/>
      <c r="N14" s="6"/>
      <c r="O14" s="6"/>
      <c r="P14" s="6"/>
      <c r="Q14" s="6"/>
      <c r="R14" s="6"/>
      <c r="S14" s="6"/>
      <c r="T14" s="8"/>
      <c r="U14" s="8"/>
      <c r="V14" s="8"/>
      <c r="W14" s="6" t="str">
        <f t="shared" si="0"/>
        <v>Y</v>
      </c>
      <c r="X14" s="9">
        <v>1.1000000000000001E-6</v>
      </c>
      <c r="Y14" s="6">
        <v>0.98</v>
      </c>
      <c r="Z14" s="12">
        <v>-42.33</v>
      </c>
      <c r="AA14" s="13"/>
      <c r="AB14" s="13"/>
    </row>
    <row r="15" spans="1:28" ht="16" x14ac:dyDescent="0.2">
      <c r="A15" s="49"/>
      <c r="B15" s="6">
        <v>13</v>
      </c>
      <c r="C15" s="6" t="s">
        <v>97</v>
      </c>
      <c r="D15" s="7" t="s">
        <v>98</v>
      </c>
      <c r="E15" s="7" t="s">
        <v>99</v>
      </c>
      <c r="F15" s="7" t="s">
        <v>100</v>
      </c>
      <c r="G15" s="7">
        <v>275.29899999999998</v>
      </c>
      <c r="H15" s="7">
        <v>100</v>
      </c>
      <c r="I15" s="7" t="s">
        <v>101</v>
      </c>
      <c r="J15" s="7" t="s">
        <v>38</v>
      </c>
      <c r="K15" s="8"/>
      <c r="L15" s="8"/>
      <c r="M15" s="8"/>
      <c r="N15" s="6"/>
      <c r="O15" s="6"/>
      <c r="P15" s="6"/>
      <c r="Q15" s="6"/>
      <c r="R15" s="6"/>
      <c r="S15" s="6"/>
      <c r="T15" s="8"/>
      <c r="U15" s="8"/>
      <c r="V15" s="8"/>
      <c r="W15" s="6" t="str">
        <f t="shared" si="0"/>
        <v/>
      </c>
      <c r="X15" s="9">
        <v>5.1E-8</v>
      </c>
      <c r="Y15" s="6">
        <v>0.06</v>
      </c>
      <c r="Z15" s="12">
        <v>-38.03</v>
      </c>
      <c r="AA15" s="13"/>
      <c r="AB15" s="13"/>
    </row>
    <row r="16" spans="1:28" ht="16" x14ac:dyDescent="0.2">
      <c r="A16" s="49"/>
      <c r="B16" s="6">
        <v>14</v>
      </c>
      <c r="C16" s="6" t="s">
        <v>102</v>
      </c>
      <c r="D16" s="7" t="s">
        <v>103</v>
      </c>
      <c r="E16" s="7" t="s">
        <v>104</v>
      </c>
      <c r="F16" s="7" t="s">
        <v>105</v>
      </c>
      <c r="G16" s="7">
        <v>282.33699999999999</v>
      </c>
      <c r="H16" s="7">
        <v>100</v>
      </c>
      <c r="I16" s="7" t="s">
        <v>106</v>
      </c>
      <c r="J16" s="7" t="s">
        <v>43</v>
      </c>
      <c r="K16" s="8"/>
      <c r="L16" s="8"/>
      <c r="M16" s="8"/>
      <c r="N16" s="6"/>
      <c r="O16" s="6"/>
      <c r="P16" s="6"/>
      <c r="Q16" s="6"/>
      <c r="R16" s="6"/>
      <c r="S16" s="6"/>
      <c r="T16" s="8"/>
      <c r="U16" s="8"/>
      <c r="V16" s="8"/>
      <c r="W16" s="6" t="str">
        <f t="shared" si="0"/>
        <v/>
      </c>
      <c r="X16" s="9">
        <v>0.55000000000000004</v>
      </c>
      <c r="Y16" s="6">
        <v>0.37</v>
      </c>
      <c r="Z16" s="12">
        <v>-43.36</v>
      </c>
      <c r="AA16" s="13"/>
      <c r="AB16" s="13"/>
    </row>
    <row r="17" spans="1:28" ht="16" x14ac:dyDescent="0.2">
      <c r="A17" s="49"/>
      <c r="B17" s="6">
        <v>15</v>
      </c>
      <c r="C17" s="6" t="s">
        <v>107</v>
      </c>
      <c r="D17" s="7" t="s">
        <v>108</v>
      </c>
      <c r="E17" s="7" t="s">
        <v>109</v>
      </c>
      <c r="F17" s="7" t="s">
        <v>110</v>
      </c>
      <c r="G17" s="7">
        <v>265.30599999999998</v>
      </c>
      <c r="H17" s="7">
        <v>100</v>
      </c>
      <c r="I17" s="7" t="s">
        <v>111</v>
      </c>
      <c r="J17" s="7" t="s">
        <v>38</v>
      </c>
      <c r="K17" s="8"/>
      <c r="L17" s="8"/>
      <c r="M17" s="8"/>
      <c r="N17" s="6"/>
      <c r="O17" s="6"/>
      <c r="P17" s="6"/>
      <c r="Q17" s="6"/>
      <c r="R17" s="6"/>
      <c r="S17" s="6"/>
      <c r="T17" s="8"/>
      <c r="U17" s="8"/>
      <c r="V17" s="8"/>
      <c r="W17" s="6" t="str">
        <f t="shared" si="0"/>
        <v>Y</v>
      </c>
      <c r="X17" s="9">
        <v>5.1000000000000004E-3</v>
      </c>
      <c r="Y17" s="6">
        <v>0.71</v>
      </c>
      <c r="Z17" s="12">
        <v>-38.9</v>
      </c>
      <c r="AA17" s="13"/>
      <c r="AB17" s="13"/>
    </row>
    <row r="18" spans="1:28" ht="16" x14ac:dyDescent="0.2">
      <c r="A18" s="49"/>
      <c r="B18" s="6">
        <v>16</v>
      </c>
      <c r="C18" s="6" t="s">
        <v>112</v>
      </c>
      <c r="D18" s="7" t="s">
        <v>113</v>
      </c>
      <c r="E18" s="7" t="s">
        <v>114</v>
      </c>
      <c r="F18" s="7" t="s">
        <v>115</v>
      </c>
      <c r="G18" s="7">
        <v>291.73599999999999</v>
      </c>
      <c r="H18" s="7">
        <v>100</v>
      </c>
      <c r="I18" s="7" t="s">
        <v>116</v>
      </c>
      <c r="J18" s="7" t="s">
        <v>43</v>
      </c>
      <c r="K18" s="8"/>
      <c r="L18" s="8"/>
      <c r="M18" s="8"/>
      <c r="N18" s="6" t="s">
        <v>29</v>
      </c>
      <c r="O18" s="6" t="s">
        <v>29</v>
      </c>
      <c r="P18" s="6" t="s">
        <v>117</v>
      </c>
      <c r="Q18" s="6">
        <v>1.05</v>
      </c>
      <c r="R18" s="6">
        <v>9.08</v>
      </c>
      <c r="S18" s="6"/>
      <c r="T18" s="8"/>
      <c r="U18" s="8"/>
      <c r="V18" s="8"/>
      <c r="W18" s="6" t="str">
        <f t="shared" si="0"/>
        <v/>
      </c>
      <c r="X18" s="9">
        <v>1.9999999999999999E-7</v>
      </c>
      <c r="Y18" s="6">
        <v>0</v>
      </c>
      <c r="Z18" s="12">
        <v>-44.74</v>
      </c>
      <c r="AA18" s="13"/>
      <c r="AB18" s="13"/>
    </row>
    <row r="19" spans="1:28" ht="16" x14ac:dyDescent="0.2">
      <c r="A19" s="49"/>
      <c r="B19" s="6">
        <v>17</v>
      </c>
      <c r="C19" s="6" t="s">
        <v>118</v>
      </c>
      <c r="D19" s="7" t="s">
        <v>119</v>
      </c>
      <c r="E19" s="7" t="s">
        <v>120</v>
      </c>
      <c r="F19" s="7" t="s">
        <v>121</v>
      </c>
      <c r="G19" s="7">
        <v>301.19400000000002</v>
      </c>
      <c r="H19" s="7">
        <v>100</v>
      </c>
      <c r="I19" s="7" t="s">
        <v>122</v>
      </c>
      <c r="J19" s="7" t="s">
        <v>38</v>
      </c>
      <c r="K19" s="8"/>
      <c r="L19" s="8"/>
      <c r="M19" s="8"/>
      <c r="N19" s="6"/>
      <c r="O19" s="6"/>
      <c r="P19" s="6"/>
      <c r="Q19" s="6"/>
      <c r="R19" s="6"/>
      <c r="S19" s="6"/>
      <c r="T19" s="8"/>
      <c r="U19" s="8"/>
      <c r="V19" s="8"/>
      <c r="W19" s="6" t="str">
        <f t="shared" si="0"/>
        <v/>
      </c>
      <c r="X19" s="9">
        <v>1.8E-3</v>
      </c>
      <c r="Y19" s="6">
        <v>0.21</v>
      </c>
      <c r="Z19" s="12">
        <v>-40.380000000000003</v>
      </c>
      <c r="AA19" s="13"/>
      <c r="AB19" s="13"/>
    </row>
    <row r="20" spans="1:28" ht="16" x14ac:dyDescent="0.2">
      <c r="A20" s="49"/>
      <c r="B20" s="6">
        <v>18</v>
      </c>
      <c r="C20" s="6" t="s">
        <v>123</v>
      </c>
      <c r="D20" s="7" t="s">
        <v>124</v>
      </c>
      <c r="E20" s="7" t="s">
        <v>125</v>
      </c>
      <c r="F20" s="7" t="s">
        <v>126</v>
      </c>
      <c r="G20" s="7">
        <v>324.35000000000002</v>
      </c>
      <c r="H20" s="7">
        <v>100</v>
      </c>
      <c r="I20" s="7" t="s">
        <v>127</v>
      </c>
      <c r="J20" s="7" t="s">
        <v>91</v>
      </c>
      <c r="K20" s="8"/>
      <c r="L20" s="8"/>
      <c r="M20" s="8"/>
      <c r="N20" s="6" t="s">
        <v>29</v>
      </c>
      <c r="O20" s="6" t="s">
        <v>29</v>
      </c>
      <c r="P20" s="6" t="s">
        <v>128</v>
      </c>
      <c r="Q20" s="6">
        <v>1.05</v>
      </c>
      <c r="R20" s="6">
        <v>1.91</v>
      </c>
      <c r="S20" s="6" t="s">
        <v>29</v>
      </c>
      <c r="T20" s="14">
        <v>464</v>
      </c>
      <c r="U20" s="14">
        <v>10.1</v>
      </c>
      <c r="V20" s="14">
        <v>403.7</v>
      </c>
      <c r="W20" s="6" t="str">
        <f t="shared" si="0"/>
        <v>Y</v>
      </c>
      <c r="X20" s="9">
        <v>2.2000000000000001E-3</v>
      </c>
      <c r="Y20" s="6">
        <v>0.96</v>
      </c>
      <c r="Z20" s="12">
        <v>-40.92</v>
      </c>
      <c r="AA20" s="13"/>
      <c r="AB20" s="13"/>
    </row>
    <row r="21" spans="1:28" ht="16" x14ac:dyDescent="0.2">
      <c r="A21" s="49"/>
      <c r="B21" s="6">
        <v>19</v>
      </c>
      <c r="C21" s="6" t="s">
        <v>129</v>
      </c>
      <c r="D21" s="7" t="s">
        <v>130</v>
      </c>
      <c r="E21" s="7" t="s">
        <v>131</v>
      </c>
      <c r="F21" s="7" t="s">
        <v>132</v>
      </c>
      <c r="G21" s="7">
        <v>337.29300000000001</v>
      </c>
      <c r="H21" s="7">
        <v>100</v>
      </c>
      <c r="I21" s="7" t="s">
        <v>133</v>
      </c>
      <c r="J21" s="7" t="s">
        <v>43</v>
      </c>
      <c r="K21" s="8"/>
      <c r="L21" s="8"/>
      <c r="M21" s="8"/>
      <c r="N21" s="6"/>
      <c r="O21" s="6"/>
      <c r="P21" s="6"/>
      <c r="Q21" s="6"/>
      <c r="R21" s="6"/>
      <c r="S21" s="6"/>
      <c r="T21" s="8"/>
      <c r="U21" s="8"/>
      <c r="V21" s="8"/>
      <c r="W21" s="6" t="str">
        <f t="shared" si="0"/>
        <v/>
      </c>
      <c r="X21" s="9">
        <v>1.6000000000000001E-8</v>
      </c>
      <c r="Y21" s="6">
        <v>7.0000000000000007E-2</v>
      </c>
      <c r="Z21" s="12">
        <v>-42.86</v>
      </c>
      <c r="AA21" s="13"/>
      <c r="AB21" s="13"/>
    </row>
    <row r="22" spans="1:28" ht="16" x14ac:dyDescent="0.2">
      <c r="A22" s="49"/>
      <c r="B22" s="6">
        <v>20</v>
      </c>
      <c r="C22" s="6" t="s">
        <v>134</v>
      </c>
      <c r="D22" s="7" t="s">
        <v>135</v>
      </c>
      <c r="E22" s="7" t="s">
        <v>136</v>
      </c>
      <c r="F22" s="7" t="s">
        <v>137</v>
      </c>
      <c r="G22" s="7">
        <v>298.31599999999997</v>
      </c>
      <c r="H22" s="7">
        <v>100</v>
      </c>
      <c r="I22" s="7" t="s">
        <v>138</v>
      </c>
      <c r="J22" s="7" t="s">
        <v>38</v>
      </c>
      <c r="K22" s="8"/>
      <c r="L22" s="8"/>
      <c r="M22" s="8"/>
      <c r="N22" s="6"/>
      <c r="O22" s="6"/>
      <c r="P22" s="6"/>
      <c r="Q22" s="6"/>
      <c r="R22" s="6"/>
      <c r="S22" s="6"/>
      <c r="T22" s="8"/>
      <c r="U22" s="8"/>
      <c r="V22" s="8"/>
      <c r="W22" s="6" t="str">
        <f t="shared" si="0"/>
        <v/>
      </c>
      <c r="X22" s="9">
        <v>1.3E-6</v>
      </c>
      <c r="Y22" s="6">
        <v>0.47</v>
      </c>
      <c r="Z22" s="12">
        <v>-39.47</v>
      </c>
      <c r="AA22" s="13"/>
      <c r="AB22" s="13"/>
    </row>
    <row r="23" spans="1:28" ht="16" x14ac:dyDescent="0.2">
      <c r="A23" s="49"/>
      <c r="B23" s="6">
        <v>21</v>
      </c>
      <c r="C23" s="6" t="s">
        <v>139</v>
      </c>
      <c r="D23" s="7" t="s">
        <v>140</v>
      </c>
      <c r="E23" s="7" t="s">
        <v>141</v>
      </c>
      <c r="F23" s="7" t="s">
        <v>142</v>
      </c>
      <c r="G23" s="7">
        <v>340.40199999999999</v>
      </c>
      <c r="H23" s="7">
        <v>100</v>
      </c>
      <c r="I23" s="7" t="s">
        <v>143</v>
      </c>
      <c r="J23" s="7" t="s">
        <v>38</v>
      </c>
      <c r="K23" s="8"/>
      <c r="L23" s="8"/>
      <c r="M23" s="8"/>
      <c r="N23" s="6"/>
      <c r="O23" s="6"/>
      <c r="P23" s="6"/>
      <c r="Q23" s="6"/>
      <c r="R23" s="6"/>
      <c r="S23" s="6"/>
      <c r="T23" s="8"/>
      <c r="U23" s="8"/>
      <c r="V23" s="8"/>
      <c r="W23" s="6" t="str">
        <f t="shared" si="0"/>
        <v>Y</v>
      </c>
      <c r="X23" s="9">
        <v>2.5999999999999999E-3</v>
      </c>
      <c r="Y23" s="6">
        <v>0.51</v>
      </c>
      <c r="Z23" s="12">
        <v>-40.340000000000003</v>
      </c>
      <c r="AA23" s="13"/>
      <c r="AB23" s="13"/>
    </row>
    <row r="24" spans="1:28" ht="16" x14ac:dyDescent="0.2">
      <c r="A24" s="49"/>
      <c r="B24" s="6">
        <v>22</v>
      </c>
      <c r="C24" s="6" t="s">
        <v>144</v>
      </c>
      <c r="D24" s="7" t="s">
        <v>145</v>
      </c>
      <c r="E24" s="7" t="s">
        <v>146</v>
      </c>
      <c r="F24" s="7" t="s">
        <v>147</v>
      </c>
      <c r="G24" s="7">
        <v>314.30599999999998</v>
      </c>
      <c r="H24" s="7">
        <v>100</v>
      </c>
      <c r="I24" s="7" t="s">
        <v>148</v>
      </c>
      <c r="J24" s="7" t="s">
        <v>43</v>
      </c>
      <c r="K24" s="8"/>
      <c r="L24" s="8"/>
      <c r="M24" s="8"/>
      <c r="N24" s="6" t="s">
        <v>29</v>
      </c>
      <c r="O24" s="6" t="s">
        <v>149</v>
      </c>
      <c r="P24" s="6"/>
      <c r="Q24" s="6"/>
      <c r="R24" s="6"/>
      <c r="S24" s="6" t="s">
        <v>29</v>
      </c>
      <c r="T24" s="14">
        <v>136.5</v>
      </c>
      <c r="U24" s="14">
        <v>2.5</v>
      </c>
      <c r="V24" s="14">
        <v>118.8</v>
      </c>
      <c r="W24" s="6" t="str">
        <f t="shared" si="0"/>
        <v>Y</v>
      </c>
      <c r="X24" s="9">
        <v>1.2E-2</v>
      </c>
      <c r="Y24" s="6">
        <v>0.51</v>
      </c>
      <c r="Z24" s="12">
        <v>-38.4</v>
      </c>
      <c r="AA24" s="13"/>
      <c r="AB24" s="13"/>
    </row>
    <row r="25" spans="1:28" ht="16" x14ac:dyDescent="0.2">
      <c r="A25" s="49"/>
      <c r="B25" s="6">
        <v>23</v>
      </c>
      <c r="C25" s="6" t="s">
        <v>150</v>
      </c>
      <c r="D25" s="7" t="s">
        <v>151</v>
      </c>
      <c r="E25" s="7" t="s">
        <v>152</v>
      </c>
      <c r="F25" s="7" t="s">
        <v>153</v>
      </c>
      <c r="G25" s="7">
        <v>313.351</v>
      </c>
      <c r="H25" s="7">
        <v>100</v>
      </c>
      <c r="I25" s="7" t="s">
        <v>154</v>
      </c>
      <c r="J25" s="7" t="s">
        <v>43</v>
      </c>
      <c r="K25" s="8"/>
      <c r="L25" s="8"/>
      <c r="M25" s="8"/>
      <c r="N25" s="6" t="s">
        <v>29</v>
      </c>
      <c r="O25" s="6" t="s">
        <v>29</v>
      </c>
      <c r="P25" s="6" t="s">
        <v>155</v>
      </c>
      <c r="Q25" s="6">
        <v>1.05</v>
      </c>
      <c r="R25" s="6">
        <v>4.95</v>
      </c>
      <c r="S25" s="6"/>
      <c r="T25" s="8"/>
      <c r="U25" s="8"/>
      <c r="V25" s="8"/>
      <c r="W25" s="6" t="str">
        <f t="shared" si="0"/>
        <v/>
      </c>
      <c r="X25" s="9">
        <v>0.53</v>
      </c>
      <c r="Y25" s="6">
        <v>0.16</v>
      </c>
      <c r="Z25" s="12">
        <v>-39.58</v>
      </c>
      <c r="AA25" s="13"/>
      <c r="AB25" s="13"/>
    </row>
    <row r="26" spans="1:28" ht="16" x14ac:dyDescent="0.2">
      <c r="A26" s="49"/>
      <c r="B26" s="6">
        <v>24</v>
      </c>
      <c r="C26" s="6" t="s">
        <v>156</v>
      </c>
      <c r="D26" s="7" t="s">
        <v>157</v>
      </c>
      <c r="E26" s="7" t="s">
        <v>158</v>
      </c>
      <c r="F26" s="7" t="s">
        <v>159</v>
      </c>
      <c r="G26" s="7">
        <v>348.39800000000002</v>
      </c>
      <c r="H26" s="7">
        <v>100</v>
      </c>
      <c r="I26" s="7" t="s">
        <v>160</v>
      </c>
      <c r="J26" s="7" t="s">
        <v>43</v>
      </c>
      <c r="K26" s="8"/>
      <c r="L26" s="8"/>
      <c r="M26" s="8"/>
      <c r="N26" s="6"/>
      <c r="O26" s="6"/>
      <c r="P26" s="6"/>
      <c r="Q26" s="6"/>
      <c r="R26" s="6"/>
      <c r="S26" s="6"/>
      <c r="T26" s="8"/>
      <c r="U26" s="8"/>
      <c r="V26" s="8"/>
      <c r="W26" s="6" t="str">
        <f t="shared" si="0"/>
        <v>Y</v>
      </c>
      <c r="X26" s="9">
        <v>1.4E-3</v>
      </c>
      <c r="Y26" s="6">
        <v>0.6</v>
      </c>
      <c r="Z26" s="12">
        <v>-40.770000000000003</v>
      </c>
      <c r="AA26" s="13"/>
      <c r="AB26" s="13"/>
    </row>
    <row r="27" spans="1:28" ht="16" x14ac:dyDescent="0.2">
      <c r="A27" s="49"/>
      <c r="B27" s="6">
        <v>25</v>
      </c>
      <c r="C27" s="6" t="s">
        <v>161</v>
      </c>
      <c r="D27" s="7" t="s">
        <v>162</v>
      </c>
      <c r="E27" s="7" t="s">
        <v>163</v>
      </c>
      <c r="F27" s="7" t="s">
        <v>164</v>
      </c>
      <c r="G27" s="7">
        <v>275.34100000000001</v>
      </c>
      <c r="H27" s="7">
        <v>100</v>
      </c>
      <c r="I27" s="7" t="s">
        <v>165</v>
      </c>
      <c r="J27" s="7" t="s">
        <v>38</v>
      </c>
      <c r="K27" s="8"/>
      <c r="L27" s="8"/>
      <c r="M27" s="8"/>
      <c r="N27" s="6"/>
      <c r="O27" s="6"/>
      <c r="P27" s="6"/>
      <c r="Q27" s="6"/>
      <c r="R27" s="6"/>
      <c r="S27" s="6"/>
      <c r="T27" s="8"/>
      <c r="U27" s="8"/>
      <c r="V27" s="8"/>
      <c r="W27" s="6" t="str">
        <f t="shared" si="0"/>
        <v/>
      </c>
      <c r="X27" s="9">
        <v>5.1999999999999997E-5</v>
      </c>
      <c r="Y27" s="6">
        <v>0.09</v>
      </c>
      <c r="Z27" s="12">
        <v>-39.549999999999997</v>
      </c>
      <c r="AA27" s="13"/>
      <c r="AB27" s="13"/>
    </row>
    <row r="28" spans="1:28" ht="16" x14ac:dyDescent="0.2">
      <c r="A28" s="49"/>
      <c r="B28" s="6">
        <v>26</v>
      </c>
      <c r="C28" s="6" t="s">
        <v>166</v>
      </c>
      <c r="D28" s="7" t="s">
        <v>167</v>
      </c>
      <c r="E28" s="7" t="s">
        <v>168</v>
      </c>
      <c r="F28" s="7" t="s">
        <v>169</v>
      </c>
      <c r="G28" s="7">
        <v>299.33100000000002</v>
      </c>
      <c r="H28" s="7">
        <v>95</v>
      </c>
      <c r="I28" s="7" t="s">
        <v>170</v>
      </c>
      <c r="J28" s="7" t="s">
        <v>43</v>
      </c>
      <c r="K28" s="8"/>
      <c r="L28" s="8"/>
      <c r="M28" s="8"/>
      <c r="N28" s="6" t="s">
        <v>29</v>
      </c>
      <c r="O28" s="6" t="s">
        <v>29</v>
      </c>
      <c r="P28" s="6" t="s">
        <v>171</v>
      </c>
      <c r="Q28" s="6">
        <v>1.05</v>
      </c>
      <c r="R28" s="6">
        <v>1.62</v>
      </c>
      <c r="S28" s="6"/>
      <c r="T28" s="8"/>
      <c r="U28" s="8"/>
      <c r="V28" s="8"/>
      <c r="W28" s="6" t="str">
        <f t="shared" si="0"/>
        <v/>
      </c>
      <c r="X28" s="9">
        <v>6.2E-4</v>
      </c>
      <c r="Y28" s="6">
        <v>0.32</v>
      </c>
      <c r="Z28" s="12">
        <v>-40.869999999999997</v>
      </c>
      <c r="AA28" s="13"/>
      <c r="AB28" s="13"/>
    </row>
    <row r="29" spans="1:28" ht="16" x14ac:dyDescent="0.2">
      <c r="A29" s="49"/>
      <c r="B29" s="6">
        <v>27</v>
      </c>
      <c r="C29" s="6" t="s">
        <v>172</v>
      </c>
      <c r="D29" s="7" t="s">
        <v>173</v>
      </c>
      <c r="E29" s="7" t="s">
        <v>174</v>
      </c>
      <c r="F29" s="7" t="s">
        <v>175</v>
      </c>
      <c r="G29" s="7">
        <v>325.24900000000002</v>
      </c>
      <c r="H29" s="7">
        <v>100</v>
      </c>
      <c r="I29" s="7" t="s">
        <v>176</v>
      </c>
      <c r="J29" s="7" t="s">
        <v>38</v>
      </c>
      <c r="K29" s="8"/>
      <c r="L29" s="8"/>
      <c r="M29" s="8"/>
      <c r="N29" s="6"/>
      <c r="O29" s="6"/>
      <c r="P29" s="6"/>
      <c r="Q29" s="6"/>
      <c r="R29" s="6"/>
      <c r="S29" s="6"/>
      <c r="T29" s="8"/>
      <c r="U29" s="8"/>
      <c r="V29" s="8"/>
      <c r="W29" s="6" t="str">
        <f t="shared" si="0"/>
        <v/>
      </c>
      <c r="X29" s="9">
        <v>6.7000000000000004E-2</v>
      </c>
      <c r="Y29" s="6">
        <v>0.55000000000000004</v>
      </c>
      <c r="Z29" s="12">
        <v>-38.22</v>
      </c>
      <c r="AA29" s="13"/>
      <c r="AB29" s="13"/>
    </row>
    <row r="30" spans="1:28" ht="16" x14ac:dyDescent="0.2">
      <c r="A30" s="49"/>
      <c r="B30" s="6">
        <v>28</v>
      </c>
      <c r="C30" s="6" t="s">
        <v>177</v>
      </c>
      <c r="D30" s="7" t="s">
        <v>178</v>
      </c>
      <c r="E30" s="7" t="s">
        <v>179</v>
      </c>
      <c r="F30" s="7" t="s">
        <v>180</v>
      </c>
      <c r="G30" s="7">
        <v>259.33</v>
      </c>
      <c r="H30" s="7">
        <v>98</v>
      </c>
      <c r="I30" s="7" t="s">
        <v>181</v>
      </c>
      <c r="J30" s="7" t="s">
        <v>43</v>
      </c>
      <c r="K30" s="8"/>
      <c r="L30" s="8"/>
      <c r="M30" s="8"/>
      <c r="N30" s="6" t="s">
        <v>29</v>
      </c>
      <c r="O30" s="6" t="s">
        <v>29</v>
      </c>
      <c r="P30" s="6" t="s">
        <v>182</v>
      </c>
      <c r="Q30" s="6">
        <v>1.05</v>
      </c>
      <c r="R30" s="6">
        <v>6.85</v>
      </c>
      <c r="S30" s="6"/>
      <c r="T30" s="8"/>
      <c r="U30" s="8"/>
      <c r="V30" s="8"/>
      <c r="W30" s="6" t="str">
        <f t="shared" si="0"/>
        <v/>
      </c>
      <c r="X30" s="9">
        <v>5.0000000000000001E-4</v>
      </c>
      <c r="Y30" s="6">
        <v>0</v>
      </c>
      <c r="Z30" s="12">
        <v>-42.62</v>
      </c>
      <c r="AA30" s="13"/>
      <c r="AB30" s="13"/>
    </row>
    <row r="31" spans="1:28" ht="16" x14ac:dyDescent="0.2">
      <c r="A31" s="49"/>
      <c r="B31" s="6">
        <v>29</v>
      </c>
      <c r="C31" s="6" t="s">
        <v>183</v>
      </c>
      <c r="D31" s="7" t="s">
        <v>184</v>
      </c>
      <c r="E31" s="7" t="s">
        <v>185</v>
      </c>
      <c r="F31" s="7" t="s">
        <v>186</v>
      </c>
      <c r="G31" s="7">
        <v>342.41500000000002</v>
      </c>
      <c r="H31" s="7">
        <v>100</v>
      </c>
      <c r="I31" s="7" t="s">
        <v>187</v>
      </c>
      <c r="J31" s="7" t="s">
        <v>38</v>
      </c>
      <c r="K31" s="8"/>
      <c r="L31" s="8"/>
      <c r="M31" s="8"/>
      <c r="N31" s="6"/>
      <c r="O31" s="6"/>
      <c r="P31" s="6"/>
      <c r="Q31" s="6"/>
      <c r="R31" s="6"/>
      <c r="S31" s="6"/>
      <c r="T31" s="8"/>
      <c r="U31" s="8"/>
      <c r="V31" s="8"/>
      <c r="W31" s="6" t="str">
        <f t="shared" si="0"/>
        <v/>
      </c>
      <c r="X31" s="9">
        <v>4.6E-5</v>
      </c>
      <c r="Y31" s="6">
        <v>0.35</v>
      </c>
      <c r="Z31" s="12">
        <v>-38.28</v>
      </c>
      <c r="AA31" s="13"/>
      <c r="AB31" s="13"/>
    </row>
    <row r="32" spans="1:28" ht="16" x14ac:dyDescent="0.2">
      <c r="A32" s="49"/>
      <c r="B32" s="6">
        <v>30</v>
      </c>
      <c r="C32" s="6" t="s">
        <v>188</v>
      </c>
      <c r="D32" s="7" t="s">
        <v>189</v>
      </c>
      <c r="E32" s="7" t="s">
        <v>190</v>
      </c>
      <c r="F32" s="7" t="s">
        <v>191</v>
      </c>
      <c r="G32" s="7">
        <v>337.39800000000002</v>
      </c>
      <c r="H32" s="7">
        <v>97</v>
      </c>
      <c r="I32" s="7" t="s">
        <v>192</v>
      </c>
      <c r="J32" s="7" t="s">
        <v>38</v>
      </c>
      <c r="K32" s="8"/>
      <c r="L32" s="8"/>
      <c r="M32" s="8"/>
      <c r="N32" s="6"/>
      <c r="O32" s="6"/>
      <c r="P32" s="6"/>
      <c r="Q32" s="6"/>
      <c r="R32" s="6"/>
      <c r="S32" s="6"/>
      <c r="T32" s="8"/>
      <c r="U32" s="8"/>
      <c r="V32" s="8"/>
      <c r="W32" s="6" t="str">
        <f t="shared" si="0"/>
        <v/>
      </c>
      <c r="X32" s="9">
        <v>3.1E-2</v>
      </c>
      <c r="Y32" s="6">
        <v>0.36</v>
      </c>
      <c r="Z32" s="12">
        <v>-40.79</v>
      </c>
      <c r="AA32" s="13"/>
      <c r="AB32" s="13"/>
    </row>
    <row r="33" spans="1:28" ht="16" x14ac:dyDescent="0.2">
      <c r="A33" s="49"/>
      <c r="B33" s="6">
        <v>31</v>
      </c>
      <c r="C33" s="6" t="s">
        <v>193</v>
      </c>
      <c r="D33" s="7" t="s">
        <v>194</v>
      </c>
      <c r="E33" s="7" t="s">
        <v>195</v>
      </c>
      <c r="F33" s="7" t="s">
        <v>196</v>
      </c>
      <c r="G33" s="7">
        <v>285.36700000000002</v>
      </c>
      <c r="H33" s="7">
        <v>100</v>
      </c>
      <c r="I33" s="7" t="s">
        <v>197</v>
      </c>
      <c r="J33" s="7" t="s">
        <v>43</v>
      </c>
      <c r="K33" s="8"/>
      <c r="L33" s="8"/>
      <c r="M33" s="8"/>
      <c r="N33" s="6" t="s">
        <v>29</v>
      </c>
      <c r="O33" s="6" t="s">
        <v>29</v>
      </c>
      <c r="P33" s="6" t="s">
        <v>198</v>
      </c>
      <c r="Q33" s="6">
        <v>1.05</v>
      </c>
      <c r="R33" s="6">
        <v>2.85</v>
      </c>
      <c r="S33" s="6"/>
      <c r="T33" s="8"/>
      <c r="U33" s="8"/>
      <c r="V33" s="8"/>
      <c r="W33" s="6" t="str">
        <f t="shared" si="0"/>
        <v/>
      </c>
      <c r="X33" s="9">
        <v>0.83</v>
      </c>
      <c r="Y33" s="6">
        <v>0.15</v>
      </c>
      <c r="Z33" s="12">
        <v>-40.99</v>
      </c>
      <c r="AA33" s="13"/>
      <c r="AB33" s="13"/>
    </row>
    <row r="34" spans="1:28" ht="16" x14ac:dyDescent="0.2">
      <c r="A34" s="49"/>
      <c r="B34" s="6">
        <v>32</v>
      </c>
      <c r="C34" s="6" t="s">
        <v>199</v>
      </c>
      <c r="D34" s="7" t="s">
        <v>200</v>
      </c>
      <c r="E34" s="7" t="s">
        <v>201</v>
      </c>
      <c r="F34" s="7" t="s">
        <v>202</v>
      </c>
      <c r="G34" s="7">
        <v>314.791</v>
      </c>
      <c r="H34" s="7">
        <v>100</v>
      </c>
      <c r="I34" s="7" t="s">
        <v>203</v>
      </c>
      <c r="J34" s="7" t="s">
        <v>43</v>
      </c>
      <c r="K34" s="8"/>
      <c r="L34" s="8"/>
      <c r="M34" s="8"/>
      <c r="N34" s="6"/>
      <c r="O34" s="6"/>
      <c r="P34" s="6"/>
      <c r="Q34" s="6"/>
      <c r="R34" s="6"/>
      <c r="S34" s="6"/>
      <c r="T34" s="8"/>
      <c r="U34" s="8"/>
      <c r="V34" s="8"/>
      <c r="W34" s="6" t="str">
        <f t="shared" si="0"/>
        <v>Y</v>
      </c>
      <c r="X34" s="9">
        <v>1.2E-4</v>
      </c>
      <c r="Y34" s="6">
        <v>0.64</v>
      </c>
      <c r="Z34" s="12">
        <v>-38.07</v>
      </c>
      <c r="AA34" s="13"/>
      <c r="AB34" s="13"/>
    </row>
    <row r="35" spans="1:28" ht="16" x14ac:dyDescent="0.2">
      <c r="A35" s="49"/>
      <c r="B35" s="6">
        <v>33</v>
      </c>
      <c r="C35" s="6" t="s">
        <v>204</v>
      </c>
      <c r="D35" s="7" t="s">
        <v>205</v>
      </c>
      <c r="E35" s="7" t="s">
        <v>206</v>
      </c>
      <c r="F35" s="7" t="s">
        <v>207</v>
      </c>
      <c r="G35" s="7">
        <v>306.38299999999998</v>
      </c>
      <c r="H35" s="7">
        <v>100</v>
      </c>
      <c r="I35" s="7" t="s">
        <v>208</v>
      </c>
      <c r="J35" s="7" t="s">
        <v>43</v>
      </c>
      <c r="K35" s="8"/>
      <c r="L35" s="8"/>
      <c r="M35" s="8"/>
      <c r="N35" s="6" t="s">
        <v>29</v>
      </c>
      <c r="O35" s="6" t="s">
        <v>29</v>
      </c>
      <c r="P35" s="6" t="s">
        <v>209</v>
      </c>
      <c r="Q35" s="6">
        <v>1.05</v>
      </c>
      <c r="R35" s="6">
        <v>2.89</v>
      </c>
      <c r="S35" s="6" t="s">
        <v>29</v>
      </c>
      <c r="T35" s="14">
        <v>169.6</v>
      </c>
      <c r="U35" s="14">
        <v>2.4</v>
      </c>
      <c r="V35" s="14">
        <v>147.6</v>
      </c>
      <c r="W35" s="6" t="str">
        <f t="shared" si="0"/>
        <v>Y</v>
      </c>
      <c r="X35" s="9">
        <v>1.0000000000000001E-5</v>
      </c>
      <c r="Y35" s="6">
        <v>1.26</v>
      </c>
      <c r="Z35" s="12">
        <v>-42.64</v>
      </c>
      <c r="AA35" s="13"/>
      <c r="AB35" s="13">
        <v>-45.73</v>
      </c>
    </row>
    <row r="36" spans="1:28" ht="16" x14ac:dyDescent="0.2">
      <c r="A36" s="49"/>
      <c r="B36" s="6">
        <v>34</v>
      </c>
      <c r="C36" s="6" t="s">
        <v>210</v>
      </c>
      <c r="D36" s="7" t="s">
        <v>211</v>
      </c>
      <c r="E36" s="7" t="s">
        <v>212</v>
      </c>
      <c r="F36" s="7" t="s">
        <v>213</v>
      </c>
      <c r="G36" s="7">
        <v>313.78399999999999</v>
      </c>
      <c r="H36" s="7">
        <v>95</v>
      </c>
      <c r="I36" s="7" t="s">
        <v>214</v>
      </c>
      <c r="J36" s="7" t="s">
        <v>43</v>
      </c>
      <c r="K36" s="8"/>
      <c r="L36" s="8"/>
      <c r="M36" s="8"/>
      <c r="N36" s="6"/>
      <c r="O36" s="6"/>
      <c r="P36" s="6"/>
      <c r="Q36" s="6"/>
      <c r="R36" s="6"/>
      <c r="S36" s="6"/>
      <c r="T36" s="8"/>
      <c r="U36" s="8"/>
      <c r="V36" s="8"/>
      <c r="W36" s="6" t="str">
        <f t="shared" si="0"/>
        <v/>
      </c>
      <c r="X36" s="9">
        <v>0.35</v>
      </c>
      <c r="Y36" s="6">
        <v>0.25</v>
      </c>
      <c r="Z36" s="12">
        <v>-48.09</v>
      </c>
      <c r="AA36" s="13"/>
      <c r="AB36" s="13"/>
    </row>
    <row r="37" spans="1:28" ht="16" x14ac:dyDescent="0.2">
      <c r="A37" s="49"/>
      <c r="B37" s="6">
        <v>35</v>
      </c>
      <c r="C37" s="6" t="s">
        <v>215</v>
      </c>
      <c r="D37" s="7" t="s">
        <v>216</v>
      </c>
      <c r="E37" s="7" t="s">
        <v>217</v>
      </c>
      <c r="F37" s="7" t="s">
        <v>218</v>
      </c>
      <c r="G37" s="7">
        <v>309.322</v>
      </c>
      <c r="H37" s="7">
        <v>100</v>
      </c>
      <c r="I37" s="7" t="s">
        <v>219</v>
      </c>
      <c r="J37" s="7" t="s">
        <v>43</v>
      </c>
      <c r="K37" s="8"/>
      <c r="L37" s="8"/>
      <c r="M37" s="8"/>
      <c r="N37" s="6"/>
      <c r="O37" s="6"/>
      <c r="P37" s="6"/>
      <c r="Q37" s="6"/>
      <c r="R37" s="6"/>
      <c r="S37" s="6"/>
      <c r="T37" s="8"/>
      <c r="U37" s="8"/>
      <c r="V37" s="8"/>
      <c r="W37" s="6" t="str">
        <f t="shared" si="0"/>
        <v/>
      </c>
      <c r="X37" s="9">
        <v>1.7000000000000001E-2</v>
      </c>
      <c r="Y37" s="6">
        <v>0.27</v>
      </c>
      <c r="Z37" s="12">
        <v>-41.73</v>
      </c>
      <c r="AA37" s="13"/>
      <c r="AB37" s="13"/>
    </row>
    <row r="38" spans="1:28" ht="16" x14ac:dyDescent="0.2">
      <c r="A38" s="49"/>
      <c r="B38" s="6">
        <v>36</v>
      </c>
      <c r="C38" s="6" t="s">
        <v>220</v>
      </c>
      <c r="D38" s="7" t="s">
        <v>221</v>
      </c>
      <c r="E38" s="7" t="s">
        <v>222</v>
      </c>
      <c r="F38" s="7" t="s">
        <v>223</v>
      </c>
      <c r="G38" s="7">
        <v>308.334</v>
      </c>
      <c r="H38" s="7">
        <v>100</v>
      </c>
      <c r="I38" s="7" t="s">
        <v>224</v>
      </c>
      <c r="J38" s="7" t="s">
        <v>43</v>
      </c>
      <c r="K38" s="8"/>
      <c r="L38" s="8"/>
      <c r="M38" s="8"/>
      <c r="N38" s="6"/>
      <c r="O38" s="6"/>
      <c r="P38" s="6"/>
      <c r="Q38" s="6"/>
      <c r="R38" s="6"/>
      <c r="S38" s="6"/>
      <c r="T38" s="8"/>
      <c r="U38" s="8"/>
      <c r="V38" s="8"/>
      <c r="W38" s="6" t="str">
        <f t="shared" si="0"/>
        <v>Y</v>
      </c>
      <c r="X38" s="9">
        <v>1.0000000000000001E-5</v>
      </c>
      <c r="Y38" s="6">
        <v>0.79</v>
      </c>
      <c r="Z38" s="12">
        <v>-45.6</v>
      </c>
      <c r="AA38" s="13"/>
      <c r="AB38" s="13"/>
    </row>
    <row r="39" spans="1:28" ht="16" x14ac:dyDescent="0.2">
      <c r="A39" s="49"/>
      <c r="B39" s="6">
        <v>37</v>
      </c>
      <c r="C39" s="6" t="s">
        <v>225</v>
      </c>
      <c r="D39" s="7" t="s">
        <v>226</v>
      </c>
      <c r="E39" s="7" t="s">
        <v>227</v>
      </c>
      <c r="F39" s="7" t="s">
        <v>228</v>
      </c>
      <c r="G39" s="7">
        <v>286.28899999999999</v>
      </c>
      <c r="H39" s="7">
        <v>95</v>
      </c>
      <c r="I39" s="7" t="s">
        <v>229</v>
      </c>
      <c r="J39" s="7" t="s">
        <v>43</v>
      </c>
      <c r="K39" s="8"/>
      <c r="L39" s="8"/>
      <c r="M39" s="8"/>
      <c r="N39" s="6" t="s">
        <v>29</v>
      </c>
      <c r="O39" s="6" t="s">
        <v>29</v>
      </c>
      <c r="P39" s="6" t="s">
        <v>230</v>
      </c>
      <c r="Q39" s="6">
        <v>1.05</v>
      </c>
      <c r="R39" s="6">
        <v>3.02</v>
      </c>
      <c r="S39" s="6" t="s">
        <v>29</v>
      </c>
      <c r="T39" s="14">
        <v>278.7</v>
      </c>
      <c r="U39" s="14">
        <v>5.5</v>
      </c>
      <c r="V39" s="14">
        <v>242.5</v>
      </c>
      <c r="W39" s="6" t="str">
        <f t="shared" si="0"/>
        <v/>
      </c>
      <c r="X39" s="9">
        <v>0.3</v>
      </c>
      <c r="Y39" s="6">
        <v>0.6</v>
      </c>
      <c r="Z39" s="12">
        <v>-38.159999999999997</v>
      </c>
      <c r="AA39" s="13"/>
      <c r="AB39" s="13"/>
    </row>
    <row r="40" spans="1:28" ht="16" x14ac:dyDescent="0.2">
      <c r="A40" s="49"/>
      <c r="B40" s="6">
        <v>38</v>
      </c>
      <c r="C40" s="6" t="s">
        <v>231</v>
      </c>
      <c r="D40" s="7" t="s">
        <v>232</v>
      </c>
      <c r="E40" s="7" t="s">
        <v>233</v>
      </c>
      <c r="F40" s="7" t="s">
        <v>234</v>
      </c>
      <c r="G40" s="7">
        <v>308.399</v>
      </c>
      <c r="H40" s="7">
        <v>96</v>
      </c>
      <c r="I40" s="7" t="s">
        <v>235</v>
      </c>
      <c r="J40" s="7" t="s">
        <v>43</v>
      </c>
      <c r="K40" s="8"/>
      <c r="L40" s="8"/>
      <c r="M40" s="8"/>
      <c r="N40" s="6" t="s">
        <v>29</v>
      </c>
      <c r="O40" s="6" t="s">
        <v>29</v>
      </c>
      <c r="P40" s="6" t="s">
        <v>236</v>
      </c>
      <c r="Q40" s="6">
        <v>1.05</v>
      </c>
      <c r="R40" s="6">
        <v>1.53</v>
      </c>
      <c r="S40" s="6" t="s">
        <v>29</v>
      </c>
      <c r="T40" s="14">
        <v>126.3</v>
      </c>
      <c r="U40" s="14">
        <v>5</v>
      </c>
      <c r="V40" s="14">
        <v>109.9</v>
      </c>
      <c r="W40" s="6" t="str">
        <f t="shared" si="0"/>
        <v>Y</v>
      </c>
      <c r="X40" s="9">
        <v>9.1999999999999999E-14</v>
      </c>
      <c r="Y40" s="6">
        <v>1.03</v>
      </c>
      <c r="Z40" s="12">
        <v>-39.35</v>
      </c>
      <c r="AA40" s="13"/>
      <c r="AB40" s="13"/>
    </row>
    <row r="41" spans="1:28" ht="16" x14ac:dyDescent="0.2">
      <c r="A41" s="49"/>
      <c r="B41" s="6">
        <v>39</v>
      </c>
      <c r="C41" s="6" t="s">
        <v>237</v>
      </c>
      <c r="D41" s="7" t="s">
        <v>238</v>
      </c>
      <c r="E41" s="7" t="s">
        <v>239</v>
      </c>
      <c r="F41" s="7" t="s">
        <v>240</v>
      </c>
      <c r="G41" s="7">
        <v>263.31799999999998</v>
      </c>
      <c r="H41" s="7">
        <v>96</v>
      </c>
      <c r="I41" s="7" t="s">
        <v>241</v>
      </c>
      <c r="J41" s="7" t="s">
        <v>38</v>
      </c>
      <c r="K41" s="8"/>
      <c r="L41" s="8"/>
      <c r="M41" s="8"/>
      <c r="N41" s="6" t="s">
        <v>29</v>
      </c>
      <c r="O41" s="6" t="s">
        <v>29</v>
      </c>
      <c r="P41" s="6" t="s">
        <v>242</v>
      </c>
      <c r="Q41" s="6">
        <v>1.05</v>
      </c>
      <c r="R41" s="6">
        <v>2.88</v>
      </c>
      <c r="S41" s="6"/>
      <c r="T41" s="8"/>
      <c r="U41" s="8"/>
      <c r="V41" s="8"/>
      <c r="W41" s="6" t="str">
        <f t="shared" si="0"/>
        <v>Y</v>
      </c>
      <c r="X41" s="9">
        <v>6.1999999999999999E-6</v>
      </c>
      <c r="Y41" s="6">
        <v>0.95</v>
      </c>
      <c r="Z41" s="12">
        <v>-40.99</v>
      </c>
      <c r="AA41" s="13"/>
      <c r="AB41" s="13"/>
    </row>
    <row r="42" spans="1:28" ht="16" x14ac:dyDescent="0.2">
      <c r="A42" s="49"/>
      <c r="B42" s="6">
        <v>40</v>
      </c>
      <c r="C42" s="6" t="s">
        <v>243</v>
      </c>
      <c r="D42" s="7" t="s">
        <v>244</v>
      </c>
      <c r="E42" s="7" t="s">
        <v>245</v>
      </c>
      <c r="F42" s="7" t="s">
        <v>246</v>
      </c>
      <c r="G42" s="7">
        <v>331.76</v>
      </c>
      <c r="H42" s="7">
        <v>100</v>
      </c>
      <c r="I42" s="7" t="s">
        <v>247</v>
      </c>
      <c r="J42" s="7" t="s">
        <v>38</v>
      </c>
      <c r="K42" s="8"/>
      <c r="L42" s="8"/>
      <c r="M42" s="8"/>
      <c r="N42" s="6"/>
      <c r="O42" s="6"/>
      <c r="P42" s="6"/>
      <c r="Q42" s="6"/>
      <c r="R42" s="6"/>
      <c r="S42" s="6"/>
      <c r="T42" s="8"/>
      <c r="U42" s="8"/>
      <c r="V42" s="8"/>
      <c r="W42" s="6" t="str">
        <f t="shared" si="0"/>
        <v/>
      </c>
      <c r="X42" s="9">
        <v>0.37</v>
      </c>
      <c r="Y42" s="6">
        <v>0.14000000000000001</v>
      </c>
      <c r="Z42" s="12">
        <v>-41.39</v>
      </c>
      <c r="AA42" s="13"/>
      <c r="AB42" s="13"/>
    </row>
    <row r="43" spans="1:28" ht="16" x14ac:dyDescent="0.2">
      <c r="A43" s="49"/>
      <c r="B43" s="6">
        <v>41</v>
      </c>
      <c r="C43" s="6" t="s">
        <v>248</v>
      </c>
      <c r="D43" s="7" t="s">
        <v>249</v>
      </c>
      <c r="E43" s="7" t="s">
        <v>250</v>
      </c>
      <c r="F43" s="7" t="s">
        <v>251</v>
      </c>
      <c r="G43" s="7">
        <v>326.39600000000002</v>
      </c>
      <c r="H43" s="7">
        <v>100</v>
      </c>
      <c r="I43" s="7" t="s">
        <v>252</v>
      </c>
      <c r="J43" s="7" t="s">
        <v>43</v>
      </c>
      <c r="K43" s="8"/>
      <c r="L43" s="8"/>
      <c r="M43" s="8"/>
      <c r="N43" s="6" t="s">
        <v>29</v>
      </c>
      <c r="O43" s="6" t="s">
        <v>29</v>
      </c>
      <c r="P43" s="6" t="s">
        <v>253</v>
      </c>
      <c r="Q43" s="6">
        <v>1.05</v>
      </c>
      <c r="R43" s="6">
        <v>1.99</v>
      </c>
      <c r="S43" s="6" t="s">
        <v>29</v>
      </c>
      <c r="T43" s="14">
        <v>147.9</v>
      </c>
      <c r="U43" s="14">
        <v>3.1</v>
      </c>
      <c r="V43" s="14">
        <v>128.69999999999999</v>
      </c>
      <c r="W43" s="6" t="str">
        <f t="shared" si="0"/>
        <v>Y</v>
      </c>
      <c r="X43" s="9">
        <v>2.4000000000000001E-4</v>
      </c>
      <c r="Y43" s="6">
        <v>0.6</v>
      </c>
      <c r="Z43" s="12">
        <v>-49.36</v>
      </c>
      <c r="AA43" s="13"/>
      <c r="AB43" s="13">
        <v>-49.82</v>
      </c>
    </row>
    <row r="44" spans="1:28" ht="16" x14ac:dyDescent="0.2">
      <c r="A44" s="49"/>
      <c r="B44" s="6">
        <v>42</v>
      </c>
      <c r="C44" s="6" t="s">
        <v>254</v>
      </c>
      <c r="D44" s="7" t="s">
        <v>255</v>
      </c>
      <c r="E44" s="7" t="s">
        <v>256</v>
      </c>
      <c r="F44" s="7" t="s">
        <v>257</v>
      </c>
      <c r="G44" s="7">
        <v>315.37299999999999</v>
      </c>
      <c r="H44" s="7">
        <v>98</v>
      </c>
      <c r="I44" s="7" t="s">
        <v>258</v>
      </c>
      <c r="J44" s="7" t="s">
        <v>38</v>
      </c>
      <c r="K44" s="8"/>
      <c r="L44" s="8"/>
      <c r="M44" s="8"/>
      <c r="N44" s="6"/>
      <c r="O44" s="6"/>
      <c r="P44" s="6"/>
      <c r="Q44" s="6"/>
      <c r="R44" s="6"/>
      <c r="S44" s="6"/>
      <c r="T44" s="8"/>
      <c r="U44" s="8"/>
      <c r="V44" s="8"/>
      <c r="W44" s="6" t="str">
        <f t="shared" si="0"/>
        <v>Y</v>
      </c>
      <c r="X44" s="9">
        <v>4.6000000000000001E-4</v>
      </c>
      <c r="Y44" s="6">
        <v>0.67</v>
      </c>
      <c r="Z44" s="12">
        <v>-40.85</v>
      </c>
      <c r="AA44" s="13"/>
      <c r="AB44" s="13"/>
    </row>
    <row r="45" spans="1:28" ht="16" x14ac:dyDescent="0.2">
      <c r="A45" s="49"/>
      <c r="B45" s="6">
        <v>43</v>
      </c>
      <c r="C45" s="6" t="s">
        <v>259</v>
      </c>
      <c r="D45" s="7" t="s">
        <v>260</v>
      </c>
      <c r="E45" s="7" t="s">
        <v>261</v>
      </c>
      <c r="F45" s="7" t="s">
        <v>262</v>
      </c>
      <c r="G45" s="7">
        <v>325.411</v>
      </c>
      <c r="H45" s="7">
        <v>100</v>
      </c>
      <c r="I45" s="7" t="s">
        <v>263</v>
      </c>
      <c r="J45" s="7" t="s">
        <v>43</v>
      </c>
      <c r="K45" s="8"/>
      <c r="L45" s="8"/>
      <c r="M45" s="8"/>
      <c r="N45" s="6"/>
      <c r="O45" s="6"/>
      <c r="P45" s="6"/>
      <c r="Q45" s="6"/>
      <c r="R45" s="6"/>
      <c r="S45" s="6"/>
      <c r="T45" s="8"/>
      <c r="U45" s="8"/>
      <c r="V45" s="8"/>
      <c r="W45" s="6" t="str">
        <f t="shared" si="0"/>
        <v/>
      </c>
      <c r="X45" s="9">
        <v>4.7E-2</v>
      </c>
      <c r="Y45" s="6">
        <v>0.44</v>
      </c>
      <c r="Z45" s="12">
        <v>-40.1</v>
      </c>
      <c r="AA45" s="13"/>
      <c r="AB45" s="13"/>
    </row>
    <row r="46" spans="1:28" ht="16" x14ac:dyDescent="0.2">
      <c r="A46" s="49"/>
      <c r="B46" s="6">
        <v>44</v>
      </c>
      <c r="C46" s="6" t="s">
        <v>264</v>
      </c>
      <c r="D46" s="7" t="s">
        <v>265</v>
      </c>
      <c r="E46" s="7" t="s">
        <v>266</v>
      </c>
      <c r="F46" s="7" t="s">
        <v>267</v>
      </c>
      <c r="G46" s="7">
        <v>319.20600000000002</v>
      </c>
      <c r="H46" s="7">
        <v>99</v>
      </c>
      <c r="I46" s="7" t="s">
        <v>268</v>
      </c>
      <c r="J46" s="7" t="s">
        <v>43</v>
      </c>
      <c r="K46" s="8"/>
      <c r="L46" s="8"/>
      <c r="M46" s="8"/>
      <c r="N46" s="6"/>
      <c r="O46" s="6"/>
      <c r="P46" s="6"/>
      <c r="Q46" s="6"/>
      <c r="R46" s="6"/>
      <c r="S46" s="6"/>
      <c r="T46" s="8"/>
      <c r="U46" s="8"/>
      <c r="V46" s="8"/>
      <c r="W46" s="6" t="str">
        <f t="shared" si="0"/>
        <v/>
      </c>
      <c r="X46" s="9">
        <v>0.36</v>
      </c>
      <c r="Y46" s="6">
        <v>0</v>
      </c>
      <c r="Z46" s="12">
        <v>-38.22</v>
      </c>
      <c r="AA46" s="13"/>
      <c r="AB46" s="13"/>
    </row>
    <row r="47" spans="1:28" ht="16" x14ac:dyDescent="0.2">
      <c r="A47" s="49"/>
      <c r="B47" s="6">
        <v>45</v>
      </c>
      <c r="C47" s="6" t="s">
        <v>269</v>
      </c>
      <c r="D47" s="7" t="s">
        <v>270</v>
      </c>
      <c r="E47" s="7" t="s">
        <v>271</v>
      </c>
      <c r="F47" s="7" t="s">
        <v>272</v>
      </c>
      <c r="G47" s="7">
        <v>349.38299999999998</v>
      </c>
      <c r="H47" s="7">
        <v>98</v>
      </c>
      <c r="I47" s="7" t="s">
        <v>273</v>
      </c>
      <c r="J47" s="7" t="s">
        <v>43</v>
      </c>
      <c r="K47" s="8"/>
      <c r="L47" s="8"/>
      <c r="M47" s="8"/>
      <c r="N47" s="6"/>
      <c r="O47" s="6"/>
      <c r="P47" s="6"/>
      <c r="Q47" s="6"/>
      <c r="R47" s="6"/>
      <c r="S47" s="6"/>
      <c r="T47" s="8"/>
      <c r="U47" s="8"/>
      <c r="V47" s="8"/>
      <c r="W47" s="6" t="str">
        <f t="shared" si="0"/>
        <v>Y</v>
      </c>
      <c r="X47" s="9">
        <v>5.1000000000000004E-3</v>
      </c>
      <c r="Y47" s="6">
        <v>0.63</v>
      </c>
      <c r="Z47" s="12">
        <v>-38.15</v>
      </c>
      <c r="AA47" s="13"/>
      <c r="AB47" s="13"/>
    </row>
    <row r="48" spans="1:28" ht="16" x14ac:dyDescent="0.2">
      <c r="A48" s="49"/>
      <c r="B48" s="6">
        <v>46</v>
      </c>
      <c r="C48" s="6" t="s">
        <v>274</v>
      </c>
      <c r="D48" s="7" t="s">
        <v>275</v>
      </c>
      <c r="E48" s="7" t="s">
        <v>276</v>
      </c>
      <c r="F48" s="7" t="s">
        <v>277</v>
      </c>
      <c r="G48" s="7">
        <v>320.73399999999998</v>
      </c>
      <c r="H48" s="7">
        <v>92</v>
      </c>
      <c r="I48" s="7" t="s">
        <v>278</v>
      </c>
      <c r="J48" s="7" t="s">
        <v>43</v>
      </c>
      <c r="K48" s="8"/>
      <c r="L48" s="8"/>
      <c r="M48" s="8"/>
      <c r="N48" s="6"/>
      <c r="O48" s="6"/>
      <c r="P48" s="6"/>
      <c r="Q48" s="6"/>
      <c r="R48" s="6"/>
      <c r="S48" s="6"/>
      <c r="T48" s="8"/>
      <c r="U48" s="8"/>
      <c r="V48" s="8"/>
      <c r="W48" s="6" t="str">
        <f t="shared" si="0"/>
        <v/>
      </c>
      <c r="X48" s="9">
        <v>0.28999999999999998</v>
      </c>
      <c r="Y48" s="6">
        <v>1.01</v>
      </c>
      <c r="Z48" s="12">
        <v>-39.549999999999997</v>
      </c>
      <c r="AA48" s="13"/>
      <c r="AB48" s="13"/>
    </row>
    <row r="49" spans="1:28" ht="16" x14ac:dyDescent="0.2">
      <c r="A49" s="49"/>
      <c r="B49" s="6">
        <v>47</v>
      </c>
      <c r="C49" s="6" t="s">
        <v>279</v>
      </c>
      <c r="D49" s="7" t="s">
        <v>280</v>
      </c>
      <c r="E49" s="7" t="s">
        <v>281</v>
      </c>
      <c r="F49" s="7" t="s">
        <v>282</v>
      </c>
      <c r="G49" s="7">
        <v>288.298</v>
      </c>
      <c r="H49" s="7">
        <v>96</v>
      </c>
      <c r="I49" s="7" t="s">
        <v>283</v>
      </c>
      <c r="J49" s="7" t="s">
        <v>38</v>
      </c>
      <c r="K49" s="8"/>
      <c r="L49" s="8"/>
      <c r="M49" s="8"/>
      <c r="N49" s="6"/>
      <c r="O49" s="6"/>
      <c r="P49" s="6"/>
      <c r="Q49" s="6"/>
      <c r="R49" s="6"/>
      <c r="S49" s="6"/>
      <c r="T49" s="8"/>
      <c r="U49" s="8"/>
      <c r="V49" s="8"/>
      <c r="W49" s="6" t="str">
        <f t="shared" si="0"/>
        <v/>
      </c>
      <c r="X49" s="9">
        <v>0.93</v>
      </c>
      <c r="Y49" s="6">
        <v>0.32</v>
      </c>
      <c r="Z49" s="12">
        <v>-38.89</v>
      </c>
      <c r="AA49" s="13"/>
      <c r="AB49" s="13"/>
    </row>
    <row r="50" spans="1:28" ht="16" x14ac:dyDescent="0.2">
      <c r="A50" s="49"/>
      <c r="B50" s="6">
        <v>48</v>
      </c>
      <c r="C50" s="6" t="s">
        <v>284</v>
      </c>
      <c r="D50" s="7" t="s">
        <v>285</v>
      </c>
      <c r="E50" s="7" t="s">
        <v>286</v>
      </c>
      <c r="F50" s="7" t="s">
        <v>287</v>
      </c>
      <c r="G50" s="7">
        <v>299.36700000000002</v>
      </c>
      <c r="H50" s="7">
        <v>93</v>
      </c>
      <c r="I50" s="7" t="s">
        <v>288</v>
      </c>
      <c r="J50" s="7" t="s">
        <v>43</v>
      </c>
      <c r="K50" s="8"/>
      <c r="L50" s="8"/>
      <c r="M50" s="8"/>
      <c r="N50" s="6"/>
      <c r="O50" s="6"/>
      <c r="P50" s="6"/>
      <c r="Q50" s="6"/>
      <c r="R50" s="6"/>
      <c r="S50" s="6"/>
      <c r="T50" s="8"/>
      <c r="U50" s="8"/>
      <c r="V50" s="8"/>
      <c r="W50" s="6" t="str">
        <f t="shared" si="0"/>
        <v>Y</v>
      </c>
      <c r="X50" s="9">
        <v>2.5999999999999999E-2</v>
      </c>
      <c r="Y50" s="6">
        <v>0.54</v>
      </c>
      <c r="Z50" s="12">
        <v>-44.56</v>
      </c>
      <c r="AA50" s="13"/>
      <c r="AB50" s="13"/>
    </row>
    <row r="51" spans="1:28" ht="16" x14ac:dyDescent="0.2">
      <c r="A51" s="49"/>
      <c r="B51" s="6">
        <v>49</v>
      </c>
      <c r="C51" s="6" t="s">
        <v>289</v>
      </c>
      <c r="D51" s="7" t="s">
        <v>290</v>
      </c>
      <c r="E51" s="7" t="s">
        <v>291</v>
      </c>
      <c r="F51" s="7" t="s">
        <v>292</v>
      </c>
      <c r="G51" s="7">
        <v>262.30900000000003</v>
      </c>
      <c r="H51" s="7">
        <v>97</v>
      </c>
      <c r="I51" s="7" t="s">
        <v>293</v>
      </c>
      <c r="J51" s="7" t="s">
        <v>38</v>
      </c>
      <c r="K51" s="8"/>
      <c r="L51" s="8"/>
      <c r="M51" s="8"/>
      <c r="N51" s="6"/>
      <c r="O51" s="6"/>
      <c r="P51" s="6"/>
      <c r="Q51" s="6"/>
      <c r="R51" s="6"/>
      <c r="S51" s="6"/>
      <c r="T51" s="8"/>
      <c r="U51" s="8"/>
      <c r="V51" s="8"/>
      <c r="W51" s="6" t="str">
        <f t="shared" si="0"/>
        <v/>
      </c>
      <c r="X51" s="9">
        <v>8.9999999999999996E-7</v>
      </c>
      <c r="Y51" s="6">
        <v>0</v>
      </c>
      <c r="Z51" s="12">
        <v>-38.97</v>
      </c>
      <c r="AA51" s="13"/>
      <c r="AB51" s="13"/>
    </row>
    <row r="52" spans="1:28" ht="16" x14ac:dyDescent="0.2">
      <c r="A52" s="49"/>
      <c r="B52" s="6">
        <v>50</v>
      </c>
      <c r="C52" s="6" t="s">
        <v>294</v>
      </c>
      <c r="D52" s="7" t="s">
        <v>295</v>
      </c>
      <c r="E52" s="7" t="s">
        <v>296</v>
      </c>
      <c r="F52" s="7" t="s">
        <v>297</v>
      </c>
      <c r="G52" s="7">
        <v>280.28399999999999</v>
      </c>
      <c r="H52" s="7">
        <v>91</v>
      </c>
      <c r="I52" s="7" t="s">
        <v>298</v>
      </c>
      <c r="J52" s="7" t="s">
        <v>38</v>
      </c>
      <c r="K52" s="8"/>
      <c r="L52" s="8"/>
      <c r="M52" s="8"/>
      <c r="N52" s="6" t="s">
        <v>29</v>
      </c>
      <c r="O52" s="6" t="s">
        <v>29</v>
      </c>
      <c r="P52" s="6" t="s">
        <v>299</v>
      </c>
      <c r="Q52" s="6">
        <v>1.05</v>
      </c>
      <c r="R52" s="6" t="s">
        <v>300</v>
      </c>
      <c r="S52" s="6"/>
      <c r="T52" s="8"/>
      <c r="U52" s="8"/>
      <c r="V52" s="8"/>
      <c r="W52" s="6" t="str">
        <f t="shared" si="0"/>
        <v/>
      </c>
      <c r="X52" s="9">
        <v>0.23</v>
      </c>
      <c r="Y52" s="6">
        <v>0.45</v>
      </c>
      <c r="Z52" s="12">
        <v>-46.92</v>
      </c>
      <c r="AA52" s="13"/>
      <c r="AB52" s="13"/>
    </row>
    <row r="53" spans="1:28" ht="16" x14ac:dyDescent="0.2">
      <c r="A53" s="49"/>
      <c r="B53" s="6">
        <v>51</v>
      </c>
      <c r="C53" s="6" t="s">
        <v>301</v>
      </c>
      <c r="D53" s="7" t="s">
        <v>302</v>
      </c>
      <c r="E53" s="7" t="s">
        <v>303</v>
      </c>
      <c r="F53" s="7" t="s">
        <v>304</v>
      </c>
      <c r="G53" s="7">
        <v>308.298</v>
      </c>
      <c r="H53" s="7">
        <v>95</v>
      </c>
      <c r="I53" s="7" t="s">
        <v>305</v>
      </c>
      <c r="J53" s="7" t="s">
        <v>38</v>
      </c>
      <c r="K53" s="8"/>
      <c r="L53" s="8"/>
      <c r="M53" s="8"/>
      <c r="N53" s="6" t="s">
        <v>29</v>
      </c>
      <c r="O53" s="6" t="s">
        <v>29</v>
      </c>
      <c r="P53" s="6" t="s">
        <v>306</v>
      </c>
      <c r="Q53" s="6">
        <v>1.03</v>
      </c>
      <c r="R53" s="6">
        <v>6.75</v>
      </c>
      <c r="S53" s="6"/>
      <c r="T53" s="8"/>
      <c r="U53" s="8"/>
      <c r="V53" s="8"/>
      <c r="W53" s="6" t="str">
        <f t="shared" si="0"/>
        <v>Y</v>
      </c>
      <c r="X53" s="9">
        <v>5.2000000000000002E-6</v>
      </c>
      <c r="Y53" s="6">
        <v>0.81</v>
      </c>
      <c r="Z53" s="12">
        <v>-41.76</v>
      </c>
      <c r="AA53" s="13"/>
      <c r="AB53" s="13"/>
    </row>
    <row r="54" spans="1:28" ht="16" x14ac:dyDescent="0.2">
      <c r="A54" s="49"/>
      <c r="B54" s="6">
        <v>52</v>
      </c>
      <c r="C54" s="6" t="s">
        <v>307</v>
      </c>
      <c r="D54" s="7" t="s">
        <v>308</v>
      </c>
      <c r="E54" s="7" t="s">
        <v>309</v>
      </c>
      <c r="F54" s="7" t="s">
        <v>310</v>
      </c>
      <c r="G54" s="7">
        <v>330.404</v>
      </c>
      <c r="H54" s="7">
        <v>93</v>
      </c>
      <c r="I54" s="7" t="s">
        <v>311</v>
      </c>
      <c r="J54" s="7" t="s">
        <v>38</v>
      </c>
      <c r="K54" s="8"/>
      <c r="L54" s="8"/>
      <c r="M54" s="8"/>
      <c r="N54" s="6"/>
      <c r="O54" s="6"/>
      <c r="P54" s="6"/>
      <c r="Q54" s="6"/>
      <c r="R54" s="6"/>
      <c r="S54" s="6"/>
      <c r="T54" s="8"/>
      <c r="U54" s="8"/>
      <c r="V54" s="8"/>
      <c r="W54" s="6" t="str">
        <f t="shared" si="0"/>
        <v/>
      </c>
      <c r="X54" s="9">
        <v>6.0000000000000002E-5</v>
      </c>
      <c r="Y54" s="6">
        <v>0</v>
      </c>
      <c r="Z54" s="12">
        <v>-40.869999999999997</v>
      </c>
      <c r="AA54" s="13"/>
      <c r="AB54" s="13"/>
    </row>
    <row r="55" spans="1:28" ht="16" x14ac:dyDescent="0.2">
      <c r="A55" s="49"/>
      <c r="B55" s="6">
        <v>53</v>
      </c>
      <c r="C55" s="6" t="s">
        <v>312</v>
      </c>
      <c r="D55" s="7" t="s">
        <v>313</v>
      </c>
      <c r="E55" s="7" t="s">
        <v>314</v>
      </c>
      <c r="F55" s="7" t="s">
        <v>315</v>
      </c>
      <c r="G55" s="7">
        <v>273.33300000000003</v>
      </c>
      <c r="H55" s="7">
        <v>100</v>
      </c>
      <c r="I55" s="7" t="s">
        <v>316</v>
      </c>
      <c r="J55" s="7" t="s">
        <v>85</v>
      </c>
      <c r="K55" s="8"/>
      <c r="L55" s="8"/>
      <c r="M55" s="8"/>
      <c r="N55" s="6" t="s">
        <v>29</v>
      </c>
      <c r="O55" s="6" t="s">
        <v>149</v>
      </c>
      <c r="P55" s="6"/>
      <c r="Q55" s="6"/>
      <c r="R55" s="6"/>
      <c r="S55" s="6" t="s">
        <v>29</v>
      </c>
      <c r="T55" s="14">
        <v>203.6</v>
      </c>
      <c r="U55" s="14">
        <v>4.7</v>
      </c>
      <c r="V55" s="14">
        <v>177.2</v>
      </c>
      <c r="W55" s="6" t="str">
        <f t="shared" si="0"/>
        <v>Y</v>
      </c>
      <c r="X55" s="9">
        <v>2.8000000000000001E-15</v>
      </c>
      <c r="Y55" s="6">
        <v>1.77</v>
      </c>
      <c r="Z55" s="12">
        <v>-38.15</v>
      </c>
      <c r="AA55" s="13"/>
      <c r="AB55" s="13"/>
    </row>
    <row r="56" spans="1:28" ht="16" x14ac:dyDescent="0.2">
      <c r="A56" s="49"/>
      <c r="B56" s="6">
        <v>54</v>
      </c>
      <c r="C56" s="6" t="s">
        <v>317</v>
      </c>
      <c r="D56" s="7" t="s">
        <v>318</v>
      </c>
      <c r="E56" s="7" t="s">
        <v>319</v>
      </c>
      <c r="F56" s="7" t="s">
        <v>180</v>
      </c>
      <c r="G56" s="7">
        <v>259.33</v>
      </c>
      <c r="H56" s="7">
        <v>90</v>
      </c>
      <c r="I56" s="7" t="s">
        <v>320</v>
      </c>
      <c r="J56" s="7" t="s">
        <v>38</v>
      </c>
      <c r="K56" s="8"/>
      <c r="L56" s="8"/>
      <c r="M56" s="8"/>
      <c r="N56" s="6"/>
      <c r="O56" s="6"/>
      <c r="P56" s="6"/>
      <c r="Q56" s="6"/>
      <c r="R56" s="6"/>
      <c r="S56" s="6"/>
      <c r="T56" s="8"/>
      <c r="U56" s="8"/>
      <c r="V56" s="8"/>
      <c r="W56" s="6" t="str">
        <f t="shared" si="0"/>
        <v>Y</v>
      </c>
      <c r="X56" s="9">
        <v>4.8999999999999997E-6</v>
      </c>
      <c r="Y56" s="6">
        <v>0.51</v>
      </c>
      <c r="Z56" s="12">
        <v>-42.91</v>
      </c>
      <c r="AA56" s="13"/>
      <c r="AB56" s="13"/>
    </row>
    <row r="57" spans="1:28" ht="16" x14ac:dyDescent="0.2">
      <c r="A57" s="49"/>
      <c r="B57" s="6">
        <v>55</v>
      </c>
      <c r="C57" s="6" t="s">
        <v>321</v>
      </c>
      <c r="D57" s="7" t="s">
        <v>322</v>
      </c>
      <c r="E57" s="7" t="s">
        <v>323</v>
      </c>
      <c r="F57" s="7" t="s">
        <v>324</v>
      </c>
      <c r="G57" s="7">
        <v>296.28399999999999</v>
      </c>
      <c r="H57" s="7">
        <v>100</v>
      </c>
      <c r="I57" s="7" t="s">
        <v>325</v>
      </c>
      <c r="J57" s="7" t="s">
        <v>38</v>
      </c>
      <c r="K57" s="8"/>
      <c r="L57" s="8"/>
      <c r="M57" s="8"/>
      <c r="N57" s="6"/>
      <c r="O57" s="6"/>
      <c r="P57" s="6"/>
      <c r="Q57" s="6"/>
      <c r="R57" s="6"/>
      <c r="S57" s="6"/>
      <c r="T57" s="8"/>
      <c r="U57" s="8"/>
      <c r="V57" s="8"/>
      <c r="W57" s="6" t="str">
        <f t="shared" si="0"/>
        <v/>
      </c>
      <c r="X57" s="9">
        <v>0.77</v>
      </c>
      <c r="Y57" s="6">
        <v>0.45</v>
      </c>
      <c r="Z57" s="12">
        <v>-40.119999999999997</v>
      </c>
      <c r="AA57" s="13"/>
      <c r="AB57" s="13"/>
    </row>
    <row r="58" spans="1:28" ht="16" x14ac:dyDescent="0.2">
      <c r="A58" s="49"/>
      <c r="B58" s="6">
        <v>56</v>
      </c>
      <c r="C58" s="6" t="s">
        <v>326</v>
      </c>
      <c r="D58" s="7" t="s">
        <v>327</v>
      </c>
      <c r="E58" s="7" t="s">
        <v>328</v>
      </c>
      <c r="F58" s="7" t="s">
        <v>329</v>
      </c>
      <c r="G58" s="7">
        <v>335.35300000000001</v>
      </c>
      <c r="H58" s="7">
        <v>100</v>
      </c>
      <c r="I58" s="7" t="s">
        <v>330</v>
      </c>
      <c r="J58" s="7" t="s">
        <v>38</v>
      </c>
      <c r="K58" s="8"/>
      <c r="L58" s="8"/>
      <c r="M58" s="8"/>
      <c r="N58" s="6"/>
      <c r="O58" s="6"/>
      <c r="P58" s="6"/>
      <c r="Q58" s="6"/>
      <c r="R58" s="6"/>
      <c r="S58" s="6"/>
      <c r="T58" s="8"/>
      <c r="U58" s="8"/>
      <c r="V58" s="8"/>
      <c r="W58" s="6" t="str">
        <f t="shared" si="0"/>
        <v/>
      </c>
      <c r="X58" s="9">
        <v>0.57999999999999996</v>
      </c>
      <c r="Y58" s="6">
        <v>0.21</v>
      </c>
      <c r="Z58" s="12">
        <v>-42.35</v>
      </c>
      <c r="AA58" s="13"/>
      <c r="AB58" s="13"/>
    </row>
    <row r="59" spans="1:28" ht="16" x14ac:dyDescent="0.2">
      <c r="A59" s="49"/>
      <c r="B59" s="6">
        <v>57</v>
      </c>
      <c r="C59" s="6" t="s">
        <v>331</v>
      </c>
      <c r="D59" s="7" t="s">
        <v>332</v>
      </c>
      <c r="E59" s="7" t="s">
        <v>333</v>
      </c>
      <c r="F59" s="7" t="s">
        <v>334</v>
      </c>
      <c r="G59" s="7">
        <v>289.72000000000003</v>
      </c>
      <c r="H59" s="7">
        <v>91</v>
      </c>
      <c r="I59" s="7" t="s">
        <v>335</v>
      </c>
      <c r="J59" s="7" t="s">
        <v>38</v>
      </c>
      <c r="K59" s="8"/>
      <c r="L59" s="8"/>
      <c r="M59" s="8"/>
      <c r="N59" s="6"/>
      <c r="O59" s="6"/>
      <c r="P59" s="6"/>
      <c r="Q59" s="6"/>
      <c r="R59" s="6"/>
      <c r="S59" s="6"/>
      <c r="T59" s="8"/>
      <c r="U59" s="8"/>
      <c r="V59" s="8"/>
      <c r="W59" s="6" t="str">
        <f t="shared" si="0"/>
        <v/>
      </c>
      <c r="X59" s="9">
        <v>5.8999999999999999E-3</v>
      </c>
      <c r="Y59" s="6">
        <v>0.27</v>
      </c>
      <c r="Z59" s="12">
        <v>-40.96</v>
      </c>
      <c r="AA59" s="13"/>
      <c r="AB59" s="13"/>
    </row>
    <row r="60" spans="1:28" ht="16" x14ac:dyDescent="0.2">
      <c r="A60" s="49"/>
      <c r="B60" s="6">
        <v>58</v>
      </c>
      <c r="C60" s="6" t="s">
        <v>336</v>
      </c>
      <c r="D60" s="7" t="s">
        <v>337</v>
      </c>
      <c r="E60" s="7" t="s">
        <v>338</v>
      </c>
      <c r="F60" s="7" t="s">
        <v>339</v>
      </c>
      <c r="G60" s="7">
        <v>282.25700000000001</v>
      </c>
      <c r="H60" s="7">
        <v>98</v>
      </c>
      <c r="I60" s="7" t="s">
        <v>340</v>
      </c>
      <c r="J60" s="7" t="s">
        <v>38</v>
      </c>
      <c r="K60" s="8"/>
      <c r="L60" s="8"/>
      <c r="M60" s="8"/>
      <c r="N60" s="6" t="s">
        <v>29</v>
      </c>
      <c r="O60" s="6" t="s">
        <v>29</v>
      </c>
      <c r="P60" s="6" t="s">
        <v>341</v>
      </c>
      <c r="Q60" s="6">
        <v>1.05</v>
      </c>
      <c r="R60" s="6" t="s">
        <v>342</v>
      </c>
      <c r="S60" s="6"/>
      <c r="T60" s="8"/>
      <c r="U60" s="8"/>
      <c r="V60" s="8"/>
      <c r="W60" s="6" t="str">
        <f t="shared" si="0"/>
        <v/>
      </c>
      <c r="X60" s="9">
        <v>6.7000000000000004E-2</v>
      </c>
      <c r="Y60" s="6">
        <v>0.63</v>
      </c>
      <c r="Z60" s="12">
        <v>-42.06</v>
      </c>
      <c r="AA60" s="13"/>
      <c r="AB60" s="13"/>
    </row>
    <row r="61" spans="1:28" ht="16" x14ac:dyDescent="0.2">
      <c r="A61" s="49"/>
      <c r="B61" s="6">
        <v>59</v>
      </c>
      <c r="C61" s="6" t="s">
        <v>343</v>
      </c>
      <c r="D61" s="7" t="s">
        <v>344</v>
      </c>
      <c r="E61" s="7" t="s">
        <v>345</v>
      </c>
      <c r="F61" s="7" t="s">
        <v>346</v>
      </c>
      <c r="G61" s="7">
        <v>293.24700000000001</v>
      </c>
      <c r="H61" s="7">
        <v>96</v>
      </c>
      <c r="I61" s="7" t="s">
        <v>347</v>
      </c>
      <c r="J61" s="7" t="s">
        <v>38</v>
      </c>
      <c r="K61" s="8"/>
      <c r="L61" s="8"/>
      <c r="M61" s="8"/>
      <c r="N61" s="6" t="s">
        <v>29</v>
      </c>
      <c r="O61" s="6" t="s">
        <v>29</v>
      </c>
      <c r="P61" s="6" t="s">
        <v>348</v>
      </c>
      <c r="Q61" s="6">
        <v>1.05</v>
      </c>
      <c r="R61" s="6" t="s">
        <v>349</v>
      </c>
      <c r="S61" s="6"/>
      <c r="T61" s="8"/>
      <c r="U61" s="8"/>
      <c r="V61" s="8"/>
      <c r="W61" s="6" t="s">
        <v>29</v>
      </c>
      <c r="X61" s="9">
        <v>1.4E-2</v>
      </c>
      <c r="Y61" s="6">
        <v>0.5</v>
      </c>
      <c r="Z61" s="12">
        <v>-45.38</v>
      </c>
      <c r="AA61" s="13"/>
      <c r="AB61" s="13"/>
    </row>
    <row r="62" spans="1:28" ht="16" x14ac:dyDescent="0.2">
      <c r="A62" s="49"/>
      <c r="B62" s="6">
        <v>60</v>
      </c>
      <c r="C62" s="6" t="s">
        <v>350</v>
      </c>
      <c r="D62" s="7" t="s">
        <v>351</v>
      </c>
      <c r="E62" s="7" t="s">
        <v>352</v>
      </c>
      <c r="F62" s="7" t="s">
        <v>353</v>
      </c>
      <c r="G62" s="7">
        <v>260.68200000000002</v>
      </c>
      <c r="H62" s="7">
        <v>98</v>
      </c>
      <c r="I62" s="7" t="s">
        <v>354</v>
      </c>
      <c r="J62" s="7" t="s">
        <v>38</v>
      </c>
      <c r="K62" s="8"/>
      <c r="L62" s="8"/>
      <c r="M62" s="8"/>
      <c r="N62" s="6" t="s">
        <v>29</v>
      </c>
      <c r="O62" s="6" t="s">
        <v>29</v>
      </c>
      <c r="P62" s="6" t="s">
        <v>355</v>
      </c>
      <c r="Q62" s="6">
        <v>1.05</v>
      </c>
      <c r="R62" s="6" t="s">
        <v>356</v>
      </c>
      <c r="S62" s="6"/>
      <c r="T62" s="8"/>
      <c r="U62" s="8"/>
      <c r="V62" s="8"/>
      <c r="W62" s="6" t="str">
        <f t="shared" ref="W62:W290" si="1">IF(AND(X62&lt;0.05,Y62&gt;0.5), "Y", "")</f>
        <v>Y</v>
      </c>
      <c r="X62" s="9">
        <v>1.6000000000000001E-8</v>
      </c>
      <c r="Y62" s="6">
        <v>0.98</v>
      </c>
      <c r="Z62" s="12">
        <v>-38.17</v>
      </c>
      <c r="AA62" s="13"/>
      <c r="AB62" s="13"/>
    </row>
    <row r="63" spans="1:28" ht="16" x14ac:dyDescent="0.2">
      <c r="A63" s="49"/>
      <c r="B63" s="6">
        <v>61</v>
      </c>
      <c r="C63" s="6" t="s">
        <v>357</v>
      </c>
      <c r="D63" s="7" t="s">
        <v>358</v>
      </c>
      <c r="E63" s="7" t="s">
        <v>359</v>
      </c>
      <c r="F63" s="7" t="s">
        <v>360</v>
      </c>
      <c r="G63" s="7">
        <v>274.27800000000002</v>
      </c>
      <c r="H63" s="7">
        <v>100</v>
      </c>
      <c r="I63" s="7" t="s">
        <v>361</v>
      </c>
      <c r="J63" s="7" t="s">
        <v>38</v>
      </c>
      <c r="K63" s="8"/>
      <c r="L63" s="8"/>
      <c r="M63" s="8"/>
      <c r="N63" s="6"/>
      <c r="O63" s="6"/>
      <c r="P63" s="6"/>
      <c r="Q63" s="6"/>
      <c r="R63" s="6"/>
      <c r="S63" s="6"/>
      <c r="T63" s="8"/>
      <c r="U63" s="8"/>
      <c r="V63" s="8"/>
      <c r="W63" s="6" t="str">
        <f t="shared" si="1"/>
        <v/>
      </c>
      <c r="X63" s="9">
        <v>4.1000000000000003E-3</v>
      </c>
      <c r="Y63" s="6">
        <v>0.33</v>
      </c>
      <c r="Z63" s="12">
        <v>-38.74</v>
      </c>
      <c r="AA63" s="13"/>
      <c r="AB63" s="13"/>
    </row>
    <row r="64" spans="1:28" ht="16" x14ac:dyDescent="0.2">
      <c r="A64" s="49"/>
      <c r="B64" s="6">
        <v>62</v>
      </c>
      <c r="C64" s="6" t="s">
        <v>362</v>
      </c>
      <c r="D64" s="7" t="s">
        <v>363</v>
      </c>
      <c r="E64" s="7" t="s">
        <v>364</v>
      </c>
      <c r="F64" s="7" t="s">
        <v>365</v>
      </c>
      <c r="G64" s="7">
        <v>277.279</v>
      </c>
      <c r="H64" s="7">
        <v>100</v>
      </c>
      <c r="I64" s="7" t="s">
        <v>366</v>
      </c>
      <c r="J64" s="7" t="s">
        <v>38</v>
      </c>
      <c r="K64" s="8"/>
      <c r="L64" s="8"/>
      <c r="M64" s="8"/>
      <c r="N64" s="6"/>
      <c r="O64" s="6"/>
      <c r="P64" s="6"/>
      <c r="Q64" s="6"/>
      <c r="R64" s="6"/>
      <c r="S64" s="6"/>
      <c r="T64" s="8"/>
      <c r="U64" s="8"/>
      <c r="V64" s="8"/>
      <c r="W64" s="6" t="str">
        <f t="shared" si="1"/>
        <v/>
      </c>
      <c r="X64" s="9">
        <v>4.6999999999999997E-5</v>
      </c>
      <c r="Y64" s="6">
        <v>0.49</v>
      </c>
      <c r="Z64" s="12">
        <v>-39.03</v>
      </c>
      <c r="AA64" s="13"/>
      <c r="AB64" s="13"/>
    </row>
    <row r="65" spans="1:28" ht="16" x14ac:dyDescent="0.2">
      <c r="A65" s="49"/>
      <c r="B65" s="6">
        <v>63</v>
      </c>
      <c r="C65" s="6" t="s">
        <v>367</v>
      </c>
      <c r="D65" s="7" t="s">
        <v>368</v>
      </c>
      <c r="E65" s="7" t="s">
        <v>369</v>
      </c>
      <c r="F65" s="7" t="s">
        <v>370</v>
      </c>
      <c r="G65" s="7">
        <v>295.339</v>
      </c>
      <c r="H65" s="7">
        <v>97</v>
      </c>
      <c r="I65" s="7" t="s">
        <v>371</v>
      </c>
      <c r="J65" s="7" t="s">
        <v>43</v>
      </c>
      <c r="K65" s="8"/>
      <c r="L65" s="8"/>
      <c r="M65" s="8"/>
      <c r="N65" s="6"/>
      <c r="O65" s="6"/>
      <c r="P65" s="6"/>
      <c r="Q65" s="6"/>
      <c r="R65" s="6"/>
      <c r="S65" s="6"/>
      <c r="T65" s="8"/>
      <c r="U65" s="8"/>
      <c r="V65" s="8"/>
      <c r="W65" s="6" t="str">
        <f t="shared" si="1"/>
        <v>Y</v>
      </c>
      <c r="X65" s="9">
        <v>1.2E-5</v>
      </c>
      <c r="Y65" s="6">
        <v>0.98</v>
      </c>
      <c r="Z65" s="12">
        <v>-40.18</v>
      </c>
      <c r="AA65" s="13"/>
      <c r="AB65" s="13"/>
    </row>
    <row r="66" spans="1:28" ht="16" x14ac:dyDescent="0.2">
      <c r="A66" s="49"/>
      <c r="B66" s="6">
        <v>64</v>
      </c>
      <c r="C66" s="6" t="s">
        <v>372</v>
      </c>
      <c r="D66" s="7" t="s">
        <v>373</v>
      </c>
      <c r="E66" s="7" t="s">
        <v>374</v>
      </c>
      <c r="F66" s="7" t="s">
        <v>375</v>
      </c>
      <c r="G66" s="7">
        <v>324.33699999999999</v>
      </c>
      <c r="H66" s="7">
        <v>100</v>
      </c>
      <c r="I66" s="7" t="s">
        <v>376</v>
      </c>
      <c r="J66" s="7" t="s">
        <v>38</v>
      </c>
      <c r="K66" s="8"/>
      <c r="L66" s="8"/>
      <c r="M66" s="8"/>
      <c r="N66" s="6"/>
      <c r="O66" s="6"/>
      <c r="P66" s="6"/>
      <c r="Q66" s="6"/>
      <c r="R66" s="6"/>
      <c r="S66" s="6"/>
      <c r="T66" s="8"/>
      <c r="U66" s="8"/>
      <c r="V66" s="8"/>
      <c r="W66" s="6" t="str">
        <f t="shared" si="1"/>
        <v/>
      </c>
      <c r="X66" s="9">
        <v>1.3E-6</v>
      </c>
      <c r="Y66" s="6">
        <v>0</v>
      </c>
      <c r="Z66" s="12">
        <v>-47.17</v>
      </c>
      <c r="AA66" s="13"/>
      <c r="AB66" s="13"/>
    </row>
    <row r="67" spans="1:28" ht="16" x14ac:dyDescent="0.2">
      <c r="A67" s="49"/>
      <c r="B67" s="6">
        <v>65</v>
      </c>
      <c r="C67" s="6" t="s">
        <v>377</v>
      </c>
      <c r="D67" s="7" t="s">
        <v>378</v>
      </c>
      <c r="E67" s="7" t="s">
        <v>379</v>
      </c>
      <c r="F67" s="7" t="s">
        <v>380</v>
      </c>
      <c r="G67" s="7">
        <v>344.363</v>
      </c>
      <c r="H67" s="7">
        <v>100</v>
      </c>
      <c r="I67" s="7" t="s">
        <v>381</v>
      </c>
      <c r="J67" s="7" t="s">
        <v>38</v>
      </c>
      <c r="K67" s="8"/>
      <c r="L67" s="8"/>
      <c r="M67" s="8"/>
      <c r="N67" s="6"/>
      <c r="O67" s="6"/>
      <c r="P67" s="6"/>
      <c r="Q67" s="6"/>
      <c r="R67" s="6"/>
      <c r="S67" s="6"/>
      <c r="T67" s="8"/>
      <c r="U67" s="8"/>
      <c r="V67" s="8"/>
      <c r="W67" s="6" t="str">
        <f t="shared" si="1"/>
        <v/>
      </c>
      <c r="X67" s="9">
        <v>0.43</v>
      </c>
      <c r="Y67" s="6">
        <v>0.57999999999999996</v>
      </c>
      <c r="Z67" s="12">
        <v>-39.53</v>
      </c>
      <c r="AA67" s="13"/>
      <c r="AB67" s="13"/>
    </row>
    <row r="68" spans="1:28" ht="16" x14ac:dyDescent="0.2">
      <c r="A68" s="49"/>
      <c r="B68" s="6">
        <v>66</v>
      </c>
      <c r="C68" s="6" t="s">
        <v>382</v>
      </c>
      <c r="D68" s="7" t="s">
        <v>383</v>
      </c>
      <c r="E68" s="7" t="s">
        <v>384</v>
      </c>
      <c r="F68" s="7" t="s">
        <v>385</v>
      </c>
      <c r="G68" s="7">
        <v>336.34699999999998</v>
      </c>
      <c r="H68" s="7">
        <v>100</v>
      </c>
      <c r="I68" s="7" t="s">
        <v>386</v>
      </c>
      <c r="J68" s="7" t="s">
        <v>38</v>
      </c>
      <c r="K68" s="8"/>
      <c r="L68" s="8"/>
      <c r="M68" s="8"/>
      <c r="N68" s="6"/>
      <c r="O68" s="6"/>
      <c r="P68" s="6"/>
      <c r="Q68" s="6"/>
      <c r="R68" s="6"/>
      <c r="S68" s="6"/>
      <c r="T68" s="8"/>
      <c r="U68" s="8"/>
      <c r="V68" s="8"/>
      <c r="W68" s="6" t="str">
        <f t="shared" si="1"/>
        <v>Y</v>
      </c>
      <c r="X68" s="9">
        <v>7.8999999999999996E-5</v>
      </c>
      <c r="Y68" s="6">
        <v>0.72</v>
      </c>
      <c r="Z68" s="12">
        <v>-41.63</v>
      </c>
      <c r="AA68" s="13"/>
      <c r="AB68" s="13"/>
    </row>
    <row r="69" spans="1:28" ht="16" x14ac:dyDescent="0.2">
      <c r="A69" s="49"/>
      <c r="B69" s="6">
        <v>67</v>
      </c>
      <c r="C69" s="6" t="s">
        <v>387</v>
      </c>
      <c r="D69" s="7" t="s">
        <v>388</v>
      </c>
      <c r="E69" s="7" t="s">
        <v>389</v>
      </c>
      <c r="F69" s="7" t="s">
        <v>390</v>
      </c>
      <c r="G69" s="7">
        <v>263.26499999999999</v>
      </c>
      <c r="H69" s="7">
        <v>100</v>
      </c>
      <c r="I69" s="7" t="s">
        <v>391</v>
      </c>
      <c r="J69" s="7" t="s">
        <v>38</v>
      </c>
      <c r="K69" s="8"/>
      <c r="L69" s="8"/>
      <c r="M69" s="8"/>
      <c r="N69" s="6"/>
      <c r="O69" s="6"/>
      <c r="P69" s="6"/>
      <c r="Q69" s="6"/>
      <c r="R69" s="6"/>
      <c r="S69" s="6"/>
      <c r="T69" s="8"/>
      <c r="U69" s="8"/>
      <c r="V69" s="8"/>
      <c r="W69" s="6" t="str">
        <f t="shared" si="1"/>
        <v/>
      </c>
      <c r="X69" s="9">
        <v>0.96</v>
      </c>
      <c r="Y69" s="6">
        <v>1.24</v>
      </c>
      <c r="Z69" s="12">
        <v>-39.479999999999997</v>
      </c>
      <c r="AA69" s="13"/>
      <c r="AB69" s="13"/>
    </row>
    <row r="70" spans="1:28" ht="16" x14ac:dyDescent="0.2">
      <c r="A70" s="49"/>
      <c r="B70" s="6">
        <v>68</v>
      </c>
      <c r="C70" s="6" t="s">
        <v>392</v>
      </c>
      <c r="D70" s="7" t="s">
        <v>393</v>
      </c>
      <c r="E70" s="7" t="s">
        <v>394</v>
      </c>
      <c r="F70" s="7" t="s">
        <v>395</v>
      </c>
      <c r="G70" s="7">
        <v>257.25099999999998</v>
      </c>
      <c r="H70" s="7">
        <v>96</v>
      </c>
      <c r="I70" s="7" t="s">
        <v>396</v>
      </c>
      <c r="J70" s="7" t="s">
        <v>38</v>
      </c>
      <c r="K70" s="8"/>
      <c r="L70" s="8"/>
      <c r="M70" s="8"/>
      <c r="N70" s="6"/>
      <c r="O70" s="6"/>
      <c r="P70" s="6"/>
      <c r="Q70" s="6"/>
      <c r="R70" s="6"/>
      <c r="S70" s="6"/>
      <c r="T70" s="8"/>
      <c r="U70" s="8"/>
      <c r="V70" s="8"/>
      <c r="W70" s="6" t="str">
        <f t="shared" si="1"/>
        <v>Y</v>
      </c>
      <c r="X70" s="9">
        <v>2.8E-3</v>
      </c>
      <c r="Y70" s="6">
        <v>1.48</v>
      </c>
      <c r="Z70" s="12">
        <v>-39.36</v>
      </c>
      <c r="AA70" s="13"/>
      <c r="AB70" s="13"/>
    </row>
    <row r="71" spans="1:28" ht="16" x14ac:dyDescent="0.2">
      <c r="A71" s="49"/>
      <c r="B71" s="6">
        <v>69</v>
      </c>
      <c r="C71" s="6" t="s">
        <v>397</v>
      </c>
      <c r="D71" s="7" t="s">
        <v>398</v>
      </c>
      <c r="E71" s="7" t="s">
        <v>399</v>
      </c>
      <c r="F71" s="7" t="s">
        <v>400</v>
      </c>
      <c r="G71" s="7">
        <v>303.75</v>
      </c>
      <c r="H71" s="7">
        <v>100</v>
      </c>
      <c r="I71" s="7" t="s">
        <v>401</v>
      </c>
      <c r="J71" s="7" t="s">
        <v>43</v>
      </c>
      <c r="K71" s="8"/>
      <c r="L71" s="8"/>
      <c r="M71" s="8"/>
      <c r="N71" s="6"/>
      <c r="O71" s="6"/>
      <c r="P71" s="6"/>
      <c r="Q71" s="6"/>
      <c r="R71" s="6"/>
      <c r="S71" s="6"/>
      <c r="T71" s="8"/>
      <c r="U71" s="8"/>
      <c r="V71" s="8"/>
      <c r="W71" s="6" t="str">
        <f t="shared" si="1"/>
        <v/>
      </c>
      <c r="X71" s="9">
        <v>0.12</v>
      </c>
      <c r="Y71" s="6">
        <v>0.86</v>
      </c>
      <c r="Z71" s="12">
        <v>-41.77</v>
      </c>
      <c r="AA71" s="13"/>
      <c r="AB71" s="13"/>
    </row>
    <row r="72" spans="1:28" ht="16" x14ac:dyDescent="0.2">
      <c r="A72" s="49"/>
      <c r="B72" s="6">
        <v>70</v>
      </c>
      <c r="C72" s="6" t="s">
        <v>44</v>
      </c>
      <c r="D72" s="7" t="s">
        <v>402</v>
      </c>
      <c r="E72" s="7" t="s">
        <v>403</v>
      </c>
      <c r="F72" s="7" t="s">
        <v>404</v>
      </c>
      <c r="G72" s="7">
        <v>297.30799999999999</v>
      </c>
      <c r="H72" s="7">
        <v>95</v>
      </c>
      <c r="I72" s="7" t="s">
        <v>405</v>
      </c>
      <c r="J72" s="7" t="s">
        <v>38</v>
      </c>
      <c r="K72" s="8"/>
      <c r="L72" s="8"/>
      <c r="M72" s="8"/>
      <c r="N72" s="6"/>
      <c r="O72" s="6"/>
      <c r="P72" s="6"/>
      <c r="Q72" s="6"/>
      <c r="R72" s="6"/>
      <c r="S72" s="6"/>
      <c r="T72" s="8"/>
      <c r="U72" s="8"/>
      <c r="V72" s="8"/>
      <c r="W72" s="6" t="str">
        <f t="shared" si="1"/>
        <v/>
      </c>
      <c r="X72" s="9">
        <v>3.7000000000000002E-6</v>
      </c>
      <c r="Y72" s="6">
        <v>0</v>
      </c>
      <c r="Z72" s="12">
        <v>-39.049999999999997</v>
      </c>
      <c r="AA72" s="13"/>
      <c r="AB72" s="13"/>
    </row>
    <row r="73" spans="1:28" ht="16" x14ac:dyDescent="0.2">
      <c r="A73" s="49"/>
      <c r="B73" s="6">
        <v>71</v>
      </c>
      <c r="C73" s="6" t="s">
        <v>406</v>
      </c>
      <c r="D73" s="7" t="s">
        <v>407</v>
      </c>
      <c r="E73" s="7" t="s">
        <v>408</v>
      </c>
      <c r="F73" s="7" t="s">
        <v>409</v>
      </c>
      <c r="G73" s="7">
        <v>256.29899999999998</v>
      </c>
      <c r="H73" s="7">
        <v>95</v>
      </c>
      <c r="I73" s="7" t="s">
        <v>410</v>
      </c>
      <c r="J73" s="7" t="s">
        <v>38</v>
      </c>
      <c r="K73" s="8"/>
      <c r="L73" s="8"/>
      <c r="M73" s="8"/>
      <c r="N73" s="6"/>
      <c r="O73" s="6"/>
      <c r="P73" s="6"/>
      <c r="Q73" s="6"/>
      <c r="R73" s="6"/>
      <c r="S73" s="6"/>
      <c r="T73" s="8"/>
      <c r="U73" s="8"/>
      <c r="V73" s="8"/>
      <c r="W73" s="6" t="str">
        <f t="shared" si="1"/>
        <v/>
      </c>
      <c r="X73" s="9">
        <v>0.28999999999999998</v>
      </c>
      <c r="Y73" s="6">
        <v>0.19</v>
      </c>
      <c r="Z73" s="12">
        <v>-38.92</v>
      </c>
      <c r="AA73" s="13"/>
      <c r="AB73" s="13"/>
    </row>
    <row r="74" spans="1:28" ht="16" x14ac:dyDescent="0.2">
      <c r="A74" s="49"/>
      <c r="B74" s="6">
        <v>72</v>
      </c>
      <c r="C74" s="6" t="s">
        <v>411</v>
      </c>
      <c r="D74" s="7" t="s">
        <v>412</v>
      </c>
      <c r="E74" s="7" t="s">
        <v>413</v>
      </c>
      <c r="F74" s="7" t="s">
        <v>414</v>
      </c>
      <c r="G74" s="7">
        <v>311.33800000000002</v>
      </c>
      <c r="H74" s="7">
        <v>98</v>
      </c>
      <c r="I74" s="7" t="s">
        <v>415</v>
      </c>
      <c r="J74" s="7" t="s">
        <v>38</v>
      </c>
      <c r="K74" s="8"/>
      <c r="L74" s="8"/>
      <c r="M74" s="8"/>
      <c r="N74" s="6"/>
      <c r="O74" s="6"/>
      <c r="P74" s="6"/>
      <c r="Q74" s="6"/>
      <c r="R74" s="6"/>
      <c r="S74" s="6"/>
      <c r="T74" s="8"/>
      <c r="U74" s="8"/>
      <c r="V74" s="8"/>
      <c r="W74" s="6" t="str">
        <f t="shared" si="1"/>
        <v>Y</v>
      </c>
      <c r="X74" s="9">
        <v>1.1999999999999999E-3</v>
      </c>
      <c r="Y74" s="6">
        <v>1.08</v>
      </c>
      <c r="Z74" s="12">
        <v>-43.57</v>
      </c>
      <c r="AA74" s="13"/>
      <c r="AB74" s="13"/>
    </row>
    <row r="75" spans="1:28" ht="16" x14ac:dyDescent="0.2">
      <c r="A75" s="49"/>
      <c r="B75" s="6">
        <v>73</v>
      </c>
      <c r="C75" s="6" t="s">
        <v>416</v>
      </c>
      <c r="D75" s="7" t="s">
        <v>417</v>
      </c>
      <c r="E75" s="7" t="s">
        <v>418</v>
      </c>
      <c r="F75" s="7" t="s">
        <v>419</v>
      </c>
      <c r="G75" s="7">
        <v>282.33999999999997</v>
      </c>
      <c r="H75" s="7">
        <v>100</v>
      </c>
      <c r="I75" s="7" t="s">
        <v>420</v>
      </c>
      <c r="J75" s="7" t="s">
        <v>38</v>
      </c>
      <c r="K75" s="8"/>
      <c r="L75" s="8"/>
      <c r="M75" s="8"/>
      <c r="N75" s="6" t="s">
        <v>29</v>
      </c>
      <c r="O75" s="6" t="s">
        <v>29</v>
      </c>
      <c r="P75" s="6" t="s">
        <v>421</v>
      </c>
      <c r="Q75" s="6">
        <v>1.05</v>
      </c>
      <c r="R75" s="6">
        <v>1.59</v>
      </c>
      <c r="S75" s="6"/>
      <c r="T75" s="8"/>
      <c r="U75" s="8"/>
      <c r="V75" s="8"/>
      <c r="W75" s="6" t="str">
        <f t="shared" si="1"/>
        <v/>
      </c>
      <c r="X75" s="9">
        <v>7.0999999999999994E-2</v>
      </c>
      <c r="Y75" s="6">
        <v>0.93</v>
      </c>
      <c r="Z75" s="12">
        <v>-43.27</v>
      </c>
      <c r="AA75" s="13"/>
      <c r="AB75" s="13"/>
    </row>
    <row r="76" spans="1:28" ht="16" x14ac:dyDescent="0.2">
      <c r="A76" s="49"/>
      <c r="B76" s="6">
        <v>74</v>
      </c>
      <c r="C76" s="6" t="s">
        <v>422</v>
      </c>
      <c r="D76" s="7" t="s">
        <v>423</v>
      </c>
      <c r="E76" s="7" t="s">
        <v>424</v>
      </c>
      <c r="F76" s="7" t="s">
        <v>425</v>
      </c>
      <c r="G76" s="7">
        <v>340.35899999999998</v>
      </c>
      <c r="H76" s="7">
        <v>100</v>
      </c>
      <c r="I76" s="7" t="s">
        <v>426</v>
      </c>
      <c r="J76" s="7" t="s">
        <v>38</v>
      </c>
      <c r="K76" s="8"/>
      <c r="L76" s="8"/>
      <c r="M76" s="8"/>
      <c r="N76" s="6"/>
      <c r="O76" s="6"/>
      <c r="P76" s="6"/>
      <c r="Q76" s="6"/>
      <c r="R76" s="6"/>
      <c r="S76" s="6"/>
      <c r="T76" s="8"/>
      <c r="U76" s="8"/>
      <c r="V76" s="8"/>
      <c r="W76" s="6" t="str">
        <f t="shared" si="1"/>
        <v>Y</v>
      </c>
      <c r="X76" s="9">
        <v>3.0000000000000001E-5</v>
      </c>
      <c r="Y76" s="6">
        <v>0.56000000000000005</v>
      </c>
      <c r="Z76" s="12">
        <v>-41.78</v>
      </c>
      <c r="AA76" s="13"/>
      <c r="AB76" s="13"/>
    </row>
    <row r="77" spans="1:28" ht="16" x14ac:dyDescent="0.2">
      <c r="A77" s="49"/>
      <c r="B77" s="6">
        <v>75</v>
      </c>
      <c r="C77" s="6" t="s">
        <v>427</v>
      </c>
      <c r="D77" s="7" t="s">
        <v>428</v>
      </c>
      <c r="E77" s="7" t="s">
        <v>429</v>
      </c>
      <c r="F77" s="7" t="s">
        <v>430</v>
      </c>
      <c r="G77" s="7">
        <v>300.33</v>
      </c>
      <c r="H77" s="7">
        <v>100</v>
      </c>
      <c r="I77" s="7" t="s">
        <v>431</v>
      </c>
      <c r="J77" s="7" t="s">
        <v>85</v>
      </c>
      <c r="K77" s="8"/>
      <c r="L77" s="8"/>
      <c r="M77" s="8"/>
      <c r="N77" s="6" t="s">
        <v>29</v>
      </c>
      <c r="O77" s="6" t="s">
        <v>29</v>
      </c>
      <c r="P77" s="6" t="s">
        <v>432</v>
      </c>
      <c r="Q77" s="6">
        <v>1.05</v>
      </c>
      <c r="R77" s="6">
        <v>1.46</v>
      </c>
      <c r="S77" s="6" t="s">
        <v>29</v>
      </c>
      <c r="T77" s="14">
        <v>90.3</v>
      </c>
      <c r="U77" s="14">
        <v>1.7</v>
      </c>
      <c r="V77" s="14">
        <v>78.599999999999994</v>
      </c>
      <c r="W77" s="6" t="str">
        <f t="shared" si="1"/>
        <v>Y</v>
      </c>
      <c r="X77" s="9">
        <v>2.1999999999999999E-12</v>
      </c>
      <c r="Y77" s="6">
        <v>1.5</v>
      </c>
      <c r="Z77" s="12">
        <v>-40.33</v>
      </c>
      <c r="AA77" s="13"/>
      <c r="AB77" s="13"/>
    </row>
    <row r="78" spans="1:28" ht="16" x14ac:dyDescent="0.2">
      <c r="A78" s="49"/>
      <c r="B78" s="6">
        <v>76</v>
      </c>
      <c r="C78" s="6" t="s">
        <v>433</v>
      </c>
      <c r="D78" s="7" t="s">
        <v>434</v>
      </c>
      <c r="E78" s="7" t="s">
        <v>435</v>
      </c>
      <c r="F78" s="7" t="s">
        <v>436</v>
      </c>
      <c r="G78" s="7">
        <v>298.339</v>
      </c>
      <c r="H78" s="7">
        <v>100</v>
      </c>
      <c r="I78" s="7" t="s">
        <v>437</v>
      </c>
      <c r="J78" s="7" t="s">
        <v>438</v>
      </c>
      <c r="K78" s="8"/>
      <c r="L78" s="8"/>
      <c r="M78" s="8"/>
      <c r="N78" s="6" t="s">
        <v>29</v>
      </c>
      <c r="O78" s="6" t="s">
        <v>29</v>
      </c>
      <c r="P78" s="6" t="s">
        <v>439</v>
      </c>
      <c r="Q78" s="6">
        <v>1.01</v>
      </c>
      <c r="R78" s="6">
        <v>1.74</v>
      </c>
      <c r="S78" s="6" t="s">
        <v>29</v>
      </c>
      <c r="T78" s="14">
        <v>416.2</v>
      </c>
      <c r="U78" s="14">
        <v>9.5</v>
      </c>
      <c r="V78" s="14">
        <v>362.1</v>
      </c>
      <c r="W78" s="6" t="str">
        <f t="shared" si="1"/>
        <v/>
      </c>
      <c r="X78" s="9">
        <v>0.19</v>
      </c>
      <c r="Y78" s="6">
        <v>0.46</v>
      </c>
      <c r="Z78" s="12">
        <v>-41.34</v>
      </c>
      <c r="AA78" s="13"/>
      <c r="AB78" s="13"/>
    </row>
    <row r="79" spans="1:28" ht="16" x14ac:dyDescent="0.2">
      <c r="A79" s="49"/>
      <c r="B79" s="6">
        <v>77</v>
      </c>
      <c r="C79" s="6" t="s">
        <v>440</v>
      </c>
      <c r="D79" s="7" t="s">
        <v>441</v>
      </c>
      <c r="E79" s="7" t="s">
        <v>442</v>
      </c>
      <c r="F79" s="7" t="s">
        <v>443</v>
      </c>
      <c r="G79" s="7">
        <v>264.26</v>
      </c>
      <c r="H79" s="7">
        <v>100</v>
      </c>
      <c r="I79" s="7" t="s">
        <v>444</v>
      </c>
      <c r="J79" s="7" t="s">
        <v>38</v>
      </c>
      <c r="K79" s="8"/>
      <c r="L79" s="8"/>
      <c r="M79" s="8"/>
      <c r="N79" s="6" t="s">
        <v>29</v>
      </c>
      <c r="O79" s="6" t="s">
        <v>29</v>
      </c>
      <c r="P79" s="6" t="s">
        <v>445</v>
      </c>
      <c r="Q79" s="6">
        <v>1.05</v>
      </c>
      <c r="R79" s="6">
        <v>2.2200000000000002</v>
      </c>
      <c r="S79" s="6"/>
      <c r="T79" s="8"/>
      <c r="U79" s="8"/>
      <c r="V79" s="8"/>
      <c r="W79" s="6" t="str">
        <f t="shared" si="1"/>
        <v/>
      </c>
      <c r="X79" s="9">
        <v>6.4999999999999997E-3</v>
      </c>
      <c r="Y79" s="6">
        <v>0.49</v>
      </c>
      <c r="Z79" s="12">
        <v>-40.229999999999997</v>
      </c>
      <c r="AA79" s="13"/>
      <c r="AB79" s="13"/>
    </row>
    <row r="80" spans="1:28" ht="16" x14ac:dyDescent="0.2">
      <c r="A80" s="50"/>
      <c r="B80" s="2">
        <v>78</v>
      </c>
      <c r="C80" s="2" t="s">
        <v>446</v>
      </c>
      <c r="D80" s="15" t="s">
        <v>447</v>
      </c>
      <c r="E80" s="15" t="s">
        <v>448</v>
      </c>
      <c r="F80" s="15" t="s">
        <v>449</v>
      </c>
      <c r="G80" s="15">
        <v>349.423</v>
      </c>
      <c r="H80" s="15">
        <v>100</v>
      </c>
      <c r="I80" s="15" t="s">
        <v>450</v>
      </c>
      <c r="J80" s="15" t="s">
        <v>43</v>
      </c>
      <c r="K80" s="16"/>
      <c r="L80" s="16"/>
      <c r="M80" s="16"/>
      <c r="N80" s="2"/>
      <c r="O80" s="2"/>
      <c r="P80" s="2"/>
      <c r="Q80" s="2"/>
      <c r="R80" s="2"/>
      <c r="S80" s="2"/>
      <c r="T80" s="16"/>
      <c r="U80" s="16"/>
      <c r="V80" s="16"/>
      <c r="W80" s="2" t="str">
        <f t="shared" si="1"/>
        <v>Y</v>
      </c>
      <c r="X80" s="17">
        <v>1.1E-4</v>
      </c>
      <c r="Y80" s="2">
        <v>0.56999999999999995</v>
      </c>
      <c r="Z80" s="18">
        <v>-38.72</v>
      </c>
      <c r="AA80" s="5"/>
      <c r="AB80" s="5"/>
    </row>
    <row r="81" spans="1:28" ht="16" x14ac:dyDescent="0.2">
      <c r="A81" s="51" t="s">
        <v>451</v>
      </c>
      <c r="B81" s="6">
        <v>79</v>
      </c>
      <c r="C81" s="6" t="s">
        <v>452</v>
      </c>
      <c r="D81" s="6" t="s">
        <v>453</v>
      </c>
      <c r="E81" s="6" t="s">
        <v>453</v>
      </c>
      <c r="F81" s="6" t="s">
        <v>454</v>
      </c>
      <c r="G81" s="6">
        <v>395.40800000000002</v>
      </c>
      <c r="H81" s="6">
        <v>96</v>
      </c>
      <c r="I81" s="6" t="s">
        <v>455</v>
      </c>
      <c r="J81" s="6" t="s">
        <v>91</v>
      </c>
      <c r="K81" s="8"/>
      <c r="L81" s="8"/>
      <c r="M81" s="8"/>
      <c r="N81" s="6" t="s">
        <v>29</v>
      </c>
      <c r="O81" s="6" t="s">
        <v>29</v>
      </c>
      <c r="P81" s="6" t="s">
        <v>456</v>
      </c>
      <c r="Q81" s="6">
        <v>1.05</v>
      </c>
      <c r="R81" s="6"/>
      <c r="S81" s="6" t="s">
        <v>29</v>
      </c>
      <c r="T81" s="14" t="s">
        <v>457</v>
      </c>
      <c r="U81" s="14" t="s">
        <v>458</v>
      </c>
      <c r="V81" s="14" t="s">
        <v>459</v>
      </c>
      <c r="W81" s="6" t="str">
        <f t="shared" si="1"/>
        <v>Y</v>
      </c>
      <c r="X81" s="9">
        <v>1.3E-17</v>
      </c>
      <c r="Y81" s="6">
        <v>4.95</v>
      </c>
      <c r="Z81" s="19"/>
      <c r="AA81" s="11"/>
      <c r="AB81" s="11"/>
    </row>
    <row r="82" spans="1:28" ht="16" x14ac:dyDescent="0.2">
      <c r="A82" s="49"/>
      <c r="B82" s="6">
        <v>80</v>
      </c>
      <c r="C82" s="6" t="s">
        <v>460</v>
      </c>
      <c r="D82" s="6" t="s">
        <v>461</v>
      </c>
      <c r="E82" s="6" t="s">
        <v>461</v>
      </c>
      <c r="F82" s="6" t="s">
        <v>462</v>
      </c>
      <c r="G82" s="6">
        <v>353.37099999999998</v>
      </c>
      <c r="H82" s="6">
        <v>100</v>
      </c>
      <c r="I82" s="6" t="s">
        <v>463</v>
      </c>
      <c r="J82" s="6" t="s">
        <v>91</v>
      </c>
      <c r="K82" s="8"/>
      <c r="L82" s="8"/>
      <c r="M82" s="8"/>
      <c r="N82" s="6" t="s">
        <v>29</v>
      </c>
      <c r="O82" s="6" t="s">
        <v>29</v>
      </c>
      <c r="P82" s="6" t="s">
        <v>464</v>
      </c>
      <c r="Q82" s="6">
        <v>1.05</v>
      </c>
      <c r="R82" s="6"/>
      <c r="S82" s="6" t="s">
        <v>29</v>
      </c>
      <c r="T82" s="14">
        <v>10.3</v>
      </c>
      <c r="U82" s="14">
        <v>0.1</v>
      </c>
      <c r="V82" s="14">
        <v>9</v>
      </c>
      <c r="W82" s="6" t="str">
        <f t="shared" si="1"/>
        <v>Y</v>
      </c>
      <c r="X82" s="9">
        <v>4.7999999999999997E-17</v>
      </c>
      <c r="Y82" s="6">
        <v>3.71</v>
      </c>
      <c r="Z82" s="20"/>
      <c r="AA82" s="13"/>
      <c r="AB82" s="13"/>
    </row>
    <row r="83" spans="1:28" ht="16" x14ac:dyDescent="0.2">
      <c r="A83" s="49"/>
      <c r="B83" s="6">
        <v>81</v>
      </c>
      <c r="C83" s="6" t="s">
        <v>465</v>
      </c>
      <c r="D83" s="6" t="s">
        <v>466</v>
      </c>
      <c r="E83" s="6" t="s">
        <v>466</v>
      </c>
      <c r="F83" s="6" t="s">
        <v>467</v>
      </c>
      <c r="G83" s="6">
        <v>354.35599999999999</v>
      </c>
      <c r="H83" s="6">
        <v>97</v>
      </c>
      <c r="I83" s="6" t="s">
        <v>468</v>
      </c>
      <c r="J83" s="6" t="s">
        <v>91</v>
      </c>
      <c r="K83" s="8"/>
      <c r="L83" s="8"/>
      <c r="M83" s="8"/>
      <c r="N83" s="6" t="s">
        <v>29</v>
      </c>
      <c r="O83" s="6" t="s">
        <v>29</v>
      </c>
      <c r="P83" s="6" t="s">
        <v>469</v>
      </c>
      <c r="Q83" s="6">
        <v>1.05</v>
      </c>
      <c r="R83" s="6"/>
      <c r="S83" s="6"/>
      <c r="T83" s="8"/>
      <c r="U83" s="8"/>
      <c r="V83" s="8"/>
      <c r="W83" s="6" t="str">
        <f t="shared" si="1"/>
        <v>Y</v>
      </c>
      <c r="X83" s="9">
        <v>6.2000000000000003E-5</v>
      </c>
      <c r="Y83" s="6">
        <v>0.6</v>
      </c>
      <c r="Z83" s="20"/>
      <c r="AA83" s="13"/>
      <c r="AB83" s="13"/>
    </row>
    <row r="84" spans="1:28" ht="16" x14ac:dyDescent="0.2">
      <c r="A84" s="49"/>
      <c r="B84" s="6">
        <v>82</v>
      </c>
      <c r="C84" s="6" t="s">
        <v>470</v>
      </c>
      <c r="D84" s="6" t="s">
        <v>471</v>
      </c>
      <c r="E84" s="6" t="s">
        <v>471</v>
      </c>
      <c r="F84" s="6" t="s">
        <v>472</v>
      </c>
      <c r="G84" s="6">
        <v>327.36399999999998</v>
      </c>
      <c r="H84" s="6">
        <v>94</v>
      </c>
      <c r="I84" s="6" t="s">
        <v>473</v>
      </c>
      <c r="J84" s="6" t="s">
        <v>38</v>
      </c>
      <c r="K84" s="8"/>
      <c r="L84" s="8"/>
      <c r="M84" s="8"/>
      <c r="N84" s="6" t="s">
        <v>29</v>
      </c>
      <c r="O84" s="6" t="s">
        <v>29</v>
      </c>
      <c r="P84" s="6" t="s">
        <v>474</v>
      </c>
      <c r="Q84" s="6">
        <v>1.07</v>
      </c>
      <c r="R84" s="6"/>
      <c r="S84" s="6"/>
      <c r="T84" s="8"/>
      <c r="U84" s="8"/>
      <c r="V84" s="8"/>
      <c r="W84" s="6" t="str">
        <f t="shared" si="1"/>
        <v>Y</v>
      </c>
      <c r="X84" s="9">
        <v>3.4E-5</v>
      </c>
      <c r="Y84" s="6">
        <v>0.71</v>
      </c>
      <c r="Z84" s="20"/>
      <c r="AA84" s="13"/>
      <c r="AB84" s="13"/>
    </row>
    <row r="85" spans="1:28" ht="16" x14ac:dyDescent="0.2">
      <c r="A85" s="49"/>
      <c r="B85" s="6">
        <v>83</v>
      </c>
      <c r="C85" s="6" t="s">
        <v>475</v>
      </c>
      <c r="D85" s="6" t="s">
        <v>476</v>
      </c>
      <c r="E85" s="6" t="s">
        <v>476</v>
      </c>
      <c r="F85" s="6" t="s">
        <v>477</v>
      </c>
      <c r="G85" s="6">
        <v>343.37200000000001</v>
      </c>
      <c r="H85" s="6">
        <v>100</v>
      </c>
      <c r="I85" s="6" t="s">
        <v>478</v>
      </c>
      <c r="J85" s="6" t="s">
        <v>91</v>
      </c>
      <c r="K85" s="8"/>
      <c r="L85" s="8"/>
      <c r="M85" s="8"/>
      <c r="N85" s="6"/>
      <c r="O85" s="6"/>
      <c r="P85" s="6"/>
      <c r="Q85" s="6"/>
      <c r="R85" s="6"/>
      <c r="S85" s="6"/>
      <c r="T85" s="8"/>
      <c r="U85" s="8"/>
      <c r="V85" s="8"/>
      <c r="W85" s="6" t="str">
        <f t="shared" si="1"/>
        <v/>
      </c>
      <c r="X85" s="9">
        <v>0.4</v>
      </c>
      <c r="Y85" s="6">
        <v>0.13</v>
      </c>
      <c r="Z85" s="20"/>
      <c r="AA85" s="13"/>
      <c r="AB85" s="13"/>
    </row>
    <row r="86" spans="1:28" ht="16" x14ac:dyDescent="0.2">
      <c r="A86" s="49"/>
      <c r="B86" s="6">
        <v>84</v>
      </c>
      <c r="C86" s="6" t="s">
        <v>479</v>
      </c>
      <c r="D86" s="6" t="s">
        <v>480</v>
      </c>
      <c r="E86" s="6" t="s">
        <v>480</v>
      </c>
      <c r="F86" s="6" t="s">
        <v>481</v>
      </c>
      <c r="G86" s="6">
        <v>281.72399999999999</v>
      </c>
      <c r="H86" s="6">
        <v>100</v>
      </c>
      <c r="I86" s="6" t="s">
        <v>482</v>
      </c>
      <c r="J86" s="6" t="s">
        <v>38</v>
      </c>
      <c r="K86" s="8"/>
      <c r="L86" s="8"/>
      <c r="M86" s="8"/>
      <c r="N86" s="6" t="s">
        <v>29</v>
      </c>
      <c r="O86" s="6" t="s">
        <v>29</v>
      </c>
      <c r="P86" s="6" t="s">
        <v>483</v>
      </c>
      <c r="Q86" s="6">
        <v>1.06</v>
      </c>
      <c r="R86" s="6"/>
      <c r="S86" s="6"/>
      <c r="T86" s="8"/>
      <c r="U86" s="8"/>
      <c r="V86" s="8"/>
      <c r="W86" s="6" t="str">
        <f t="shared" si="1"/>
        <v>Y</v>
      </c>
      <c r="X86" s="9">
        <v>3.7E-9</v>
      </c>
      <c r="Y86" s="6">
        <v>1.1000000000000001</v>
      </c>
      <c r="Z86" s="20"/>
      <c r="AA86" s="13"/>
      <c r="AB86" s="13"/>
    </row>
    <row r="87" spans="1:28" ht="16" x14ac:dyDescent="0.2">
      <c r="A87" s="49"/>
      <c r="B87" s="6">
        <v>85</v>
      </c>
      <c r="C87" s="6" t="s">
        <v>484</v>
      </c>
      <c r="D87" s="6" t="s">
        <v>485</v>
      </c>
      <c r="E87" s="6" t="s">
        <v>485</v>
      </c>
      <c r="F87" s="6" t="s">
        <v>486</v>
      </c>
      <c r="G87" s="6">
        <v>261.30599999999998</v>
      </c>
      <c r="H87" s="6">
        <v>100</v>
      </c>
      <c r="I87" s="6" t="s">
        <v>487</v>
      </c>
      <c r="J87" s="6" t="s">
        <v>38</v>
      </c>
      <c r="K87" s="8"/>
      <c r="L87" s="8"/>
      <c r="M87" s="8"/>
      <c r="N87" s="6" t="s">
        <v>29</v>
      </c>
      <c r="O87" s="6" t="s">
        <v>29</v>
      </c>
      <c r="P87" s="6" t="s">
        <v>488</v>
      </c>
      <c r="Q87" s="6">
        <v>1.05</v>
      </c>
      <c r="R87" s="6"/>
      <c r="S87" s="6"/>
      <c r="T87" s="8"/>
      <c r="U87" s="8"/>
      <c r="V87" s="8"/>
      <c r="W87" s="6" t="str">
        <f t="shared" si="1"/>
        <v/>
      </c>
      <c r="X87" s="9">
        <v>0.77</v>
      </c>
      <c r="Y87" s="6">
        <v>0.53</v>
      </c>
      <c r="Z87" s="20"/>
      <c r="AA87" s="13"/>
      <c r="AB87" s="13"/>
    </row>
    <row r="88" spans="1:28" ht="16" x14ac:dyDescent="0.2">
      <c r="A88" s="49"/>
      <c r="B88" s="6">
        <v>86</v>
      </c>
      <c r="C88" s="6" t="s">
        <v>489</v>
      </c>
      <c r="D88" s="6" t="s">
        <v>490</v>
      </c>
      <c r="E88" s="6" t="s">
        <v>490</v>
      </c>
      <c r="F88" s="6" t="s">
        <v>491</v>
      </c>
      <c r="G88" s="6">
        <v>295.29599999999999</v>
      </c>
      <c r="H88" s="6">
        <v>100</v>
      </c>
      <c r="I88" s="6" t="s">
        <v>492</v>
      </c>
      <c r="J88" s="6" t="s">
        <v>38</v>
      </c>
      <c r="K88" s="8"/>
      <c r="L88" s="8"/>
      <c r="M88" s="8"/>
      <c r="N88" s="6"/>
      <c r="O88" s="6"/>
      <c r="P88" s="6"/>
      <c r="Q88" s="6"/>
      <c r="R88" s="6"/>
      <c r="S88" s="6"/>
      <c r="T88" s="8"/>
      <c r="U88" s="8"/>
      <c r="V88" s="8"/>
      <c r="W88" s="6" t="str">
        <f t="shared" si="1"/>
        <v/>
      </c>
      <c r="X88" s="9">
        <v>4.8000000000000001E-2</v>
      </c>
      <c r="Y88" s="6">
        <v>0.22</v>
      </c>
      <c r="Z88" s="20"/>
      <c r="AA88" s="13"/>
      <c r="AB88" s="13"/>
    </row>
    <row r="89" spans="1:28" ht="16" x14ac:dyDescent="0.2">
      <c r="A89" s="49"/>
      <c r="B89" s="6">
        <v>87</v>
      </c>
      <c r="C89" s="6" t="s">
        <v>493</v>
      </c>
      <c r="D89" s="6" t="s">
        <v>494</v>
      </c>
      <c r="E89" s="6" t="s">
        <v>494</v>
      </c>
      <c r="F89" s="6" t="s">
        <v>495</v>
      </c>
      <c r="G89" s="6">
        <v>287.34300000000002</v>
      </c>
      <c r="H89" s="6">
        <v>98</v>
      </c>
      <c r="I89" s="6" t="s">
        <v>496</v>
      </c>
      <c r="J89" s="6" t="s">
        <v>38</v>
      </c>
      <c r="K89" s="8"/>
      <c r="L89" s="8"/>
      <c r="M89" s="8"/>
      <c r="N89" s="6" t="s">
        <v>29</v>
      </c>
      <c r="O89" s="6" t="s">
        <v>29</v>
      </c>
      <c r="P89" s="6" t="s">
        <v>497</v>
      </c>
      <c r="Q89" s="6">
        <v>1.05</v>
      </c>
      <c r="R89" s="6"/>
      <c r="S89" s="6"/>
      <c r="T89" s="8"/>
      <c r="U89" s="8"/>
      <c r="V89" s="8"/>
      <c r="W89" s="6" t="str">
        <f t="shared" si="1"/>
        <v>Y</v>
      </c>
      <c r="X89" s="9">
        <v>2.1999999999999999E-5</v>
      </c>
      <c r="Y89" s="6">
        <v>1.3</v>
      </c>
      <c r="Z89" s="20"/>
      <c r="AA89" s="13"/>
      <c r="AB89" s="13"/>
    </row>
    <row r="90" spans="1:28" ht="16" x14ac:dyDescent="0.2">
      <c r="A90" s="49"/>
      <c r="B90" s="6">
        <v>88</v>
      </c>
      <c r="C90" s="6" t="s">
        <v>498</v>
      </c>
      <c r="D90" s="6" t="s">
        <v>499</v>
      </c>
      <c r="E90" s="6" t="s">
        <v>499</v>
      </c>
      <c r="F90" s="6" t="s">
        <v>500</v>
      </c>
      <c r="G90" s="6">
        <v>281.26900000000001</v>
      </c>
      <c r="H90" s="6">
        <v>96</v>
      </c>
      <c r="I90" s="6" t="s">
        <v>501</v>
      </c>
      <c r="J90" s="6" t="s">
        <v>38</v>
      </c>
      <c r="K90" s="8"/>
      <c r="L90" s="8"/>
      <c r="M90" s="8"/>
      <c r="N90" s="6"/>
      <c r="O90" s="6"/>
      <c r="P90" s="6"/>
      <c r="Q90" s="6"/>
      <c r="R90" s="6"/>
      <c r="S90" s="6"/>
      <c r="T90" s="8"/>
      <c r="U90" s="8"/>
      <c r="V90" s="8"/>
      <c r="W90" s="6" t="str">
        <f t="shared" si="1"/>
        <v/>
      </c>
      <c r="X90" s="9">
        <v>4.1000000000000003E-3</v>
      </c>
      <c r="Y90" s="6">
        <v>0</v>
      </c>
      <c r="Z90" s="20"/>
      <c r="AA90" s="13"/>
      <c r="AB90" s="13"/>
    </row>
    <row r="91" spans="1:28" ht="16" x14ac:dyDescent="0.2">
      <c r="A91" s="49"/>
      <c r="B91" s="6">
        <v>89</v>
      </c>
      <c r="C91" s="6" t="s">
        <v>502</v>
      </c>
      <c r="D91" s="6" t="s">
        <v>503</v>
      </c>
      <c r="E91" s="6" t="s">
        <v>503</v>
      </c>
      <c r="F91" s="6" t="s">
        <v>504</v>
      </c>
      <c r="G91" s="6">
        <v>364.39400000000001</v>
      </c>
      <c r="H91" s="6">
        <v>100</v>
      </c>
      <c r="I91" s="6" t="s">
        <v>505</v>
      </c>
      <c r="J91" s="6" t="s">
        <v>91</v>
      </c>
      <c r="K91" s="8"/>
      <c r="L91" s="8"/>
      <c r="M91" s="8"/>
      <c r="N91" s="6" t="s">
        <v>29</v>
      </c>
      <c r="O91" s="6" t="s">
        <v>29</v>
      </c>
      <c r="P91" s="6" t="s">
        <v>506</v>
      </c>
      <c r="Q91" s="6">
        <v>1.05</v>
      </c>
      <c r="R91" s="6"/>
      <c r="S91" s="6"/>
      <c r="T91" s="8"/>
      <c r="U91" s="8"/>
      <c r="V91" s="8"/>
      <c r="W91" s="6" t="str">
        <f t="shared" si="1"/>
        <v>Y</v>
      </c>
      <c r="X91" s="9">
        <v>1.7E-5</v>
      </c>
      <c r="Y91" s="6">
        <v>0.79</v>
      </c>
      <c r="Z91" s="20"/>
      <c r="AA91" s="13"/>
      <c r="AB91" s="13"/>
    </row>
    <row r="92" spans="1:28" ht="16" x14ac:dyDescent="0.2">
      <c r="A92" s="49"/>
      <c r="B92" s="6">
        <v>90</v>
      </c>
      <c r="C92" s="6" t="s">
        <v>507</v>
      </c>
      <c r="D92" s="6" t="s">
        <v>508</v>
      </c>
      <c r="E92" s="6" t="s">
        <v>508</v>
      </c>
      <c r="F92" s="6" t="s">
        <v>509</v>
      </c>
      <c r="G92" s="6">
        <v>266.25400000000002</v>
      </c>
      <c r="H92" s="6">
        <v>100</v>
      </c>
      <c r="I92" s="6" t="s">
        <v>510</v>
      </c>
      <c r="J92" s="6" t="s">
        <v>38</v>
      </c>
      <c r="K92" s="8"/>
      <c r="L92" s="8"/>
      <c r="M92" s="8"/>
      <c r="N92" s="6"/>
      <c r="O92" s="6"/>
      <c r="P92" s="6"/>
      <c r="Q92" s="6"/>
      <c r="R92" s="6"/>
      <c r="S92" s="6"/>
      <c r="T92" s="8"/>
      <c r="U92" s="8"/>
      <c r="V92" s="8"/>
      <c r="W92" s="6" t="str">
        <f t="shared" si="1"/>
        <v/>
      </c>
      <c r="X92" s="9">
        <v>7.2999999999999995E-2</v>
      </c>
      <c r="Y92" s="6">
        <v>0.49</v>
      </c>
      <c r="Z92" s="20"/>
      <c r="AA92" s="13"/>
      <c r="AB92" s="13"/>
    </row>
    <row r="93" spans="1:28" ht="17" thickBot="1" x14ac:dyDescent="0.25">
      <c r="A93" s="50"/>
      <c r="B93" s="2">
        <v>91</v>
      </c>
      <c r="C93" s="2" t="s">
        <v>511</v>
      </c>
      <c r="D93" s="2" t="s">
        <v>512</v>
      </c>
      <c r="E93" s="2" t="s">
        <v>512</v>
      </c>
      <c r="F93" s="2" t="s">
        <v>513</v>
      </c>
      <c r="G93" s="2">
        <v>264.28100000000001</v>
      </c>
      <c r="H93" s="2">
        <v>91</v>
      </c>
      <c r="I93" s="2" t="s">
        <v>514</v>
      </c>
      <c r="J93" s="2" t="s">
        <v>38</v>
      </c>
      <c r="K93" s="16"/>
      <c r="L93" s="16"/>
      <c r="M93" s="16"/>
      <c r="N93" s="2"/>
      <c r="O93" s="2"/>
      <c r="P93" s="2"/>
      <c r="Q93" s="2"/>
      <c r="R93" s="2"/>
      <c r="S93" s="2"/>
      <c r="T93" s="16"/>
      <c r="U93" s="16"/>
      <c r="V93" s="16"/>
      <c r="W93" s="2" t="str">
        <f t="shared" si="1"/>
        <v/>
      </c>
      <c r="X93" s="17">
        <v>3.7999999999999999E-2</v>
      </c>
      <c r="Y93" s="2">
        <v>0.06</v>
      </c>
      <c r="Z93" s="21"/>
      <c r="AA93" s="5"/>
      <c r="AB93" s="5"/>
    </row>
    <row r="94" spans="1:28" ht="17" thickTop="1" x14ac:dyDescent="0.2">
      <c r="A94" s="48" t="s">
        <v>515</v>
      </c>
      <c r="B94" s="6">
        <v>92</v>
      </c>
      <c r="C94" s="6" t="s">
        <v>516</v>
      </c>
      <c r="D94" s="6" t="s">
        <v>517</v>
      </c>
      <c r="E94" s="6" t="s">
        <v>517</v>
      </c>
      <c r="F94" s="6" t="s">
        <v>454</v>
      </c>
      <c r="G94" s="6">
        <v>395.40800000000002</v>
      </c>
      <c r="H94" s="6">
        <v>95</v>
      </c>
      <c r="I94" s="6" t="s">
        <v>518</v>
      </c>
      <c r="J94" s="6" t="s">
        <v>519</v>
      </c>
      <c r="K94" s="8"/>
      <c r="L94" s="8"/>
      <c r="M94" s="8"/>
      <c r="N94" s="6" t="s">
        <v>29</v>
      </c>
      <c r="O94" s="6" t="s">
        <v>29</v>
      </c>
      <c r="P94" s="6" t="s">
        <v>520</v>
      </c>
      <c r="Q94" s="6">
        <v>1.05</v>
      </c>
      <c r="R94" s="6"/>
      <c r="S94" s="6" t="s">
        <v>29</v>
      </c>
      <c r="T94" s="14">
        <v>3.2</v>
      </c>
      <c r="U94" s="14">
        <v>0.2</v>
      </c>
      <c r="V94" s="14">
        <v>2.8</v>
      </c>
      <c r="W94" s="6" t="str">
        <f t="shared" si="1"/>
        <v/>
      </c>
      <c r="X94" s="6" t="s">
        <v>521</v>
      </c>
      <c r="Y94" s="6" t="s">
        <v>521</v>
      </c>
      <c r="Z94" s="19"/>
      <c r="AA94" s="11"/>
      <c r="AB94" s="11"/>
    </row>
    <row r="95" spans="1:28" ht="16" x14ac:dyDescent="0.2">
      <c r="A95" s="49"/>
      <c r="B95" s="6">
        <v>93</v>
      </c>
      <c r="C95" s="6" t="s">
        <v>522</v>
      </c>
      <c r="D95" s="6" t="s">
        <v>523</v>
      </c>
      <c r="E95" s="6" t="s">
        <v>523</v>
      </c>
      <c r="F95" s="6" t="s">
        <v>454</v>
      </c>
      <c r="G95" s="6">
        <v>395.40800000000002</v>
      </c>
      <c r="H95" s="6">
        <v>95</v>
      </c>
      <c r="I95" s="6" t="s">
        <v>524</v>
      </c>
      <c r="J95" s="6" t="s">
        <v>519</v>
      </c>
      <c r="K95" s="8"/>
      <c r="L95" s="8"/>
      <c r="M95" s="8"/>
      <c r="N95" s="6" t="s">
        <v>29</v>
      </c>
      <c r="O95" s="6" t="s">
        <v>29</v>
      </c>
      <c r="P95" s="6" t="s">
        <v>525</v>
      </c>
      <c r="Q95" s="6">
        <v>1.05</v>
      </c>
      <c r="R95" s="6"/>
      <c r="S95" s="6" t="s">
        <v>29</v>
      </c>
      <c r="T95" s="14">
        <v>0.5</v>
      </c>
      <c r="U95" s="14">
        <v>0.03</v>
      </c>
      <c r="V95" s="14">
        <v>0.4</v>
      </c>
      <c r="W95" s="6" t="str">
        <f t="shared" si="1"/>
        <v/>
      </c>
      <c r="X95" s="6" t="s">
        <v>521</v>
      </c>
      <c r="Y95" s="6" t="s">
        <v>521</v>
      </c>
      <c r="Z95" s="20"/>
      <c r="AA95" s="13"/>
      <c r="AB95" s="13"/>
    </row>
    <row r="96" spans="1:28" ht="16" x14ac:dyDescent="0.2">
      <c r="A96" s="49"/>
      <c r="B96" s="6">
        <v>94</v>
      </c>
      <c r="C96" s="6" t="s">
        <v>526</v>
      </c>
      <c r="D96" s="6" t="s">
        <v>527</v>
      </c>
      <c r="E96" s="6" t="s">
        <v>527</v>
      </c>
      <c r="F96" s="6" t="s">
        <v>454</v>
      </c>
      <c r="G96" s="6">
        <v>395.40800000000002</v>
      </c>
      <c r="H96" s="6">
        <v>95</v>
      </c>
      <c r="I96" s="6" t="s">
        <v>528</v>
      </c>
      <c r="J96" s="6" t="s">
        <v>519</v>
      </c>
      <c r="K96" s="8"/>
      <c r="L96" s="8"/>
      <c r="M96" s="8"/>
      <c r="N96" s="6" t="s">
        <v>29</v>
      </c>
      <c r="O96" s="6" t="s">
        <v>149</v>
      </c>
      <c r="P96" s="6"/>
      <c r="Q96" s="6"/>
      <c r="R96" s="6"/>
      <c r="S96" s="6" t="s">
        <v>29</v>
      </c>
      <c r="T96" s="14">
        <v>55.7</v>
      </c>
      <c r="U96" s="14">
        <v>5.7</v>
      </c>
      <c r="V96" s="14">
        <v>48.5</v>
      </c>
      <c r="W96" s="6" t="str">
        <f t="shared" si="1"/>
        <v/>
      </c>
      <c r="X96" s="6" t="s">
        <v>521</v>
      </c>
      <c r="Y96" s="6" t="s">
        <v>521</v>
      </c>
      <c r="Z96" s="20"/>
      <c r="AA96" s="13"/>
      <c r="AB96" s="13"/>
    </row>
    <row r="97" spans="1:28" ht="16" x14ac:dyDescent="0.2">
      <c r="A97" s="50"/>
      <c r="B97" s="2">
        <v>95</v>
      </c>
      <c r="C97" s="2" t="s">
        <v>529</v>
      </c>
      <c r="D97" s="2" t="s">
        <v>530</v>
      </c>
      <c r="E97" s="2" t="s">
        <v>530</v>
      </c>
      <c r="F97" s="2" t="s">
        <v>454</v>
      </c>
      <c r="G97" s="2">
        <v>395.40800000000002</v>
      </c>
      <c r="H97" s="2">
        <v>95</v>
      </c>
      <c r="I97" s="2" t="s">
        <v>531</v>
      </c>
      <c r="J97" s="2" t="s">
        <v>519</v>
      </c>
      <c r="K97" s="16"/>
      <c r="L97" s="16"/>
      <c r="M97" s="16"/>
      <c r="N97" s="2" t="s">
        <v>29</v>
      </c>
      <c r="O97" s="2" t="s">
        <v>29</v>
      </c>
      <c r="P97" s="2" t="s">
        <v>532</v>
      </c>
      <c r="Q97" s="2">
        <v>1.05</v>
      </c>
      <c r="R97" s="2"/>
      <c r="S97" s="2" t="s">
        <v>29</v>
      </c>
      <c r="T97" s="3">
        <v>43.4</v>
      </c>
      <c r="U97" s="3">
        <v>3.9</v>
      </c>
      <c r="V97" s="3">
        <v>37.799999999999997</v>
      </c>
      <c r="W97" s="2" t="str">
        <f t="shared" si="1"/>
        <v/>
      </c>
      <c r="X97" s="2" t="s">
        <v>521</v>
      </c>
      <c r="Y97" s="2" t="s">
        <v>521</v>
      </c>
      <c r="Z97" s="21"/>
      <c r="AA97" s="5"/>
      <c r="AB97" s="5"/>
    </row>
    <row r="98" spans="1:28" ht="16" x14ac:dyDescent="0.2">
      <c r="A98" s="48" t="s">
        <v>533</v>
      </c>
      <c r="B98" s="6">
        <v>96</v>
      </c>
      <c r="C98" s="6" t="s">
        <v>534</v>
      </c>
      <c r="D98" s="6" t="s">
        <v>535</v>
      </c>
      <c r="E98" s="6" t="s">
        <v>536</v>
      </c>
      <c r="F98" s="6" t="s">
        <v>537</v>
      </c>
      <c r="G98" s="6">
        <v>379.40899999999999</v>
      </c>
      <c r="H98" s="6">
        <v>100</v>
      </c>
      <c r="I98" s="6" t="s">
        <v>538</v>
      </c>
      <c r="J98" s="6" t="s">
        <v>91</v>
      </c>
      <c r="K98" s="8"/>
      <c r="L98" s="8"/>
      <c r="M98" s="8"/>
      <c r="N98" s="6" t="s">
        <v>29</v>
      </c>
      <c r="O98" s="6" t="s">
        <v>29</v>
      </c>
      <c r="P98" s="6" t="s">
        <v>539</v>
      </c>
      <c r="Q98" s="6">
        <v>1.05</v>
      </c>
      <c r="R98" s="6"/>
      <c r="S98" s="6" t="s">
        <v>29</v>
      </c>
      <c r="T98" s="14">
        <v>4.8</v>
      </c>
      <c r="U98" s="14">
        <v>0.2</v>
      </c>
      <c r="V98" s="14">
        <v>4.2</v>
      </c>
      <c r="W98" s="6" t="str">
        <f t="shared" si="1"/>
        <v>Y</v>
      </c>
      <c r="X98" s="9">
        <v>5.8E-5</v>
      </c>
      <c r="Y98" s="6">
        <v>3.66</v>
      </c>
      <c r="Z98" s="19"/>
      <c r="AA98" s="11"/>
      <c r="AB98" s="11"/>
    </row>
    <row r="99" spans="1:28" ht="16" x14ac:dyDescent="0.2">
      <c r="A99" s="49"/>
      <c r="B99" s="6">
        <v>97</v>
      </c>
      <c r="C99" s="6" t="s">
        <v>540</v>
      </c>
      <c r="D99" s="6" t="s">
        <v>541</v>
      </c>
      <c r="E99" s="6" t="s">
        <v>542</v>
      </c>
      <c r="F99" s="6" t="s">
        <v>543</v>
      </c>
      <c r="G99" s="6">
        <v>392.40699999999998</v>
      </c>
      <c r="H99" s="6">
        <v>100</v>
      </c>
      <c r="I99" s="6" t="s">
        <v>544</v>
      </c>
      <c r="J99" s="6" t="s">
        <v>38</v>
      </c>
      <c r="K99" s="8"/>
      <c r="L99" s="8"/>
      <c r="M99" s="8"/>
      <c r="N99" s="6" t="s">
        <v>29</v>
      </c>
      <c r="O99" s="6" t="s">
        <v>29</v>
      </c>
      <c r="P99" s="6" t="s">
        <v>545</v>
      </c>
      <c r="Q99" s="6">
        <v>1.05</v>
      </c>
      <c r="R99" s="6"/>
      <c r="S99" s="6" t="s">
        <v>29</v>
      </c>
      <c r="T99" s="14">
        <v>7.6</v>
      </c>
      <c r="U99" s="14">
        <v>0.3</v>
      </c>
      <c r="V99" s="14">
        <v>6.6</v>
      </c>
      <c r="W99" s="6" t="str">
        <f t="shared" si="1"/>
        <v>Y</v>
      </c>
      <c r="X99" s="9">
        <v>1.2999999999999999E-4</v>
      </c>
      <c r="Y99" s="6">
        <v>6.22</v>
      </c>
      <c r="Z99" s="20"/>
      <c r="AA99" s="13"/>
      <c r="AB99" s="13"/>
    </row>
    <row r="100" spans="1:28" ht="16" x14ac:dyDescent="0.2">
      <c r="A100" s="49"/>
      <c r="B100" s="6">
        <v>98</v>
      </c>
      <c r="C100" s="6" t="s">
        <v>546</v>
      </c>
      <c r="D100" s="6" t="s">
        <v>547</v>
      </c>
      <c r="E100" s="6" t="s">
        <v>548</v>
      </c>
      <c r="F100" s="6" t="s">
        <v>549</v>
      </c>
      <c r="G100" s="6">
        <v>393.435</v>
      </c>
      <c r="H100" s="6">
        <v>94</v>
      </c>
      <c r="I100" s="6" t="s">
        <v>550</v>
      </c>
      <c r="J100" s="6" t="s">
        <v>438</v>
      </c>
      <c r="K100" s="8"/>
      <c r="L100" s="8"/>
      <c r="M100" s="8"/>
      <c r="N100" s="6" t="s">
        <v>29</v>
      </c>
      <c r="O100" s="6" t="s">
        <v>29</v>
      </c>
      <c r="P100" s="6" t="s">
        <v>551</v>
      </c>
      <c r="Q100" s="6">
        <v>1.05</v>
      </c>
      <c r="R100" s="6"/>
      <c r="S100" s="6" t="s">
        <v>29</v>
      </c>
      <c r="T100" s="14">
        <v>5.9</v>
      </c>
      <c r="U100" s="14">
        <v>0.2</v>
      </c>
      <c r="V100" s="14">
        <v>5.0999999999999996</v>
      </c>
      <c r="W100" s="6" t="str">
        <f t="shared" si="1"/>
        <v>Y</v>
      </c>
      <c r="X100" s="9">
        <v>7.4999999999999997E-8</v>
      </c>
      <c r="Y100" s="6">
        <v>4.92</v>
      </c>
      <c r="Z100" s="20"/>
      <c r="AA100" s="13"/>
      <c r="AB100" s="13"/>
    </row>
    <row r="101" spans="1:28" ht="16" x14ac:dyDescent="0.2">
      <c r="A101" s="49"/>
      <c r="B101" s="6">
        <v>99</v>
      </c>
      <c r="C101" s="6" t="s">
        <v>552</v>
      </c>
      <c r="D101" s="6" t="s">
        <v>553</v>
      </c>
      <c r="E101" s="6" t="s">
        <v>554</v>
      </c>
      <c r="F101" s="6" t="s">
        <v>555</v>
      </c>
      <c r="G101" s="6">
        <v>393.392</v>
      </c>
      <c r="H101" s="6">
        <v>100</v>
      </c>
      <c r="I101" s="6" t="s">
        <v>556</v>
      </c>
      <c r="J101" s="6" t="s">
        <v>38</v>
      </c>
      <c r="K101" s="8"/>
      <c r="L101" s="8"/>
      <c r="M101" s="8"/>
      <c r="N101" s="6" t="s">
        <v>29</v>
      </c>
      <c r="O101" s="6" t="s">
        <v>29</v>
      </c>
      <c r="P101" s="6" t="s">
        <v>557</v>
      </c>
      <c r="Q101" s="6">
        <v>1.05</v>
      </c>
      <c r="R101" s="6"/>
      <c r="S101" s="6" t="s">
        <v>29</v>
      </c>
      <c r="T101" s="14">
        <v>83.8</v>
      </c>
      <c r="U101" s="14">
        <v>4.9000000000000004</v>
      </c>
      <c r="V101" s="14">
        <v>72.900000000000006</v>
      </c>
      <c r="W101" s="6" t="str">
        <f t="shared" si="1"/>
        <v/>
      </c>
      <c r="X101" s="9">
        <v>7.5999999999999998E-2</v>
      </c>
      <c r="Y101" s="6">
        <v>3.52</v>
      </c>
      <c r="Z101" s="20"/>
      <c r="AA101" s="13"/>
      <c r="AB101" s="13"/>
    </row>
    <row r="102" spans="1:28" ht="16" x14ac:dyDescent="0.2">
      <c r="A102" s="49"/>
      <c r="B102" s="6">
        <v>100</v>
      </c>
      <c r="C102" s="6" t="s">
        <v>558</v>
      </c>
      <c r="D102" s="6" t="s">
        <v>559</v>
      </c>
      <c r="E102" s="6" t="s">
        <v>560</v>
      </c>
      <c r="F102" s="6" t="s">
        <v>561</v>
      </c>
      <c r="G102" s="6">
        <v>409.45800000000003</v>
      </c>
      <c r="H102" s="6">
        <v>100</v>
      </c>
      <c r="I102" s="6" t="s">
        <v>562</v>
      </c>
      <c r="J102" s="6" t="s">
        <v>38</v>
      </c>
      <c r="K102" s="8"/>
      <c r="L102" s="8"/>
      <c r="M102" s="8"/>
      <c r="N102" s="6" t="s">
        <v>29</v>
      </c>
      <c r="O102" s="6" t="s">
        <v>29</v>
      </c>
      <c r="P102" s="6" t="s">
        <v>563</v>
      </c>
      <c r="Q102" s="6">
        <v>1.05</v>
      </c>
      <c r="R102" s="6"/>
      <c r="S102" s="6" t="s">
        <v>29</v>
      </c>
      <c r="T102" s="14">
        <v>20.399999999999999</v>
      </c>
      <c r="U102" s="14">
        <v>1.2</v>
      </c>
      <c r="V102" s="14">
        <v>17.8</v>
      </c>
      <c r="W102" s="6" t="str">
        <f t="shared" si="1"/>
        <v/>
      </c>
      <c r="X102" s="9">
        <v>0.43</v>
      </c>
      <c r="Y102" s="6">
        <v>0.91</v>
      </c>
      <c r="Z102" s="20"/>
      <c r="AA102" s="13"/>
      <c r="AB102" s="13"/>
    </row>
    <row r="103" spans="1:28" ht="16" x14ac:dyDescent="0.2">
      <c r="A103" s="49"/>
      <c r="B103" s="6">
        <v>101</v>
      </c>
      <c r="C103" s="6" t="s">
        <v>564</v>
      </c>
      <c r="D103" s="6" t="s">
        <v>565</v>
      </c>
      <c r="E103" s="6" t="s">
        <v>566</v>
      </c>
      <c r="F103" s="6" t="s">
        <v>567</v>
      </c>
      <c r="G103" s="6">
        <v>384.38900000000001</v>
      </c>
      <c r="H103" s="6">
        <v>100</v>
      </c>
      <c r="I103" s="6" t="s">
        <v>568</v>
      </c>
      <c r="J103" s="6" t="s">
        <v>43</v>
      </c>
      <c r="K103" s="8"/>
      <c r="L103" s="8"/>
      <c r="M103" s="8"/>
      <c r="N103" s="6" t="s">
        <v>29</v>
      </c>
      <c r="O103" s="6" t="s">
        <v>29</v>
      </c>
      <c r="P103" s="6" t="s">
        <v>569</v>
      </c>
      <c r="Q103" s="6">
        <v>1.05</v>
      </c>
      <c r="R103" s="6"/>
      <c r="S103" s="6"/>
      <c r="T103" s="8"/>
      <c r="U103" s="8"/>
      <c r="V103" s="8"/>
      <c r="W103" s="6" t="str">
        <f t="shared" si="1"/>
        <v/>
      </c>
      <c r="X103" s="9">
        <v>0.47</v>
      </c>
      <c r="Y103" s="6">
        <v>2.36</v>
      </c>
      <c r="Z103" s="20"/>
      <c r="AA103" s="13"/>
      <c r="AB103" s="13"/>
    </row>
    <row r="104" spans="1:28" ht="16" x14ac:dyDescent="0.2">
      <c r="A104" s="49"/>
      <c r="B104" s="6">
        <v>102</v>
      </c>
      <c r="C104" s="6" t="s">
        <v>570</v>
      </c>
      <c r="D104" s="6" t="s">
        <v>571</v>
      </c>
      <c r="E104" s="6" t="s">
        <v>572</v>
      </c>
      <c r="F104" s="6" t="s">
        <v>537</v>
      </c>
      <c r="G104" s="6">
        <v>379.40899999999999</v>
      </c>
      <c r="H104" s="6">
        <v>92</v>
      </c>
      <c r="I104" s="6" t="s">
        <v>573</v>
      </c>
      <c r="J104" s="6" t="s">
        <v>43</v>
      </c>
      <c r="K104" s="8"/>
      <c r="L104" s="8"/>
      <c r="M104" s="8"/>
      <c r="N104" s="6" t="s">
        <v>29</v>
      </c>
      <c r="O104" s="6" t="s">
        <v>29</v>
      </c>
      <c r="P104" s="6" t="s">
        <v>574</v>
      </c>
      <c r="Q104" s="6">
        <v>1.05</v>
      </c>
      <c r="R104" s="6"/>
      <c r="S104" s="6"/>
      <c r="T104" s="8"/>
      <c r="U104" s="8"/>
      <c r="V104" s="8"/>
      <c r="W104" s="6" t="str">
        <f t="shared" si="1"/>
        <v/>
      </c>
      <c r="X104" s="9">
        <v>0.36</v>
      </c>
      <c r="Y104" s="6">
        <v>0.98</v>
      </c>
      <c r="Z104" s="20"/>
      <c r="AA104" s="13"/>
      <c r="AB104" s="13"/>
    </row>
    <row r="105" spans="1:28" ht="16" x14ac:dyDescent="0.2">
      <c r="A105" s="49"/>
      <c r="B105" s="6">
        <v>103</v>
      </c>
      <c r="C105" s="6" t="s">
        <v>575</v>
      </c>
      <c r="D105" s="6" t="s">
        <v>576</v>
      </c>
      <c r="E105" s="6" t="s">
        <v>577</v>
      </c>
      <c r="F105" s="6" t="s">
        <v>537</v>
      </c>
      <c r="G105" s="6">
        <v>379.40899999999999</v>
      </c>
      <c r="H105" s="6">
        <v>100</v>
      </c>
      <c r="I105" s="6" t="s">
        <v>578</v>
      </c>
      <c r="J105" s="6" t="s">
        <v>43</v>
      </c>
      <c r="K105" s="8"/>
      <c r="L105" s="8"/>
      <c r="M105" s="8"/>
      <c r="N105" s="6"/>
      <c r="O105" s="6"/>
      <c r="P105" s="6"/>
      <c r="Q105" s="6"/>
      <c r="R105" s="6"/>
      <c r="S105" s="6"/>
      <c r="T105" s="8"/>
      <c r="U105" s="8"/>
      <c r="V105" s="8"/>
      <c r="W105" s="6" t="str">
        <f t="shared" si="1"/>
        <v/>
      </c>
      <c r="X105" s="9">
        <v>0.69</v>
      </c>
      <c r="Y105" s="6">
        <v>2.09</v>
      </c>
      <c r="Z105" s="20"/>
      <c r="AA105" s="13"/>
      <c r="AB105" s="13"/>
    </row>
    <row r="106" spans="1:28" ht="16" x14ac:dyDescent="0.2">
      <c r="A106" s="49"/>
      <c r="B106" s="6">
        <v>104</v>
      </c>
      <c r="C106" s="6" t="s">
        <v>579</v>
      </c>
      <c r="D106" s="6" t="s">
        <v>580</v>
      </c>
      <c r="E106" s="6" t="s">
        <v>581</v>
      </c>
      <c r="F106" s="6" t="s">
        <v>582</v>
      </c>
      <c r="G106" s="6">
        <v>397.42399999999998</v>
      </c>
      <c r="H106" s="6">
        <v>91</v>
      </c>
      <c r="I106" s="6" t="s">
        <v>583</v>
      </c>
      <c r="J106" s="6" t="s">
        <v>91</v>
      </c>
      <c r="K106" s="8"/>
      <c r="L106" s="8"/>
      <c r="M106" s="8"/>
      <c r="N106" s="6" t="s">
        <v>29</v>
      </c>
      <c r="O106" s="6" t="s">
        <v>29</v>
      </c>
      <c r="P106" s="6" t="s">
        <v>584</v>
      </c>
      <c r="Q106" s="6">
        <v>1.05</v>
      </c>
      <c r="R106" s="6"/>
      <c r="S106" s="6" t="s">
        <v>29</v>
      </c>
      <c r="T106" s="14">
        <v>0.8</v>
      </c>
      <c r="U106" s="14">
        <v>0.03</v>
      </c>
      <c r="V106" s="14">
        <v>0.7</v>
      </c>
      <c r="W106" s="6" t="str">
        <f t="shared" si="1"/>
        <v>Y</v>
      </c>
      <c r="X106" s="9">
        <v>1.4999999999999999E-2</v>
      </c>
      <c r="Y106" s="6">
        <v>6.41</v>
      </c>
      <c r="Z106" s="20"/>
      <c r="AA106" s="13"/>
      <c r="AB106" s="13"/>
    </row>
    <row r="107" spans="1:28" ht="16" x14ac:dyDescent="0.2">
      <c r="A107" s="49"/>
      <c r="B107" s="6">
        <v>105</v>
      </c>
      <c r="C107" s="6" t="s">
        <v>585</v>
      </c>
      <c r="D107" s="6" t="s">
        <v>586</v>
      </c>
      <c r="E107" s="6" t="s">
        <v>587</v>
      </c>
      <c r="F107" s="6" t="s">
        <v>588</v>
      </c>
      <c r="G107" s="6">
        <v>355.34399999999999</v>
      </c>
      <c r="H107" s="6">
        <v>99</v>
      </c>
      <c r="I107" s="6" t="s">
        <v>589</v>
      </c>
      <c r="J107" s="6" t="s">
        <v>91</v>
      </c>
      <c r="K107" s="8"/>
      <c r="L107" s="8"/>
      <c r="M107" s="8"/>
      <c r="N107" s="6" t="s">
        <v>29</v>
      </c>
      <c r="O107" s="6" t="s">
        <v>29</v>
      </c>
      <c r="P107" s="6" t="s">
        <v>590</v>
      </c>
      <c r="Q107" s="6">
        <v>1.05</v>
      </c>
      <c r="R107" s="6"/>
      <c r="S107" s="6" t="s">
        <v>29</v>
      </c>
      <c r="T107" s="14">
        <v>1.3</v>
      </c>
      <c r="U107" s="14">
        <v>0.1</v>
      </c>
      <c r="V107" s="14">
        <v>1.1000000000000001</v>
      </c>
      <c r="W107" s="6" t="str">
        <f t="shared" si="1"/>
        <v>Y</v>
      </c>
      <c r="X107" s="9">
        <v>1.9E-3</v>
      </c>
      <c r="Y107" s="6">
        <v>6</v>
      </c>
      <c r="Z107" s="20"/>
      <c r="AA107" s="13"/>
      <c r="AB107" s="13"/>
    </row>
    <row r="108" spans="1:28" ht="16" x14ac:dyDescent="0.2">
      <c r="A108" s="49"/>
      <c r="B108" s="6">
        <v>106</v>
      </c>
      <c r="C108" s="6" t="s">
        <v>591</v>
      </c>
      <c r="D108" s="6" t="s">
        <v>592</v>
      </c>
      <c r="E108" s="6" t="s">
        <v>593</v>
      </c>
      <c r="F108" s="6" t="s">
        <v>594</v>
      </c>
      <c r="G108" s="6">
        <v>368.34</v>
      </c>
      <c r="H108" s="6">
        <v>99</v>
      </c>
      <c r="I108" s="6" t="s">
        <v>595</v>
      </c>
      <c r="J108" s="6" t="s">
        <v>91</v>
      </c>
      <c r="K108" s="8"/>
      <c r="L108" s="8"/>
      <c r="M108" s="8"/>
      <c r="N108" s="6" t="s">
        <v>29</v>
      </c>
      <c r="O108" s="6" t="s">
        <v>29</v>
      </c>
      <c r="P108" s="6" t="s">
        <v>596</v>
      </c>
      <c r="Q108" s="6">
        <v>1.05</v>
      </c>
      <c r="R108" s="6"/>
      <c r="S108" s="6" t="s">
        <v>29</v>
      </c>
      <c r="T108" s="14">
        <v>27.9</v>
      </c>
      <c r="U108" s="14">
        <v>2</v>
      </c>
      <c r="V108" s="14">
        <v>24.3</v>
      </c>
      <c r="W108" s="6" t="str">
        <f t="shared" si="1"/>
        <v>Y</v>
      </c>
      <c r="X108" s="9">
        <v>2.5999999999999999E-3</v>
      </c>
      <c r="Y108" s="6">
        <v>1.83</v>
      </c>
      <c r="Z108" s="20"/>
      <c r="AA108" s="13"/>
      <c r="AB108" s="13"/>
    </row>
    <row r="109" spans="1:28" ht="16" x14ac:dyDescent="0.2">
      <c r="A109" s="49"/>
      <c r="B109" s="6">
        <v>107</v>
      </c>
      <c r="C109" s="6" t="s">
        <v>597</v>
      </c>
      <c r="D109" s="6" t="s">
        <v>598</v>
      </c>
      <c r="E109" s="6" t="s">
        <v>599</v>
      </c>
      <c r="F109" s="6" t="s">
        <v>600</v>
      </c>
      <c r="G109" s="6">
        <v>367.39800000000002</v>
      </c>
      <c r="H109" s="6">
        <v>100</v>
      </c>
      <c r="I109" s="6" t="s">
        <v>601</v>
      </c>
      <c r="J109" s="6" t="s">
        <v>91</v>
      </c>
      <c r="K109" s="8"/>
      <c r="L109" s="8"/>
      <c r="M109" s="8"/>
      <c r="N109" s="6" t="s">
        <v>29</v>
      </c>
      <c r="O109" s="6" t="s">
        <v>29</v>
      </c>
      <c r="P109" s="6" t="s">
        <v>602</v>
      </c>
      <c r="Q109" s="6">
        <v>1.05</v>
      </c>
      <c r="R109" s="6"/>
      <c r="S109" s="6" t="s">
        <v>29</v>
      </c>
      <c r="T109" s="14">
        <v>17.100000000000001</v>
      </c>
      <c r="U109" s="14">
        <v>0.6</v>
      </c>
      <c r="V109" s="14">
        <v>14.9</v>
      </c>
      <c r="W109" s="6" t="str">
        <f t="shared" si="1"/>
        <v/>
      </c>
      <c r="X109" s="9">
        <v>0.1</v>
      </c>
      <c r="Y109" s="6">
        <v>2.0299999999999998</v>
      </c>
      <c r="Z109" s="20"/>
      <c r="AA109" s="13"/>
      <c r="AB109" s="13"/>
    </row>
    <row r="110" spans="1:28" ht="16" x14ac:dyDescent="0.2">
      <c r="A110" s="49"/>
      <c r="B110" s="6">
        <v>108</v>
      </c>
      <c r="C110" s="6" t="s">
        <v>603</v>
      </c>
      <c r="D110" s="6" t="s">
        <v>604</v>
      </c>
      <c r="E110" s="6" t="s">
        <v>605</v>
      </c>
      <c r="F110" s="6" t="s">
        <v>606</v>
      </c>
      <c r="G110" s="6">
        <v>409.435</v>
      </c>
      <c r="H110" s="6">
        <v>100</v>
      </c>
      <c r="I110" s="6" t="s">
        <v>607</v>
      </c>
      <c r="J110" s="6" t="s">
        <v>91</v>
      </c>
      <c r="K110" s="8"/>
      <c r="L110" s="8"/>
      <c r="M110" s="8"/>
      <c r="N110" s="6"/>
      <c r="O110" s="6"/>
      <c r="P110" s="6"/>
      <c r="Q110" s="6"/>
      <c r="R110" s="6"/>
      <c r="S110" s="6"/>
      <c r="T110" s="8"/>
      <c r="U110" s="8"/>
      <c r="V110" s="8"/>
      <c r="W110" s="6" t="str">
        <f t="shared" si="1"/>
        <v/>
      </c>
      <c r="X110" s="9">
        <v>0.37</v>
      </c>
      <c r="Y110" s="6">
        <v>0</v>
      </c>
      <c r="Z110" s="20"/>
      <c r="AA110" s="13"/>
      <c r="AB110" s="13"/>
    </row>
    <row r="111" spans="1:28" ht="16" x14ac:dyDescent="0.2">
      <c r="A111" s="49"/>
      <c r="B111" s="6">
        <v>109</v>
      </c>
      <c r="C111" s="6" t="s">
        <v>608</v>
      </c>
      <c r="D111" s="6" t="s">
        <v>609</v>
      </c>
      <c r="E111" s="6" t="s">
        <v>610</v>
      </c>
      <c r="F111" s="6" t="s">
        <v>611</v>
      </c>
      <c r="G111" s="6">
        <v>398.41199999999998</v>
      </c>
      <c r="H111" s="6">
        <v>100</v>
      </c>
      <c r="I111" s="6" t="s">
        <v>612</v>
      </c>
      <c r="J111" s="6" t="s">
        <v>91</v>
      </c>
      <c r="K111" s="8"/>
      <c r="L111" s="8"/>
      <c r="M111" s="8"/>
      <c r="N111" s="6" t="s">
        <v>29</v>
      </c>
      <c r="O111" s="6" t="s">
        <v>29</v>
      </c>
      <c r="P111" s="6" t="s">
        <v>613</v>
      </c>
      <c r="Q111" s="6">
        <v>1.05</v>
      </c>
      <c r="R111" s="6"/>
      <c r="S111" s="6" t="s">
        <v>29</v>
      </c>
      <c r="T111" s="14">
        <v>6.4</v>
      </c>
      <c r="U111" s="14">
        <v>0.2</v>
      </c>
      <c r="V111" s="14">
        <v>5.6</v>
      </c>
      <c r="W111" s="6" t="str">
        <f t="shared" si="1"/>
        <v/>
      </c>
      <c r="X111" s="9">
        <v>0.25</v>
      </c>
      <c r="Y111" s="6">
        <v>3.42</v>
      </c>
      <c r="Z111" s="20"/>
      <c r="AA111" s="13"/>
      <c r="AB111" s="13"/>
    </row>
    <row r="112" spans="1:28" ht="16" x14ac:dyDescent="0.2">
      <c r="A112" s="49"/>
      <c r="B112" s="6">
        <v>110</v>
      </c>
      <c r="C112" s="6" t="s">
        <v>614</v>
      </c>
      <c r="D112" s="6" t="s">
        <v>615</v>
      </c>
      <c r="E112" s="6" t="s">
        <v>616</v>
      </c>
      <c r="F112" s="6" t="s">
        <v>617</v>
      </c>
      <c r="G112" s="6">
        <v>367.35500000000002</v>
      </c>
      <c r="H112" s="6">
        <v>91</v>
      </c>
      <c r="I112" s="6" t="s">
        <v>618</v>
      </c>
      <c r="J112" s="6" t="s">
        <v>91</v>
      </c>
      <c r="K112" s="8"/>
      <c r="L112" s="8"/>
      <c r="M112" s="8"/>
      <c r="N112" s="6" t="s">
        <v>29</v>
      </c>
      <c r="O112" s="6" t="s">
        <v>29</v>
      </c>
      <c r="P112" s="6" t="s">
        <v>619</v>
      </c>
      <c r="Q112" s="6">
        <v>1.05</v>
      </c>
      <c r="R112" s="6"/>
      <c r="S112" s="6" t="s">
        <v>29</v>
      </c>
      <c r="T112" s="14" t="s">
        <v>620</v>
      </c>
      <c r="U112" s="14" t="s">
        <v>621</v>
      </c>
      <c r="V112" s="14" t="s">
        <v>622</v>
      </c>
      <c r="W112" s="6" t="str">
        <f t="shared" si="1"/>
        <v>Y</v>
      </c>
      <c r="X112" s="9">
        <v>3.4E-5</v>
      </c>
      <c r="Y112" s="6">
        <v>5.39</v>
      </c>
      <c r="Z112" s="20"/>
      <c r="AA112" s="13"/>
      <c r="AB112" s="13"/>
    </row>
    <row r="113" spans="1:28" ht="16" x14ac:dyDescent="0.2">
      <c r="A113" s="49"/>
      <c r="B113" s="6">
        <v>111</v>
      </c>
      <c r="C113" s="6" t="s">
        <v>623</v>
      </c>
      <c r="D113" s="6" t="s">
        <v>624</v>
      </c>
      <c r="E113" s="6" t="s">
        <v>625</v>
      </c>
      <c r="F113" s="6" t="s">
        <v>626</v>
      </c>
      <c r="G113" s="6">
        <v>431.44</v>
      </c>
      <c r="H113" s="6">
        <v>98</v>
      </c>
      <c r="I113" s="6" t="s">
        <v>627</v>
      </c>
      <c r="J113" s="6" t="s">
        <v>91</v>
      </c>
      <c r="K113" s="8"/>
      <c r="L113" s="8"/>
      <c r="M113" s="8"/>
      <c r="N113" s="6" t="s">
        <v>29</v>
      </c>
      <c r="O113" s="6" t="s">
        <v>29</v>
      </c>
      <c r="P113" s="6" t="s">
        <v>628</v>
      </c>
      <c r="Q113" s="6">
        <v>1.05</v>
      </c>
      <c r="R113" s="6"/>
      <c r="S113" s="6" t="s">
        <v>29</v>
      </c>
      <c r="T113" s="14">
        <v>0.5</v>
      </c>
      <c r="U113" s="14">
        <v>0.01</v>
      </c>
      <c r="V113" s="14">
        <v>0.4</v>
      </c>
      <c r="W113" s="6" t="str">
        <f t="shared" si="1"/>
        <v>Y</v>
      </c>
      <c r="X113" s="9">
        <v>1.9999999999999999E-6</v>
      </c>
      <c r="Y113" s="6">
        <v>9.9</v>
      </c>
      <c r="Z113" s="20"/>
      <c r="AA113" s="13"/>
      <c r="AB113" s="13"/>
    </row>
    <row r="114" spans="1:28" ht="16" x14ac:dyDescent="0.2">
      <c r="A114" s="49"/>
      <c r="B114" s="6">
        <v>112</v>
      </c>
      <c r="C114" s="6" t="s">
        <v>629</v>
      </c>
      <c r="D114" s="6" t="s">
        <v>630</v>
      </c>
      <c r="E114" s="6" t="s">
        <v>631</v>
      </c>
      <c r="F114" s="6" t="s">
        <v>632</v>
      </c>
      <c r="G114" s="6">
        <v>378.38099999999997</v>
      </c>
      <c r="H114" s="6">
        <v>100</v>
      </c>
      <c r="I114" s="6" t="s">
        <v>633</v>
      </c>
      <c r="J114" s="6" t="s">
        <v>91</v>
      </c>
      <c r="K114" s="8"/>
      <c r="L114" s="8"/>
      <c r="M114" s="8"/>
      <c r="N114" s="6" t="s">
        <v>29</v>
      </c>
      <c r="O114" s="6" t="s">
        <v>29</v>
      </c>
      <c r="P114" s="6" t="s">
        <v>634</v>
      </c>
      <c r="Q114" s="6">
        <v>1.05</v>
      </c>
      <c r="R114" s="6"/>
      <c r="S114" s="6" t="s">
        <v>29</v>
      </c>
      <c r="T114" s="14">
        <v>19</v>
      </c>
      <c r="U114" s="14">
        <v>0.9</v>
      </c>
      <c r="V114" s="14">
        <v>16.5</v>
      </c>
      <c r="W114" s="6" t="str">
        <f t="shared" si="1"/>
        <v/>
      </c>
      <c r="X114" s="9">
        <v>0.41</v>
      </c>
      <c r="Y114" s="6">
        <v>1.23</v>
      </c>
      <c r="Z114" s="20"/>
      <c r="AA114" s="13"/>
      <c r="AB114" s="13"/>
    </row>
    <row r="115" spans="1:28" ht="16" x14ac:dyDescent="0.2">
      <c r="A115" s="49"/>
      <c r="B115" s="6">
        <v>113</v>
      </c>
      <c r="C115" s="6" t="s">
        <v>635</v>
      </c>
      <c r="D115" s="6" t="s">
        <v>636</v>
      </c>
      <c r="E115" s="6" t="s">
        <v>637</v>
      </c>
      <c r="F115" s="6" t="s">
        <v>462</v>
      </c>
      <c r="G115" s="6">
        <v>353.37099999999998</v>
      </c>
      <c r="H115" s="6">
        <v>100</v>
      </c>
      <c r="I115" s="6" t="s">
        <v>638</v>
      </c>
      <c r="J115" s="6" t="s">
        <v>91</v>
      </c>
      <c r="K115" s="8"/>
      <c r="L115" s="8"/>
      <c r="M115" s="8"/>
      <c r="N115" s="6" t="s">
        <v>29</v>
      </c>
      <c r="O115" s="6" t="s">
        <v>29</v>
      </c>
      <c r="P115" s="6" t="s">
        <v>639</v>
      </c>
      <c r="Q115" s="6">
        <v>1.05</v>
      </c>
      <c r="R115" s="6"/>
      <c r="S115" s="6" t="s">
        <v>29</v>
      </c>
      <c r="T115" s="14">
        <v>167.9</v>
      </c>
      <c r="U115" s="14">
        <v>18.600000000000001</v>
      </c>
      <c r="V115" s="14">
        <v>146.1</v>
      </c>
      <c r="W115" s="6" t="str">
        <f t="shared" si="1"/>
        <v/>
      </c>
      <c r="X115" s="9">
        <v>3.4000000000000002E-2</v>
      </c>
      <c r="Y115" s="6">
        <v>0</v>
      </c>
      <c r="Z115" s="20"/>
      <c r="AA115" s="13"/>
      <c r="AB115" s="13"/>
    </row>
    <row r="116" spans="1:28" ht="16" x14ac:dyDescent="0.2">
      <c r="A116" s="49"/>
      <c r="B116" s="6">
        <v>114</v>
      </c>
      <c r="C116" s="6" t="s">
        <v>640</v>
      </c>
      <c r="D116" s="6" t="s">
        <v>641</v>
      </c>
      <c r="E116" s="6" t="s">
        <v>642</v>
      </c>
      <c r="F116" s="6" t="s">
        <v>643</v>
      </c>
      <c r="G116" s="6">
        <v>389.40300000000002</v>
      </c>
      <c r="H116" s="6">
        <v>97</v>
      </c>
      <c r="I116" s="6" t="s">
        <v>644</v>
      </c>
      <c r="J116" s="6" t="s">
        <v>91</v>
      </c>
      <c r="K116" s="8"/>
      <c r="L116" s="8"/>
      <c r="M116" s="8"/>
      <c r="N116" s="6" t="s">
        <v>29</v>
      </c>
      <c r="O116" s="6" t="s">
        <v>29</v>
      </c>
      <c r="P116" s="6" t="s">
        <v>645</v>
      </c>
      <c r="Q116" s="6">
        <v>1.05</v>
      </c>
      <c r="R116" s="6"/>
      <c r="S116" s="6"/>
      <c r="T116" s="8"/>
      <c r="U116" s="8"/>
      <c r="V116" s="8"/>
      <c r="W116" s="6" t="str">
        <f t="shared" si="1"/>
        <v/>
      </c>
      <c r="X116" s="6" t="s">
        <v>521</v>
      </c>
      <c r="Y116" s="6" t="s">
        <v>521</v>
      </c>
      <c r="Z116" s="20"/>
      <c r="AA116" s="13"/>
      <c r="AB116" s="13"/>
    </row>
    <row r="117" spans="1:28" ht="16" x14ac:dyDescent="0.2">
      <c r="A117" s="49"/>
      <c r="B117" s="6">
        <v>115</v>
      </c>
      <c r="C117" s="6" t="s">
        <v>646</v>
      </c>
      <c r="D117" s="6" t="s">
        <v>647</v>
      </c>
      <c r="E117" s="6" t="s">
        <v>648</v>
      </c>
      <c r="F117" s="6" t="s">
        <v>649</v>
      </c>
      <c r="G117" s="6">
        <v>396.39600000000002</v>
      </c>
      <c r="H117" s="6">
        <v>98</v>
      </c>
      <c r="I117" s="6" t="s">
        <v>650</v>
      </c>
      <c r="J117" s="6" t="s">
        <v>91</v>
      </c>
      <c r="K117" s="6"/>
      <c r="L117" s="6"/>
      <c r="M117" s="6"/>
      <c r="N117" s="6" t="s">
        <v>29</v>
      </c>
      <c r="O117" s="6" t="s">
        <v>29</v>
      </c>
      <c r="P117" s="6" t="s">
        <v>651</v>
      </c>
      <c r="Q117" s="6">
        <v>1.05</v>
      </c>
      <c r="R117" s="6"/>
      <c r="S117" s="6" t="s">
        <v>29</v>
      </c>
      <c r="T117" s="14">
        <v>16</v>
      </c>
      <c r="U117" s="14">
        <v>1.1000000000000001</v>
      </c>
      <c r="V117" s="14">
        <v>13.9</v>
      </c>
      <c r="W117" s="6" t="str">
        <f t="shared" si="1"/>
        <v/>
      </c>
      <c r="X117" s="6" t="s">
        <v>521</v>
      </c>
      <c r="Y117" s="6" t="s">
        <v>521</v>
      </c>
      <c r="Z117" s="20"/>
      <c r="AA117" s="13"/>
      <c r="AB117" s="13"/>
    </row>
    <row r="118" spans="1:28" ht="16" x14ac:dyDescent="0.2">
      <c r="A118" s="49"/>
      <c r="B118" s="6">
        <v>116</v>
      </c>
      <c r="C118" s="6" t="s">
        <v>652</v>
      </c>
      <c r="D118" s="6" t="s">
        <v>653</v>
      </c>
      <c r="E118" s="6" t="s">
        <v>654</v>
      </c>
      <c r="F118" s="6" t="s">
        <v>655</v>
      </c>
      <c r="G118" s="6">
        <v>429.85300000000001</v>
      </c>
      <c r="H118" s="6">
        <v>100</v>
      </c>
      <c r="I118" s="6" t="s">
        <v>656</v>
      </c>
      <c r="J118" s="6" t="s">
        <v>91</v>
      </c>
      <c r="K118" s="6"/>
      <c r="L118" s="6"/>
      <c r="M118" s="6"/>
      <c r="N118" s="6" t="s">
        <v>29</v>
      </c>
      <c r="O118" s="6" t="s">
        <v>29</v>
      </c>
      <c r="P118" s="6" t="s">
        <v>657</v>
      </c>
      <c r="Q118" s="6">
        <v>1.05</v>
      </c>
      <c r="R118" s="6"/>
      <c r="S118" s="6" t="s">
        <v>29</v>
      </c>
      <c r="T118" s="14">
        <v>10</v>
      </c>
      <c r="U118" s="14">
        <v>0.7</v>
      </c>
      <c r="V118" s="14">
        <v>8.6999999999999993</v>
      </c>
      <c r="W118" s="6" t="str">
        <f t="shared" si="1"/>
        <v/>
      </c>
      <c r="X118" s="6" t="s">
        <v>521</v>
      </c>
      <c r="Y118" s="6" t="s">
        <v>521</v>
      </c>
      <c r="Z118" s="20"/>
      <c r="AA118" s="13"/>
      <c r="AB118" s="13"/>
    </row>
    <row r="119" spans="1:28" ht="16" x14ac:dyDescent="0.2">
      <c r="A119" s="49"/>
      <c r="B119" s="6">
        <v>117</v>
      </c>
      <c r="C119" s="6" t="s">
        <v>658</v>
      </c>
      <c r="D119" s="6" t="s">
        <v>659</v>
      </c>
      <c r="E119" s="6" t="s">
        <v>660</v>
      </c>
      <c r="F119" s="6" t="s">
        <v>661</v>
      </c>
      <c r="G119" s="6">
        <v>411.40699999999998</v>
      </c>
      <c r="H119" s="6">
        <v>100</v>
      </c>
      <c r="I119" s="6" t="s">
        <v>662</v>
      </c>
      <c r="J119" s="6" t="s">
        <v>91</v>
      </c>
      <c r="K119" s="6"/>
      <c r="L119" s="6"/>
      <c r="M119" s="6"/>
      <c r="N119" s="6" t="s">
        <v>29</v>
      </c>
      <c r="O119" s="6" t="s">
        <v>29</v>
      </c>
      <c r="P119" s="6" t="s">
        <v>663</v>
      </c>
      <c r="Q119" s="6">
        <v>1.05</v>
      </c>
      <c r="R119" s="6"/>
      <c r="S119" s="6" t="s">
        <v>29</v>
      </c>
      <c r="T119" s="14">
        <v>0.4</v>
      </c>
      <c r="U119" s="14">
        <v>0.03</v>
      </c>
      <c r="V119" s="14">
        <v>0.3</v>
      </c>
      <c r="W119" s="6" t="str">
        <f t="shared" si="1"/>
        <v/>
      </c>
      <c r="X119" s="6" t="s">
        <v>521</v>
      </c>
      <c r="Y119" s="6" t="s">
        <v>521</v>
      </c>
      <c r="Z119" s="20"/>
      <c r="AA119" s="13"/>
      <c r="AB119" s="13"/>
    </row>
    <row r="120" spans="1:28" ht="16" x14ac:dyDescent="0.2">
      <c r="A120" s="49"/>
      <c r="B120" s="6">
        <v>118</v>
      </c>
      <c r="C120" s="6" t="s">
        <v>664</v>
      </c>
      <c r="D120" s="6" t="s">
        <v>665</v>
      </c>
      <c r="E120" s="6" t="s">
        <v>666</v>
      </c>
      <c r="F120" s="6" t="s">
        <v>667</v>
      </c>
      <c r="G120" s="6">
        <v>446.88400000000001</v>
      </c>
      <c r="H120" s="6">
        <v>98</v>
      </c>
      <c r="I120" s="6" t="s">
        <v>668</v>
      </c>
      <c r="J120" s="6" t="s">
        <v>91</v>
      </c>
      <c r="K120" s="6" t="s">
        <v>669</v>
      </c>
      <c r="L120" s="6">
        <v>1</v>
      </c>
      <c r="M120" s="6">
        <v>36.46</v>
      </c>
      <c r="N120" s="6" t="s">
        <v>29</v>
      </c>
      <c r="O120" s="6" t="s">
        <v>29</v>
      </c>
      <c r="P120" s="6" t="s">
        <v>670</v>
      </c>
      <c r="Q120" s="6">
        <v>1.05</v>
      </c>
      <c r="R120" s="6"/>
      <c r="S120" s="6" t="s">
        <v>29</v>
      </c>
      <c r="T120" s="14">
        <v>0.8</v>
      </c>
      <c r="U120" s="14">
        <v>1.3</v>
      </c>
      <c r="V120" s="14">
        <v>0.7</v>
      </c>
      <c r="W120" s="6" t="str">
        <f t="shared" si="1"/>
        <v/>
      </c>
      <c r="X120" s="6" t="s">
        <v>521</v>
      </c>
      <c r="Y120" s="6" t="s">
        <v>521</v>
      </c>
      <c r="Z120" s="20"/>
      <c r="AA120" s="13"/>
      <c r="AB120" s="13"/>
    </row>
    <row r="121" spans="1:28" ht="16" x14ac:dyDescent="0.2">
      <c r="A121" s="49"/>
      <c r="B121" s="6">
        <v>119</v>
      </c>
      <c r="C121" s="6" t="s">
        <v>671</v>
      </c>
      <c r="D121" s="6" t="s">
        <v>672</v>
      </c>
      <c r="E121" s="6" t="s">
        <v>673</v>
      </c>
      <c r="F121" s="6" t="s">
        <v>674</v>
      </c>
      <c r="G121" s="6">
        <v>369.37099999999998</v>
      </c>
      <c r="H121" s="6">
        <v>100</v>
      </c>
      <c r="I121" s="6" t="s">
        <v>675</v>
      </c>
      <c r="J121" s="6" t="s">
        <v>91</v>
      </c>
      <c r="K121" s="6"/>
      <c r="L121" s="6"/>
      <c r="M121" s="6"/>
      <c r="N121" s="6" t="s">
        <v>29</v>
      </c>
      <c r="O121" s="6" t="s">
        <v>29</v>
      </c>
      <c r="P121" s="6" t="s">
        <v>676</v>
      </c>
      <c r="Q121" s="6">
        <v>1.05</v>
      </c>
      <c r="R121" s="6"/>
      <c r="S121" s="6" t="s">
        <v>29</v>
      </c>
      <c r="T121" s="14">
        <v>1</v>
      </c>
      <c r="U121" s="14">
        <v>0.1</v>
      </c>
      <c r="V121" s="14">
        <v>0.9</v>
      </c>
      <c r="W121" s="6" t="str">
        <f t="shared" si="1"/>
        <v/>
      </c>
      <c r="X121" s="6" t="s">
        <v>521</v>
      </c>
      <c r="Y121" s="6" t="s">
        <v>521</v>
      </c>
      <c r="Z121" s="20"/>
      <c r="AA121" s="13"/>
      <c r="AB121" s="13"/>
    </row>
    <row r="122" spans="1:28" ht="16" x14ac:dyDescent="0.2">
      <c r="A122" s="49"/>
      <c r="B122" s="6">
        <v>120</v>
      </c>
      <c r="C122" s="6" t="s">
        <v>677</v>
      </c>
      <c r="D122" s="6" t="s">
        <v>678</v>
      </c>
      <c r="E122" s="6" t="s">
        <v>679</v>
      </c>
      <c r="F122" s="6" t="s">
        <v>606</v>
      </c>
      <c r="G122" s="6">
        <v>409.435</v>
      </c>
      <c r="H122" s="6">
        <v>98</v>
      </c>
      <c r="I122" s="6" t="s">
        <v>680</v>
      </c>
      <c r="J122" s="6" t="s">
        <v>91</v>
      </c>
      <c r="K122" s="6"/>
      <c r="L122" s="6"/>
      <c r="M122" s="6"/>
      <c r="N122" s="6"/>
      <c r="O122" s="6"/>
      <c r="P122" s="6"/>
      <c r="Q122" s="6"/>
      <c r="R122" s="6"/>
      <c r="S122" s="6"/>
      <c r="T122" s="8"/>
      <c r="U122" s="8"/>
      <c r="V122" s="8"/>
      <c r="W122" s="6" t="str">
        <f t="shared" si="1"/>
        <v/>
      </c>
      <c r="X122" s="6" t="s">
        <v>521</v>
      </c>
      <c r="Y122" s="6" t="s">
        <v>521</v>
      </c>
      <c r="Z122" s="20"/>
      <c r="AA122" s="13"/>
      <c r="AB122" s="13"/>
    </row>
    <row r="123" spans="1:28" ht="16" x14ac:dyDescent="0.2">
      <c r="A123" s="50"/>
      <c r="B123" s="2">
        <v>121</v>
      </c>
      <c r="C123" s="2" t="s">
        <v>681</v>
      </c>
      <c r="D123" s="2" t="s">
        <v>682</v>
      </c>
      <c r="E123" s="2" t="s">
        <v>683</v>
      </c>
      <c r="F123" s="2" t="s">
        <v>684</v>
      </c>
      <c r="G123" s="2">
        <v>488.94299999999998</v>
      </c>
      <c r="H123" s="2">
        <v>100</v>
      </c>
      <c r="I123" s="2" t="s">
        <v>685</v>
      </c>
      <c r="J123" s="2" t="s">
        <v>91</v>
      </c>
      <c r="K123" s="2" t="s">
        <v>669</v>
      </c>
      <c r="L123" s="2">
        <v>1</v>
      </c>
      <c r="M123" s="2">
        <v>36.46</v>
      </c>
      <c r="N123" s="2" t="s">
        <v>29</v>
      </c>
      <c r="O123" s="2" t="s">
        <v>29</v>
      </c>
      <c r="P123" s="2" t="s">
        <v>686</v>
      </c>
      <c r="Q123" s="2">
        <v>1.05</v>
      </c>
      <c r="R123" s="2"/>
      <c r="S123" s="2" t="s">
        <v>29</v>
      </c>
      <c r="T123" s="3">
        <v>4.8</v>
      </c>
      <c r="U123" s="3">
        <v>0.6</v>
      </c>
      <c r="V123" s="3">
        <v>4.2</v>
      </c>
      <c r="W123" s="2" t="str">
        <f t="shared" si="1"/>
        <v/>
      </c>
      <c r="X123" s="2" t="s">
        <v>521</v>
      </c>
      <c r="Y123" s="2" t="s">
        <v>521</v>
      </c>
      <c r="Z123" s="21"/>
      <c r="AA123" s="5"/>
      <c r="AB123" s="5"/>
    </row>
    <row r="124" spans="1:28" ht="16" x14ac:dyDescent="0.2">
      <c r="A124" s="48" t="s">
        <v>687</v>
      </c>
      <c r="B124" s="6">
        <v>122</v>
      </c>
      <c r="C124" s="6" t="s">
        <v>688</v>
      </c>
      <c r="D124" s="7" t="s">
        <v>689</v>
      </c>
      <c r="E124" s="7" t="s">
        <v>690</v>
      </c>
      <c r="F124" s="7" t="s">
        <v>691</v>
      </c>
      <c r="G124" s="7">
        <v>279.72800000000001</v>
      </c>
      <c r="H124" s="7">
        <v>100</v>
      </c>
      <c r="I124" s="7" t="s">
        <v>692</v>
      </c>
      <c r="J124" s="7" t="s">
        <v>38</v>
      </c>
      <c r="K124" s="8"/>
      <c r="L124" s="8"/>
      <c r="M124" s="8"/>
      <c r="N124" s="6" t="s">
        <v>29</v>
      </c>
      <c r="O124" s="6" t="s">
        <v>29</v>
      </c>
      <c r="P124" s="6" t="s">
        <v>693</v>
      </c>
      <c r="Q124" s="6">
        <v>1.05</v>
      </c>
      <c r="R124" s="6" t="s">
        <v>694</v>
      </c>
      <c r="S124" s="6"/>
      <c r="T124" s="8"/>
      <c r="U124" s="8"/>
      <c r="V124" s="8"/>
      <c r="W124" s="6" t="str">
        <f t="shared" si="1"/>
        <v/>
      </c>
      <c r="X124" s="9">
        <v>0.57999999999999996</v>
      </c>
      <c r="Y124" s="6">
        <v>0.12</v>
      </c>
      <c r="Z124" s="19"/>
      <c r="AA124" s="22">
        <v>-44.695456999999998</v>
      </c>
      <c r="AB124" s="11"/>
    </row>
    <row r="125" spans="1:28" ht="16" x14ac:dyDescent="0.2">
      <c r="A125" s="49"/>
      <c r="B125" s="6">
        <v>123</v>
      </c>
      <c r="C125" s="6" t="s">
        <v>695</v>
      </c>
      <c r="D125" s="7" t="s">
        <v>696</v>
      </c>
      <c r="E125" s="7" t="s">
        <v>697</v>
      </c>
      <c r="F125" s="7" t="s">
        <v>698</v>
      </c>
      <c r="G125" s="7">
        <v>284.74099999999999</v>
      </c>
      <c r="H125" s="7">
        <v>100</v>
      </c>
      <c r="I125" s="7" t="s">
        <v>699</v>
      </c>
      <c r="J125" s="7" t="s">
        <v>43</v>
      </c>
      <c r="K125" s="8"/>
      <c r="L125" s="8"/>
      <c r="M125" s="8"/>
      <c r="N125" s="6" t="s">
        <v>29</v>
      </c>
      <c r="O125" s="6" t="s">
        <v>29</v>
      </c>
      <c r="P125" s="6" t="s">
        <v>700</v>
      </c>
      <c r="Q125" s="6">
        <v>1.05</v>
      </c>
      <c r="R125" s="6">
        <v>8.48</v>
      </c>
      <c r="S125" s="6"/>
      <c r="T125" s="8"/>
      <c r="U125" s="8"/>
      <c r="V125" s="8"/>
      <c r="W125" s="6" t="str">
        <f t="shared" si="1"/>
        <v/>
      </c>
      <c r="X125" s="9">
        <v>6.3000000000000003E-4</v>
      </c>
      <c r="Y125" s="6">
        <v>0.34</v>
      </c>
      <c r="Z125" s="20"/>
      <c r="AA125" s="23">
        <v>-35.065185999999997</v>
      </c>
      <c r="AB125" s="13"/>
    </row>
    <row r="126" spans="1:28" ht="16" x14ac:dyDescent="0.2">
      <c r="A126" s="49"/>
      <c r="B126" s="6">
        <v>124</v>
      </c>
      <c r="C126" s="6" t="s">
        <v>701</v>
      </c>
      <c r="D126" s="7" t="s">
        <v>702</v>
      </c>
      <c r="E126" s="7" t="s">
        <v>703</v>
      </c>
      <c r="F126" s="7" t="s">
        <v>704</v>
      </c>
      <c r="G126" s="7">
        <v>337.35399999999998</v>
      </c>
      <c r="H126" s="7">
        <v>100</v>
      </c>
      <c r="I126" s="7" t="s">
        <v>705</v>
      </c>
      <c r="J126" s="7" t="s">
        <v>38</v>
      </c>
      <c r="K126" s="8"/>
      <c r="L126" s="8"/>
      <c r="M126" s="8"/>
      <c r="N126" s="6" t="s">
        <v>29</v>
      </c>
      <c r="O126" s="6" t="s">
        <v>29</v>
      </c>
      <c r="P126" s="6" t="s">
        <v>706</v>
      </c>
      <c r="Q126" s="6">
        <v>1.05</v>
      </c>
      <c r="R126" s="6">
        <v>8.89</v>
      </c>
      <c r="S126" s="6"/>
      <c r="T126" s="8"/>
      <c r="U126" s="8"/>
      <c r="V126" s="8"/>
      <c r="W126" s="6" t="str">
        <f t="shared" si="1"/>
        <v/>
      </c>
      <c r="X126" s="9">
        <v>0.15</v>
      </c>
      <c r="Y126" s="6">
        <v>0.28999999999999998</v>
      </c>
      <c r="Z126" s="20"/>
      <c r="AA126" s="23">
        <v>-35.548045999999999</v>
      </c>
      <c r="AB126" s="13"/>
    </row>
    <row r="127" spans="1:28" ht="16" x14ac:dyDescent="0.2">
      <c r="A127" s="49"/>
      <c r="B127" s="6">
        <v>125</v>
      </c>
      <c r="C127" s="6" t="s">
        <v>707</v>
      </c>
      <c r="D127" s="7" t="s">
        <v>708</v>
      </c>
      <c r="E127" s="7" t="s">
        <v>709</v>
      </c>
      <c r="F127" s="7" t="s">
        <v>710</v>
      </c>
      <c r="G127" s="7">
        <v>302.351</v>
      </c>
      <c r="H127" s="7">
        <v>100</v>
      </c>
      <c r="I127" s="7" t="s">
        <v>711</v>
      </c>
      <c r="J127" s="7" t="s">
        <v>43</v>
      </c>
      <c r="K127" s="8"/>
      <c r="L127" s="8"/>
      <c r="M127" s="8"/>
      <c r="N127" s="6"/>
      <c r="O127" s="6"/>
      <c r="P127" s="6"/>
      <c r="Q127" s="6"/>
      <c r="R127" s="6"/>
      <c r="S127" s="6"/>
      <c r="T127" s="8"/>
      <c r="U127" s="8"/>
      <c r="V127" s="8"/>
      <c r="W127" s="6" t="str">
        <f t="shared" si="1"/>
        <v/>
      </c>
      <c r="X127" s="9">
        <v>9.4999999999999998E-3</v>
      </c>
      <c r="Y127" s="6">
        <v>0.32</v>
      </c>
      <c r="Z127" s="20"/>
      <c r="AA127" s="23">
        <v>-37.602139000000001</v>
      </c>
      <c r="AB127" s="13"/>
    </row>
    <row r="128" spans="1:28" ht="16" x14ac:dyDescent="0.2">
      <c r="A128" s="49"/>
      <c r="B128" s="6">
        <v>126</v>
      </c>
      <c r="C128" s="6" t="s">
        <v>712</v>
      </c>
      <c r="D128" s="7" t="s">
        <v>713</v>
      </c>
      <c r="E128" s="7" t="s">
        <v>714</v>
      </c>
      <c r="F128" s="7" t="s">
        <v>715</v>
      </c>
      <c r="G128" s="7">
        <v>324.37700000000001</v>
      </c>
      <c r="H128" s="7">
        <v>100</v>
      </c>
      <c r="I128" s="7" t="s">
        <v>716</v>
      </c>
      <c r="J128" s="7" t="s">
        <v>438</v>
      </c>
      <c r="K128" s="8"/>
      <c r="L128" s="8"/>
      <c r="M128" s="8"/>
      <c r="N128" s="6" t="s">
        <v>29</v>
      </c>
      <c r="O128" s="6" t="s">
        <v>29</v>
      </c>
      <c r="P128" s="6" t="s">
        <v>717</v>
      </c>
      <c r="Q128" s="6">
        <v>1.05</v>
      </c>
      <c r="R128" s="6">
        <v>2.95</v>
      </c>
      <c r="S128" s="6"/>
      <c r="T128" s="8"/>
      <c r="U128" s="8"/>
      <c r="V128" s="8"/>
      <c r="W128" s="6" t="str">
        <f t="shared" si="1"/>
        <v/>
      </c>
      <c r="X128" s="9">
        <v>2.5999999999999998E-5</v>
      </c>
      <c r="Y128" s="6">
        <v>0.14000000000000001</v>
      </c>
      <c r="Z128" s="20"/>
      <c r="AA128" s="23">
        <v>-40.987941999999997</v>
      </c>
      <c r="AB128" s="13"/>
    </row>
    <row r="129" spans="1:28" ht="16" x14ac:dyDescent="0.2">
      <c r="A129" s="49"/>
      <c r="B129" s="6">
        <v>127</v>
      </c>
      <c r="C129" s="6" t="s">
        <v>718</v>
      </c>
      <c r="D129" s="7" t="s">
        <v>719</v>
      </c>
      <c r="E129" s="7" t="s">
        <v>720</v>
      </c>
      <c r="F129" s="7" t="s">
        <v>721</v>
      </c>
      <c r="G129" s="7">
        <v>291.25900000000001</v>
      </c>
      <c r="H129" s="7">
        <v>100</v>
      </c>
      <c r="I129" s="7" t="s">
        <v>722</v>
      </c>
      <c r="J129" s="7" t="s">
        <v>38</v>
      </c>
      <c r="K129" s="8"/>
      <c r="L129" s="8"/>
      <c r="M129" s="8"/>
      <c r="N129" s="6" t="s">
        <v>29</v>
      </c>
      <c r="O129" s="6" t="s">
        <v>29</v>
      </c>
      <c r="P129" s="6" t="s">
        <v>723</v>
      </c>
      <c r="Q129" s="6">
        <v>1.05</v>
      </c>
      <c r="R129" s="6">
        <v>5.51</v>
      </c>
      <c r="S129" s="6"/>
      <c r="T129" s="8"/>
      <c r="U129" s="8"/>
      <c r="V129" s="8"/>
      <c r="W129" s="6" t="str">
        <f t="shared" si="1"/>
        <v/>
      </c>
      <c r="X129" s="9">
        <v>0.11</v>
      </c>
      <c r="Y129" s="6">
        <v>0.09</v>
      </c>
      <c r="Z129" s="20"/>
      <c r="AA129" s="23">
        <v>-34.695999</v>
      </c>
      <c r="AB129" s="13"/>
    </row>
    <row r="130" spans="1:28" ht="16" x14ac:dyDescent="0.2">
      <c r="A130" s="49"/>
      <c r="B130" s="6">
        <v>128</v>
      </c>
      <c r="C130" s="6" t="s">
        <v>724</v>
      </c>
      <c r="D130" s="7" t="s">
        <v>725</v>
      </c>
      <c r="E130" s="7" t="s">
        <v>726</v>
      </c>
      <c r="F130" s="7" t="s">
        <v>727</v>
      </c>
      <c r="G130" s="7">
        <v>258.27499999999998</v>
      </c>
      <c r="H130" s="7">
        <v>100</v>
      </c>
      <c r="I130" s="7" t="s">
        <v>728</v>
      </c>
      <c r="J130" s="7" t="s">
        <v>43</v>
      </c>
      <c r="K130" s="8"/>
      <c r="L130" s="8"/>
      <c r="M130" s="8"/>
      <c r="N130" s="6"/>
      <c r="O130" s="6"/>
      <c r="P130" s="6"/>
      <c r="Q130" s="6"/>
      <c r="R130" s="6"/>
      <c r="S130" s="6"/>
      <c r="T130" s="8"/>
      <c r="U130" s="8"/>
      <c r="V130" s="8"/>
      <c r="W130" s="6" t="str">
        <f t="shared" si="1"/>
        <v/>
      </c>
      <c r="X130" s="9">
        <v>0.28999999999999998</v>
      </c>
      <c r="Y130" s="6">
        <v>0.16</v>
      </c>
      <c r="Z130" s="20"/>
      <c r="AA130" s="23">
        <v>-37.824852</v>
      </c>
      <c r="AB130" s="13"/>
    </row>
    <row r="131" spans="1:28" ht="16" x14ac:dyDescent="0.2">
      <c r="A131" s="49"/>
      <c r="B131" s="6">
        <v>129</v>
      </c>
      <c r="C131" s="6" t="s">
        <v>729</v>
      </c>
      <c r="D131" s="7" t="s">
        <v>730</v>
      </c>
      <c r="E131" s="7" t="s">
        <v>731</v>
      </c>
      <c r="F131" s="7" t="s">
        <v>732</v>
      </c>
      <c r="G131" s="7">
        <v>303.31299999999999</v>
      </c>
      <c r="H131" s="7">
        <v>100</v>
      </c>
      <c r="I131" s="7" t="s">
        <v>733</v>
      </c>
      <c r="J131" s="7" t="s">
        <v>85</v>
      </c>
      <c r="K131" s="8"/>
      <c r="L131" s="8"/>
      <c r="M131" s="8"/>
      <c r="N131" s="6"/>
      <c r="O131" s="6"/>
      <c r="P131" s="6"/>
      <c r="Q131" s="6"/>
      <c r="R131" s="6"/>
      <c r="S131" s="6"/>
      <c r="T131" s="8"/>
      <c r="U131" s="8"/>
      <c r="V131" s="8"/>
      <c r="W131" s="6" t="str">
        <f t="shared" si="1"/>
        <v/>
      </c>
      <c r="X131" s="9">
        <v>0.41</v>
      </c>
      <c r="Y131" s="6">
        <v>0.2</v>
      </c>
      <c r="Z131" s="20"/>
      <c r="AA131" s="23">
        <v>-45.382956999999998</v>
      </c>
      <c r="AB131" s="13"/>
    </row>
    <row r="132" spans="1:28" ht="16" x14ac:dyDescent="0.2">
      <c r="A132" s="49"/>
      <c r="B132" s="6">
        <v>130</v>
      </c>
      <c r="C132" s="6" t="s">
        <v>734</v>
      </c>
      <c r="D132" s="7" t="s">
        <v>735</v>
      </c>
      <c r="E132" s="7" t="s">
        <v>736</v>
      </c>
      <c r="F132" s="7" t="s">
        <v>737</v>
      </c>
      <c r="G132" s="7">
        <v>345.41899999999998</v>
      </c>
      <c r="H132" s="7">
        <v>100</v>
      </c>
      <c r="I132" s="7" t="s">
        <v>738</v>
      </c>
      <c r="J132" s="7" t="s">
        <v>38</v>
      </c>
      <c r="K132" s="8"/>
      <c r="L132" s="8"/>
      <c r="M132" s="8"/>
      <c r="N132" s="6" t="s">
        <v>29</v>
      </c>
      <c r="O132" s="6" t="s">
        <v>29</v>
      </c>
      <c r="P132" s="6" t="s">
        <v>739</v>
      </c>
      <c r="Q132" s="6">
        <v>1.05</v>
      </c>
      <c r="R132" s="24">
        <v>4.2300000000000004</v>
      </c>
      <c r="S132" s="6"/>
      <c r="T132" s="8"/>
      <c r="U132" s="8"/>
      <c r="V132" s="8"/>
      <c r="W132" s="6" t="str">
        <f t="shared" si="1"/>
        <v/>
      </c>
      <c r="X132" s="9">
        <v>1.2E-2</v>
      </c>
      <c r="Y132" s="6">
        <v>0.06</v>
      </c>
      <c r="Z132" s="20"/>
      <c r="AA132" s="23">
        <v>-35.242804999999997</v>
      </c>
      <c r="AB132" s="13"/>
    </row>
    <row r="133" spans="1:28" ht="16" x14ac:dyDescent="0.2">
      <c r="A133" s="49"/>
      <c r="B133" s="6">
        <v>131</v>
      </c>
      <c r="C133" s="6" t="s">
        <v>740</v>
      </c>
      <c r="D133" s="7" t="s">
        <v>741</v>
      </c>
      <c r="E133" s="7" t="s">
        <v>742</v>
      </c>
      <c r="F133" s="7" t="s">
        <v>743</v>
      </c>
      <c r="G133" s="7">
        <v>274.32100000000003</v>
      </c>
      <c r="H133" s="7">
        <v>100</v>
      </c>
      <c r="I133" s="7" t="s">
        <v>744</v>
      </c>
      <c r="J133" s="7" t="s">
        <v>43</v>
      </c>
      <c r="K133" s="8"/>
      <c r="L133" s="8"/>
      <c r="M133" s="8"/>
      <c r="N133" s="25"/>
      <c r="O133" s="25"/>
      <c r="P133" s="25"/>
      <c r="Q133" s="25"/>
      <c r="R133" s="26"/>
      <c r="S133" s="6"/>
      <c r="T133" s="8"/>
      <c r="U133" s="8"/>
      <c r="V133" s="8"/>
      <c r="W133" s="6" t="str">
        <f t="shared" si="1"/>
        <v/>
      </c>
      <c r="X133" s="9">
        <v>0.27</v>
      </c>
      <c r="Y133" s="6">
        <v>0.27</v>
      </c>
      <c r="Z133" s="20"/>
      <c r="AA133" s="23">
        <v>-39.756332</v>
      </c>
      <c r="AB133" s="13"/>
    </row>
    <row r="134" spans="1:28" ht="16" x14ac:dyDescent="0.2">
      <c r="A134" s="49"/>
      <c r="B134" s="6">
        <v>132</v>
      </c>
      <c r="C134" s="6" t="s">
        <v>745</v>
      </c>
      <c r="D134" s="7" t="s">
        <v>746</v>
      </c>
      <c r="E134" s="7" t="s">
        <v>747</v>
      </c>
      <c r="F134" s="7" t="s">
        <v>748</v>
      </c>
      <c r="G134" s="7">
        <v>320.77699999999999</v>
      </c>
      <c r="H134" s="7">
        <v>100</v>
      </c>
      <c r="I134" s="7" t="s">
        <v>749</v>
      </c>
      <c r="J134" s="7" t="s">
        <v>43</v>
      </c>
      <c r="K134" s="8"/>
      <c r="L134" s="8"/>
      <c r="M134" s="8"/>
      <c r="N134" s="6" t="s">
        <v>29</v>
      </c>
      <c r="O134" s="6" t="s">
        <v>29</v>
      </c>
      <c r="P134" s="6" t="s">
        <v>750</v>
      </c>
      <c r="Q134" s="6">
        <v>1.05</v>
      </c>
      <c r="R134" s="6">
        <v>19.510000000000002</v>
      </c>
      <c r="S134" s="6"/>
      <c r="T134" s="8"/>
      <c r="U134" s="8"/>
      <c r="V134" s="8"/>
      <c r="W134" s="6" t="str">
        <f t="shared" si="1"/>
        <v/>
      </c>
      <c r="X134" s="9">
        <v>0.42</v>
      </c>
      <c r="Y134" s="6">
        <v>0.04</v>
      </c>
      <c r="Z134" s="20"/>
      <c r="AA134" s="23">
        <v>-34.710270000000001</v>
      </c>
      <c r="AB134" s="13"/>
    </row>
    <row r="135" spans="1:28" ht="16" x14ac:dyDescent="0.2">
      <c r="A135" s="49"/>
      <c r="B135" s="6">
        <v>133</v>
      </c>
      <c r="C135" s="6" t="s">
        <v>751</v>
      </c>
      <c r="D135" s="7" t="s">
        <v>752</v>
      </c>
      <c r="E135" s="7" t="s">
        <v>753</v>
      </c>
      <c r="F135" s="7" t="s">
        <v>754</v>
      </c>
      <c r="G135" s="7">
        <v>357.81200000000001</v>
      </c>
      <c r="H135" s="7">
        <v>100</v>
      </c>
      <c r="I135" s="7" t="s">
        <v>755</v>
      </c>
      <c r="J135" s="7" t="s">
        <v>91</v>
      </c>
      <c r="K135" s="8"/>
      <c r="L135" s="8"/>
      <c r="M135" s="8"/>
      <c r="N135" s="6" t="s">
        <v>29</v>
      </c>
      <c r="O135" s="6" t="s">
        <v>29</v>
      </c>
      <c r="P135" s="6" t="s">
        <v>756</v>
      </c>
      <c r="Q135" s="6">
        <v>1.05</v>
      </c>
      <c r="R135" s="6">
        <v>2.65</v>
      </c>
      <c r="S135" s="6"/>
      <c r="T135" s="8"/>
      <c r="U135" s="8"/>
      <c r="V135" s="8"/>
      <c r="W135" s="6" t="str">
        <f t="shared" si="1"/>
        <v/>
      </c>
      <c r="X135" s="9">
        <v>0.45</v>
      </c>
      <c r="Y135" s="6">
        <v>0.15</v>
      </c>
      <c r="Z135" s="20"/>
      <c r="AA135" s="23">
        <v>-34.391143999999997</v>
      </c>
      <c r="AB135" s="13"/>
    </row>
    <row r="136" spans="1:28" ht="16" x14ac:dyDescent="0.2">
      <c r="A136" s="49"/>
      <c r="B136" s="6">
        <v>134</v>
      </c>
      <c r="C136" s="6" t="s">
        <v>757</v>
      </c>
      <c r="D136" s="7" t="s">
        <v>758</v>
      </c>
      <c r="E136" s="7" t="s">
        <v>759</v>
      </c>
      <c r="F136" s="7" t="s">
        <v>760</v>
      </c>
      <c r="G136" s="7">
        <v>273.28699999999998</v>
      </c>
      <c r="H136" s="7">
        <v>100</v>
      </c>
      <c r="I136" s="7" t="s">
        <v>761</v>
      </c>
      <c r="J136" s="7" t="s">
        <v>85</v>
      </c>
      <c r="K136" s="8"/>
      <c r="L136" s="8"/>
      <c r="M136" s="8"/>
      <c r="N136" s="6" t="s">
        <v>29</v>
      </c>
      <c r="O136" s="6" t="s">
        <v>29</v>
      </c>
      <c r="P136" s="6" t="s">
        <v>762</v>
      </c>
      <c r="Q136" s="6">
        <v>1.05</v>
      </c>
      <c r="R136" s="6">
        <v>1.42</v>
      </c>
      <c r="S136" s="6"/>
      <c r="T136" s="8"/>
      <c r="U136" s="8"/>
      <c r="V136" s="8"/>
      <c r="W136" s="6" t="str">
        <f t="shared" si="1"/>
        <v/>
      </c>
      <c r="X136" s="9">
        <v>0.2</v>
      </c>
      <c r="Y136" s="6">
        <v>0.25</v>
      </c>
      <c r="Z136" s="20"/>
      <c r="AA136" s="23">
        <v>-36.550148</v>
      </c>
      <c r="AB136" s="13"/>
    </row>
    <row r="137" spans="1:28" ht="16" x14ac:dyDescent="0.2">
      <c r="A137" s="49"/>
      <c r="B137" s="6">
        <v>135</v>
      </c>
      <c r="C137" s="6" t="s">
        <v>763</v>
      </c>
      <c r="D137" s="7" t="s">
        <v>764</v>
      </c>
      <c r="E137" s="7" t="s">
        <v>765</v>
      </c>
      <c r="F137" s="7" t="s">
        <v>57</v>
      </c>
      <c r="G137" s="7">
        <v>262.26400000000001</v>
      </c>
      <c r="H137" s="7">
        <v>100</v>
      </c>
      <c r="I137" s="7" t="s">
        <v>766</v>
      </c>
      <c r="J137" s="7" t="s">
        <v>38</v>
      </c>
      <c r="K137" s="8"/>
      <c r="L137" s="8"/>
      <c r="M137" s="8"/>
      <c r="N137" s="6" t="s">
        <v>29</v>
      </c>
      <c r="O137" s="6" t="s">
        <v>29</v>
      </c>
      <c r="P137" s="6" t="s">
        <v>767</v>
      </c>
      <c r="Q137" s="6">
        <v>1.05</v>
      </c>
      <c r="R137" s="6">
        <v>2.72</v>
      </c>
      <c r="S137" s="6"/>
      <c r="T137" s="8"/>
      <c r="U137" s="8"/>
      <c r="V137" s="8"/>
      <c r="W137" s="6" t="str">
        <f t="shared" si="1"/>
        <v/>
      </c>
      <c r="X137" s="9">
        <v>0.21</v>
      </c>
      <c r="Y137" s="6">
        <v>0.12</v>
      </c>
      <c r="Z137" s="20"/>
      <c r="AA137" s="23">
        <v>-44.053539000000001</v>
      </c>
      <c r="AB137" s="13"/>
    </row>
    <row r="138" spans="1:28" ht="16" x14ac:dyDescent="0.2">
      <c r="A138" s="49"/>
      <c r="B138" s="6">
        <v>136</v>
      </c>
      <c r="C138" s="6" t="s">
        <v>768</v>
      </c>
      <c r="D138" s="7" t="s">
        <v>769</v>
      </c>
      <c r="E138" s="7" t="s">
        <v>770</v>
      </c>
      <c r="F138" s="7" t="s">
        <v>771</v>
      </c>
      <c r="G138" s="7">
        <v>277.27999999999997</v>
      </c>
      <c r="H138" s="7">
        <v>100</v>
      </c>
      <c r="I138" s="7" t="s">
        <v>772</v>
      </c>
      <c r="J138" s="7" t="s">
        <v>38</v>
      </c>
      <c r="K138" s="8"/>
      <c r="L138" s="8"/>
      <c r="M138" s="8"/>
      <c r="N138" s="6" t="s">
        <v>29</v>
      </c>
      <c r="O138" s="6" t="s">
        <v>29</v>
      </c>
      <c r="P138" s="6" t="s">
        <v>773</v>
      </c>
      <c r="Q138" s="6">
        <v>1.05</v>
      </c>
      <c r="R138" s="6">
        <v>1.77</v>
      </c>
      <c r="S138" s="6"/>
      <c r="T138" s="8"/>
      <c r="U138" s="8"/>
      <c r="V138" s="8"/>
      <c r="W138" s="6" t="str">
        <f t="shared" si="1"/>
        <v/>
      </c>
      <c r="X138" s="9">
        <v>0.47</v>
      </c>
      <c r="Y138" s="6">
        <v>0.04</v>
      </c>
      <c r="Z138" s="20"/>
      <c r="AA138" s="23">
        <v>-42.888485000000003</v>
      </c>
      <c r="AB138" s="13"/>
    </row>
    <row r="139" spans="1:28" ht="16" x14ac:dyDescent="0.2">
      <c r="A139" s="49"/>
      <c r="B139" s="6">
        <v>137</v>
      </c>
      <c r="C139" s="6" t="s">
        <v>774</v>
      </c>
      <c r="D139" s="7" t="s">
        <v>775</v>
      </c>
      <c r="E139" s="7" t="s">
        <v>776</v>
      </c>
      <c r="F139" s="7" t="s">
        <v>777</v>
      </c>
      <c r="G139" s="7">
        <v>303.27</v>
      </c>
      <c r="H139" s="7">
        <v>100</v>
      </c>
      <c r="I139" s="7" t="s">
        <v>778</v>
      </c>
      <c r="J139" s="7" t="s">
        <v>43</v>
      </c>
      <c r="K139" s="8"/>
      <c r="L139" s="8"/>
      <c r="M139" s="8"/>
      <c r="N139" s="6"/>
      <c r="O139" s="6"/>
      <c r="P139" s="6"/>
      <c r="Q139" s="6"/>
      <c r="R139" s="6"/>
      <c r="S139" s="6"/>
      <c r="T139" s="8"/>
      <c r="U139" s="8"/>
      <c r="V139" s="8"/>
      <c r="W139" s="6" t="str">
        <f t="shared" si="1"/>
        <v/>
      </c>
      <c r="X139" s="9">
        <v>4.9000000000000002E-2</v>
      </c>
      <c r="Y139" s="6">
        <v>0.13</v>
      </c>
      <c r="Z139" s="20"/>
      <c r="AA139" s="23">
        <v>-39.627879999999998</v>
      </c>
      <c r="AB139" s="13"/>
    </row>
    <row r="140" spans="1:28" ht="16" x14ac:dyDescent="0.2">
      <c r="A140" s="49"/>
      <c r="B140" s="6">
        <v>138</v>
      </c>
      <c r="C140" s="6" t="s">
        <v>779</v>
      </c>
      <c r="D140" s="7" t="s">
        <v>780</v>
      </c>
      <c r="E140" s="7" t="s">
        <v>781</v>
      </c>
      <c r="F140" s="7" t="s">
        <v>782</v>
      </c>
      <c r="G140" s="7">
        <v>321.75799999999998</v>
      </c>
      <c r="H140" s="7">
        <v>100</v>
      </c>
      <c r="I140" s="7" t="s">
        <v>783</v>
      </c>
      <c r="J140" s="7" t="s">
        <v>43</v>
      </c>
      <c r="K140" s="8"/>
      <c r="L140" s="8"/>
      <c r="M140" s="8"/>
      <c r="N140" s="6" t="s">
        <v>29</v>
      </c>
      <c r="O140" s="6" t="s">
        <v>29</v>
      </c>
      <c r="P140" s="6" t="s">
        <v>784</v>
      </c>
      <c r="Q140" s="6">
        <v>1.05</v>
      </c>
      <c r="R140" s="6">
        <v>4.99</v>
      </c>
      <c r="S140" s="6"/>
      <c r="T140" s="8"/>
      <c r="U140" s="8"/>
      <c r="V140" s="8"/>
      <c r="W140" s="6" t="str">
        <f t="shared" si="1"/>
        <v/>
      </c>
      <c r="X140" s="9">
        <v>4.8000000000000001E-2</v>
      </c>
      <c r="Y140" s="6">
        <v>7.0000000000000007E-2</v>
      </c>
      <c r="Z140" s="20"/>
      <c r="AA140" s="23">
        <v>-34.537562999999999</v>
      </c>
      <c r="AB140" s="13"/>
    </row>
    <row r="141" spans="1:28" ht="16" x14ac:dyDescent="0.2">
      <c r="A141" s="49"/>
      <c r="B141" s="6">
        <v>139</v>
      </c>
      <c r="C141" s="6" t="s">
        <v>785</v>
      </c>
      <c r="D141" s="7" t="s">
        <v>786</v>
      </c>
      <c r="E141" s="7" t="s">
        <v>787</v>
      </c>
      <c r="F141" s="7" t="s">
        <v>788</v>
      </c>
      <c r="G141" s="7">
        <v>290.27100000000002</v>
      </c>
      <c r="H141" s="7">
        <v>100</v>
      </c>
      <c r="I141" s="7" t="s">
        <v>789</v>
      </c>
      <c r="J141" s="7" t="s">
        <v>438</v>
      </c>
      <c r="K141" s="8"/>
      <c r="L141" s="8"/>
      <c r="M141" s="8"/>
      <c r="N141" s="6" t="s">
        <v>29</v>
      </c>
      <c r="O141" s="6" t="s">
        <v>29</v>
      </c>
      <c r="P141" s="6" t="s">
        <v>790</v>
      </c>
      <c r="Q141" s="6">
        <v>1.05</v>
      </c>
      <c r="R141" s="6">
        <v>3.7</v>
      </c>
      <c r="S141" s="6"/>
      <c r="T141" s="8"/>
      <c r="U141" s="8"/>
      <c r="V141" s="8"/>
      <c r="W141" s="6" t="str">
        <f t="shared" si="1"/>
        <v/>
      </c>
      <c r="X141" s="9">
        <v>0.03</v>
      </c>
      <c r="Y141" s="6">
        <v>0.3</v>
      </c>
      <c r="Z141" s="20"/>
      <c r="AA141" s="23">
        <v>-38.919803999999999</v>
      </c>
      <c r="AB141" s="13"/>
    </row>
    <row r="142" spans="1:28" ht="16" x14ac:dyDescent="0.2">
      <c r="A142" s="49"/>
      <c r="B142" s="6">
        <v>140</v>
      </c>
      <c r="C142" s="6" t="s">
        <v>791</v>
      </c>
      <c r="D142" s="7" t="s">
        <v>792</v>
      </c>
      <c r="E142" s="7" t="s">
        <v>793</v>
      </c>
      <c r="F142" s="7" t="s">
        <v>794</v>
      </c>
      <c r="G142" s="7">
        <v>250.25299999999999</v>
      </c>
      <c r="H142" s="7">
        <v>100</v>
      </c>
      <c r="I142" s="7" t="s">
        <v>795</v>
      </c>
      <c r="J142" s="7" t="s">
        <v>85</v>
      </c>
      <c r="K142" s="8"/>
      <c r="L142" s="8"/>
      <c r="M142" s="8"/>
      <c r="N142" s="6"/>
      <c r="O142" s="6"/>
      <c r="P142" s="6"/>
      <c r="Q142" s="6"/>
      <c r="R142" s="6"/>
      <c r="S142" s="6"/>
      <c r="T142" s="8"/>
      <c r="U142" s="8"/>
      <c r="V142" s="8"/>
      <c r="W142" s="6" t="str">
        <f t="shared" si="1"/>
        <v/>
      </c>
      <c r="X142" s="9">
        <v>0.51</v>
      </c>
      <c r="Y142" s="6">
        <v>0.15</v>
      </c>
      <c r="Z142" s="20"/>
      <c r="AA142" s="23">
        <v>-32.822014000000003</v>
      </c>
      <c r="AB142" s="13"/>
    </row>
    <row r="143" spans="1:28" ht="16" x14ac:dyDescent="0.2">
      <c r="A143" s="49"/>
      <c r="B143" s="6">
        <v>141</v>
      </c>
      <c r="C143" s="6" t="s">
        <v>796</v>
      </c>
      <c r="D143" s="7" t="s">
        <v>797</v>
      </c>
      <c r="E143" s="7" t="s">
        <v>798</v>
      </c>
      <c r="F143" s="7" t="s">
        <v>799</v>
      </c>
      <c r="G143" s="7">
        <v>261.279</v>
      </c>
      <c r="H143" s="7">
        <v>96.38</v>
      </c>
      <c r="I143" s="7" t="s">
        <v>800</v>
      </c>
      <c r="J143" s="7" t="s">
        <v>85</v>
      </c>
      <c r="K143" s="8"/>
      <c r="L143" s="8"/>
      <c r="M143" s="8"/>
      <c r="N143" s="6" t="s">
        <v>29</v>
      </c>
      <c r="O143" s="6" t="s">
        <v>29</v>
      </c>
      <c r="P143" s="6" t="s">
        <v>801</v>
      </c>
      <c r="Q143" s="6">
        <v>1.0900000000000001</v>
      </c>
      <c r="R143" s="6">
        <v>2.02</v>
      </c>
      <c r="S143" s="6"/>
      <c r="T143" s="8"/>
      <c r="U143" s="8"/>
      <c r="V143" s="8"/>
      <c r="W143" s="6" t="str">
        <f t="shared" si="1"/>
        <v/>
      </c>
      <c r="X143" s="9">
        <v>0.16</v>
      </c>
      <c r="Y143" s="6">
        <v>0.57999999999999996</v>
      </c>
      <c r="Z143" s="20"/>
      <c r="AA143" s="23">
        <v>-44.631034999999997</v>
      </c>
      <c r="AB143" s="13"/>
    </row>
    <row r="144" spans="1:28" ht="16" x14ac:dyDescent="0.2">
      <c r="A144" s="49"/>
      <c r="B144" s="6">
        <v>142</v>
      </c>
      <c r="C144" s="6" t="s">
        <v>802</v>
      </c>
      <c r="D144" s="7" t="s">
        <v>803</v>
      </c>
      <c r="E144" s="7" t="s">
        <v>804</v>
      </c>
      <c r="F144" s="7" t="s">
        <v>805</v>
      </c>
      <c r="G144" s="7">
        <v>302.32799999999997</v>
      </c>
      <c r="H144" s="7">
        <v>100</v>
      </c>
      <c r="I144" s="7" t="s">
        <v>806</v>
      </c>
      <c r="J144" s="7" t="s">
        <v>43</v>
      </c>
      <c r="K144" s="8"/>
      <c r="L144" s="8"/>
      <c r="M144" s="8"/>
      <c r="N144" s="6" t="s">
        <v>29</v>
      </c>
      <c r="O144" s="6" t="s">
        <v>29</v>
      </c>
      <c r="P144" s="6" t="s">
        <v>807</v>
      </c>
      <c r="Q144" s="6">
        <v>1.05</v>
      </c>
      <c r="R144" s="6">
        <v>2.12</v>
      </c>
      <c r="S144" s="6"/>
      <c r="T144" s="8"/>
      <c r="U144" s="8"/>
      <c r="V144" s="8"/>
      <c r="W144" s="6" t="str">
        <f t="shared" si="1"/>
        <v>Y</v>
      </c>
      <c r="X144" s="9">
        <v>6.7999999999999996E-3</v>
      </c>
      <c r="Y144" s="6">
        <v>0.62</v>
      </c>
      <c r="Z144" s="20"/>
      <c r="AA144" s="23">
        <v>-37.528556999999999</v>
      </c>
      <c r="AB144" s="13"/>
    </row>
    <row r="145" spans="1:28" ht="16" x14ac:dyDescent="0.2">
      <c r="A145" s="49"/>
      <c r="B145" s="6">
        <v>143</v>
      </c>
      <c r="C145" s="6" t="s">
        <v>808</v>
      </c>
      <c r="D145" s="7" t="s">
        <v>809</v>
      </c>
      <c r="E145" s="7" t="s">
        <v>810</v>
      </c>
      <c r="F145" s="7" t="s">
        <v>811</v>
      </c>
      <c r="G145" s="7">
        <v>289.29300000000001</v>
      </c>
      <c r="H145" s="7">
        <v>96.83</v>
      </c>
      <c r="I145" s="7" t="s">
        <v>812</v>
      </c>
      <c r="J145" s="7" t="s">
        <v>43</v>
      </c>
      <c r="K145" s="8"/>
      <c r="L145" s="8"/>
      <c r="M145" s="8"/>
      <c r="N145" s="6"/>
      <c r="O145" s="6"/>
      <c r="P145" s="6"/>
      <c r="Q145" s="6"/>
      <c r="R145" s="6"/>
      <c r="S145" s="6"/>
      <c r="T145" s="8"/>
      <c r="U145" s="8"/>
      <c r="V145" s="8"/>
      <c r="W145" s="6" t="str">
        <f t="shared" si="1"/>
        <v/>
      </c>
      <c r="X145" s="9">
        <v>0.72</v>
      </c>
      <c r="Y145" s="6">
        <v>0.26</v>
      </c>
      <c r="Z145" s="20"/>
      <c r="AA145" s="23">
        <v>-42.165295</v>
      </c>
      <c r="AB145" s="13"/>
    </row>
    <row r="146" spans="1:28" ht="16" x14ac:dyDescent="0.2">
      <c r="A146" s="49"/>
      <c r="B146" s="6">
        <v>144</v>
      </c>
      <c r="C146" s="6" t="s">
        <v>813</v>
      </c>
      <c r="D146" s="7" t="s">
        <v>814</v>
      </c>
      <c r="E146" s="7" t="s">
        <v>815</v>
      </c>
      <c r="F146" s="7" t="s">
        <v>816</v>
      </c>
      <c r="G146" s="7">
        <v>276.24799999999999</v>
      </c>
      <c r="H146" s="7">
        <v>100</v>
      </c>
      <c r="I146" s="7" t="s">
        <v>817</v>
      </c>
      <c r="J146" s="7" t="s">
        <v>38</v>
      </c>
      <c r="K146" s="8"/>
      <c r="L146" s="8"/>
      <c r="M146" s="8"/>
      <c r="N146" s="6" t="s">
        <v>29</v>
      </c>
      <c r="O146" s="6" t="s">
        <v>29</v>
      </c>
      <c r="P146" s="6" t="s">
        <v>818</v>
      </c>
      <c r="Q146" s="6">
        <v>1.05</v>
      </c>
      <c r="R146" s="6">
        <v>0.77</v>
      </c>
      <c r="S146" s="6" t="s">
        <v>29</v>
      </c>
      <c r="T146" s="14">
        <v>60.1</v>
      </c>
      <c r="U146" s="14">
        <v>3.2</v>
      </c>
      <c r="V146" s="14">
        <v>52.3</v>
      </c>
      <c r="W146" s="6" t="str">
        <f t="shared" si="1"/>
        <v>Y</v>
      </c>
      <c r="X146" s="9">
        <v>2.6E-18</v>
      </c>
      <c r="Y146" s="6">
        <v>2.5099999999999998</v>
      </c>
      <c r="Z146" s="20"/>
      <c r="AA146" s="23">
        <v>-44.886490000000002</v>
      </c>
      <c r="AB146" s="13"/>
    </row>
    <row r="147" spans="1:28" ht="16" x14ac:dyDescent="0.2">
      <c r="A147" s="49"/>
      <c r="B147" s="6">
        <v>145</v>
      </c>
      <c r="C147" s="6" t="s">
        <v>819</v>
      </c>
      <c r="D147" s="7" t="s">
        <v>820</v>
      </c>
      <c r="E147" s="7" t="s">
        <v>821</v>
      </c>
      <c r="F147" s="7" t="s">
        <v>822</v>
      </c>
      <c r="G147" s="7">
        <v>269.262</v>
      </c>
      <c r="H147" s="7">
        <v>95</v>
      </c>
      <c r="I147" s="7" t="s">
        <v>823</v>
      </c>
      <c r="J147" s="7" t="s">
        <v>38</v>
      </c>
      <c r="K147" s="8"/>
      <c r="L147" s="8"/>
      <c r="M147" s="8"/>
      <c r="N147" s="6"/>
      <c r="O147" s="6"/>
      <c r="P147" s="6"/>
      <c r="Q147" s="6"/>
      <c r="R147" s="6"/>
      <c r="S147" s="6"/>
      <c r="T147" s="8"/>
      <c r="U147" s="8"/>
      <c r="V147" s="8"/>
      <c r="W147" s="6" t="str">
        <f t="shared" si="1"/>
        <v>Y</v>
      </c>
      <c r="X147" s="9">
        <v>6.7000000000000002E-3</v>
      </c>
      <c r="Y147" s="6">
        <v>0.66</v>
      </c>
      <c r="Z147" s="20"/>
      <c r="AA147" s="23">
        <v>-38.608559</v>
      </c>
      <c r="AB147" s="13"/>
    </row>
    <row r="148" spans="1:28" ht="16" x14ac:dyDescent="0.2">
      <c r="A148" s="49"/>
      <c r="B148" s="6">
        <v>146</v>
      </c>
      <c r="C148" s="6" t="s">
        <v>824</v>
      </c>
      <c r="D148" s="7" t="s">
        <v>825</v>
      </c>
      <c r="E148" s="7" t="s">
        <v>826</v>
      </c>
      <c r="F148" s="7" t="s">
        <v>822</v>
      </c>
      <c r="G148" s="7">
        <v>269.262</v>
      </c>
      <c r="H148" s="7">
        <v>100</v>
      </c>
      <c r="I148" s="7" t="s">
        <v>827</v>
      </c>
      <c r="J148" s="7" t="s">
        <v>38</v>
      </c>
      <c r="K148" s="8"/>
      <c r="L148" s="8"/>
      <c r="M148" s="8"/>
      <c r="N148" s="6"/>
      <c r="O148" s="6"/>
      <c r="P148" s="6"/>
      <c r="Q148" s="6"/>
      <c r="R148" s="6"/>
      <c r="S148" s="6"/>
      <c r="T148" s="8"/>
      <c r="U148" s="8"/>
      <c r="V148" s="8"/>
      <c r="W148" s="6" t="str">
        <f t="shared" si="1"/>
        <v/>
      </c>
      <c r="X148" s="9">
        <v>8.1000000000000003E-2</v>
      </c>
      <c r="Y148" s="6">
        <v>0.04</v>
      </c>
      <c r="Z148" s="20"/>
      <c r="AA148" s="23">
        <v>-42.548392999999997</v>
      </c>
      <c r="AB148" s="13"/>
    </row>
    <row r="149" spans="1:28" ht="16" x14ac:dyDescent="0.2">
      <c r="A149" s="49"/>
      <c r="B149" s="6">
        <v>147</v>
      </c>
      <c r="C149" s="6" t="s">
        <v>828</v>
      </c>
      <c r="D149" s="7" t="s">
        <v>829</v>
      </c>
      <c r="E149" s="7" t="s">
        <v>830</v>
      </c>
      <c r="F149" s="7" t="s">
        <v>831</v>
      </c>
      <c r="G149" s="7">
        <v>299.28399999999999</v>
      </c>
      <c r="H149" s="7">
        <v>91</v>
      </c>
      <c r="I149" s="7" t="s">
        <v>832</v>
      </c>
      <c r="J149" s="7" t="s">
        <v>38</v>
      </c>
      <c r="K149" s="8"/>
      <c r="L149" s="8"/>
      <c r="M149" s="8"/>
      <c r="N149" s="6"/>
      <c r="O149" s="6"/>
      <c r="P149" s="6"/>
      <c r="Q149" s="6"/>
      <c r="R149" s="6"/>
      <c r="S149" s="6"/>
      <c r="T149" s="8"/>
      <c r="U149" s="8"/>
      <c r="V149" s="8"/>
      <c r="W149" s="6" t="str">
        <f t="shared" si="1"/>
        <v/>
      </c>
      <c r="X149" s="9">
        <v>3.0999999999999999E-3</v>
      </c>
      <c r="Y149" s="6">
        <v>0</v>
      </c>
      <c r="Z149" s="20"/>
      <c r="AA149" s="23">
        <v>-41.140906999999999</v>
      </c>
      <c r="AB149" s="13"/>
    </row>
    <row r="150" spans="1:28" ht="16" x14ac:dyDescent="0.2">
      <c r="A150" s="49"/>
      <c r="B150" s="6">
        <v>148</v>
      </c>
      <c r="C150" s="6" t="s">
        <v>833</v>
      </c>
      <c r="D150" s="7" t="s">
        <v>834</v>
      </c>
      <c r="E150" s="7" t="s">
        <v>835</v>
      </c>
      <c r="F150" s="7" t="s">
        <v>836</v>
      </c>
      <c r="G150" s="7">
        <v>319.35500000000002</v>
      </c>
      <c r="H150" s="7">
        <v>100</v>
      </c>
      <c r="I150" s="7" t="s">
        <v>837</v>
      </c>
      <c r="J150" s="7" t="s">
        <v>43</v>
      </c>
      <c r="K150" s="8"/>
      <c r="L150" s="8"/>
      <c r="M150" s="8"/>
      <c r="N150" s="6"/>
      <c r="O150" s="6"/>
      <c r="P150" s="6"/>
      <c r="Q150" s="6"/>
      <c r="R150" s="6"/>
      <c r="S150" s="6"/>
      <c r="T150" s="8"/>
      <c r="U150" s="8"/>
      <c r="V150" s="8"/>
      <c r="W150" s="6" t="str">
        <f t="shared" si="1"/>
        <v/>
      </c>
      <c r="X150" s="9">
        <v>0.17</v>
      </c>
      <c r="Y150" s="6">
        <v>0.04</v>
      </c>
      <c r="Z150" s="20"/>
      <c r="AA150" s="23">
        <v>-33.825935000000001</v>
      </c>
      <c r="AB150" s="13"/>
    </row>
    <row r="151" spans="1:28" ht="16" x14ac:dyDescent="0.2">
      <c r="A151" s="49"/>
      <c r="B151" s="6">
        <v>149</v>
      </c>
      <c r="C151" s="6" t="s">
        <v>838</v>
      </c>
      <c r="D151" s="7" t="s">
        <v>839</v>
      </c>
      <c r="E151" s="7" t="s">
        <v>840</v>
      </c>
      <c r="F151" s="7" t="s">
        <v>841</v>
      </c>
      <c r="G151" s="7">
        <v>277.31799999999998</v>
      </c>
      <c r="H151" s="7">
        <v>100</v>
      </c>
      <c r="I151" s="7" t="s">
        <v>842</v>
      </c>
      <c r="J151" s="7" t="s">
        <v>43</v>
      </c>
      <c r="K151" s="8"/>
      <c r="L151" s="8"/>
      <c r="M151" s="8"/>
      <c r="N151" s="6"/>
      <c r="O151" s="6"/>
      <c r="P151" s="6"/>
      <c r="Q151" s="6"/>
      <c r="R151" s="6"/>
      <c r="S151" s="6"/>
      <c r="T151" s="8"/>
      <c r="U151" s="8"/>
      <c r="V151" s="8"/>
      <c r="W151" s="6" t="str">
        <f t="shared" si="1"/>
        <v/>
      </c>
      <c r="X151" s="9">
        <v>0.56999999999999995</v>
      </c>
      <c r="Y151" s="6">
        <v>0.21</v>
      </c>
      <c r="Z151" s="20"/>
      <c r="AA151" s="23">
        <v>-36.311343999999998</v>
      </c>
      <c r="AB151" s="13"/>
    </row>
    <row r="152" spans="1:28" ht="16" x14ac:dyDescent="0.2">
      <c r="A152" s="49"/>
      <c r="B152" s="6">
        <v>150</v>
      </c>
      <c r="C152" s="6" t="s">
        <v>843</v>
      </c>
      <c r="D152" s="7" t="s">
        <v>844</v>
      </c>
      <c r="E152" s="7" t="s">
        <v>845</v>
      </c>
      <c r="F152" s="7" t="s">
        <v>846</v>
      </c>
      <c r="G152" s="7">
        <v>298.36099999999999</v>
      </c>
      <c r="H152" s="7">
        <v>100</v>
      </c>
      <c r="I152" s="7" t="s">
        <v>847</v>
      </c>
      <c r="J152" s="7" t="s">
        <v>85</v>
      </c>
      <c r="K152" s="8"/>
      <c r="L152" s="8"/>
      <c r="M152" s="8"/>
      <c r="N152" s="6" t="s">
        <v>29</v>
      </c>
      <c r="O152" s="6" t="s">
        <v>29</v>
      </c>
      <c r="P152" s="6" t="s">
        <v>848</v>
      </c>
      <c r="Q152" s="6">
        <v>1.05</v>
      </c>
      <c r="R152" s="6">
        <v>22.32</v>
      </c>
      <c r="S152" s="6"/>
      <c r="T152" s="8"/>
      <c r="U152" s="8"/>
      <c r="V152" s="8"/>
      <c r="W152" s="6" t="str">
        <f t="shared" si="1"/>
        <v/>
      </c>
      <c r="X152" s="9">
        <v>0.16</v>
      </c>
      <c r="Y152" s="6">
        <v>0.21</v>
      </c>
      <c r="Z152" s="20"/>
      <c r="AA152" s="23">
        <v>-39.219631</v>
      </c>
      <c r="AB152" s="13"/>
    </row>
    <row r="153" spans="1:28" ht="16" x14ac:dyDescent="0.2">
      <c r="A153" s="49"/>
      <c r="B153" s="6">
        <v>151</v>
      </c>
      <c r="C153" s="6" t="s">
        <v>849</v>
      </c>
      <c r="D153" s="7" t="s">
        <v>850</v>
      </c>
      <c r="E153" s="7" t="s">
        <v>851</v>
      </c>
      <c r="F153" s="7" t="s">
        <v>805</v>
      </c>
      <c r="G153" s="7">
        <v>302.32799999999997</v>
      </c>
      <c r="H153" s="7">
        <v>100</v>
      </c>
      <c r="I153" s="7" t="s">
        <v>852</v>
      </c>
      <c r="J153" s="7" t="s">
        <v>43</v>
      </c>
      <c r="K153" s="8"/>
      <c r="L153" s="8"/>
      <c r="M153" s="8"/>
      <c r="N153" s="6" t="s">
        <v>29</v>
      </c>
      <c r="O153" s="6"/>
      <c r="P153" s="6"/>
      <c r="Q153" s="6"/>
      <c r="R153" s="6"/>
      <c r="S153" s="6" t="s">
        <v>29</v>
      </c>
      <c r="T153" s="14">
        <v>44.2</v>
      </c>
      <c r="U153" s="14">
        <v>1.9</v>
      </c>
      <c r="V153" s="14">
        <v>38.5</v>
      </c>
      <c r="W153" s="6" t="str">
        <f t="shared" si="1"/>
        <v>Y</v>
      </c>
      <c r="X153" s="9">
        <v>8.5999999999999997E-12</v>
      </c>
      <c r="Y153" s="6">
        <v>2.21</v>
      </c>
      <c r="Z153" s="20"/>
      <c r="AA153" s="23">
        <v>-35.456778999999997</v>
      </c>
      <c r="AB153" s="13"/>
    </row>
    <row r="154" spans="1:28" ht="16" x14ac:dyDescent="0.2">
      <c r="A154" s="49"/>
      <c r="B154" s="6">
        <v>152</v>
      </c>
      <c r="C154" s="6" t="s">
        <v>853</v>
      </c>
      <c r="D154" s="7" t="s">
        <v>854</v>
      </c>
      <c r="E154" s="7" t="s">
        <v>855</v>
      </c>
      <c r="F154" s="7" t="s">
        <v>856</v>
      </c>
      <c r="G154" s="7">
        <v>297.31099999999998</v>
      </c>
      <c r="H154" s="7">
        <v>100</v>
      </c>
      <c r="I154" s="7" t="s">
        <v>857</v>
      </c>
      <c r="J154" s="7" t="s">
        <v>85</v>
      </c>
      <c r="K154" s="8"/>
      <c r="L154" s="8"/>
      <c r="M154" s="8"/>
      <c r="N154" s="6"/>
      <c r="O154" s="6"/>
      <c r="P154" s="6"/>
      <c r="Q154" s="6"/>
      <c r="R154" s="6"/>
      <c r="S154" s="6"/>
      <c r="T154" s="8"/>
      <c r="U154" s="8"/>
      <c r="V154" s="8"/>
      <c r="W154" s="6" t="str">
        <f t="shared" si="1"/>
        <v/>
      </c>
      <c r="X154" s="9">
        <v>0.93</v>
      </c>
      <c r="Y154" s="6">
        <v>0.03</v>
      </c>
      <c r="Z154" s="20"/>
      <c r="AA154" s="23">
        <v>-44.957690999999997</v>
      </c>
      <c r="AB154" s="13"/>
    </row>
    <row r="155" spans="1:28" ht="16" x14ac:dyDescent="0.2">
      <c r="A155" s="49"/>
      <c r="B155" s="6">
        <v>153</v>
      </c>
      <c r="C155" s="6" t="s">
        <v>858</v>
      </c>
      <c r="D155" s="7" t="s">
        <v>859</v>
      </c>
      <c r="E155" s="7" t="s">
        <v>860</v>
      </c>
      <c r="F155" s="7" t="s">
        <v>395</v>
      </c>
      <c r="G155" s="7">
        <v>257.25099999999998</v>
      </c>
      <c r="H155" s="7">
        <v>91.73</v>
      </c>
      <c r="I155" s="7" t="s">
        <v>861</v>
      </c>
      <c r="J155" s="7" t="s">
        <v>38</v>
      </c>
      <c r="K155" s="8"/>
      <c r="L155" s="8"/>
      <c r="M155" s="8"/>
      <c r="N155" s="6" t="s">
        <v>29</v>
      </c>
      <c r="O155" s="6" t="s">
        <v>29</v>
      </c>
      <c r="P155" s="6" t="s">
        <v>862</v>
      </c>
      <c r="Q155" s="6">
        <v>1.05</v>
      </c>
      <c r="R155" s="6">
        <v>0.89</v>
      </c>
      <c r="S155" s="6" t="s">
        <v>29</v>
      </c>
      <c r="T155" s="14">
        <v>42.2</v>
      </c>
      <c r="U155" s="14">
        <v>2.2000000000000002</v>
      </c>
      <c r="V155" s="14">
        <v>36.700000000000003</v>
      </c>
      <c r="W155" s="6" t="str">
        <f t="shared" si="1"/>
        <v>Y</v>
      </c>
      <c r="X155" s="9">
        <v>6.0000000000000002E-5</v>
      </c>
      <c r="Y155" s="6">
        <v>1.1599999999999999</v>
      </c>
      <c r="Z155" s="20"/>
      <c r="AA155" s="23">
        <v>-37.498699000000002</v>
      </c>
      <c r="AB155" s="13"/>
    </row>
    <row r="156" spans="1:28" ht="16" x14ac:dyDescent="0.2">
      <c r="A156" s="49"/>
      <c r="B156" s="6">
        <v>154</v>
      </c>
      <c r="C156" s="6" t="s">
        <v>863</v>
      </c>
      <c r="D156" s="7" t="s">
        <v>864</v>
      </c>
      <c r="E156" s="7" t="s">
        <v>865</v>
      </c>
      <c r="F156" s="7" t="s">
        <v>866</v>
      </c>
      <c r="G156" s="7">
        <v>339.351</v>
      </c>
      <c r="H156" s="7">
        <v>100</v>
      </c>
      <c r="I156" s="7" t="s">
        <v>867</v>
      </c>
      <c r="J156" s="7" t="s">
        <v>43</v>
      </c>
      <c r="K156" s="8"/>
      <c r="L156" s="8"/>
      <c r="M156" s="8"/>
      <c r="N156" s="6"/>
      <c r="O156" s="6"/>
      <c r="P156" s="6"/>
      <c r="Q156" s="6"/>
      <c r="R156" s="6"/>
      <c r="S156" s="6"/>
      <c r="T156" s="8"/>
      <c r="U156" s="8"/>
      <c r="V156" s="8"/>
      <c r="W156" s="6" t="str">
        <f t="shared" si="1"/>
        <v/>
      </c>
      <c r="X156" s="9">
        <v>0.16</v>
      </c>
      <c r="Y156" s="6">
        <v>0.1</v>
      </c>
      <c r="Z156" s="20"/>
      <c r="AA156" s="23">
        <v>-43.035502999999999</v>
      </c>
      <c r="AB156" s="13"/>
    </row>
    <row r="157" spans="1:28" ht="16" x14ac:dyDescent="0.2">
      <c r="A157" s="49"/>
      <c r="B157" s="6">
        <v>155</v>
      </c>
      <c r="C157" s="6" t="s">
        <v>868</v>
      </c>
      <c r="D157" s="7" t="s">
        <v>869</v>
      </c>
      <c r="E157" s="7" t="s">
        <v>870</v>
      </c>
      <c r="F157" s="7" t="s">
        <v>871</v>
      </c>
      <c r="G157" s="7">
        <v>333.286</v>
      </c>
      <c r="H157" s="7">
        <v>92.51</v>
      </c>
      <c r="I157" s="7" t="s">
        <v>872</v>
      </c>
      <c r="J157" s="7" t="s">
        <v>38</v>
      </c>
      <c r="K157" s="8"/>
      <c r="L157" s="8"/>
      <c r="M157" s="8"/>
      <c r="N157" s="6"/>
      <c r="O157" s="6"/>
      <c r="P157" s="6"/>
      <c r="Q157" s="6"/>
      <c r="R157" s="6"/>
      <c r="S157" s="6"/>
      <c r="T157" s="8"/>
      <c r="U157" s="8"/>
      <c r="V157" s="8"/>
      <c r="W157" s="6" t="str">
        <f t="shared" si="1"/>
        <v>Y</v>
      </c>
      <c r="X157" s="9">
        <v>1.4E-3</v>
      </c>
      <c r="Y157" s="6">
        <v>0.65</v>
      </c>
      <c r="Z157" s="20"/>
      <c r="AA157" s="23">
        <v>-38.014011000000004</v>
      </c>
      <c r="AB157" s="13"/>
    </row>
    <row r="158" spans="1:28" ht="16" x14ac:dyDescent="0.2">
      <c r="A158" s="49"/>
      <c r="B158" s="6">
        <v>156</v>
      </c>
      <c r="C158" s="6" t="s">
        <v>873</v>
      </c>
      <c r="D158" s="7" t="s">
        <v>874</v>
      </c>
      <c r="E158" s="7" t="s">
        <v>875</v>
      </c>
      <c r="F158" s="7" t="s">
        <v>876</v>
      </c>
      <c r="G158" s="7">
        <v>250.21</v>
      </c>
      <c r="H158" s="7">
        <v>91</v>
      </c>
      <c r="I158" s="7" t="s">
        <v>877</v>
      </c>
      <c r="J158" s="7" t="s">
        <v>38</v>
      </c>
      <c r="K158" s="7"/>
      <c r="L158" s="7"/>
      <c r="M158" s="7"/>
      <c r="N158" s="7" t="s">
        <v>29</v>
      </c>
      <c r="O158" s="6" t="s">
        <v>29</v>
      </c>
      <c r="P158" s="6" t="s">
        <v>878</v>
      </c>
      <c r="Q158" s="6">
        <v>1.05</v>
      </c>
      <c r="R158" s="6">
        <v>1.86</v>
      </c>
      <c r="S158" s="6"/>
      <c r="T158" s="8"/>
      <c r="U158" s="8"/>
      <c r="V158" s="8"/>
      <c r="W158" s="6" t="str">
        <f t="shared" si="1"/>
        <v/>
      </c>
      <c r="X158" s="9">
        <v>0.15</v>
      </c>
      <c r="Y158" s="6">
        <v>0</v>
      </c>
      <c r="Z158" s="20"/>
      <c r="AA158" s="23">
        <v>-37.778252000000002</v>
      </c>
      <c r="AB158" s="13"/>
    </row>
    <row r="159" spans="1:28" ht="16" x14ac:dyDescent="0.2">
      <c r="A159" s="49"/>
      <c r="B159" s="6">
        <v>157</v>
      </c>
      <c r="C159" s="6" t="s">
        <v>879</v>
      </c>
      <c r="D159" s="7" t="s">
        <v>880</v>
      </c>
      <c r="E159" s="7" t="s">
        <v>881</v>
      </c>
      <c r="F159" s="7" t="s">
        <v>882</v>
      </c>
      <c r="G159" s="7">
        <v>308.33100000000002</v>
      </c>
      <c r="H159" s="7">
        <v>100</v>
      </c>
      <c r="I159" s="7" t="s">
        <v>883</v>
      </c>
      <c r="J159" s="7" t="s">
        <v>43</v>
      </c>
      <c r="K159" s="7"/>
      <c r="L159" s="7"/>
      <c r="M159" s="7"/>
      <c r="N159" s="7"/>
      <c r="O159" s="6"/>
      <c r="P159" s="6"/>
      <c r="Q159" s="6"/>
      <c r="R159" s="6"/>
      <c r="S159" s="6"/>
      <c r="T159" s="8"/>
      <c r="U159" s="8"/>
      <c r="V159" s="8"/>
      <c r="W159" s="6" t="str">
        <f t="shared" si="1"/>
        <v/>
      </c>
      <c r="X159" s="9">
        <v>4.0999999999999999E-4</v>
      </c>
      <c r="Y159" s="6">
        <v>0</v>
      </c>
      <c r="Z159" s="20"/>
      <c r="AA159" s="23">
        <v>-40.174999</v>
      </c>
      <c r="AB159" s="13"/>
    </row>
    <row r="160" spans="1:28" ht="16" x14ac:dyDescent="0.2">
      <c r="A160" s="49"/>
      <c r="B160" s="6">
        <v>158</v>
      </c>
      <c r="C160" s="6" t="s">
        <v>884</v>
      </c>
      <c r="D160" s="7" t="s">
        <v>885</v>
      </c>
      <c r="E160" s="7" t="s">
        <v>886</v>
      </c>
      <c r="F160" s="7" t="s">
        <v>887</v>
      </c>
      <c r="G160" s="7">
        <v>287.31700000000001</v>
      </c>
      <c r="H160" s="7">
        <v>100</v>
      </c>
      <c r="I160" s="7" t="s">
        <v>888</v>
      </c>
      <c r="J160" s="7" t="s">
        <v>91</v>
      </c>
      <c r="K160" s="7"/>
      <c r="L160" s="7"/>
      <c r="M160" s="7"/>
      <c r="N160" s="7" t="s">
        <v>29</v>
      </c>
      <c r="O160" s="6" t="s">
        <v>29</v>
      </c>
      <c r="P160" s="6" t="s">
        <v>889</v>
      </c>
      <c r="Q160" s="6">
        <v>1.05</v>
      </c>
      <c r="R160" s="6">
        <v>2.73</v>
      </c>
      <c r="S160" s="6" t="s">
        <v>29</v>
      </c>
      <c r="T160" s="14">
        <v>113.2</v>
      </c>
      <c r="U160" s="14">
        <v>7.7</v>
      </c>
      <c r="V160" s="14">
        <v>98.5</v>
      </c>
      <c r="W160" s="6" t="str">
        <f t="shared" si="1"/>
        <v>Y</v>
      </c>
      <c r="X160" s="9">
        <v>7.6000000000000004E-5</v>
      </c>
      <c r="Y160" s="6">
        <v>1.66</v>
      </c>
      <c r="Z160" s="20"/>
      <c r="AA160" s="23">
        <v>-36.315581999999999</v>
      </c>
      <c r="AB160" s="13"/>
    </row>
    <row r="161" spans="1:28" ht="16" x14ac:dyDescent="0.2">
      <c r="A161" s="49"/>
      <c r="B161" s="6">
        <v>159</v>
      </c>
      <c r="C161" s="6" t="s">
        <v>890</v>
      </c>
      <c r="D161" s="7" t="s">
        <v>891</v>
      </c>
      <c r="E161" s="7" t="s">
        <v>892</v>
      </c>
      <c r="F161" s="7" t="s">
        <v>893</v>
      </c>
      <c r="G161" s="7">
        <v>338.38299999999998</v>
      </c>
      <c r="H161" s="7">
        <v>100</v>
      </c>
      <c r="I161" s="7" t="s">
        <v>894</v>
      </c>
      <c r="J161" s="7" t="s">
        <v>38</v>
      </c>
      <c r="K161" s="7"/>
      <c r="L161" s="7"/>
      <c r="M161" s="7"/>
      <c r="N161" s="7"/>
      <c r="O161" s="6"/>
      <c r="P161" s="6"/>
      <c r="Q161" s="6"/>
      <c r="R161" s="6"/>
      <c r="S161" s="6"/>
      <c r="T161" s="8"/>
      <c r="U161" s="8"/>
      <c r="V161" s="8"/>
      <c r="W161" s="6" t="str">
        <f t="shared" si="1"/>
        <v/>
      </c>
      <c r="X161" s="9">
        <v>0.17</v>
      </c>
      <c r="Y161" s="6">
        <v>0.27</v>
      </c>
      <c r="Z161" s="20"/>
      <c r="AA161" s="23">
        <v>-46.782715000000003</v>
      </c>
      <c r="AB161" s="13"/>
    </row>
    <row r="162" spans="1:28" ht="16" x14ac:dyDescent="0.2">
      <c r="A162" s="49"/>
      <c r="B162" s="6">
        <v>160</v>
      </c>
      <c r="C162" s="6" t="s">
        <v>895</v>
      </c>
      <c r="D162" s="7" t="s">
        <v>896</v>
      </c>
      <c r="E162" s="7" t="s">
        <v>897</v>
      </c>
      <c r="F162" s="7" t="s">
        <v>414</v>
      </c>
      <c r="G162" s="7">
        <v>311.33800000000002</v>
      </c>
      <c r="H162" s="7">
        <v>100</v>
      </c>
      <c r="I162" s="7" t="s">
        <v>898</v>
      </c>
      <c r="J162" s="7" t="s">
        <v>43</v>
      </c>
      <c r="K162" s="7"/>
      <c r="L162" s="7"/>
      <c r="M162" s="7"/>
      <c r="N162" s="7"/>
      <c r="O162" s="6"/>
      <c r="P162" s="6"/>
      <c r="Q162" s="6"/>
      <c r="R162" s="6"/>
      <c r="S162" s="6"/>
      <c r="T162" s="8"/>
      <c r="U162" s="8"/>
      <c r="V162" s="8"/>
      <c r="W162" s="6" t="str">
        <f t="shared" si="1"/>
        <v/>
      </c>
      <c r="X162" s="9">
        <v>0.11</v>
      </c>
      <c r="Y162" s="6">
        <v>0</v>
      </c>
      <c r="Z162" s="20"/>
      <c r="AA162" s="23">
        <v>-38.512421000000003</v>
      </c>
      <c r="AB162" s="13"/>
    </row>
    <row r="163" spans="1:28" ht="16" x14ac:dyDescent="0.2">
      <c r="A163" s="49"/>
      <c r="B163" s="6">
        <v>161</v>
      </c>
      <c r="C163" s="6" t="s">
        <v>899</v>
      </c>
      <c r="D163" s="7" t="s">
        <v>900</v>
      </c>
      <c r="E163" s="7" t="s">
        <v>901</v>
      </c>
      <c r="F163" s="7" t="s">
        <v>902</v>
      </c>
      <c r="G163" s="7">
        <v>283.245</v>
      </c>
      <c r="H163" s="7">
        <v>100</v>
      </c>
      <c r="I163" s="7" t="s">
        <v>903</v>
      </c>
      <c r="J163" s="7" t="s">
        <v>38</v>
      </c>
      <c r="K163" s="7"/>
      <c r="L163" s="7"/>
      <c r="M163" s="7"/>
      <c r="N163" s="7"/>
      <c r="O163" s="6"/>
      <c r="P163" s="6"/>
      <c r="Q163" s="6"/>
      <c r="R163" s="6"/>
      <c r="S163" s="6"/>
      <c r="T163" s="8"/>
      <c r="U163" s="8"/>
      <c r="V163" s="8"/>
      <c r="W163" s="6" t="str">
        <f t="shared" si="1"/>
        <v/>
      </c>
      <c r="X163" s="9">
        <v>0.31</v>
      </c>
      <c r="Y163" s="6">
        <v>0.27</v>
      </c>
      <c r="Z163" s="20"/>
      <c r="AA163" s="23">
        <v>-42.127712000000002</v>
      </c>
      <c r="AB163" s="13"/>
    </row>
    <row r="164" spans="1:28" ht="16" x14ac:dyDescent="0.2">
      <c r="A164" s="49"/>
      <c r="B164" s="6">
        <v>162</v>
      </c>
      <c r="C164" s="6" t="s">
        <v>904</v>
      </c>
      <c r="D164" s="7" t="s">
        <v>905</v>
      </c>
      <c r="E164" s="7" t="s">
        <v>906</v>
      </c>
      <c r="F164" s="7" t="s">
        <v>907</v>
      </c>
      <c r="G164" s="7">
        <v>284.31299999999999</v>
      </c>
      <c r="H164" s="7">
        <v>100</v>
      </c>
      <c r="I164" s="7" t="s">
        <v>908</v>
      </c>
      <c r="J164" s="7" t="s">
        <v>38</v>
      </c>
      <c r="K164" s="7"/>
      <c r="L164" s="7"/>
      <c r="M164" s="7"/>
      <c r="N164" s="7" t="s">
        <v>29</v>
      </c>
      <c r="O164" s="6" t="s">
        <v>29</v>
      </c>
      <c r="P164" s="6" t="s">
        <v>909</v>
      </c>
      <c r="Q164" s="6">
        <v>1.05</v>
      </c>
      <c r="R164" s="6">
        <v>2.5</v>
      </c>
      <c r="S164" s="6"/>
      <c r="T164" s="8"/>
      <c r="U164" s="8"/>
      <c r="V164" s="8"/>
      <c r="W164" s="6" t="str">
        <f t="shared" si="1"/>
        <v/>
      </c>
      <c r="X164" s="9">
        <v>0.48</v>
      </c>
      <c r="Y164" s="6">
        <v>0.35</v>
      </c>
      <c r="Z164" s="20"/>
      <c r="AA164" s="23">
        <v>-32.716797</v>
      </c>
      <c r="AB164" s="13"/>
    </row>
    <row r="165" spans="1:28" ht="16" x14ac:dyDescent="0.2">
      <c r="A165" s="49"/>
      <c r="B165" s="6">
        <v>163</v>
      </c>
      <c r="C165" s="6" t="s">
        <v>910</v>
      </c>
      <c r="D165" s="7" t="s">
        <v>911</v>
      </c>
      <c r="E165" s="7" t="s">
        <v>912</v>
      </c>
      <c r="F165" s="7" t="s">
        <v>913</v>
      </c>
      <c r="G165" s="7">
        <v>339.17099999999999</v>
      </c>
      <c r="H165" s="7">
        <v>100</v>
      </c>
      <c r="I165" s="7" t="s">
        <v>914</v>
      </c>
      <c r="J165" s="7" t="s">
        <v>38</v>
      </c>
      <c r="K165" s="7"/>
      <c r="L165" s="7"/>
      <c r="M165" s="7"/>
      <c r="N165" s="7" t="s">
        <v>29</v>
      </c>
      <c r="O165" s="6" t="s">
        <v>29</v>
      </c>
      <c r="P165" s="6" t="s">
        <v>915</v>
      </c>
      <c r="Q165" s="6">
        <v>1.05</v>
      </c>
      <c r="R165" s="6">
        <v>1.72</v>
      </c>
      <c r="S165" s="6" t="s">
        <v>29</v>
      </c>
      <c r="T165" s="14">
        <v>55.3</v>
      </c>
      <c r="U165" s="14">
        <v>2.4</v>
      </c>
      <c r="V165" s="14">
        <v>48.1</v>
      </c>
      <c r="W165" s="6" t="str">
        <f t="shared" si="1"/>
        <v>Y</v>
      </c>
      <c r="X165" s="9">
        <v>6.3E-3</v>
      </c>
      <c r="Y165" s="6">
        <v>1.1599999999999999</v>
      </c>
      <c r="Z165" s="20"/>
      <c r="AA165" s="23">
        <v>-46.372481999999998</v>
      </c>
      <c r="AB165" s="13"/>
    </row>
    <row r="166" spans="1:28" ht="16" x14ac:dyDescent="0.2">
      <c r="A166" s="49"/>
      <c r="B166" s="6">
        <v>164</v>
      </c>
      <c r="C166" s="6" t="s">
        <v>916</v>
      </c>
      <c r="D166" s="7" t="s">
        <v>917</v>
      </c>
      <c r="E166" s="7" t="s">
        <v>918</v>
      </c>
      <c r="F166" s="7" t="s">
        <v>919</v>
      </c>
      <c r="G166" s="7">
        <v>269.22899999999998</v>
      </c>
      <c r="H166" s="7">
        <v>91.22</v>
      </c>
      <c r="I166" s="7" t="s">
        <v>920</v>
      </c>
      <c r="J166" s="7" t="s">
        <v>43</v>
      </c>
      <c r="K166" s="7"/>
      <c r="L166" s="7"/>
      <c r="M166" s="7"/>
      <c r="N166" s="7" t="s">
        <v>29</v>
      </c>
      <c r="O166" s="6" t="s">
        <v>29</v>
      </c>
      <c r="P166" s="6" t="s">
        <v>921</v>
      </c>
      <c r="Q166" s="6">
        <v>1.05</v>
      </c>
      <c r="R166" s="6">
        <v>2.69</v>
      </c>
      <c r="S166" s="6"/>
      <c r="T166" s="8"/>
      <c r="U166" s="8"/>
      <c r="V166" s="8"/>
      <c r="W166" s="6" t="str">
        <f t="shared" si="1"/>
        <v/>
      </c>
      <c r="X166" s="9">
        <v>0.26</v>
      </c>
      <c r="Y166" s="6">
        <v>0</v>
      </c>
      <c r="Z166" s="20"/>
      <c r="AA166" s="23">
        <v>-30.312393</v>
      </c>
      <c r="AB166" s="13"/>
    </row>
    <row r="167" spans="1:28" ht="16" x14ac:dyDescent="0.2">
      <c r="A167" s="49"/>
      <c r="B167" s="6">
        <v>165</v>
      </c>
      <c r="C167" s="6" t="s">
        <v>922</v>
      </c>
      <c r="D167" s="7" t="s">
        <v>923</v>
      </c>
      <c r="E167" s="7" t="s">
        <v>924</v>
      </c>
      <c r="F167" s="7" t="s">
        <v>925</v>
      </c>
      <c r="G167" s="7">
        <v>324.33999999999997</v>
      </c>
      <c r="H167" s="7">
        <v>96.01</v>
      </c>
      <c r="I167" s="7" t="s">
        <v>926</v>
      </c>
      <c r="J167" s="7" t="s">
        <v>38</v>
      </c>
      <c r="K167" s="7"/>
      <c r="L167" s="7"/>
      <c r="M167" s="7"/>
      <c r="N167" s="7"/>
      <c r="O167" s="6"/>
      <c r="P167" s="6"/>
      <c r="Q167" s="6"/>
      <c r="R167" s="6"/>
      <c r="S167" s="6"/>
      <c r="T167" s="8"/>
      <c r="U167" s="8"/>
      <c r="V167" s="8"/>
      <c r="W167" s="6" t="str">
        <f t="shared" si="1"/>
        <v/>
      </c>
      <c r="X167" s="9">
        <v>0.77</v>
      </c>
      <c r="Y167" s="6">
        <v>0.61</v>
      </c>
      <c r="Z167" s="20"/>
      <c r="AA167" s="23">
        <v>-43.846836000000003</v>
      </c>
      <c r="AB167" s="13"/>
    </row>
    <row r="168" spans="1:28" ht="16" x14ac:dyDescent="0.2">
      <c r="A168" s="49"/>
      <c r="B168" s="6">
        <v>166</v>
      </c>
      <c r="C168" s="6" t="s">
        <v>927</v>
      </c>
      <c r="D168" s="7" t="s">
        <v>928</v>
      </c>
      <c r="E168" s="7" t="s">
        <v>929</v>
      </c>
      <c r="F168" s="7" t="s">
        <v>930</v>
      </c>
      <c r="G168" s="7">
        <v>418.29599999999999</v>
      </c>
      <c r="H168" s="7">
        <v>98</v>
      </c>
      <c r="I168" s="7" t="s">
        <v>931</v>
      </c>
      <c r="J168" s="7" t="s">
        <v>91</v>
      </c>
      <c r="K168" s="7" t="s">
        <v>932</v>
      </c>
      <c r="L168" s="7">
        <v>1</v>
      </c>
      <c r="M168" s="7">
        <v>114</v>
      </c>
      <c r="N168" s="7" t="s">
        <v>29</v>
      </c>
      <c r="O168" s="6" t="s">
        <v>29</v>
      </c>
      <c r="P168" s="6" t="s">
        <v>933</v>
      </c>
      <c r="Q168" s="6">
        <v>1.05</v>
      </c>
      <c r="R168" s="6">
        <v>3.01</v>
      </c>
      <c r="S168" s="6"/>
      <c r="T168" s="8"/>
      <c r="U168" s="8"/>
      <c r="V168" s="8"/>
      <c r="W168" s="6" t="str">
        <f t="shared" si="1"/>
        <v/>
      </c>
      <c r="X168" s="9">
        <v>0.59</v>
      </c>
      <c r="Y168" s="6">
        <v>0.37</v>
      </c>
      <c r="Z168" s="20"/>
      <c r="AA168" s="23">
        <v>-36.920898000000001</v>
      </c>
      <c r="AB168" s="13"/>
    </row>
    <row r="169" spans="1:28" ht="16" x14ac:dyDescent="0.2">
      <c r="A169" s="50"/>
      <c r="B169" s="2">
        <v>167</v>
      </c>
      <c r="C169" s="2" t="s">
        <v>934</v>
      </c>
      <c r="D169" s="15" t="s">
        <v>935</v>
      </c>
      <c r="E169" s="15" t="s">
        <v>936</v>
      </c>
      <c r="F169" s="15" t="s">
        <v>937</v>
      </c>
      <c r="G169" s="15">
        <v>308.26100000000002</v>
      </c>
      <c r="H169" s="15">
        <v>100</v>
      </c>
      <c r="I169" s="15" t="s">
        <v>938</v>
      </c>
      <c r="J169" s="15" t="s">
        <v>85</v>
      </c>
      <c r="K169" s="15"/>
      <c r="L169" s="15"/>
      <c r="M169" s="15"/>
      <c r="N169" s="15" t="s">
        <v>29</v>
      </c>
      <c r="O169" s="2" t="s">
        <v>29</v>
      </c>
      <c r="P169" s="2" t="s">
        <v>939</v>
      </c>
      <c r="Q169" s="2">
        <v>1.05</v>
      </c>
      <c r="R169" s="2">
        <v>2.62</v>
      </c>
      <c r="S169" s="2"/>
      <c r="T169" s="16"/>
      <c r="U169" s="16"/>
      <c r="V169" s="16"/>
      <c r="W169" s="2" t="str">
        <f t="shared" si="1"/>
        <v/>
      </c>
      <c r="X169" s="2" t="s">
        <v>521</v>
      </c>
      <c r="Y169" s="2" t="s">
        <v>521</v>
      </c>
      <c r="Z169" s="21"/>
      <c r="AA169" s="27">
        <v>-38.920811</v>
      </c>
      <c r="AB169" s="5"/>
    </row>
    <row r="170" spans="1:28" ht="16" x14ac:dyDescent="0.2">
      <c r="A170" s="51" t="s">
        <v>940</v>
      </c>
      <c r="B170" s="6">
        <v>168</v>
      </c>
      <c r="C170" s="6" t="s">
        <v>941</v>
      </c>
      <c r="D170" s="6" t="s">
        <v>941</v>
      </c>
      <c r="E170" s="6" t="s">
        <v>942</v>
      </c>
      <c r="F170" s="6" t="s">
        <v>943</v>
      </c>
      <c r="G170" s="6">
        <v>313.32900000000001</v>
      </c>
      <c r="H170" s="6">
        <v>100</v>
      </c>
      <c r="I170" s="6" t="s">
        <v>944</v>
      </c>
      <c r="J170" s="6" t="s">
        <v>43</v>
      </c>
      <c r="K170" s="8"/>
      <c r="L170" s="8"/>
      <c r="M170" s="8"/>
      <c r="N170" s="6"/>
      <c r="O170" s="6"/>
      <c r="P170" s="6"/>
      <c r="Q170" s="6"/>
      <c r="R170" s="6"/>
      <c r="S170" s="6"/>
      <c r="T170" s="8"/>
      <c r="U170" s="8"/>
      <c r="V170" s="8"/>
      <c r="W170" s="6" t="str">
        <f t="shared" si="1"/>
        <v/>
      </c>
      <c r="X170" s="9">
        <v>0.4</v>
      </c>
      <c r="Y170" s="6">
        <v>0.6</v>
      </c>
      <c r="Z170" s="19"/>
      <c r="AA170" s="11"/>
      <c r="AB170" s="11"/>
    </row>
    <row r="171" spans="1:28" ht="16" x14ac:dyDescent="0.2">
      <c r="A171" s="58"/>
      <c r="B171" s="6">
        <v>169</v>
      </c>
      <c r="C171" s="6" t="s">
        <v>945</v>
      </c>
      <c r="D171" s="6" t="s">
        <v>945</v>
      </c>
      <c r="E171" s="6" t="s">
        <v>946</v>
      </c>
      <c r="F171" s="6" t="s">
        <v>947</v>
      </c>
      <c r="G171" s="6">
        <v>374.43200000000002</v>
      </c>
      <c r="H171" s="6">
        <v>100</v>
      </c>
      <c r="I171" s="6" t="s">
        <v>948</v>
      </c>
      <c r="J171" s="6" t="s">
        <v>43</v>
      </c>
      <c r="K171" s="8"/>
      <c r="L171" s="8"/>
      <c r="M171" s="8"/>
      <c r="N171" s="6"/>
      <c r="O171" s="6"/>
      <c r="P171" s="6"/>
      <c r="Q171" s="6"/>
      <c r="R171" s="6"/>
      <c r="S171" s="6"/>
      <c r="T171" s="8"/>
      <c r="U171" s="8"/>
      <c r="V171" s="8"/>
      <c r="W171" s="6" t="str">
        <f t="shared" si="1"/>
        <v/>
      </c>
      <c r="X171" s="9">
        <v>0.15</v>
      </c>
      <c r="Y171" s="6">
        <v>0.68</v>
      </c>
      <c r="Z171" s="20"/>
      <c r="AA171" s="13"/>
      <c r="AB171" s="13"/>
    </row>
    <row r="172" spans="1:28" ht="16" x14ac:dyDescent="0.2">
      <c r="A172" s="58"/>
      <c r="B172" s="6">
        <v>170</v>
      </c>
      <c r="C172" s="6" t="s">
        <v>949</v>
      </c>
      <c r="D172" s="6" t="s">
        <v>949</v>
      </c>
      <c r="E172" s="6" t="s">
        <v>950</v>
      </c>
      <c r="F172" s="6" t="s">
        <v>951</v>
      </c>
      <c r="G172" s="6">
        <v>366.392</v>
      </c>
      <c r="H172" s="6">
        <v>100</v>
      </c>
      <c r="I172" s="6" t="s">
        <v>952</v>
      </c>
      <c r="J172" s="6" t="s">
        <v>43</v>
      </c>
      <c r="K172" s="8"/>
      <c r="L172" s="8"/>
      <c r="M172" s="8"/>
      <c r="N172" s="6" t="s">
        <v>29</v>
      </c>
      <c r="O172" s="6" t="s">
        <v>29</v>
      </c>
      <c r="P172" s="6" t="s">
        <v>953</v>
      </c>
      <c r="Q172" s="6">
        <v>1.05</v>
      </c>
      <c r="R172" s="6"/>
      <c r="S172" s="6"/>
      <c r="T172" s="8"/>
      <c r="U172" s="8"/>
      <c r="V172" s="8"/>
      <c r="W172" s="6" t="str">
        <f t="shared" si="1"/>
        <v/>
      </c>
      <c r="X172" s="9">
        <v>0.96</v>
      </c>
      <c r="Y172" s="6">
        <v>0.6</v>
      </c>
      <c r="Z172" s="20"/>
      <c r="AA172" s="13"/>
      <c r="AB172" s="13"/>
    </row>
    <row r="173" spans="1:28" ht="16" x14ac:dyDescent="0.2">
      <c r="A173" s="58"/>
      <c r="B173" s="6">
        <v>171</v>
      </c>
      <c r="C173" s="6" t="s">
        <v>954</v>
      </c>
      <c r="D173" s="6" t="s">
        <v>954</v>
      </c>
      <c r="E173" s="6" t="s">
        <v>955</v>
      </c>
      <c r="F173" s="6" t="s">
        <v>956</v>
      </c>
      <c r="G173" s="6">
        <v>354.33800000000002</v>
      </c>
      <c r="H173" s="6">
        <v>100</v>
      </c>
      <c r="I173" s="6" t="s">
        <v>957</v>
      </c>
      <c r="J173" s="6" t="s">
        <v>43</v>
      </c>
      <c r="K173" s="8"/>
      <c r="L173" s="8"/>
      <c r="M173" s="8"/>
      <c r="N173" s="6" t="s">
        <v>29</v>
      </c>
      <c r="O173" s="6" t="s">
        <v>29</v>
      </c>
      <c r="P173" s="6" t="s">
        <v>958</v>
      </c>
      <c r="Q173" s="6">
        <v>1.05</v>
      </c>
      <c r="R173" s="6"/>
      <c r="S173" s="6"/>
      <c r="T173" s="8"/>
      <c r="U173" s="8"/>
      <c r="V173" s="8"/>
      <c r="W173" s="6" t="str">
        <f t="shared" si="1"/>
        <v/>
      </c>
      <c r="X173" s="9">
        <v>0.4</v>
      </c>
      <c r="Y173" s="6">
        <v>0.5</v>
      </c>
      <c r="Z173" s="20"/>
      <c r="AA173" s="13"/>
      <c r="AB173" s="13"/>
    </row>
    <row r="174" spans="1:28" ht="16" x14ac:dyDescent="0.2">
      <c r="A174" s="58"/>
      <c r="B174" s="6">
        <v>172</v>
      </c>
      <c r="C174" s="6" t="s">
        <v>959</v>
      </c>
      <c r="D174" s="6" t="s">
        <v>959</v>
      </c>
      <c r="E174" s="6" t="s">
        <v>960</v>
      </c>
      <c r="F174" s="6" t="s">
        <v>961</v>
      </c>
      <c r="G174" s="6">
        <v>358.34199999999998</v>
      </c>
      <c r="H174" s="6">
        <v>100</v>
      </c>
      <c r="I174" s="6" t="s">
        <v>962</v>
      </c>
      <c r="J174" s="6" t="s">
        <v>43</v>
      </c>
      <c r="K174" s="8"/>
      <c r="L174" s="8"/>
      <c r="M174" s="8"/>
      <c r="N174" s="6" t="s">
        <v>29</v>
      </c>
      <c r="O174" s="6" t="s">
        <v>29</v>
      </c>
      <c r="P174" s="6" t="s">
        <v>963</v>
      </c>
      <c r="Q174" s="6">
        <v>1.05</v>
      </c>
      <c r="R174" s="6"/>
      <c r="S174" s="6" t="s">
        <v>29</v>
      </c>
      <c r="T174" s="14" t="s">
        <v>964</v>
      </c>
      <c r="U174" s="14" t="s">
        <v>621</v>
      </c>
      <c r="V174" s="14" t="s">
        <v>965</v>
      </c>
      <c r="W174" s="6" t="str">
        <f t="shared" si="1"/>
        <v>Y</v>
      </c>
      <c r="X174" s="9">
        <v>6.1000000000000005E-17</v>
      </c>
      <c r="Y174" s="6">
        <v>4.53</v>
      </c>
      <c r="Z174" s="20"/>
      <c r="AA174" s="13"/>
      <c r="AB174" s="13"/>
    </row>
    <row r="175" spans="1:28" ht="16" x14ac:dyDescent="0.2">
      <c r="A175" s="58"/>
      <c r="B175" s="6">
        <v>173</v>
      </c>
      <c r="C175" s="6" t="s">
        <v>966</v>
      </c>
      <c r="D175" s="6" t="s">
        <v>966</v>
      </c>
      <c r="E175" s="6" t="s">
        <v>967</v>
      </c>
      <c r="F175" s="6" t="s">
        <v>968</v>
      </c>
      <c r="G175" s="6">
        <v>342.36700000000002</v>
      </c>
      <c r="H175" s="6">
        <v>100</v>
      </c>
      <c r="I175" s="6" t="s">
        <v>969</v>
      </c>
      <c r="J175" s="6" t="s">
        <v>43</v>
      </c>
      <c r="K175" s="8"/>
      <c r="L175" s="8"/>
      <c r="M175" s="8"/>
      <c r="N175" s="6" t="s">
        <v>29</v>
      </c>
      <c r="O175" s="6" t="s">
        <v>29</v>
      </c>
      <c r="P175" s="6" t="s">
        <v>784</v>
      </c>
      <c r="Q175" s="6">
        <v>1.05</v>
      </c>
      <c r="R175" s="6"/>
      <c r="S175" s="6" t="s">
        <v>29</v>
      </c>
      <c r="T175" s="14">
        <v>121.2</v>
      </c>
      <c r="U175" s="14">
        <v>22.3</v>
      </c>
      <c r="V175" s="14">
        <v>105.5</v>
      </c>
      <c r="W175" s="6" t="str">
        <f t="shared" si="1"/>
        <v>Y</v>
      </c>
      <c r="X175" s="9">
        <v>1.1E-4</v>
      </c>
      <c r="Y175" s="6">
        <v>1.36</v>
      </c>
      <c r="Z175" s="20"/>
      <c r="AA175" s="13"/>
      <c r="AB175" s="13"/>
    </row>
    <row r="176" spans="1:28" ht="16" x14ac:dyDescent="0.2">
      <c r="A176" s="58"/>
      <c r="B176" s="6">
        <v>174</v>
      </c>
      <c r="C176" s="6" t="s">
        <v>970</v>
      </c>
      <c r="D176" s="6" t="s">
        <v>970</v>
      </c>
      <c r="E176" s="6" t="s">
        <v>971</v>
      </c>
      <c r="F176" s="6" t="s">
        <v>968</v>
      </c>
      <c r="G176" s="6">
        <v>342.36700000000002</v>
      </c>
      <c r="H176" s="6">
        <v>100</v>
      </c>
      <c r="I176" s="6" t="s">
        <v>972</v>
      </c>
      <c r="J176" s="6" t="s">
        <v>43</v>
      </c>
      <c r="K176" s="8"/>
      <c r="L176" s="8"/>
      <c r="M176" s="8"/>
      <c r="N176" s="6" t="s">
        <v>29</v>
      </c>
      <c r="O176" s="6" t="s">
        <v>29</v>
      </c>
      <c r="P176" s="6" t="s">
        <v>973</v>
      </c>
      <c r="Q176" s="6">
        <v>1.05</v>
      </c>
      <c r="R176" s="6"/>
      <c r="S176" s="6" t="s">
        <v>29</v>
      </c>
      <c r="T176" s="14">
        <v>25.8</v>
      </c>
      <c r="U176" s="14">
        <v>1</v>
      </c>
      <c r="V176" s="14">
        <v>22.4</v>
      </c>
      <c r="W176" s="6" t="str">
        <f t="shared" si="1"/>
        <v>Y</v>
      </c>
      <c r="X176" s="9">
        <v>6.7000000000000005E-14</v>
      </c>
      <c r="Y176" s="6">
        <v>2.71</v>
      </c>
      <c r="Z176" s="20"/>
      <c r="AA176" s="13"/>
      <c r="AB176" s="13"/>
    </row>
    <row r="177" spans="1:28" ht="16" x14ac:dyDescent="0.2">
      <c r="A177" s="58"/>
      <c r="B177" s="6">
        <v>175</v>
      </c>
      <c r="C177" s="6" t="s">
        <v>974</v>
      </c>
      <c r="D177" s="6" t="s">
        <v>974</v>
      </c>
      <c r="E177" s="6" t="s">
        <v>975</v>
      </c>
      <c r="F177" s="6" t="s">
        <v>976</v>
      </c>
      <c r="G177" s="6">
        <v>330.31299999999999</v>
      </c>
      <c r="H177" s="6">
        <v>100</v>
      </c>
      <c r="I177" s="6" t="s">
        <v>977</v>
      </c>
      <c r="J177" s="6" t="s">
        <v>43</v>
      </c>
      <c r="K177" s="8"/>
      <c r="L177" s="8"/>
      <c r="M177" s="8"/>
      <c r="N177" s="6" t="s">
        <v>29</v>
      </c>
      <c r="O177" s="6" t="s">
        <v>29</v>
      </c>
      <c r="P177" s="6" t="s">
        <v>978</v>
      </c>
      <c r="Q177" s="6">
        <v>1.05</v>
      </c>
      <c r="R177" s="6"/>
      <c r="S177" s="6" t="s">
        <v>29</v>
      </c>
      <c r="T177" s="14" t="s">
        <v>979</v>
      </c>
      <c r="U177" s="14" t="s">
        <v>980</v>
      </c>
      <c r="V177" s="14" t="s">
        <v>981</v>
      </c>
      <c r="W177" s="6" t="str">
        <f t="shared" si="1"/>
        <v>Y</v>
      </c>
      <c r="X177" s="9">
        <v>7.5E-10</v>
      </c>
      <c r="Y177" s="6">
        <v>3.21</v>
      </c>
      <c r="Z177" s="20"/>
      <c r="AA177" s="13"/>
      <c r="AB177" s="13"/>
    </row>
    <row r="178" spans="1:28" ht="16" x14ac:dyDescent="0.2">
      <c r="A178" s="59"/>
      <c r="B178" s="2">
        <v>176</v>
      </c>
      <c r="C178" s="2" t="s">
        <v>982</v>
      </c>
      <c r="D178" s="2" t="s">
        <v>982</v>
      </c>
      <c r="E178" s="2" t="s">
        <v>983</v>
      </c>
      <c r="F178" s="2" t="s">
        <v>984</v>
      </c>
      <c r="G178" s="2">
        <v>348.39499999999998</v>
      </c>
      <c r="H178" s="2">
        <v>94</v>
      </c>
      <c r="I178" s="2" t="s">
        <v>985</v>
      </c>
      <c r="J178" s="2" t="s">
        <v>43</v>
      </c>
      <c r="K178" s="16"/>
      <c r="L178" s="16"/>
      <c r="M178" s="16"/>
      <c r="N178" s="2" t="s">
        <v>29</v>
      </c>
      <c r="O178" s="2" t="s">
        <v>29</v>
      </c>
      <c r="P178" s="2" t="s">
        <v>986</v>
      </c>
      <c r="Q178" s="2">
        <v>1.05</v>
      </c>
      <c r="R178" s="2"/>
      <c r="S178" s="2"/>
      <c r="T178" s="16"/>
      <c r="U178" s="16"/>
      <c r="V178" s="16"/>
      <c r="W178" s="2" t="str">
        <f t="shared" si="1"/>
        <v>Y</v>
      </c>
      <c r="X178" s="17">
        <v>4.8000000000000001E-2</v>
      </c>
      <c r="Y178" s="2">
        <v>0.8</v>
      </c>
      <c r="Z178" s="21"/>
      <c r="AA178" s="5"/>
      <c r="AB178" s="5"/>
    </row>
    <row r="179" spans="1:28" ht="16" x14ac:dyDescent="0.2">
      <c r="A179" s="48" t="s">
        <v>987</v>
      </c>
      <c r="B179" s="6">
        <v>177</v>
      </c>
      <c r="C179" s="6" t="s">
        <v>988</v>
      </c>
      <c r="D179" s="6" t="s">
        <v>988</v>
      </c>
      <c r="E179" s="6" t="s">
        <v>989</v>
      </c>
      <c r="F179" s="6" t="s">
        <v>990</v>
      </c>
      <c r="G179" s="6">
        <v>429.85300000000001</v>
      </c>
      <c r="H179" s="6">
        <v>100</v>
      </c>
      <c r="I179" s="6" t="s">
        <v>991</v>
      </c>
      <c r="J179" s="6" t="s">
        <v>43</v>
      </c>
      <c r="K179" s="6" t="s">
        <v>669</v>
      </c>
      <c r="L179" s="6">
        <v>1</v>
      </c>
      <c r="M179" s="6">
        <v>36.46</v>
      </c>
      <c r="N179" s="6" t="s">
        <v>29</v>
      </c>
      <c r="O179" s="6" t="s">
        <v>29</v>
      </c>
      <c r="P179" s="6" t="s">
        <v>992</v>
      </c>
      <c r="Q179" s="6">
        <v>1.05</v>
      </c>
      <c r="R179" s="6"/>
      <c r="S179" s="6" t="s">
        <v>29</v>
      </c>
      <c r="T179" s="14">
        <v>12.3</v>
      </c>
      <c r="U179" s="14">
        <v>1.4</v>
      </c>
      <c r="V179" s="14">
        <v>10.7</v>
      </c>
      <c r="W179" s="6" t="str">
        <f t="shared" si="1"/>
        <v/>
      </c>
      <c r="X179" s="6" t="s">
        <v>521</v>
      </c>
      <c r="Y179" s="6" t="s">
        <v>521</v>
      </c>
      <c r="Z179" s="19"/>
      <c r="AA179" s="11"/>
      <c r="AB179" s="11"/>
    </row>
    <row r="180" spans="1:28" ht="16" x14ac:dyDescent="0.2">
      <c r="A180" s="49"/>
      <c r="B180" s="6">
        <v>178</v>
      </c>
      <c r="C180" s="6" t="s">
        <v>993</v>
      </c>
      <c r="D180" s="6" t="s">
        <v>993</v>
      </c>
      <c r="E180" s="6" t="s">
        <v>994</v>
      </c>
      <c r="F180" s="6" t="s">
        <v>995</v>
      </c>
      <c r="G180" s="6">
        <v>471.90800000000002</v>
      </c>
      <c r="H180" s="6">
        <v>100</v>
      </c>
      <c r="I180" s="6" t="s">
        <v>996</v>
      </c>
      <c r="J180" s="6" t="s">
        <v>43</v>
      </c>
      <c r="K180" s="6" t="s">
        <v>669</v>
      </c>
      <c r="L180" s="6">
        <v>1</v>
      </c>
      <c r="M180" s="6">
        <v>36.46</v>
      </c>
      <c r="N180" s="6" t="s">
        <v>29</v>
      </c>
      <c r="O180" s="6" t="s">
        <v>29</v>
      </c>
      <c r="P180" s="6" t="s">
        <v>997</v>
      </c>
      <c r="Q180" s="6">
        <v>1.05</v>
      </c>
      <c r="R180" s="6"/>
      <c r="S180" s="6" t="s">
        <v>29</v>
      </c>
      <c r="T180" s="14">
        <v>17</v>
      </c>
      <c r="U180" s="14">
        <v>1.2</v>
      </c>
      <c r="V180" s="14">
        <v>14.8</v>
      </c>
      <c r="W180" s="6" t="str">
        <f t="shared" si="1"/>
        <v/>
      </c>
      <c r="X180" s="6" t="s">
        <v>521</v>
      </c>
      <c r="Y180" s="6" t="s">
        <v>521</v>
      </c>
      <c r="Z180" s="20"/>
      <c r="AA180" s="13"/>
      <c r="AB180" s="13"/>
    </row>
    <row r="181" spans="1:28" ht="16" x14ac:dyDescent="0.2">
      <c r="A181" s="49"/>
      <c r="B181" s="6">
        <v>179</v>
      </c>
      <c r="C181" s="6" t="s">
        <v>998</v>
      </c>
      <c r="D181" s="6" t="s">
        <v>998</v>
      </c>
      <c r="E181" s="6" t="s">
        <v>999</v>
      </c>
      <c r="F181" s="6" t="s">
        <v>1000</v>
      </c>
      <c r="G181" s="6">
        <v>396.8</v>
      </c>
      <c r="H181" s="6">
        <v>100</v>
      </c>
      <c r="I181" s="6" t="s">
        <v>1001</v>
      </c>
      <c r="J181" s="6" t="s">
        <v>438</v>
      </c>
      <c r="K181" s="6" t="s">
        <v>669</v>
      </c>
      <c r="L181" s="6">
        <v>1</v>
      </c>
      <c r="M181" s="6">
        <v>36.46</v>
      </c>
      <c r="N181" s="6" t="s">
        <v>29</v>
      </c>
      <c r="O181" s="6" t="s">
        <v>29</v>
      </c>
      <c r="P181" s="6" t="s">
        <v>1002</v>
      </c>
      <c r="Q181" s="6">
        <v>1.05</v>
      </c>
      <c r="R181" s="6"/>
      <c r="S181" s="6" t="s">
        <v>29</v>
      </c>
      <c r="T181" s="14">
        <v>8.1999999999999993</v>
      </c>
      <c r="U181" s="14">
        <v>0.8</v>
      </c>
      <c r="V181" s="14">
        <v>7.1</v>
      </c>
      <c r="W181" s="6" t="str">
        <f t="shared" si="1"/>
        <v/>
      </c>
      <c r="X181" s="6" t="s">
        <v>521</v>
      </c>
      <c r="Y181" s="6" t="s">
        <v>521</v>
      </c>
      <c r="Z181" s="20"/>
      <c r="AA181" s="13"/>
      <c r="AB181" s="13"/>
    </row>
    <row r="182" spans="1:28" ht="16" x14ac:dyDescent="0.2">
      <c r="A182" s="49"/>
      <c r="B182" s="6">
        <v>180</v>
      </c>
      <c r="C182" s="6" t="s">
        <v>1003</v>
      </c>
      <c r="D182" s="6" t="s">
        <v>1003</v>
      </c>
      <c r="E182" s="6" t="s">
        <v>1004</v>
      </c>
      <c r="F182" s="6" t="s">
        <v>1005</v>
      </c>
      <c r="G182" s="6">
        <v>354.37799999999999</v>
      </c>
      <c r="H182" s="6">
        <v>100</v>
      </c>
      <c r="I182" s="6" t="s">
        <v>1006</v>
      </c>
      <c r="J182" s="6" t="s">
        <v>43</v>
      </c>
      <c r="K182" s="6"/>
      <c r="L182" s="6"/>
      <c r="M182" s="6"/>
      <c r="N182" s="6" t="s">
        <v>29</v>
      </c>
      <c r="O182" s="6" t="s">
        <v>29</v>
      </c>
      <c r="P182" s="6" t="s">
        <v>1007</v>
      </c>
      <c r="Q182" s="6">
        <v>1.05</v>
      </c>
      <c r="R182" s="6"/>
      <c r="S182" s="6" t="s">
        <v>29</v>
      </c>
      <c r="T182" s="14">
        <v>15.9</v>
      </c>
      <c r="U182" s="14">
        <v>0.9</v>
      </c>
      <c r="V182" s="14">
        <v>13.8</v>
      </c>
      <c r="W182" s="6" t="str">
        <f t="shared" si="1"/>
        <v/>
      </c>
      <c r="X182" s="6" t="s">
        <v>521</v>
      </c>
      <c r="Y182" s="6" t="s">
        <v>521</v>
      </c>
      <c r="Z182" s="20"/>
      <c r="AA182" s="13"/>
      <c r="AB182" s="13"/>
    </row>
    <row r="183" spans="1:28" ht="16" x14ac:dyDescent="0.2">
      <c r="A183" s="49"/>
      <c r="B183" s="6">
        <v>181</v>
      </c>
      <c r="C183" s="6" t="s">
        <v>1008</v>
      </c>
      <c r="D183" s="6" t="s">
        <v>1009</v>
      </c>
      <c r="E183" s="6" t="s">
        <v>1009</v>
      </c>
      <c r="F183" s="6" t="s">
        <v>1010</v>
      </c>
      <c r="G183" s="6">
        <v>340.37599999999998</v>
      </c>
      <c r="H183" s="6">
        <v>98</v>
      </c>
      <c r="I183" s="6" t="s">
        <v>1011</v>
      </c>
      <c r="J183" s="6" t="s">
        <v>43</v>
      </c>
      <c r="K183" s="6"/>
      <c r="L183" s="6"/>
      <c r="M183" s="6"/>
      <c r="N183" s="6" t="s">
        <v>29</v>
      </c>
      <c r="O183" s="6" t="s">
        <v>29</v>
      </c>
      <c r="P183" s="6" t="s">
        <v>1012</v>
      </c>
      <c r="Q183" s="6">
        <v>1.05</v>
      </c>
      <c r="R183" s="6"/>
      <c r="S183" s="6" t="s">
        <v>29</v>
      </c>
      <c r="T183" s="14">
        <v>116</v>
      </c>
      <c r="U183" s="14">
        <v>12.9</v>
      </c>
      <c r="V183" s="14">
        <v>100.9</v>
      </c>
      <c r="W183" s="6" t="str">
        <f t="shared" si="1"/>
        <v/>
      </c>
      <c r="X183" s="6" t="s">
        <v>521</v>
      </c>
      <c r="Y183" s="6" t="s">
        <v>521</v>
      </c>
      <c r="Z183" s="20"/>
      <c r="AA183" s="13"/>
      <c r="AB183" s="13"/>
    </row>
    <row r="184" spans="1:28" ht="16" x14ac:dyDescent="0.2">
      <c r="A184" s="49"/>
      <c r="B184" s="6">
        <v>182</v>
      </c>
      <c r="C184" s="6" t="s">
        <v>39</v>
      </c>
      <c r="D184" s="6" t="s">
        <v>1013</v>
      </c>
      <c r="E184" s="6" t="s">
        <v>1013</v>
      </c>
      <c r="F184" s="6" t="s">
        <v>1014</v>
      </c>
      <c r="G184" s="6">
        <v>340.351</v>
      </c>
      <c r="H184" s="6">
        <v>92</v>
      </c>
      <c r="I184" s="6" t="s">
        <v>1015</v>
      </c>
      <c r="J184" s="6" t="s">
        <v>43</v>
      </c>
      <c r="K184" s="6"/>
      <c r="L184" s="6"/>
      <c r="M184" s="6"/>
      <c r="N184" s="6" t="s">
        <v>29</v>
      </c>
      <c r="O184" s="6" t="s">
        <v>29</v>
      </c>
      <c r="P184" s="6" t="s">
        <v>1016</v>
      </c>
      <c r="Q184" s="6">
        <v>1.05</v>
      </c>
      <c r="R184" s="6"/>
      <c r="S184" s="6" t="s">
        <v>29</v>
      </c>
      <c r="T184" s="14">
        <v>36.799999999999997</v>
      </c>
      <c r="U184" s="14">
        <v>1.9</v>
      </c>
      <c r="V184" s="14">
        <v>32</v>
      </c>
      <c r="W184" s="6" t="str">
        <f t="shared" si="1"/>
        <v/>
      </c>
      <c r="X184" s="6" t="s">
        <v>521</v>
      </c>
      <c r="Y184" s="6" t="s">
        <v>521</v>
      </c>
      <c r="Z184" s="20"/>
      <c r="AA184" s="13"/>
      <c r="AB184" s="13"/>
    </row>
    <row r="185" spans="1:28" ht="16" x14ac:dyDescent="0.2">
      <c r="A185" s="49"/>
      <c r="B185" s="6">
        <v>183</v>
      </c>
      <c r="C185" s="6" t="s">
        <v>1017</v>
      </c>
      <c r="D185" s="6" t="s">
        <v>1018</v>
      </c>
      <c r="E185" s="6" t="s">
        <v>1018</v>
      </c>
      <c r="F185" s="6" t="s">
        <v>1019</v>
      </c>
      <c r="G185" s="6">
        <v>312.32299999999998</v>
      </c>
      <c r="H185" s="6">
        <v>100</v>
      </c>
      <c r="I185" s="6" t="s">
        <v>1020</v>
      </c>
      <c r="J185" s="6" t="s">
        <v>43</v>
      </c>
      <c r="K185" s="6"/>
      <c r="L185" s="6"/>
      <c r="M185" s="6"/>
      <c r="N185" s="6" t="s">
        <v>29</v>
      </c>
      <c r="O185" s="6" t="s">
        <v>29</v>
      </c>
      <c r="P185" s="6" t="s">
        <v>1021</v>
      </c>
      <c r="Q185" s="6">
        <v>1.05</v>
      </c>
      <c r="R185" s="6"/>
      <c r="S185" s="6" t="s">
        <v>29</v>
      </c>
      <c r="T185" s="14">
        <v>37.1</v>
      </c>
      <c r="U185" s="14">
        <v>2.7</v>
      </c>
      <c r="V185" s="14">
        <v>32.299999999999997</v>
      </c>
      <c r="W185" s="6" t="str">
        <f t="shared" si="1"/>
        <v/>
      </c>
      <c r="X185" s="6" t="s">
        <v>521</v>
      </c>
      <c r="Y185" s="6" t="s">
        <v>521</v>
      </c>
      <c r="Z185" s="20"/>
      <c r="AA185" s="13"/>
      <c r="AB185" s="13"/>
    </row>
    <row r="186" spans="1:28" ht="16" x14ac:dyDescent="0.2">
      <c r="A186" s="49"/>
      <c r="B186" s="6">
        <v>184</v>
      </c>
      <c r="C186" s="6" t="s">
        <v>1022</v>
      </c>
      <c r="D186" s="6" t="s">
        <v>1023</v>
      </c>
      <c r="E186" s="6" t="s">
        <v>1023</v>
      </c>
      <c r="F186" s="6" t="s">
        <v>1024</v>
      </c>
      <c r="G186" s="6">
        <v>360.35700000000003</v>
      </c>
      <c r="H186" s="6">
        <v>98</v>
      </c>
      <c r="I186" s="6" t="s">
        <v>1025</v>
      </c>
      <c r="J186" s="6" t="s">
        <v>43</v>
      </c>
      <c r="K186" s="6"/>
      <c r="L186" s="6"/>
      <c r="M186" s="6"/>
      <c r="N186" s="6" t="s">
        <v>29</v>
      </c>
      <c r="O186" s="6"/>
      <c r="P186" s="6"/>
      <c r="Q186" s="6"/>
      <c r="R186" s="6"/>
      <c r="S186" s="6" t="s">
        <v>29</v>
      </c>
      <c r="T186" s="14">
        <v>142.9</v>
      </c>
      <c r="U186" s="14">
        <v>18.2</v>
      </c>
      <c r="V186" s="14">
        <v>124.3</v>
      </c>
      <c r="W186" s="6" t="str">
        <f t="shared" si="1"/>
        <v/>
      </c>
      <c r="X186" s="6" t="s">
        <v>521</v>
      </c>
      <c r="Y186" s="6" t="s">
        <v>521</v>
      </c>
      <c r="Z186" s="20"/>
      <c r="AA186" s="13"/>
      <c r="AB186" s="13"/>
    </row>
    <row r="187" spans="1:28" ht="16" x14ac:dyDescent="0.2">
      <c r="A187" s="49"/>
      <c r="B187" s="6">
        <v>185</v>
      </c>
      <c r="C187" s="6" t="s">
        <v>1026</v>
      </c>
      <c r="D187" s="6" t="s">
        <v>1027</v>
      </c>
      <c r="E187" s="6" t="s">
        <v>1027</v>
      </c>
      <c r="F187" s="6" t="s">
        <v>1028</v>
      </c>
      <c r="G187" s="6">
        <v>380.32100000000003</v>
      </c>
      <c r="H187" s="6">
        <v>95</v>
      </c>
      <c r="I187" s="6" t="s">
        <v>1029</v>
      </c>
      <c r="J187" s="6" t="s">
        <v>91</v>
      </c>
      <c r="K187" s="6"/>
      <c r="L187" s="6"/>
      <c r="M187" s="6"/>
      <c r="N187" s="6" t="s">
        <v>29</v>
      </c>
      <c r="O187" s="6"/>
      <c r="P187" s="6"/>
      <c r="Q187" s="6"/>
      <c r="R187" s="6"/>
      <c r="S187" s="6" t="s">
        <v>29</v>
      </c>
      <c r="T187" s="14">
        <v>119.3</v>
      </c>
      <c r="U187" s="14">
        <v>14.9</v>
      </c>
      <c r="V187" s="14">
        <v>103.8</v>
      </c>
      <c r="W187" s="6" t="str">
        <f t="shared" si="1"/>
        <v/>
      </c>
      <c r="X187" s="6" t="s">
        <v>521</v>
      </c>
      <c r="Y187" s="6" t="s">
        <v>521</v>
      </c>
      <c r="Z187" s="20"/>
      <c r="AA187" s="13"/>
      <c r="AB187" s="13"/>
    </row>
    <row r="188" spans="1:28" ht="16" x14ac:dyDescent="0.2">
      <c r="A188" s="49"/>
      <c r="B188" s="6">
        <v>186</v>
      </c>
      <c r="C188" s="6" t="s">
        <v>1030</v>
      </c>
      <c r="D188" s="6" t="s">
        <v>1030</v>
      </c>
      <c r="E188" s="6" t="s">
        <v>1031</v>
      </c>
      <c r="F188" s="6" t="s">
        <v>1032</v>
      </c>
      <c r="G188" s="6">
        <v>419.24700000000001</v>
      </c>
      <c r="H188" s="6">
        <v>90</v>
      </c>
      <c r="I188" s="6" t="s">
        <v>1033</v>
      </c>
      <c r="J188" s="6" t="s">
        <v>43</v>
      </c>
      <c r="K188" s="6"/>
      <c r="L188" s="6"/>
      <c r="M188" s="6"/>
      <c r="N188" s="6" t="s">
        <v>29</v>
      </c>
      <c r="O188" s="6" t="s">
        <v>29</v>
      </c>
      <c r="P188" s="6" t="s">
        <v>1034</v>
      </c>
      <c r="Q188" s="6">
        <v>1.05</v>
      </c>
      <c r="R188" s="6"/>
      <c r="S188" s="6" t="s">
        <v>29</v>
      </c>
      <c r="T188" s="14">
        <v>92.9</v>
      </c>
      <c r="U188" s="14">
        <v>12.3</v>
      </c>
      <c r="V188" s="14">
        <v>80.8</v>
      </c>
      <c r="W188" s="6" t="str">
        <f t="shared" si="1"/>
        <v/>
      </c>
      <c r="X188" s="6" t="s">
        <v>521</v>
      </c>
      <c r="Y188" s="6" t="s">
        <v>521</v>
      </c>
      <c r="Z188" s="20"/>
      <c r="AA188" s="13"/>
      <c r="AB188" s="13"/>
    </row>
    <row r="189" spans="1:28" ht="16" x14ac:dyDescent="0.2">
      <c r="A189" s="49"/>
      <c r="B189" s="6">
        <v>187</v>
      </c>
      <c r="C189" s="6" t="s">
        <v>1035</v>
      </c>
      <c r="D189" s="6" t="s">
        <v>1036</v>
      </c>
      <c r="E189" s="6" t="s">
        <v>1037</v>
      </c>
      <c r="F189" s="6" t="s">
        <v>1038</v>
      </c>
      <c r="G189" s="6">
        <v>436.38400000000001</v>
      </c>
      <c r="H189" s="6">
        <v>98</v>
      </c>
      <c r="I189" s="6" t="s">
        <v>1039</v>
      </c>
      <c r="J189" s="6" t="s">
        <v>43</v>
      </c>
      <c r="K189" s="6" t="s">
        <v>932</v>
      </c>
      <c r="L189" s="6">
        <v>1</v>
      </c>
      <c r="M189" s="6">
        <v>114</v>
      </c>
      <c r="N189" s="6" t="s">
        <v>29</v>
      </c>
      <c r="O189" s="6" t="s">
        <v>29</v>
      </c>
      <c r="P189" s="6" t="s">
        <v>1040</v>
      </c>
      <c r="Q189" s="6">
        <v>1.05</v>
      </c>
      <c r="R189" s="6"/>
      <c r="S189" s="6" t="s">
        <v>29</v>
      </c>
      <c r="T189" s="14">
        <v>15.4</v>
      </c>
      <c r="U189" s="14">
        <v>1.1000000000000001</v>
      </c>
      <c r="V189" s="14">
        <v>13.4</v>
      </c>
      <c r="W189" s="6" t="str">
        <f t="shared" si="1"/>
        <v/>
      </c>
      <c r="X189" s="6" t="s">
        <v>521</v>
      </c>
      <c r="Y189" s="6" t="s">
        <v>521</v>
      </c>
      <c r="Z189" s="20"/>
      <c r="AA189" s="13"/>
      <c r="AB189" s="13"/>
    </row>
    <row r="190" spans="1:28" ht="16" x14ac:dyDescent="0.2">
      <c r="A190" s="49"/>
      <c r="B190" s="6">
        <v>188</v>
      </c>
      <c r="C190" s="6" t="s">
        <v>1041</v>
      </c>
      <c r="D190" s="6" t="s">
        <v>1042</v>
      </c>
      <c r="E190" s="6" t="s">
        <v>1042</v>
      </c>
      <c r="F190" s="6" t="s">
        <v>1043</v>
      </c>
      <c r="G190" s="6">
        <v>344.358</v>
      </c>
      <c r="H190" s="6">
        <v>100</v>
      </c>
      <c r="I190" s="6" t="s">
        <v>1044</v>
      </c>
      <c r="J190" s="6" t="s">
        <v>43</v>
      </c>
      <c r="K190" s="6"/>
      <c r="L190" s="6"/>
      <c r="M190" s="6"/>
      <c r="N190" s="6"/>
      <c r="O190" s="6"/>
      <c r="P190" s="6"/>
      <c r="Q190" s="6"/>
      <c r="R190" s="6"/>
      <c r="S190" s="6"/>
      <c r="T190" s="8"/>
      <c r="U190" s="8"/>
      <c r="V190" s="8"/>
      <c r="W190" s="6" t="str">
        <f t="shared" si="1"/>
        <v/>
      </c>
      <c r="X190" s="6" t="s">
        <v>521</v>
      </c>
      <c r="Y190" s="6" t="s">
        <v>521</v>
      </c>
      <c r="Z190" s="20"/>
      <c r="AA190" s="13"/>
      <c r="AB190" s="13"/>
    </row>
    <row r="191" spans="1:28" ht="16" x14ac:dyDescent="0.2">
      <c r="A191" s="49"/>
      <c r="B191" s="6">
        <v>189</v>
      </c>
      <c r="C191" s="6" t="s">
        <v>1045</v>
      </c>
      <c r="D191" s="6" t="s">
        <v>1045</v>
      </c>
      <c r="E191" s="6" t="s">
        <v>1046</v>
      </c>
      <c r="F191" s="6" t="s">
        <v>968</v>
      </c>
      <c r="G191" s="6">
        <v>342.36700000000002</v>
      </c>
      <c r="H191" s="6">
        <v>100</v>
      </c>
      <c r="I191" s="6" t="s">
        <v>1047</v>
      </c>
      <c r="J191" s="6" t="s">
        <v>43</v>
      </c>
      <c r="K191" s="6"/>
      <c r="L191" s="6"/>
      <c r="M191" s="6"/>
      <c r="N191" s="6" t="s">
        <v>29</v>
      </c>
      <c r="O191" s="6" t="s">
        <v>29</v>
      </c>
      <c r="P191" s="6" t="s">
        <v>1048</v>
      </c>
      <c r="Q191" s="6">
        <v>1.05</v>
      </c>
      <c r="R191" s="6"/>
      <c r="S191" s="6"/>
      <c r="T191" s="8"/>
      <c r="U191" s="8"/>
      <c r="V191" s="8"/>
      <c r="W191" s="6" t="str">
        <f t="shared" si="1"/>
        <v/>
      </c>
      <c r="X191" s="6" t="s">
        <v>521</v>
      </c>
      <c r="Y191" s="6" t="s">
        <v>521</v>
      </c>
      <c r="Z191" s="20"/>
      <c r="AA191" s="13"/>
      <c r="AB191" s="13"/>
    </row>
    <row r="192" spans="1:28" ht="16" x14ac:dyDescent="0.2">
      <c r="A192" s="49"/>
      <c r="B192" s="6">
        <v>190</v>
      </c>
      <c r="C192" s="6" t="s">
        <v>1049</v>
      </c>
      <c r="D192" s="6" t="s">
        <v>1049</v>
      </c>
      <c r="E192" s="6" t="s">
        <v>1050</v>
      </c>
      <c r="F192" s="6" t="s">
        <v>1051</v>
      </c>
      <c r="G192" s="6">
        <v>391.21899999999999</v>
      </c>
      <c r="H192" s="6">
        <v>100</v>
      </c>
      <c r="I192" s="6" t="s">
        <v>1052</v>
      </c>
      <c r="J192" s="6" t="s">
        <v>43</v>
      </c>
      <c r="K192" s="6"/>
      <c r="L192" s="6"/>
      <c r="M192" s="6"/>
      <c r="N192" s="6" t="s">
        <v>29</v>
      </c>
      <c r="O192" s="6"/>
      <c r="P192" s="6"/>
      <c r="Q192" s="6"/>
      <c r="R192" s="6"/>
      <c r="S192" s="6" t="s">
        <v>29</v>
      </c>
      <c r="T192" s="14">
        <v>25.9</v>
      </c>
      <c r="U192" s="14">
        <v>3.4</v>
      </c>
      <c r="V192" s="14">
        <v>22.5</v>
      </c>
      <c r="W192" s="6" t="str">
        <f t="shared" si="1"/>
        <v/>
      </c>
      <c r="X192" s="6" t="s">
        <v>521</v>
      </c>
      <c r="Y192" s="6" t="s">
        <v>521</v>
      </c>
      <c r="Z192" s="20"/>
      <c r="AA192" s="13"/>
      <c r="AB192" s="13"/>
    </row>
    <row r="193" spans="1:28" ht="16" x14ac:dyDescent="0.2">
      <c r="A193" s="49"/>
      <c r="B193" s="6">
        <v>191</v>
      </c>
      <c r="C193" s="6" t="s">
        <v>1053</v>
      </c>
      <c r="D193" s="6" t="s">
        <v>1054</v>
      </c>
      <c r="E193" s="6" t="s">
        <v>1054</v>
      </c>
      <c r="F193" s="6" t="s">
        <v>89</v>
      </c>
      <c r="G193" s="6">
        <v>332.32900000000001</v>
      </c>
      <c r="H193" s="6">
        <v>100</v>
      </c>
      <c r="I193" s="6" t="s">
        <v>1055</v>
      </c>
      <c r="J193" s="6" t="s">
        <v>85</v>
      </c>
      <c r="K193" s="6"/>
      <c r="L193" s="6"/>
      <c r="M193" s="6"/>
      <c r="N193" s="6" t="s">
        <v>29</v>
      </c>
      <c r="O193" s="6" t="s">
        <v>29</v>
      </c>
      <c r="P193" s="6" t="s">
        <v>1056</v>
      </c>
      <c r="Q193" s="6">
        <v>1.05</v>
      </c>
      <c r="R193" s="6"/>
      <c r="S193" s="6"/>
      <c r="T193" s="8"/>
      <c r="U193" s="8"/>
      <c r="V193" s="8"/>
      <c r="W193" s="6" t="str">
        <f t="shared" si="1"/>
        <v/>
      </c>
      <c r="X193" s="6" t="s">
        <v>521</v>
      </c>
      <c r="Y193" s="6" t="s">
        <v>521</v>
      </c>
      <c r="Z193" s="20"/>
      <c r="AA193" s="13"/>
      <c r="AB193" s="13"/>
    </row>
    <row r="194" spans="1:28" ht="16" x14ac:dyDescent="0.2">
      <c r="A194" s="49"/>
      <c r="B194" s="6">
        <v>192</v>
      </c>
      <c r="C194" s="6" t="s">
        <v>1057</v>
      </c>
      <c r="D194" s="6" t="s">
        <v>1058</v>
      </c>
      <c r="E194" s="6" t="s">
        <v>1058</v>
      </c>
      <c r="F194" s="6" t="s">
        <v>1059</v>
      </c>
      <c r="G194" s="6">
        <v>341.339</v>
      </c>
      <c r="H194" s="6">
        <v>98</v>
      </c>
      <c r="I194" s="6" t="s">
        <v>1060</v>
      </c>
      <c r="J194" s="6" t="s">
        <v>43</v>
      </c>
      <c r="K194" s="6"/>
      <c r="L194" s="6"/>
      <c r="M194" s="6"/>
      <c r="N194" s="6" t="s">
        <v>29</v>
      </c>
      <c r="O194" s="6" t="s">
        <v>29</v>
      </c>
      <c r="P194" s="6" t="s">
        <v>1061</v>
      </c>
      <c r="Q194" s="6">
        <v>1.05</v>
      </c>
      <c r="R194" s="6"/>
      <c r="S194" s="6"/>
      <c r="T194" s="8"/>
      <c r="U194" s="8"/>
      <c r="V194" s="8"/>
      <c r="W194" s="6" t="str">
        <f t="shared" si="1"/>
        <v/>
      </c>
      <c r="X194" s="6" t="s">
        <v>521</v>
      </c>
      <c r="Y194" s="6" t="s">
        <v>521</v>
      </c>
      <c r="Z194" s="20"/>
      <c r="AA194" s="13"/>
      <c r="AB194" s="13"/>
    </row>
    <row r="195" spans="1:28" ht="16" x14ac:dyDescent="0.2">
      <c r="A195" s="49"/>
      <c r="B195" s="6">
        <v>193</v>
      </c>
      <c r="C195" s="6" t="s">
        <v>1062</v>
      </c>
      <c r="D195" s="6" t="s">
        <v>1062</v>
      </c>
      <c r="E195" s="6" t="s">
        <v>1063</v>
      </c>
      <c r="F195" s="6" t="s">
        <v>1064</v>
      </c>
      <c r="G195" s="6">
        <v>386.39499999999998</v>
      </c>
      <c r="H195" s="6">
        <v>100</v>
      </c>
      <c r="I195" s="6" t="s">
        <v>1065</v>
      </c>
      <c r="J195" s="6" t="s">
        <v>43</v>
      </c>
      <c r="K195" s="6"/>
      <c r="L195" s="6"/>
      <c r="M195" s="6"/>
      <c r="N195" s="6"/>
      <c r="O195" s="6"/>
      <c r="P195" s="6"/>
      <c r="Q195" s="6"/>
      <c r="R195" s="6"/>
      <c r="S195" s="6"/>
      <c r="T195" s="8"/>
      <c r="U195" s="8"/>
      <c r="V195" s="8"/>
      <c r="W195" s="6" t="str">
        <f t="shared" si="1"/>
        <v/>
      </c>
      <c r="X195" s="6" t="s">
        <v>521</v>
      </c>
      <c r="Y195" s="6" t="s">
        <v>521</v>
      </c>
      <c r="Z195" s="20"/>
      <c r="AA195" s="13"/>
      <c r="AB195" s="13"/>
    </row>
    <row r="196" spans="1:28" ht="16" x14ac:dyDescent="0.2">
      <c r="A196" s="49"/>
      <c r="B196" s="6">
        <v>194</v>
      </c>
      <c r="C196" s="6" t="s">
        <v>1066</v>
      </c>
      <c r="D196" s="6" t="s">
        <v>1066</v>
      </c>
      <c r="E196" s="6" t="s">
        <v>1067</v>
      </c>
      <c r="F196" s="6" t="s">
        <v>1068</v>
      </c>
      <c r="G196" s="6">
        <v>340.315</v>
      </c>
      <c r="H196" s="6">
        <v>100</v>
      </c>
      <c r="I196" s="6" t="s">
        <v>1069</v>
      </c>
      <c r="J196" s="6" t="s">
        <v>43</v>
      </c>
      <c r="K196" s="6"/>
      <c r="L196" s="6"/>
      <c r="M196" s="6"/>
      <c r="N196" s="6" t="s">
        <v>29</v>
      </c>
      <c r="O196" s="6" t="s">
        <v>29</v>
      </c>
      <c r="P196" s="6" t="s">
        <v>1070</v>
      </c>
      <c r="Q196" s="6">
        <v>1.05</v>
      </c>
      <c r="R196" s="6"/>
      <c r="S196" s="6" t="s">
        <v>29</v>
      </c>
      <c r="T196" s="14">
        <v>17.2</v>
      </c>
      <c r="U196" s="14">
        <v>3.6</v>
      </c>
      <c r="V196" s="14">
        <v>15</v>
      </c>
      <c r="W196" s="6" t="str">
        <f t="shared" si="1"/>
        <v/>
      </c>
      <c r="X196" s="6" t="s">
        <v>521</v>
      </c>
      <c r="Y196" s="6" t="s">
        <v>521</v>
      </c>
      <c r="Z196" s="20"/>
      <c r="AA196" s="13"/>
      <c r="AB196" s="13"/>
    </row>
    <row r="197" spans="1:28" ht="16" x14ac:dyDescent="0.2">
      <c r="A197" s="49"/>
      <c r="B197" s="6">
        <v>195</v>
      </c>
      <c r="C197" s="6" t="s">
        <v>1071</v>
      </c>
      <c r="D197" s="6" t="s">
        <v>1071</v>
      </c>
      <c r="E197" s="6" t="s">
        <v>1072</v>
      </c>
      <c r="F197" s="6" t="s">
        <v>1014</v>
      </c>
      <c r="G197" s="6">
        <v>340.351</v>
      </c>
      <c r="H197" s="6">
        <v>100</v>
      </c>
      <c r="I197" s="6" t="s">
        <v>1073</v>
      </c>
      <c r="J197" s="6" t="s">
        <v>43</v>
      </c>
      <c r="K197" s="6"/>
      <c r="L197" s="6"/>
      <c r="M197" s="6"/>
      <c r="N197" s="6" t="s">
        <v>29</v>
      </c>
      <c r="O197" s="6" t="s">
        <v>29</v>
      </c>
      <c r="P197" s="6" t="s">
        <v>1074</v>
      </c>
      <c r="Q197" s="6">
        <v>1.05</v>
      </c>
      <c r="R197" s="6"/>
      <c r="S197" s="6" t="s">
        <v>29</v>
      </c>
      <c r="T197" s="14">
        <v>13.5</v>
      </c>
      <c r="U197" s="14">
        <v>1.1000000000000001</v>
      </c>
      <c r="V197" s="14">
        <v>11.7</v>
      </c>
      <c r="W197" s="6" t="str">
        <f t="shared" si="1"/>
        <v/>
      </c>
      <c r="X197" s="6" t="s">
        <v>521</v>
      </c>
      <c r="Y197" s="6" t="s">
        <v>521</v>
      </c>
      <c r="Z197" s="20"/>
      <c r="AA197" s="13"/>
      <c r="AB197" s="13"/>
    </row>
    <row r="198" spans="1:28" ht="16" x14ac:dyDescent="0.2">
      <c r="A198" s="49"/>
      <c r="B198" s="6">
        <v>196</v>
      </c>
      <c r="C198" s="6" t="s">
        <v>1075</v>
      </c>
      <c r="D198" s="6" t="s">
        <v>1075</v>
      </c>
      <c r="E198" s="6" t="s">
        <v>1076</v>
      </c>
      <c r="F198" s="6" t="s">
        <v>961</v>
      </c>
      <c r="G198" s="6">
        <v>358.34199999999998</v>
      </c>
      <c r="H198" s="6">
        <v>100</v>
      </c>
      <c r="I198" s="6" t="s">
        <v>1077</v>
      </c>
      <c r="J198" s="6" t="s">
        <v>91</v>
      </c>
      <c r="K198" s="6"/>
      <c r="L198" s="6"/>
      <c r="M198" s="6"/>
      <c r="N198" s="6" t="s">
        <v>29</v>
      </c>
      <c r="O198" s="6" t="s">
        <v>29</v>
      </c>
      <c r="P198" s="6" t="s">
        <v>1078</v>
      </c>
      <c r="Q198" s="6">
        <v>1.05</v>
      </c>
      <c r="R198" s="6"/>
      <c r="S198" s="6" t="s">
        <v>29</v>
      </c>
      <c r="T198" s="14">
        <v>41.8</v>
      </c>
      <c r="U198" s="14">
        <v>4.5</v>
      </c>
      <c r="V198" s="14">
        <v>36.4</v>
      </c>
      <c r="W198" s="6" t="str">
        <f t="shared" si="1"/>
        <v/>
      </c>
      <c r="X198" s="6" t="s">
        <v>521</v>
      </c>
      <c r="Y198" s="6" t="s">
        <v>521</v>
      </c>
      <c r="Z198" s="20"/>
      <c r="AA198" s="13"/>
      <c r="AB198" s="13"/>
    </row>
    <row r="199" spans="1:28" ht="16" x14ac:dyDescent="0.2">
      <c r="A199" s="49"/>
      <c r="B199" s="6">
        <v>197</v>
      </c>
      <c r="C199" s="6" t="s">
        <v>1079</v>
      </c>
      <c r="D199" s="6" t="s">
        <v>1079</v>
      </c>
      <c r="E199" s="6" t="s">
        <v>1080</v>
      </c>
      <c r="F199" s="6" t="s">
        <v>1081</v>
      </c>
      <c r="G199" s="6">
        <v>344.34</v>
      </c>
      <c r="H199" s="6">
        <v>100</v>
      </c>
      <c r="I199" s="6" t="s">
        <v>1082</v>
      </c>
      <c r="J199" s="6" t="s">
        <v>43</v>
      </c>
      <c r="K199" s="6"/>
      <c r="L199" s="6"/>
      <c r="M199" s="6"/>
      <c r="N199" s="6" t="s">
        <v>29</v>
      </c>
      <c r="O199" s="6" t="s">
        <v>29</v>
      </c>
      <c r="P199" s="6" t="s">
        <v>1083</v>
      </c>
      <c r="Q199" s="6">
        <v>1.05</v>
      </c>
      <c r="R199" s="6"/>
      <c r="S199" s="6"/>
      <c r="T199" s="8"/>
      <c r="U199" s="8"/>
      <c r="V199" s="8"/>
      <c r="W199" s="6" t="str">
        <f t="shared" si="1"/>
        <v/>
      </c>
      <c r="X199" s="6" t="s">
        <v>521</v>
      </c>
      <c r="Y199" s="6" t="s">
        <v>521</v>
      </c>
      <c r="Z199" s="20"/>
      <c r="AA199" s="13"/>
      <c r="AB199" s="13"/>
    </row>
    <row r="200" spans="1:28" ht="16" x14ac:dyDescent="0.2">
      <c r="A200" s="49"/>
      <c r="B200" s="6">
        <v>198</v>
      </c>
      <c r="C200" s="6" t="s">
        <v>1084</v>
      </c>
      <c r="D200" s="6" t="s">
        <v>1084</v>
      </c>
      <c r="E200" s="6" t="s">
        <v>1085</v>
      </c>
      <c r="F200" s="6" t="s">
        <v>1081</v>
      </c>
      <c r="G200" s="6">
        <v>344.34</v>
      </c>
      <c r="H200" s="6">
        <v>100</v>
      </c>
      <c r="I200" s="6" t="s">
        <v>1086</v>
      </c>
      <c r="J200" s="6" t="s">
        <v>43</v>
      </c>
      <c r="K200" s="6"/>
      <c r="L200" s="6"/>
      <c r="M200" s="6"/>
      <c r="N200" s="6" t="s">
        <v>29</v>
      </c>
      <c r="O200" s="6" t="s">
        <v>29</v>
      </c>
      <c r="P200" s="6" t="s">
        <v>1087</v>
      </c>
      <c r="Q200" s="6">
        <v>1.05</v>
      </c>
      <c r="R200" s="6"/>
      <c r="S200" s="6" t="s">
        <v>29</v>
      </c>
      <c r="T200" s="14">
        <v>69.2</v>
      </c>
      <c r="U200" s="14">
        <v>5.2</v>
      </c>
      <c r="V200" s="14">
        <v>60.2</v>
      </c>
      <c r="W200" s="6" t="str">
        <f t="shared" si="1"/>
        <v/>
      </c>
      <c r="X200" s="6" t="s">
        <v>521</v>
      </c>
      <c r="Y200" s="6" t="s">
        <v>521</v>
      </c>
      <c r="Z200" s="20"/>
      <c r="AA200" s="13"/>
      <c r="AB200" s="13"/>
    </row>
    <row r="201" spans="1:28" ht="16" x14ac:dyDescent="0.2">
      <c r="A201" s="49"/>
      <c r="B201" s="6">
        <v>199</v>
      </c>
      <c r="C201" s="6" t="s">
        <v>1088</v>
      </c>
      <c r="D201" s="6" t="s">
        <v>1088</v>
      </c>
      <c r="E201" s="6" t="s">
        <v>1089</v>
      </c>
      <c r="F201" s="6" t="s">
        <v>1090</v>
      </c>
      <c r="G201" s="6">
        <v>326.32499999999999</v>
      </c>
      <c r="H201" s="6">
        <v>100</v>
      </c>
      <c r="I201" s="6" t="s">
        <v>1091</v>
      </c>
      <c r="J201" s="6" t="s">
        <v>438</v>
      </c>
      <c r="K201" s="6"/>
      <c r="L201" s="6"/>
      <c r="M201" s="6"/>
      <c r="N201" s="6" t="s">
        <v>29</v>
      </c>
      <c r="O201" s="6" t="s">
        <v>29</v>
      </c>
      <c r="P201" s="6" t="s">
        <v>1092</v>
      </c>
      <c r="Q201" s="6">
        <v>1.05</v>
      </c>
      <c r="R201" s="6"/>
      <c r="S201" s="6" t="s">
        <v>29</v>
      </c>
      <c r="T201" s="14">
        <v>37.6</v>
      </c>
      <c r="U201" s="14">
        <v>2.6</v>
      </c>
      <c r="V201" s="14">
        <v>32.700000000000003</v>
      </c>
      <c r="W201" s="6" t="str">
        <f t="shared" si="1"/>
        <v/>
      </c>
      <c r="X201" s="6" t="s">
        <v>521</v>
      </c>
      <c r="Y201" s="6" t="s">
        <v>521</v>
      </c>
      <c r="Z201" s="20"/>
      <c r="AA201" s="13"/>
      <c r="AB201" s="13"/>
    </row>
    <row r="202" spans="1:28" ht="16" x14ac:dyDescent="0.2">
      <c r="A202" s="49"/>
      <c r="B202" s="6">
        <v>200</v>
      </c>
      <c r="C202" s="6" t="s">
        <v>1093</v>
      </c>
      <c r="D202" s="6" t="s">
        <v>1093</v>
      </c>
      <c r="E202" s="6" t="s">
        <v>1094</v>
      </c>
      <c r="F202" s="6" t="s">
        <v>1095</v>
      </c>
      <c r="G202" s="6">
        <v>370.37700000000001</v>
      </c>
      <c r="H202" s="6">
        <v>100</v>
      </c>
      <c r="I202" s="6" t="s">
        <v>1096</v>
      </c>
      <c r="J202" s="6" t="s">
        <v>43</v>
      </c>
      <c r="K202" s="6"/>
      <c r="L202" s="6"/>
      <c r="M202" s="6"/>
      <c r="N202" s="6" t="s">
        <v>29</v>
      </c>
      <c r="O202" s="6" t="s">
        <v>29</v>
      </c>
      <c r="P202" s="6" t="s">
        <v>1097</v>
      </c>
      <c r="Q202" s="6">
        <v>1.1000000000000001</v>
      </c>
      <c r="R202" s="6"/>
      <c r="S202" s="6" t="s">
        <v>29</v>
      </c>
      <c r="T202" s="14">
        <v>19.7</v>
      </c>
      <c r="U202" s="14">
        <v>1.6</v>
      </c>
      <c r="V202" s="14">
        <v>17.100000000000001</v>
      </c>
      <c r="W202" s="6" t="str">
        <f t="shared" si="1"/>
        <v/>
      </c>
      <c r="X202" s="6" t="s">
        <v>521</v>
      </c>
      <c r="Y202" s="6" t="s">
        <v>521</v>
      </c>
      <c r="Z202" s="20"/>
      <c r="AA202" s="13"/>
      <c r="AB202" s="13"/>
    </row>
    <row r="203" spans="1:28" ht="16" x14ac:dyDescent="0.2">
      <c r="A203" s="49"/>
      <c r="B203" s="6">
        <v>201</v>
      </c>
      <c r="C203" s="6" t="s">
        <v>1098</v>
      </c>
      <c r="D203" s="6" t="s">
        <v>1099</v>
      </c>
      <c r="E203" s="6" t="s">
        <v>1099</v>
      </c>
      <c r="F203" s="6" t="s">
        <v>1081</v>
      </c>
      <c r="G203" s="6">
        <v>344.34</v>
      </c>
      <c r="H203" s="6">
        <v>100</v>
      </c>
      <c r="I203" s="6" t="s">
        <v>1100</v>
      </c>
      <c r="J203" s="6" t="s">
        <v>43</v>
      </c>
      <c r="K203" s="6"/>
      <c r="L203" s="6"/>
      <c r="M203" s="6"/>
      <c r="N203" s="6" t="s">
        <v>29</v>
      </c>
      <c r="O203" s="6" t="s">
        <v>29</v>
      </c>
      <c r="P203" s="6" t="s">
        <v>1101</v>
      </c>
      <c r="Q203" s="6">
        <v>1.05</v>
      </c>
      <c r="R203" s="6"/>
      <c r="S203" s="6"/>
      <c r="T203" s="8"/>
      <c r="U203" s="8"/>
      <c r="V203" s="8"/>
      <c r="W203" s="6" t="str">
        <f t="shared" si="1"/>
        <v/>
      </c>
      <c r="X203" s="6" t="s">
        <v>521</v>
      </c>
      <c r="Y203" s="6" t="s">
        <v>521</v>
      </c>
      <c r="Z203" s="20"/>
      <c r="AA203" s="13"/>
      <c r="AB203" s="13"/>
    </row>
    <row r="204" spans="1:28" ht="16" x14ac:dyDescent="0.2">
      <c r="A204" s="49"/>
      <c r="B204" s="6">
        <v>202</v>
      </c>
      <c r="C204" s="6" t="s">
        <v>1102</v>
      </c>
      <c r="D204" s="6" t="s">
        <v>1102</v>
      </c>
      <c r="E204" s="6" t="s">
        <v>1103</v>
      </c>
      <c r="F204" s="6" t="s">
        <v>1104</v>
      </c>
      <c r="G204" s="6">
        <v>352.74799999999999</v>
      </c>
      <c r="H204" s="6">
        <v>100</v>
      </c>
      <c r="I204" s="6" t="s">
        <v>1105</v>
      </c>
      <c r="J204" s="6" t="s">
        <v>43</v>
      </c>
      <c r="K204" s="6" t="s">
        <v>669</v>
      </c>
      <c r="L204" s="6">
        <v>1</v>
      </c>
      <c r="M204" s="6">
        <v>36.46</v>
      </c>
      <c r="N204" s="6" t="s">
        <v>29</v>
      </c>
      <c r="O204" s="6" t="s">
        <v>29</v>
      </c>
      <c r="P204" s="6" t="s">
        <v>1106</v>
      </c>
      <c r="Q204" s="6">
        <v>1.05</v>
      </c>
      <c r="R204" s="6"/>
      <c r="S204" s="6" t="s">
        <v>29</v>
      </c>
      <c r="T204" s="14">
        <v>40.4</v>
      </c>
      <c r="U204" s="14">
        <v>2.4</v>
      </c>
      <c r="V204" s="14">
        <v>35.200000000000003</v>
      </c>
      <c r="W204" s="6" t="str">
        <f t="shared" si="1"/>
        <v/>
      </c>
      <c r="X204" s="6" t="s">
        <v>521</v>
      </c>
      <c r="Y204" s="6" t="s">
        <v>521</v>
      </c>
      <c r="Z204" s="20"/>
      <c r="AA204" s="13"/>
      <c r="AB204" s="13"/>
    </row>
    <row r="205" spans="1:28" ht="16" x14ac:dyDescent="0.2">
      <c r="A205" s="49"/>
      <c r="B205" s="6">
        <v>203</v>
      </c>
      <c r="C205" s="6" t="s">
        <v>1107</v>
      </c>
      <c r="D205" s="6" t="s">
        <v>1108</v>
      </c>
      <c r="E205" s="6" t="s">
        <v>1108</v>
      </c>
      <c r="F205" s="6" t="s">
        <v>1109</v>
      </c>
      <c r="G205" s="6">
        <v>364.39400000000001</v>
      </c>
      <c r="H205" s="6">
        <v>100</v>
      </c>
      <c r="I205" s="6" t="s">
        <v>1110</v>
      </c>
      <c r="J205" s="6" t="s">
        <v>43</v>
      </c>
      <c r="K205" s="6"/>
      <c r="L205" s="6"/>
      <c r="M205" s="6"/>
      <c r="N205" s="6"/>
      <c r="O205" s="6"/>
      <c r="P205" s="6"/>
      <c r="Q205" s="6"/>
      <c r="R205" s="6"/>
      <c r="S205" s="6"/>
      <c r="T205" s="8"/>
      <c r="U205" s="8"/>
      <c r="V205" s="8"/>
      <c r="W205" s="6" t="str">
        <f t="shared" si="1"/>
        <v/>
      </c>
      <c r="X205" s="6" t="s">
        <v>521</v>
      </c>
      <c r="Y205" s="6" t="s">
        <v>521</v>
      </c>
      <c r="Z205" s="20"/>
      <c r="AA205" s="13"/>
      <c r="AB205" s="13"/>
    </row>
    <row r="206" spans="1:28" ht="16" x14ac:dyDescent="0.2">
      <c r="A206" s="49"/>
      <c r="B206" s="6">
        <v>204</v>
      </c>
      <c r="C206" s="6" t="s">
        <v>1111</v>
      </c>
      <c r="D206" s="6" t="s">
        <v>1111</v>
      </c>
      <c r="E206" s="6" t="s">
        <v>1112</v>
      </c>
      <c r="F206" s="6" t="s">
        <v>1113</v>
      </c>
      <c r="G206" s="6">
        <v>360.31400000000002</v>
      </c>
      <c r="H206" s="6">
        <v>95</v>
      </c>
      <c r="I206" s="6" t="s">
        <v>1114</v>
      </c>
      <c r="J206" s="6" t="s">
        <v>43</v>
      </c>
      <c r="K206" s="6"/>
      <c r="L206" s="6"/>
      <c r="M206" s="6"/>
      <c r="N206" s="6" t="s">
        <v>29</v>
      </c>
      <c r="O206" s="6" t="s">
        <v>29</v>
      </c>
      <c r="P206" s="6" t="s">
        <v>1115</v>
      </c>
      <c r="Q206" s="6">
        <v>1.05</v>
      </c>
      <c r="R206" s="6"/>
      <c r="S206" s="6" t="s">
        <v>29</v>
      </c>
      <c r="T206" s="14">
        <v>23.2</v>
      </c>
      <c r="U206" s="14">
        <v>1.9</v>
      </c>
      <c r="V206" s="14">
        <v>20.2</v>
      </c>
      <c r="W206" s="6" t="str">
        <f t="shared" si="1"/>
        <v/>
      </c>
      <c r="X206" s="6" t="s">
        <v>521</v>
      </c>
      <c r="Y206" s="6" t="s">
        <v>521</v>
      </c>
      <c r="Z206" s="20"/>
      <c r="AA206" s="13"/>
      <c r="AB206" s="13"/>
    </row>
    <row r="207" spans="1:28" ht="16" x14ac:dyDescent="0.2">
      <c r="A207" s="49"/>
      <c r="B207" s="6">
        <v>205</v>
      </c>
      <c r="C207" s="6" t="s">
        <v>1116</v>
      </c>
      <c r="D207" s="6" t="s">
        <v>1116</v>
      </c>
      <c r="E207" s="6" t="s">
        <v>1117</v>
      </c>
      <c r="F207" s="6" t="s">
        <v>1081</v>
      </c>
      <c r="G207" s="6">
        <v>344.34</v>
      </c>
      <c r="H207" s="6">
        <v>99</v>
      </c>
      <c r="I207" s="6" t="s">
        <v>1118</v>
      </c>
      <c r="J207" s="6" t="s">
        <v>91</v>
      </c>
      <c r="K207" s="6"/>
      <c r="L207" s="6"/>
      <c r="M207" s="6"/>
      <c r="N207" s="6" t="s">
        <v>29</v>
      </c>
      <c r="O207" s="6" t="s">
        <v>29</v>
      </c>
      <c r="P207" s="6" t="s">
        <v>1119</v>
      </c>
      <c r="Q207" s="6">
        <v>1.05</v>
      </c>
      <c r="R207" s="6"/>
      <c r="S207" s="6" t="s">
        <v>29</v>
      </c>
      <c r="T207" s="14">
        <v>34.1</v>
      </c>
      <c r="U207" s="14">
        <v>2.2999999999999998</v>
      </c>
      <c r="V207" s="14">
        <v>29.7</v>
      </c>
      <c r="W207" s="6" t="str">
        <f t="shared" si="1"/>
        <v/>
      </c>
      <c r="X207" s="6" t="s">
        <v>521</v>
      </c>
      <c r="Y207" s="6" t="s">
        <v>521</v>
      </c>
      <c r="Z207" s="20"/>
      <c r="AA207" s="13"/>
      <c r="AB207" s="13"/>
    </row>
    <row r="208" spans="1:28" ht="16" x14ac:dyDescent="0.2">
      <c r="A208" s="49"/>
      <c r="B208" s="6">
        <v>206</v>
      </c>
      <c r="C208" s="6" t="s">
        <v>1120</v>
      </c>
      <c r="D208" s="6" t="s">
        <v>1120</v>
      </c>
      <c r="E208" s="6" t="s">
        <v>1121</v>
      </c>
      <c r="F208" s="6" t="s">
        <v>1122</v>
      </c>
      <c r="G208" s="6">
        <v>373.35599999999999</v>
      </c>
      <c r="H208" s="6">
        <v>95</v>
      </c>
      <c r="I208" s="6" t="s">
        <v>1123</v>
      </c>
      <c r="J208" s="6" t="s">
        <v>43</v>
      </c>
      <c r="K208" s="8"/>
      <c r="L208" s="8"/>
      <c r="M208" s="8"/>
      <c r="N208" s="6" t="s">
        <v>29</v>
      </c>
      <c r="O208" s="6" t="s">
        <v>29</v>
      </c>
      <c r="P208" s="6" t="s">
        <v>1124</v>
      </c>
      <c r="Q208" s="6">
        <v>1.1499999999999999</v>
      </c>
      <c r="R208" s="6"/>
      <c r="S208" s="6" t="s">
        <v>29</v>
      </c>
      <c r="T208" s="14">
        <v>24.5</v>
      </c>
      <c r="U208" s="14">
        <v>1.1000000000000001</v>
      </c>
      <c r="V208" s="14">
        <v>21.3</v>
      </c>
      <c r="W208" s="6" t="str">
        <f t="shared" si="1"/>
        <v/>
      </c>
      <c r="X208" s="6" t="s">
        <v>521</v>
      </c>
      <c r="Y208" s="6" t="s">
        <v>521</v>
      </c>
      <c r="Z208" s="20"/>
      <c r="AA208" s="13"/>
      <c r="AB208" s="13"/>
    </row>
    <row r="209" spans="1:28" ht="16" x14ac:dyDescent="0.2">
      <c r="A209" s="50"/>
      <c r="B209" s="2">
        <v>207</v>
      </c>
      <c r="C209" s="2" t="s">
        <v>1125</v>
      </c>
      <c r="D209" s="2" t="s">
        <v>1125</v>
      </c>
      <c r="E209" s="2" t="s">
        <v>1126</v>
      </c>
      <c r="F209" s="2" t="s">
        <v>1127</v>
      </c>
      <c r="G209" s="2">
        <v>343.35500000000002</v>
      </c>
      <c r="H209" s="2">
        <v>90</v>
      </c>
      <c r="I209" s="2" t="s">
        <v>1128</v>
      </c>
      <c r="J209" s="2" t="s">
        <v>38</v>
      </c>
      <c r="K209" s="16"/>
      <c r="L209" s="16"/>
      <c r="M209" s="16"/>
      <c r="N209" s="2"/>
      <c r="O209" s="2"/>
      <c r="P209" s="2"/>
      <c r="Q209" s="2"/>
      <c r="R209" s="2"/>
      <c r="S209" s="2"/>
      <c r="T209" s="16"/>
      <c r="U209" s="16"/>
      <c r="V209" s="16"/>
      <c r="W209" s="2" t="str">
        <f t="shared" si="1"/>
        <v/>
      </c>
      <c r="X209" s="2" t="s">
        <v>521</v>
      </c>
      <c r="Y209" s="2" t="s">
        <v>521</v>
      </c>
      <c r="Z209" s="21"/>
      <c r="AA209" s="5"/>
      <c r="AB209" s="5"/>
    </row>
    <row r="210" spans="1:28" ht="16" x14ac:dyDescent="0.2">
      <c r="A210" s="48" t="s">
        <v>1129</v>
      </c>
      <c r="B210" s="6">
        <v>208</v>
      </c>
      <c r="C210" s="6" t="s">
        <v>1130</v>
      </c>
      <c r="D210" s="6" t="s">
        <v>1131</v>
      </c>
      <c r="E210" s="6" t="s">
        <v>1132</v>
      </c>
      <c r="F210" s="6" t="s">
        <v>1133</v>
      </c>
      <c r="G210" s="6">
        <v>336.34100000000001</v>
      </c>
      <c r="H210" s="6">
        <v>100</v>
      </c>
      <c r="I210" s="6" t="s">
        <v>1134</v>
      </c>
      <c r="J210" s="6" t="s">
        <v>91</v>
      </c>
      <c r="K210" s="8"/>
      <c r="L210" s="8"/>
      <c r="M210" s="8"/>
      <c r="N210" s="6" t="s">
        <v>29</v>
      </c>
      <c r="O210" s="6" t="s">
        <v>29</v>
      </c>
      <c r="P210" s="6" t="s">
        <v>1135</v>
      </c>
      <c r="Q210" s="6">
        <v>1.1499999999999999</v>
      </c>
      <c r="R210" s="6"/>
      <c r="S210" s="6" t="s">
        <v>29</v>
      </c>
      <c r="T210" s="14">
        <v>7.2</v>
      </c>
      <c r="U210" s="14">
        <v>1.1000000000000001</v>
      </c>
      <c r="V210" s="14">
        <v>6.3</v>
      </c>
      <c r="W210" s="6" t="str">
        <f t="shared" si="1"/>
        <v/>
      </c>
      <c r="X210" s="6" t="s">
        <v>521</v>
      </c>
      <c r="Y210" s="6" t="s">
        <v>521</v>
      </c>
      <c r="Z210" s="19"/>
      <c r="AA210" s="11"/>
      <c r="AB210" s="11"/>
    </row>
    <row r="211" spans="1:28" ht="16" x14ac:dyDescent="0.2">
      <c r="A211" s="49"/>
      <c r="B211" s="6">
        <v>209</v>
      </c>
      <c r="C211" s="6" t="s">
        <v>1136</v>
      </c>
      <c r="D211" s="6" t="s">
        <v>1137</v>
      </c>
      <c r="E211" s="6" t="s">
        <v>1138</v>
      </c>
      <c r="F211" s="6" t="s">
        <v>1139</v>
      </c>
      <c r="G211" s="6">
        <v>334.32799999999997</v>
      </c>
      <c r="H211" s="6">
        <v>100</v>
      </c>
      <c r="I211" s="6" t="s">
        <v>1140</v>
      </c>
      <c r="J211" s="6" t="s">
        <v>38</v>
      </c>
      <c r="K211" s="8"/>
      <c r="L211" s="8"/>
      <c r="M211" s="8"/>
      <c r="N211" s="6" t="s">
        <v>29</v>
      </c>
      <c r="O211" s="6" t="s">
        <v>29</v>
      </c>
      <c r="P211" s="6" t="s">
        <v>1141</v>
      </c>
      <c r="Q211" s="6">
        <v>1.1499999999999999</v>
      </c>
      <c r="R211" s="6"/>
      <c r="S211" s="6" t="s">
        <v>29</v>
      </c>
      <c r="T211" s="14">
        <v>24.5</v>
      </c>
      <c r="U211" s="14">
        <v>1.1000000000000001</v>
      </c>
      <c r="V211" s="14">
        <v>21.3</v>
      </c>
      <c r="W211" s="6" t="str">
        <f t="shared" si="1"/>
        <v/>
      </c>
      <c r="X211" s="6" t="s">
        <v>521</v>
      </c>
      <c r="Y211" s="6" t="s">
        <v>521</v>
      </c>
      <c r="Z211" s="20"/>
      <c r="AA211" s="13"/>
      <c r="AB211" s="13"/>
    </row>
    <row r="212" spans="1:28" ht="16" x14ac:dyDescent="0.2">
      <c r="A212" s="49"/>
      <c r="B212" s="6">
        <v>210</v>
      </c>
      <c r="C212" s="6" t="s">
        <v>1142</v>
      </c>
      <c r="D212" s="6" t="s">
        <v>1143</v>
      </c>
      <c r="E212" s="6" t="s">
        <v>1144</v>
      </c>
      <c r="F212" s="6" t="s">
        <v>1145</v>
      </c>
      <c r="G212" s="6">
        <v>337.32900000000001</v>
      </c>
      <c r="H212" s="6">
        <v>100</v>
      </c>
      <c r="I212" s="6" t="s">
        <v>1146</v>
      </c>
      <c r="J212" s="6" t="s">
        <v>91</v>
      </c>
      <c r="K212" s="8"/>
      <c r="L212" s="8"/>
      <c r="M212" s="8"/>
      <c r="N212" s="6" t="s">
        <v>29</v>
      </c>
      <c r="O212" s="6" t="s">
        <v>29</v>
      </c>
      <c r="P212" s="6" t="s">
        <v>1147</v>
      </c>
      <c r="Q212" s="6">
        <v>1.1499999999999999</v>
      </c>
      <c r="R212" s="6"/>
      <c r="S212" s="6" t="s">
        <v>29</v>
      </c>
      <c r="T212" s="14">
        <v>5.4</v>
      </c>
      <c r="U212" s="14">
        <v>1.1000000000000001</v>
      </c>
      <c r="V212" s="14">
        <v>4.7</v>
      </c>
      <c r="W212" s="6" t="str">
        <f t="shared" si="1"/>
        <v/>
      </c>
      <c r="X212" s="6" t="s">
        <v>521</v>
      </c>
      <c r="Y212" s="6" t="s">
        <v>521</v>
      </c>
      <c r="Z212" s="20"/>
      <c r="AA212" s="13"/>
      <c r="AB212" s="13"/>
    </row>
    <row r="213" spans="1:28" ht="16" x14ac:dyDescent="0.2">
      <c r="A213" s="50"/>
      <c r="B213" s="2">
        <v>211</v>
      </c>
      <c r="C213" s="2" t="s">
        <v>1148</v>
      </c>
      <c r="D213" s="2" t="s">
        <v>1149</v>
      </c>
      <c r="E213" s="2" t="s">
        <v>1150</v>
      </c>
      <c r="F213" s="2" t="s">
        <v>1151</v>
      </c>
      <c r="G213" s="2">
        <v>350.32799999999997</v>
      </c>
      <c r="H213" s="2">
        <v>95</v>
      </c>
      <c r="I213" s="2" t="s">
        <v>1152</v>
      </c>
      <c r="J213" s="2" t="s">
        <v>38</v>
      </c>
      <c r="K213" s="16"/>
      <c r="L213" s="16"/>
      <c r="M213" s="16"/>
      <c r="N213" s="2" t="s">
        <v>29</v>
      </c>
      <c r="O213" s="2" t="s">
        <v>29</v>
      </c>
      <c r="P213" s="2" t="s">
        <v>1153</v>
      </c>
      <c r="Q213" s="2">
        <v>1.1499999999999999</v>
      </c>
      <c r="R213" s="2"/>
      <c r="S213" s="2" t="s">
        <v>29</v>
      </c>
      <c r="T213" s="3">
        <v>15.8</v>
      </c>
      <c r="U213" s="3">
        <v>1.1000000000000001</v>
      </c>
      <c r="V213" s="3">
        <v>13.7</v>
      </c>
      <c r="W213" s="2" t="str">
        <f t="shared" si="1"/>
        <v/>
      </c>
      <c r="X213" s="2" t="s">
        <v>521</v>
      </c>
      <c r="Y213" s="2" t="s">
        <v>521</v>
      </c>
      <c r="Z213" s="21"/>
      <c r="AA213" s="5"/>
      <c r="AB213" s="5"/>
    </row>
    <row r="214" spans="1:28" ht="16" x14ac:dyDescent="0.2">
      <c r="A214" s="48" t="s">
        <v>1154</v>
      </c>
      <c r="B214" s="6">
        <v>212</v>
      </c>
      <c r="C214" s="6" t="s">
        <v>1155</v>
      </c>
      <c r="D214" s="6" t="s">
        <v>1155</v>
      </c>
      <c r="E214" s="6" t="s">
        <v>1156</v>
      </c>
      <c r="F214" s="6" t="s">
        <v>1157</v>
      </c>
      <c r="G214" s="6">
        <v>225.249</v>
      </c>
      <c r="H214" s="6">
        <v>97</v>
      </c>
      <c r="I214" s="6" t="s">
        <v>1158</v>
      </c>
      <c r="J214" s="6" t="s">
        <v>38</v>
      </c>
      <c r="K214" s="8"/>
      <c r="L214" s="8"/>
      <c r="M214" s="8"/>
      <c r="N214" s="6" t="s">
        <v>29</v>
      </c>
      <c r="O214" s="6" t="s">
        <v>29</v>
      </c>
      <c r="P214" s="6" t="s">
        <v>686</v>
      </c>
      <c r="Q214" s="6">
        <v>1.05</v>
      </c>
      <c r="R214" s="6"/>
      <c r="S214" s="6"/>
      <c r="T214" s="8"/>
      <c r="U214" s="8"/>
      <c r="V214" s="8"/>
      <c r="W214" s="6" t="str">
        <f t="shared" si="1"/>
        <v/>
      </c>
      <c r="X214" s="6" t="s">
        <v>521</v>
      </c>
      <c r="Y214" s="6" t="s">
        <v>521</v>
      </c>
      <c r="Z214" s="19"/>
      <c r="AA214" s="11"/>
      <c r="AB214" s="11"/>
    </row>
    <row r="215" spans="1:28" ht="16" x14ac:dyDescent="0.2">
      <c r="A215" s="49"/>
      <c r="B215" s="6">
        <v>213</v>
      </c>
      <c r="C215" s="6" t="s">
        <v>1159</v>
      </c>
      <c r="D215" s="6" t="s">
        <v>1160</v>
      </c>
      <c r="E215" s="6" t="s">
        <v>1161</v>
      </c>
      <c r="F215" s="6" t="s">
        <v>1162</v>
      </c>
      <c r="G215" s="6">
        <v>232.28100000000001</v>
      </c>
      <c r="H215" s="6">
        <v>100</v>
      </c>
      <c r="I215" s="6" t="s">
        <v>1163</v>
      </c>
      <c r="J215" s="6" t="s">
        <v>85</v>
      </c>
      <c r="K215" s="8"/>
      <c r="L215" s="8"/>
      <c r="M215" s="8"/>
      <c r="N215" s="6" t="s">
        <v>29</v>
      </c>
      <c r="O215" s="6" t="s">
        <v>29</v>
      </c>
      <c r="P215" s="6" t="s">
        <v>1164</v>
      </c>
      <c r="Q215" s="6">
        <v>1.05</v>
      </c>
      <c r="R215" s="6"/>
      <c r="S215" s="6" t="s">
        <v>29</v>
      </c>
      <c r="T215" s="14">
        <v>131.6</v>
      </c>
      <c r="U215" s="14">
        <v>1.1000000000000001</v>
      </c>
      <c r="V215" s="14">
        <v>114.5</v>
      </c>
      <c r="W215" s="6" t="str">
        <f t="shared" si="1"/>
        <v/>
      </c>
      <c r="X215" s="6" t="s">
        <v>521</v>
      </c>
      <c r="Y215" s="6" t="s">
        <v>521</v>
      </c>
      <c r="Z215" s="20"/>
      <c r="AA215" s="13"/>
      <c r="AB215" s="13"/>
    </row>
    <row r="216" spans="1:28" ht="16" x14ac:dyDescent="0.2">
      <c r="A216" s="49"/>
      <c r="B216" s="6">
        <v>214</v>
      </c>
      <c r="C216" s="6" t="s">
        <v>1165</v>
      </c>
      <c r="D216" s="6" t="s">
        <v>1166</v>
      </c>
      <c r="E216" s="6" t="s">
        <v>1167</v>
      </c>
      <c r="F216" s="6" t="s">
        <v>1168</v>
      </c>
      <c r="G216" s="6">
        <v>218.255</v>
      </c>
      <c r="H216" s="6">
        <v>93</v>
      </c>
      <c r="I216" s="6" t="s">
        <v>1169</v>
      </c>
      <c r="J216" s="6" t="s">
        <v>438</v>
      </c>
      <c r="K216" s="8"/>
      <c r="L216" s="8"/>
      <c r="M216" s="8"/>
      <c r="N216" s="6" t="s">
        <v>29</v>
      </c>
      <c r="O216" s="6" t="s">
        <v>29</v>
      </c>
      <c r="P216" s="6" t="s">
        <v>1170</v>
      </c>
      <c r="Q216" s="6">
        <v>1.05</v>
      </c>
      <c r="R216" s="6"/>
      <c r="S216" s="6"/>
      <c r="T216" s="8"/>
      <c r="U216" s="8"/>
      <c r="V216" s="8"/>
      <c r="W216" s="6" t="str">
        <f t="shared" si="1"/>
        <v/>
      </c>
      <c r="X216" s="6" t="s">
        <v>521</v>
      </c>
      <c r="Y216" s="6" t="s">
        <v>521</v>
      </c>
      <c r="Z216" s="20"/>
      <c r="AA216" s="13"/>
      <c r="AB216" s="13"/>
    </row>
    <row r="217" spans="1:28" ht="16" x14ac:dyDescent="0.2">
      <c r="A217" s="49"/>
      <c r="B217" s="6">
        <v>215</v>
      </c>
      <c r="C217" s="6" t="s">
        <v>1171</v>
      </c>
      <c r="D217" s="6" t="s">
        <v>1172</v>
      </c>
      <c r="E217" s="6" t="s">
        <v>1173</v>
      </c>
      <c r="F217" s="6" t="s">
        <v>1174</v>
      </c>
      <c r="G217" s="6">
        <v>266.31900000000002</v>
      </c>
      <c r="H217" s="6">
        <v>97</v>
      </c>
      <c r="I217" s="6" t="s">
        <v>1175</v>
      </c>
      <c r="J217" s="6" t="s">
        <v>43</v>
      </c>
      <c r="K217" s="8"/>
      <c r="L217" s="8"/>
      <c r="M217" s="8"/>
      <c r="N217" s="6" t="s">
        <v>29</v>
      </c>
      <c r="O217" s="6" t="s">
        <v>29</v>
      </c>
      <c r="P217" s="6" t="s">
        <v>1176</v>
      </c>
      <c r="Q217" s="6">
        <v>1.05</v>
      </c>
      <c r="R217" s="6"/>
      <c r="S217" s="6"/>
      <c r="T217" s="8"/>
      <c r="U217" s="8"/>
      <c r="V217" s="8"/>
      <c r="W217" s="6" t="str">
        <f t="shared" si="1"/>
        <v/>
      </c>
      <c r="X217" s="6" t="s">
        <v>521</v>
      </c>
      <c r="Y217" s="6" t="s">
        <v>521</v>
      </c>
      <c r="Z217" s="20"/>
      <c r="AA217" s="13"/>
      <c r="AB217" s="13"/>
    </row>
    <row r="218" spans="1:28" ht="16" x14ac:dyDescent="0.2">
      <c r="A218" s="49"/>
      <c r="B218" s="6">
        <v>216</v>
      </c>
      <c r="C218" s="6" t="s">
        <v>1177</v>
      </c>
      <c r="D218" s="6" t="s">
        <v>1178</v>
      </c>
      <c r="E218" s="6" t="s">
        <v>1179</v>
      </c>
      <c r="F218" s="6" t="s">
        <v>1180</v>
      </c>
      <c r="G218" s="6">
        <v>280.346</v>
      </c>
      <c r="H218" s="6">
        <v>92</v>
      </c>
      <c r="I218" s="6" t="s">
        <v>1181</v>
      </c>
      <c r="J218" s="6" t="s">
        <v>43</v>
      </c>
      <c r="K218" s="8"/>
      <c r="L218" s="8"/>
      <c r="M218" s="8"/>
      <c r="N218" s="6"/>
      <c r="O218" s="6"/>
      <c r="P218" s="6"/>
      <c r="Q218" s="6"/>
      <c r="R218" s="6"/>
      <c r="S218" s="6"/>
      <c r="T218" s="8"/>
      <c r="U218" s="8"/>
      <c r="V218" s="8"/>
      <c r="W218" s="6" t="str">
        <f t="shared" si="1"/>
        <v/>
      </c>
      <c r="X218" s="6" t="s">
        <v>521</v>
      </c>
      <c r="Y218" s="6" t="s">
        <v>521</v>
      </c>
      <c r="Z218" s="20"/>
      <c r="AA218" s="13"/>
      <c r="AB218" s="13"/>
    </row>
    <row r="219" spans="1:28" ht="16" x14ac:dyDescent="0.2">
      <c r="A219" s="49"/>
      <c r="B219" s="6">
        <v>217</v>
      </c>
      <c r="C219" s="6" t="s">
        <v>1182</v>
      </c>
      <c r="D219" s="6" t="s">
        <v>1182</v>
      </c>
      <c r="E219" s="6" t="s">
        <v>1183</v>
      </c>
      <c r="F219" s="6" t="s">
        <v>1184</v>
      </c>
      <c r="G219" s="6">
        <v>252.292</v>
      </c>
      <c r="H219" s="6">
        <v>100</v>
      </c>
      <c r="I219" s="6" t="s">
        <v>1185</v>
      </c>
      <c r="J219" s="6" t="s">
        <v>38</v>
      </c>
      <c r="K219" s="8"/>
      <c r="L219" s="8"/>
      <c r="M219" s="8"/>
      <c r="N219" s="6" t="s">
        <v>29</v>
      </c>
      <c r="O219" s="6" t="s">
        <v>29</v>
      </c>
      <c r="P219" s="6" t="s">
        <v>1186</v>
      </c>
      <c r="Q219" s="6">
        <v>1.05</v>
      </c>
      <c r="R219" s="6"/>
      <c r="S219" s="6"/>
      <c r="T219" s="8"/>
      <c r="U219" s="8"/>
      <c r="V219" s="8"/>
      <c r="W219" s="6" t="str">
        <f t="shared" si="1"/>
        <v/>
      </c>
      <c r="X219" s="6" t="s">
        <v>521</v>
      </c>
      <c r="Y219" s="6" t="s">
        <v>521</v>
      </c>
      <c r="Z219" s="20"/>
      <c r="AA219" s="13"/>
      <c r="AB219" s="13"/>
    </row>
    <row r="220" spans="1:28" ht="16" x14ac:dyDescent="0.2">
      <c r="A220" s="49"/>
      <c r="B220" s="6">
        <v>218</v>
      </c>
      <c r="C220" s="6" t="s">
        <v>1187</v>
      </c>
      <c r="D220" s="6" t="s">
        <v>1188</v>
      </c>
      <c r="E220" s="6" t="s">
        <v>1189</v>
      </c>
      <c r="F220" s="6" t="s">
        <v>1190</v>
      </c>
      <c r="G220" s="6">
        <v>252.26300000000001</v>
      </c>
      <c r="H220" s="6">
        <v>98</v>
      </c>
      <c r="I220" s="6" t="s">
        <v>1191</v>
      </c>
      <c r="J220" s="6" t="s">
        <v>43</v>
      </c>
      <c r="K220" s="6"/>
      <c r="L220" s="6"/>
      <c r="M220" s="6"/>
      <c r="N220" s="6"/>
      <c r="O220" s="6"/>
      <c r="P220" s="6"/>
      <c r="Q220" s="6"/>
      <c r="R220" s="6"/>
      <c r="S220" s="6"/>
      <c r="T220" s="8"/>
      <c r="U220" s="8"/>
      <c r="V220" s="8"/>
      <c r="W220" s="6" t="str">
        <f t="shared" si="1"/>
        <v/>
      </c>
      <c r="X220" s="6" t="s">
        <v>521</v>
      </c>
      <c r="Y220" s="6" t="s">
        <v>521</v>
      </c>
      <c r="Z220" s="20"/>
      <c r="AA220" s="13"/>
      <c r="AB220" s="13"/>
    </row>
    <row r="221" spans="1:28" ht="16" x14ac:dyDescent="0.2">
      <c r="A221" s="49"/>
      <c r="B221" s="6">
        <v>219</v>
      </c>
      <c r="C221" s="6" t="s">
        <v>1192</v>
      </c>
      <c r="D221" s="6" t="s">
        <v>1192</v>
      </c>
      <c r="E221" s="6" t="s">
        <v>1193</v>
      </c>
      <c r="F221" s="6" t="s">
        <v>1194</v>
      </c>
      <c r="G221" s="6">
        <v>293.298</v>
      </c>
      <c r="H221" s="6">
        <v>96</v>
      </c>
      <c r="I221" s="6" t="s">
        <v>1195</v>
      </c>
      <c r="J221" s="6" t="s">
        <v>38</v>
      </c>
      <c r="K221" s="6"/>
      <c r="L221" s="6"/>
      <c r="M221" s="6"/>
      <c r="N221" s="6"/>
      <c r="O221" s="6"/>
      <c r="P221" s="6"/>
      <c r="Q221" s="6"/>
      <c r="R221" s="6"/>
      <c r="S221" s="6"/>
      <c r="T221" s="8"/>
      <c r="U221" s="8"/>
      <c r="V221" s="8"/>
      <c r="W221" s="6" t="str">
        <f t="shared" si="1"/>
        <v/>
      </c>
      <c r="X221" s="6" t="s">
        <v>521</v>
      </c>
      <c r="Y221" s="6" t="s">
        <v>521</v>
      </c>
      <c r="Z221" s="20"/>
      <c r="AA221" s="13"/>
      <c r="AB221" s="13"/>
    </row>
    <row r="222" spans="1:28" ht="16" x14ac:dyDescent="0.2">
      <c r="A222" s="49"/>
      <c r="B222" s="6">
        <v>220</v>
      </c>
      <c r="C222" s="6" t="s">
        <v>1196</v>
      </c>
      <c r="D222" s="6" t="s">
        <v>1197</v>
      </c>
      <c r="E222" s="6" t="s">
        <v>1198</v>
      </c>
      <c r="F222" s="6" t="s">
        <v>1199</v>
      </c>
      <c r="G222" s="6">
        <v>328.34</v>
      </c>
      <c r="H222" s="6">
        <v>100</v>
      </c>
      <c r="I222" s="6" t="s">
        <v>1200</v>
      </c>
      <c r="J222" s="6" t="s">
        <v>438</v>
      </c>
      <c r="K222" s="6"/>
      <c r="L222" s="6"/>
      <c r="M222" s="6"/>
      <c r="N222" s="6" t="s">
        <v>29</v>
      </c>
      <c r="O222" s="6" t="s">
        <v>29</v>
      </c>
      <c r="P222" s="6" t="s">
        <v>1201</v>
      </c>
      <c r="Q222" s="6">
        <v>1.05</v>
      </c>
      <c r="R222" s="6"/>
      <c r="S222" s="6" t="s">
        <v>29</v>
      </c>
      <c r="T222" s="14">
        <v>1.7</v>
      </c>
      <c r="U222" s="14">
        <v>1</v>
      </c>
      <c r="V222" s="14">
        <v>1.5</v>
      </c>
      <c r="W222" s="6" t="str">
        <f t="shared" si="1"/>
        <v/>
      </c>
      <c r="X222" s="6" t="s">
        <v>521</v>
      </c>
      <c r="Y222" s="6" t="s">
        <v>521</v>
      </c>
      <c r="Z222" s="20"/>
      <c r="AA222" s="13"/>
      <c r="AB222" s="13"/>
    </row>
    <row r="223" spans="1:28" ht="16" x14ac:dyDescent="0.2">
      <c r="A223" s="49"/>
      <c r="B223" s="6">
        <v>221</v>
      </c>
      <c r="C223" s="6" t="s">
        <v>1202</v>
      </c>
      <c r="D223" s="6" t="s">
        <v>1202</v>
      </c>
      <c r="E223" s="6" t="s">
        <v>1203</v>
      </c>
      <c r="F223" s="6" t="s">
        <v>1204</v>
      </c>
      <c r="G223" s="6">
        <v>285.27600000000001</v>
      </c>
      <c r="H223" s="6">
        <v>91</v>
      </c>
      <c r="I223" s="6" t="s">
        <v>1205</v>
      </c>
      <c r="J223" s="6" t="s">
        <v>38</v>
      </c>
      <c r="K223" s="6"/>
      <c r="L223" s="6"/>
      <c r="M223" s="6"/>
      <c r="N223" s="6" t="s">
        <v>29</v>
      </c>
      <c r="O223" s="6" t="s">
        <v>29</v>
      </c>
      <c r="P223" s="6" t="s">
        <v>1206</v>
      </c>
      <c r="Q223" s="6">
        <v>1.05</v>
      </c>
      <c r="R223" s="6"/>
      <c r="S223" s="6" t="s">
        <v>29</v>
      </c>
      <c r="T223" s="14">
        <v>1.7</v>
      </c>
      <c r="U223" s="14">
        <v>1.1000000000000001</v>
      </c>
      <c r="V223" s="14">
        <v>1.5</v>
      </c>
      <c r="W223" s="6" t="str">
        <f t="shared" si="1"/>
        <v/>
      </c>
      <c r="X223" s="6" t="s">
        <v>521</v>
      </c>
      <c r="Y223" s="6" t="s">
        <v>521</v>
      </c>
      <c r="Z223" s="20"/>
      <c r="AA223" s="13"/>
      <c r="AB223" s="13"/>
    </row>
    <row r="224" spans="1:28" ht="16" x14ac:dyDescent="0.2">
      <c r="A224" s="49"/>
      <c r="B224" s="6">
        <v>222</v>
      </c>
      <c r="C224" s="6" t="s">
        <v>1207</v>
      </c>
      <c r="D224" s="6" t="s">
        <v>1207</v>
      </c>
      <c r="E224" s="6" t="s">
        <v>1208</v>
      </c>
      <c r="F224" s="6" t="s">
        <v>1209</v>
      </c>
      <c r="G224" s="6">
        <v>393.29500000000002</v>
      </c>
      <c r="H224" s="6">
        <v>100</v>
      </c>
      <c r="I224" s="6" t="s">
        <v>1210</v>
      </c>
      <c r="J224" s="6" t="s">
        <v>38</v>
      </c>
      <c r="K224" s="6" t="s">
        <v>932</v>
      </c>
      <c r="L224" s="6">
        <v>1</v>
      </c>
      <c r="M224" s="6">
        <v>114.023</v>
      </c>
      <c r="N224" s="6"/>
      <c r="O224" s="6"/>
      <c r="P224" s="6"/>
      <c r="Q224" s="6"/>
      <c r="R224" s="6"/>
      <c r="S224" s="6"/>
      <c r="T224" s="8"/>
      <c r="U224" s="8"/>
      <c r="V224" s="8"/>
      <c r="W224" s="6" t="str">
        <f t="shared" si="1"/>
        <v/>
      </c>
      <c r="X224" s="6" t="s">
        <v>521</v>
      </c>
      <c r="Y224" s="6" t="s">
        <v>521</v>
      </c>
      <c r="Z224" s="20"/>
      <c r="AA224" s="13"/>
      <c r="AB224" s="13"/>
    </row>
    <row r="225" spans="1:28" ht="16" x14ac:dyDescent="0.2">
      <c r="A225" s="49"/>
      <c r="B225" s="6">
        <v>223</v>
      </c>
      <c r="C225" s="6" t="s">
        <v>1211</v>
      </c>
      <c r="D225" s="6" t="s">
        <v>1212</v>
      </c>
      <c r="E225" s="6" t="s">
        <v>1213</v>
      </c>
      <c r="F225" s="6" t="s">
        <v>1214</v>
      </c>
      <c r="G225" s="6">
        <v>284.28800000000001</v>
      </c>
      <c r="H225" s="6">
        <v>99</v>
      </c>
      <c r="I225" s="6" t="s">
        <v>1215</v>
      </c>
      <c r="J225" s="6" t="s">
        <v>43</v>
      </c>
      <c r="K225" s="6"/>
      <c r="L225" s="6"/>
      <c r="M225" s="6"/>
      <c r="N225" s="6" t="s">
        <v>29</v>
      </c>
      <c r="O225" s="6"/>
      <c r="P225" s="6"/>
      <c r="Q225" s="6"/>
      <c r="R225" s="6"/>
      <c r="S225" s="6" t="s">
        <v>29</v>
      </c>
      <c r="T225" s="14">
        <v>13.4</v>
      </c>
      <c r="U225" s="14">
        <v>1.3</v>
      </c>
      <c r="V225" s="14">
        <v>11.7</v>
      </c>
      <c r="W225" s="6" t="str">
        <f t="shared" si="1"/>
        <v/>
      </c>
      <c r="X225" s="6" t="s">
        <v>521</v>
      </c>
      <c r="Y225" s="6" t="s">
        <v>521</v>
      </c>
      <c r="Z225" s="20"/>
      <c r="AA225" s="13"/>
      <c r="AB225" s="13"/>
    </row>
    <row r="226" spans="1:28" ht="16" x14ac:dyDescent="0.2">
      <c r="A226" s="49"/>
      <c r="B226" s="6">
        <v>224</v>
      </c>
      <c r="C226" s="6" t="s">
        <v>1216</v>
      </c>
      <c r="D226" s="6" t="s">
        <v>1217</v>
      </c>
      <c r="E226" s="6" t="s">
        <v>1218</v>
      </c>
      <c r="F226" s="6" t="s">
        <v>1219</v>
      </c>
      <c r="G226" s="6">
        <v>286.30399999999997</v>
      </c>
      <c r="H226" s="6">
        <v>100</v>
      </c>
      <c r="I226" s="6" t="s">
        <v>1220</v>
      </c>
      <c r="J226" s="6" t="s">
        <v>438</v>
      </c>
      <c r="K226" s="8"/>
      <c r="L226" s="8"/>
      <c r="M226" s="8"/>
      <c r="N226" s="6" t="s">
        <v>29</v>
      </c>
      <c r="O226" s="6" t="s">
        <v>29</v>
      </c>
      <c r="P226" s="6" t="s">
        <v>1221</v>
      </c>
      <c r="Q226" s="6">
        <v>1.05</v>
      </c>
      <c r="R226" s="6"/>
      <c r="S226" s="6"/>
      <c r="T226" s="8"/>
      <c r="U226" s="8"/>
      <c r="V226" s="8"/>
      <c r="W226" s="6" t="str">
        <f t="shared" si="1"/>
        <v/>
      </c>
      <c r="X226" s="6" t="s">
        <v>521</v>
      </c>
      <c r="Y226" s="6" t="s">
        <v>521</v>
      </c>
      <c r="Z226" s="20"/>
      <c r="AA226" s="13"/>
      <c r="AB226" s="13"/>
    </row>
    <row r="227" spans="1:28" ht="16" x14ac:dyDescent="0.2">
      <c r="A227" s="49"/>
      <c r="B227" s="6">
        <v>225</v>
      </c>
      <c r="C227" s="6" t="s">
        <v>1222</v>
      </c>
      <c r="D227" s="6" t="s">
        <v>1223</v>
      </c>
      <c r="E227" s="6" t="s">
        <v>1224</v>
      </c>
      <c r="F227" s="6" t="s">
        <v>1225</v>
      </c>
      <c r="G227" s="6">
        <v>320.34199999999998</v>
      </c>
      <c r="H227" s="6">
        <v>99</v>
      </c>
      <c r="I227" s="6" t="s">
        <v>1226</v>
      </c>
      <c r="J227" s="6" t="s">
        <v>43</v>
      </c>
      <c r="K227" s="8"/>
      <c r="L227" s="8"/>
      <c r="M227" s="8"/>
      <c r="N227" s="6" t="s">
        <v>29</v>
      </c>
      <c r="O227" s="6" t="s">
        <v>29</v>
      </c>
      <c r="P227" s="6" t="s">
        <v>1227</v>
      </c>
      <c r="Q227" s="6">
        <v>1.05</v>
      </c>
      <c r="R227" s="6"/>
      <c r="S227" s="6"/>
      <c r="T227" s="8"/>
      <c r="U227" s="8"/>
      <c r="V227" s="8"/>
      <c r="W227" s="6" t="str">
        <f t="shared" si="1"/>
        <v/>
      </c>
      <c r="X227" s="6" t="s">
        <v>521</v>
      </c>
      <c r="Y227" s="6" t="s">
        <v>521</v>
      </c>
      <c r="Z227" s="20"/>
      <c r="AA227" s="13"/>
      <c r="AB227" s="13"/>
    </row>
    <row r="228" spans="1:28" ht="16" x14ac:dyDescent="0.2">
      <c r="A228" s="49"/>
      <c r="B228" s="6">
        <v>226</v>
      </c>
      <c r="C228" s="6" t="s">
        <v>1228</v>
      </c>
      <c r="D228" s="6" t="s">
        <v>1229</v>
      </c>
      <c r="E228" s="6" t="s">
        <v>1230</v>
      </c>
      <c r="F228" s="6" t="s">
        <v>1231</v>
      </c>
      <c r="G228" s="6">
        <v>320.31200000000001</v>
      </c>
      <c r="H228" s="6">
        <v>99</v>
      </c>
      <c r="I228" s="6" t="s">
        <v>1232</v>
      </c>
      <c r="J228" s="6" t="s">
        <v>43</v>
      </c>
      <c r="K228" s="8"/>
      <c r="L228" s="8"/>
      <c r="M228" s="8"/>
      <c r="N228" s="6"/>
      <c r="O228" s="6"/>
      <c r="P228" s="6"/>
      <c r="Q228" s="6"/>
      <c r="R228" s="6"/>
      <c r="S228" s="6"/>
      <c r="T228" s="8"/>
      <c r="U228" s="8"/>
      <c r="V228" s="8"/>
      <c r="W228" s="6" t="str">
        <f t="shared" si="1"/>
        <v/>
      </c>
      <c r="X228" s="6" t="s">
        <v>521</v>
      </c>
      <c r="Y228" s="6" t="s">
        <v>521</v>
      </c>
      <c r="Z228" s="20"/>
      <c r="AA228" s="13"/>
      <c r="AB228" s="13"/>
    </row>
    <row r="229" spans="1:28" ht="16" x14ac:dyDescent="0.2">
      <c r="A229" s="49"/>
      <c r="B229" s="6">
        <v>227</v>
      </c>
      <c r="C229" s="6" t="s">
        <v>1233</v>
      </c>
      <c r="D229" s="6" t="s">
        <v>1234</v>
      </c>
      <c r="E229" s="6" t="s">
        <v>1235</v>
      </c>
      <c r="F229" s="6" t="s">
        <v>984</v>
      </c>
      <c r="G229" s="6">
        <v>348.39499999999998</v>
      </c>
      <c r="H229" s="6">
        <v>100</v>
      </c>
      <c r="I229" s="6" t="s">
        <v>1236</v>
      </c>
      <c r="J229" s="6" t="s">
        <v>43</v>
      </c>
      <c r="K229" s="8"/>
      <c r="L229" s="8"/>
      <c r="M229" s="8"/>
      <c r="N229" s="6" t="s">
        <v>29</v>
      </c>
      <c r="O229" s="6" t="s">
        <v>29</v>
      </c>
      <c r="P229" s="6" t="s">
        <v>1237</v>
      </c>
      <c r="Q229" s="6">
        <v>1.05</v>
      </c>
      <c r="R229" s="6"/>
      <c r="S229" s="6"/>
      <c r="T229" s="8"/>
      <c r="U229" s="8"/>
      <c r="V229" s="8"/>
      <c r="W229" s="6" t="str">
        <f t="shared" si="1"/>
        <v/>
      </c>
      <c r="X229" s="6" t="s">
        <v>521</v>
      </c>
      <c r="Y229" s="6" t="s">
        <v>521</v>
      </c>
      <c r="Z229" s="20"/>
      <c r="AA229" s="13"/>
      <c r="AB229" s="13"/>
    </row>
    <row r="230" spans="1:28" ht="16" x14ac:dyDescent="0.2">
      <c r="A230" s="49"/>
      <c r="B230" s="6">
        <v>228</v>
      </c>
      <c r="C230" s="6" t="s">
        <v>1238</v>
      </c>
      <c r="D230" s="6" t="s">
        <v>1238</v>
      </c>
      <c r="E230" s="6" t="s">
        <v>1239</v>
      </c>
      <c r="F230" s="6" t="s">
        <v>1240</v>
      </c>
      <c r="G230" s="6">
        <v>307.32400000000001</v>
      </c>
      <c r="H230" s="6">
        <v>91</v>
      </c>
      <c r="I230" s="6" t="s">
        <v>1241</v>
      </c>
      <c r="J230" s="6" t="s">
        <v>38</v>
      </c>
      <c r="K230" s="8"/>
      <c r="L230" s="8"/>
      <c r="M230" s="8"/>
      <c r="N230" s="6" t="s">
        <v>29</v>
      </c>
      <c r="O230" s="6" t="s">
        <v>29</v>
      </c>
      <c r="P230" s="6" t="s">
        <v>1242</v>
      </c>
      <c r="Q230" s="6">
        <v>1.05</v>
      </c>
      <c r="R230" s="6"/>
      <c r="S230" s="6"/>
      <c r="T230" s="8"/>
      <c r="U230" s="8"/>
      <c r="V230" s="8"/>
      <c r="W230" s="6" t="str">
        <f t="shared" si="1"/>
        <v/>
      </c>
      <c r="X230" s="6" t="s">
        <v>521</v>
      </c>
      <c r="Y230" s="6" t="s">
        <v>521</v>
      </c>
      <c r="Z230" s="20"/>
      <c r="AA230" s="13"/>
      <c r="AB230" s="13"/>
    </row>
    <row r="231" spans="1:28" ht="16" x14ac:dyDescent="0.2">
      <c r="A231" s="49"/>
      <c r="B231" s="6">
        <v>229</v>
      </c>
      <c r="C231" s="6" t="s">
        <v>1243</v>
      </c>
      <c r="D231" s="6" t="s">
        <v>1244</v>
      </c>
      <c r="E231" s="6" t="s">
        <v>1245</v>
      </c>
      <c r="F231" s="6" t="s">
        <v>1199</v>
      </c>
      <c r="G231" s="6">
        <v>328.34</v>
      </c>
      <c r="H231" s="6">
        <v>96</v>
      </c>
      <c r="I231" s="6" t="s">
        <v>1246</v>
      </c>
      <c r="J231" s="6" t="s">
        <v>438</v>
      </c>
      <c r="K231" s="8"/>
      <c r="L231" s="8"/>
      <c r="M231" s="8"/>
      <c r="N231" s="6" t="s">
        <v>29</v>
      </c>
      <c r="O231" s="6" t="s">
        <v>29</v>
      </c>
      <c r="P231" s="6" t="s">
        <v>1247</v>
      </c>
      <c r="Q231" s="6">
        <v>1.05</v>
      </c>
      <c r="R231" s="6"/>
      <c r="S231" s="6"/>
      <c r="T231" s="8"/>
      <c r="U231" s="8"/>
      <c r="V231" s="8"/>
      <c r="W231" s="6" t="str">
        <f t="shared" si="1"/>
        <v/>
      </c>
      <c r="X231" s="6" t="s">
        <v>521</v>
      </c>
      <c r="Y231" s="6" t="s">
        <v>521</v>
      </c>
      <c r="Z231" s="20"/>
      <c r="AA231" s="13"/>
      <c r="AB231" s="13"/>
    </row>
    <row r="232" spans="1:28" ht="16" x14ac:dyDescent="0.2">
      <c r="A232" s="49"/>
      <c r="B232" s="6">
        <v>230</v>
      </c>
      <c r="C232" s="6" t="s">
        <v>1248</v>
      </c>
      <c r="D232" s="6" t="s">
        <v>1248</v>
      </c>
      <c r="E232" s="6" t="s">
        <v>1249</v>
      </c>
      <c r="F232" s="6" t="s">
        <v>1250</v>
      </c>
      <c r="G232" s="6">
        <v>295.27100000000002</v>
      </c>
      <c r="H232" s="6">
        <v>95</v>
      </c>
      <c r="I232" s="6" t="s">
        <v>1251</v>
      </c>
      <c r="J232" s="6" t="s">
        <v>38</v>
      </c>
      <c r="K232" s="8"/>
      <c r="L232" s="8"/>
      <c r="M232" s="8"/>
      <c r="N232" s="6" t="s">
        <v>29</v>
      </c>
      <c r="O232" s="6" t="s">
        <v>29</v>
      </c>
      <c r="P232" s="6" t="s">
        <v>1252</v>
      </c>
      <c r="Q232" s="6">
        <v>1.05</v>
      </c>
      <c r="R232" s="6"/>
      <c r="S232" s="6"/>
      <c r="T232" s="8"/>
      <c r="U232" s="8"/>
      <c r="V232" s="8"/>
      <c r="W232" s="6" t="str">
        <f t="shared" si="1"/>
        <v/>
      </c>
      <c r="X232" s="6" t="s">
        <v>521</v>
      </c>
      <c r="Y232" s="6" t="s">
        <v>521</v>
      </c>
      <c r="Z232" s="20"/>
      <c r="AA232" s="13"/>
      <c r="AB232" s="13"/>
    </row>
    <row r="233" spans="1:28" ht="17" thickBot="1" x14ac:dyDescent="0.25">
      <c r="A233" s="50"/>
      <c r="B233" s="2">
        <v>231</v>
      </c>
      <c r="C233" s="2" t="s">
        <v>1253</v>
      </c>
      <c r="D233" s="2" t="s">
        <v>1253</v>
      </c>
      <c r="E233" s="2" t="s">
        <v>1254</v>
      </c>
      <c r="F233" s="2" t="s">
        <v>1225</v>
      </c>
      <c r="G233" s="2">
        <v>320.34199999999998</v>
      </c>
      <c r="H233" s="2">
        <v>100</v>
      </c>
      <c r="I233" s="2" t="s">
        <v>1255</v>
      </c>
      <c r="J233" s="2" t="s">
        <v>38</v>
      </c>
      <c r="K233" s="16"/>
      <c r="L233" s="16"/>
      <c r="M233" s="16"/>
      <c r="N233" s="2" t="s">
        <v>29</v>
      </c>
      <c r="O233" s="2" t="s">
        <v>29</v>
      </c>
      <c r="P233" s="2" t="s">
        <v>1256</v>
      </c>
      <c r="Q233" s="2">
        <v>1.05</v>
      </c>
      <c r="R233" s="2"/>
      <c r="S233" s="2"/>
      <c r="T233" s="16"/>
      <c r="U233" s="16"/>
      <c r="V233" s="16"/>
      <c r="W233" s="2" t="str">
        <f t="shared" si="1"/>
        <v/>
      </c>
      <c r="X233" s="2" t="s">
        <v>521</v>
      </c>
      <c r="Y233" s="2" t="s">
        <v>521</v>
      </c>
      <c r="Z233" s="21"/>
      <c r="AA233" s="5"/>
      <c r="AB233" s="5"/>
    </row>
    <row r="234" spans="1:28" ht="17" thickTop="1" x14ac:dyDescent="0.2">
      <c r="A234" s="61" t="s">
        <v>1257</v>
      </c>
      <c r="B234" s="6">
        <v>232</v>
      </c>
      <c r="C234" s="6" t="s">
        <v>1258</v>
      </c>
      <c r="D234" s="6" t="s">
        <v>1259</v>
      </c>
      <c r="E234" s="6" t="s">
        <v>1260</v>
      </c>
      <c r="F234" s="6" t="s">
        <v>1261</v>
      </c>
      <c r="G234" s="6">
        <v>316.31099999999998</v>
      </c>
      <c r="H234" s="6">
        <v>100</v>
      </c>
      <c r="I234" s="6" t="s">
        <v>1262</v>
      </c>
      <c r="J234" s="6" t="s">
        <v>38</v>
      </c>
      <c r="K234" s="8"/>
      <c r="L234" s="8"/>
      <c r="M234" s="8"/>
      <c r="N234" s="6" t="s">
        <v>29</v>
      </c>
      <c r="O234" s="6" t="s">
        <v>29</v>
      </c>
      <c r="P234" s="6" t="s">
        <v>1263</v>
      </c>
      <c r="Q234" s="6">
        <v>1.1499999999999999</v>
      </c>
      <c r="R234" s="6">
        <v>8.36</v>
      </c>
      <c r="S234" s="6"/>
      <c r="T234" s="8"/>
      <c r="U234" s="8"/>
      <c r="V234" s="8"/>
      <c r="W234" s="6" t="str">
        <f t="shared" si="1"/>
        <v/>
      </c>
      <c r="X234" s="6" t="s">
        <v>521</v>
      </c>
      <c r="Y234" s="6" t="s">
        <v>521</v>
      </c>
      <c r="Z234" s="19"/>
      <c r="AA234" s="28">
        <v>-37.1</v>
      </c>
      <c r="AB234" s="28">
        <v>-41.28</v>
      </c>
    </row>
    <row r="235" spans="1:28" ht="16" x14ac:dyDescent="0.2">
      <c r="A235" s="49"/>
      <c r="B235" s="6">
        <v>233</v>
      </c>
      <c r="C235" s="6" t="s">
        <v>1264</v>
      </c>
      <c r="D235" s="6" t="s">
        <v>1265</v>
      </c>
      <c r="E235" s="6" t="s">
        <v>1266</v>
      </c>
      <c r="F235" s="6" t="s">
        <v>1267</v>
      </c>
      <c r="G235" s="6">
        <v>344.79199999999997</v>
      </c>
      <c r="H235" s="6">
        <v>100</v>
      </c>
      <c r="I235" s="6" t="s">
        <v>1268</v>
      </c>
      <c r="J235" s="6" t="s">
        <v>85</v>
      </c>
      <c r="K235" s="8"/>
      <c r="L235" s="8"/>
      <c r="M235" s="8"/>
      <c r="N235" s="6"/>
      <c r="O235" s="6"/>
      <c r="P235" s="6"/>
      <c r="Q235" s="6"/>
      <c r="R235" s="6"/>
      <c r="S235" s="6"/>
      <c r="T235" s="8"/>
      <c r="U235" s="8"/>
      <c r="V235" s="8"/>
      <c r="W235" s="6" t="str">
        <f t="shared" si="1"/>
        <v/>
      </c>
      <c r="X235" s="6" t="s">
        <v>521</v>
      </c>
      <c r="Y235" s="6" t="s">
        <v>521</v>
      </c>
      <c r="Z235" s="20"/>
      <c r="AA235" s="29">
        <v>-26.67</v>
      </c>
      <c r="AB235" s="29">
        <v>-41.08</v>
      </c>
    </row>
    <row r="236" spans="1:28" ht="16" x14ac:dyDescent="0.2">
      <c r="A236" s="49"/>
      <c r="B236" s="6">
        <v>234</v>
      </c>
      <c r="C236" s="6" t="s">
        <v>1269</v>
      </c>
      <c r="D236" s="6" t="s">
        <v>1270</v>
      </c>
      <c r="E236" s="6" t="s">
        <v>1271</v>
      </c>
      <c r="F236" s="6" t="s">
        <v>1272</v>
      </c>
      <c r="G236" s="6">
        <v>379.84100000000001</v>
      </c>
      <c r="H236" s="6">
        <v>100</v>
      </c>
      <c r="I236" s="6" t="s">
        <v>1273</v>
      </c>
      <c r="J236" s="6" t="s">
        <v>91</v>
      </c>
      <c r="K236" s="8"/>
      <c r="L236" s="8"/>
      <c r="M236" s="8"/>
      <c r="N236" s="6"/>
      <c r="O236" s="6"/>
      <c r="P236" s="6"/>
      <c r="Q236" s="6"/>
      <c r="R236" s="6"/>
      <c r="S236" s="6"/>
      <c r="T236" s="8"/>
      <c r="U236" s="8"/>
      <c r="V236" s="8"/>
      <c r="W236" s="6" t="str">
        <f t="shared" si="1"/>
        <v/>
      </c>
      <c r="X236" s="6" t="s">
        <v>521</v>
      </c>
      <c r="Y236" s="6" t="s">
        <v>521</v>
      </c>
      <c r="Z236" s="20"/>
      <c r="AA236" s="29">
        <v>-30.75</v>
      </c>
      <c r="AB236" s="29">
        <v>-46.47</v>
      </c>
    </row>
    <row r="237" spans="1:28" ht="16" x14ac:dyDescent="0.2">
      <c r="A237" s="49"/>
      <c r="B237" s="6">
        <v>235</v>
      </c>
      <c r="C237" s="6" t="s">
        <v>1274</v>
      </c>
      <c r="D237" s="6" t="s">
        <v>1275</v>
      </c>
      <c r="E237" s="6" t="s">
        <v>1276</v>
      </c>
      <c r="F237" s="6" t="s">
        <v>1277</v>
      </c>
      <c r="G237" s="6">
        <v>319.31900000000002</v>
      </c>
      <c r="H237" s="6">
        <v>97</v>
      </c>
      <c r="I237" s="6" t="s">
        <v>1278</v>
      </c>
      <c r="J237" s="6" t="s">
        <v>43</v>
      </c>
      <c r="K237" s="8"/>
      <c r="L237" s="8"/>
      <c r="M237" s="8"/>
      <c r="N237" s="6"/>
      <c r="O237" s="6"/>
      <c r="P237" s="6"/>
      <c r="Q237" s="6"/>
      <c r="R237" s="6"/>
      <c r="S237" s="6"/>
      <c r="T237" s="8"/>
      <c r="U237" s="8"/>
      <c r="V237" s="8"/>
      <c r="W237" s="6" t="str">
        <f t="shared" si="1"/>
        <v/>
      </c>
      <c r="X237" s="6" t="s">
        <v>521</v>
      </c>
      <c r="Y237" s="6" t="s">
        <v>521</v>
      </c>
      <c r="Z237" s="20"/>
      <c r="AA237" s="29">
        <v>-26.24</v>
      </c>
      <c r="AB237" s="29">
        <v>-55.54</v>
      </c>
    </row>
    <row r="238" spans="1:28" ht="16" x14ac:dyDescent="0.2">
      <c r="A238" s="49"/>
      <c r="B238" s="6">
        <v>236</v>
      </c>
      <c r="C238" s="6" t="s">
        <v>1279</v>
      </c>
      <c r="D238" s="6" t="s">
        <v>1280</v>
      </c>
      <c r="E238" s="6" t="s">
        <v>1281</v>
      </c>
      <c r="F238" s="6" t="s">
        <v>1282</v>
      </c>
      <c r="G238" s="6">
        <v>412.233</v>
      </c>
      <c r="H238" s="6">
        <v>100</v>
      </c>
      <c r="I238" s="6" t="s">
        <v>1283</v>
      </c>
      <c r="J238" s="6" t="s">
        <v>38</v>
      </c>
      <c r="K238" s="8"/>
      <c r="L238" s="8"/>
      <c r="M238" s="8"/>
      <c r="N238" s="6" t="s">
        <v>29</v>
      </c>
      <c r="O238" s="6" t="s">
        <v>29</v>
      </c>
      <c r="P238" s="6" t="s">
        <v>1284</v>
      </c>
      <c r="Q238" s="6">
        <v>1.1499999999999999</v>
      </c>
      <c r="R238" s="6">
        <v>3.83</v>
      </c>
      <c r="S238" s="6"/>
      <c r="T238" s="8"/>
      <c r="U238" s="8"/>
      <c r="V238" s="8"/>
      <c r="W238" s="6" t="str">
        <f t="shared" si="1"/>
        <v/>
      </c>
      <c r="X238" s="6" t="s">
        <v>521</v>
      </c>
      <c r="Y238" s="6" t="s">
        <v>521</v>
      </c>
      <c r="Z238" s="20"/>
      <c r="AA238" s="29">
        <v>-27.64</v>
      </c>
      <c r="AB238" s="29">
        <v>-37.119999999999997</v>
      </c>
    </row>
    <row r="239" spans="1:28" ht="16" x14ac:dyDescent="0.2">
      <c r="A239" s="49"/>
      <c r="B239" s="6">
        <v>237</v>
      </c>
      <c r="C239" s="6" t="s">
        <v>1285</v>
      </c>
      <c r="D239" s="6" t="s">
        <v>1286</v>
      </c>
      <c r="E239" s="6" t="s">
        <v>1287</v>
      </c>
      <c r="F239" s="6" t="s">
        <v>1282</v>
      </c>
      <c r="G239" s="6">
        <v>412.233</v>
      </c>
      <c r="H239" s="6">
        <v>100</v>
      </c>
      <c r="I239" s="6" t="s">
        <v>1288</v>
      </c>
      <c r="J239" s="6" t="s">
        <v>38</v>
      </c>
      <c r="K239" s="8"/>
      <c r="L239" s="8"/>
      <c r="M239" s="8"/>
      <c r="N239" s="6"/>
      <c r="O239" s="6"/>
      <c r="P239" s="6"/>
      <c r="Q239" s="6"/>
      <c r="R239" s="6"/>
      <c r="S239" s="6"/>
      <c r="T239" s="8"/>
      <c r="U239" s="8"/>
      <c r="V239" s="8"/>
      <c r="W239" s="6" t="str">
        <f t="shared" si="1"/>
        <v/>
      </c>
      <c r="X239" s="6" t="s">
        <v>521</v>
      </c>
      <c r="Y239" s="6" t="s">
        <v>521</v>
      </c>
      <c r="Z239" s="20"/>
      <c r="AA239" s="29">
        <v>-34.159999999999997</v>
      </c>
      <c r="AB239" s="29">
        <v>-38.64</v>
      </c>
    </row>
    <row r="240" spans="1:28" ht="16" x14ac:dyDescent="0.2">
      <c r="A240" s="49"/>
      <c r="B240" s="6">
        <v>238</v>
      </c>
      <c r="C240" s="6" t="s">
        <v>1289</v>
      </c>
      <c r="D240" s="6" t="s">
        <v>1290</v>
      </c>
      <c r="E240" s="6" t="s">
        <v>1291</v>
      </c>
      <c r="F240" s="6" t="s">
        <v>1292</v>
      </c>
      <c r="G240" s="6">
        <v>350.41500000000002</v>
      </c>
      <c r="H240" s="6">
        <v>100</v>
      </c>
      <c r="I240" s="6" t="s">
        <v>1293</v>
      </c>
      <c r="J240" s="6" t="s">
        <v>38</v>
      </c>
      <c r="K240" s="6"/>
      <c r="L240" s="6"/>
      <c r="M240" s="6"/>
      <c r="N240" s="6" t="s">
        <v>29</v>
      </c>
      <c r="O240" s="6" t="s">
        <v>29</v>
      </c>
      <c r="P240" s="6" t="s">
        <v>1294</v>
      </c>
      <c r="Q240" s="6">
        <v>1.1499999999999999</v>
      </c>
      <c r="R240" s="6">
        <v>1.72</v>
      </c>
      <c r="S240" s="6"/>
      <c r="T240" s="8"/>
      <c r="U240" s="8"/>
      <c r="V240" s="8"/>
      <c r="W240" s="6" t="str">
        <f t="shared" si="1"/>
        <v/>
      </c>
      <c r="X240" s="6" t="s">
        <v>521</v>
      </c>
      <c r="Y240" s="6" t="s">
        <v>521</v>
      </c>
      <c r="Z240" s="20"/>
      <c r="AA240" s="29">
        <v>-37.04</v>
      </c>
      <c r="AB240" s="29">
        <v>-42.25</v>
      </c>
    </row>
    <row r="241" spans="1:28" ht="16" x14ac:dyDescent="0.2">
      <c r="A241" s="49"/>
      <c r="B241" s="6">
        <v>239</v>
      </c>
      <c r="C241" s="6" t="s">
        <v>1295</v>
      </c>
      <c r="D241" s="6" t="s">
        <v>1296</v>
      </c>
      <c r="E241" s="6" t="s">
        <v>1297</v>
      </c>
      <c r="F241" s="6" t="s">
        <v>1292</v>
      </c>
      <c r="G241" s="6">
        <v>350.41500000000002</v>
      </c>
      <c r="H241" s="6">
        <v>100</v>
      </c>
      <c r="I241" s="6" t="s">
        <v>1298</v>
      </c>
      <c r="J241" s="6" t="s">
        <v>38</v>
      </c>
      <c r="K241" s="6"/>
      <c r="L241" s="6"/>
      <c r="M241" s="6"/>
      <c r="N241" s="6" t="s">
        <v>29</v>
      </c>
      <c r="O241" s="6" t="s">
        <v>29</v>
      </c>
      <c r="P241" s="6" t="s">
        <v>1299</v>
      </c>
      <c r="Q241" s="6">
        <v>1.1499999999999999</v>
      </c>
      <c r="R241" s="6">
        <v>1.67</v>
      </c>
      <c r="S241" s="6" t="s">
        <v>29</v>
      </c>
      <c r="T241" s="14">
        <v>143</v>
      </c>
      <c r="U241" s="14">
        <v>1.1000000000000001</v>
      </c>
      <c r="V241" s="14">
        <v>124</v>
      </c>
      <c r="W241" s="6" t="str">
        <f t="shared" si="1"/>
        <v/>
      </c>
      <c r="X241" s="6" t="s">
        <v>521</v>
      </c>
      <c r="Y241" s="6" t="s">
        <v>521</v>
      </c>
      <c r="Z241" s="20"/>
      <c r="AA241" s="29">
        <v>-34.33</v>
      </c>
      <c r="AB241" s="29">
        <v>-43.92</v>
      </c>
    </row>
    <row r="242" spans="1:28" ht="16" x14ac:dyDescent="0.2">
      <c r="A242" s="49"/>
      <c r="B242" s="6">
        <v>240</v>
      </c>
      <c r="C242" s="6" t="s">
        <v>1300</v>
      </c>
      <c r="D242" s="6" t="s">
        <v>1301</v>
      </c>
      <c r="E242" s="6" t="s">
        <v>1302</v>
      </c>
      <c r="F242" s="6" t="s">
        <v>1303</v>
      </c>
      <c r="G242" s="6">
        <v>300.30900000000003</v>
      </c>
      <c r="H242" s="6">
        <v>100</v>
      </c>
      <c r="I242" s="6" t="s">
        <v>1304</v>
      </c>
      <c r="J242" s="6" t="s">
        <v>91</v>
      </c>
      <c r="K242" s="6"/>
      <c r="L242" s="6"/>
      <c r="M242" s="6"/>
      <c r="N242" s="6"/>
      <c r="O242" s="6"/>
      <c r="P242" s="6"/>
      <c r="Q242" s="6"/>
      <c r="R242" s="6"/>
      <c r="S242" s="6"/>
      <c r="T242" s="8"/>
      <c r="U242" s="8"/>
      <c r="V242" s="8"/>
      <c r="W242" s="6" t="str">
        <f t="shared" si="1"/>
        <v/>
      </c>
      <c r="X242" s="6" t="s">
        <v>521</v>
      </c>
      <c r="Y242" s="6" t="s">
        <v>521</v>
      </c>
      <c r="Z242" s="20"/>
      <c r="AA242" s="29">
        <v>-31.43</v>
      </c>
      <c r="AB242" s="29">
        <v>-43.02</v>
      </c>
    </row>
    <row r="243" spans="1:28" ht="16" x14ac:dyDescent="0.2">
      <c r="A243" s="49"/>
      <c r="B243" s="6">
        <v>241</v>
      </c>
      <c r="C243" s="6" t="s">
        <v>1305</v>
      </c>
      <c r="D243" s="6" t="s">
        <v>1306</v>
      </c>
      <c r="E243" s="6" t="s">
        <v>1307</v>
      </c>
      <c r="F243" s="6" t="s">
        <v>1308</v>
      </c>
      <c r="G243" s="6">
        <v>327.35700000000003</v>
      </c>
      <c r="H243" s="6">
        <v>100</v>
      </c>
      <c r="I243" s="6" t="s">
        <v>1309</v>
      </c>
      <c r="J243" s="6" t="s">
        <v>38</v>
      </c>
      <c r="K243" s="6"/>
      <c r="L243" s="6"/>
      <c r="M243" s="6"/>
      <c r="N243" s="6" t="s">
        <v>29</v>
      </c>
      <c r="O243" s="6" t="s">
        <v>29</v>
      </c>
      <c r="P243" s="6" t="s">
        <v>1310</v>
      </c>
      <c r="Q243" s="6">
        <v>1.1499999999999999</v>
      </c>
      <c r="R243" s="6">
        <v>9.68</v>
      </c>
      <c r="S243" s="6"/>
      <c r="T243" s="8"/>
      <c r="U243" s="8"/>
      <c r="V243" s="8"/>
      <c r="W243" s="6" t="str">
        <f t="shared" si="1"/>
        <v/>
      </c>
      <c r="X243" s="6" t="s">
        <v>521</v>
      </c>
      <c r="Y243" s="6" t="s">
        <v>521</v>
      </c>
      <c r="Z243" s="20"/>
      <c r="AA243" s="29">
        <v>-39</v>
      </c>
      <c r="AB243" s="29">
        <v>-46.02</v>
      </c>
    </row>
    <row r="244" spans="1:28" ht="16" x14ac:dyDescent="0.2">
      <c r="A244" s="49"/>
      <c r="B244" s="6">
        <v>242</v>
      </c>
      <c r="C244" s="6" t="s">
        <v>1311</v>
      </c>
      <c r="D244" s="6" t="s">
        <v>1312</v>
      </c>
      <c r="E244" s="6" t="s">
        <v>1313</v>
      </c>
      <c r="F244" s="6" t="s">
        <v>1314</v>
      </c>
      <c r="G244" s="6">
        <v>307.303</v>
      </c>
      <c r="H244" s="6">
        <v>100</v>
      </c>
      <c r="I244" s="6" t="s">
        <v>1315</v>
      </c>
      <c r="J244" s="6" t="s">
        <v>38</v>
      </c>
      <c r="K244" s="6" t="s">
        <v>932</v>
      </c>
      <c r="L244" s="6">
        <v>1</v>
      </c>
      <c r="M244" s="6">
        <v>114.023</v>
      </c>
      <c r="N244" s="6"/>
      <c r="O244" s="6"/>
      <c r="P244" s="6"/>
      <c r="Q244" s="6"/>
      <c r="R244" s="6"/>
      <c r="S244" s="6"/>
      <c r="T244" s="8"/>
      <c r="U244" s="8"/>
      <c r="V244" s="8"/>
      <c r="W244" s="6" t="str">
        <f t="shared" si="1"/>
        <v/>
      </c>
      <c r="X244" s="6" t="s">
        <v>521</v>
      </c>
      <c r="Y244" s="6" t="s">
        <v>521</v>
      </c>
      <c r="Z244" s="20"/>
      <c r="AA244" s="29">
        <v>-28.65</v>
      </c>
      <c r="AB244" s="29">
        <v>-41.06</v>
      </c>
    </row>
    <row r="245" spans="1:28" ht="16" x14ac:dyDescent="0.2">
      <c r="A245" s="49"/>
      <c r="B245" s="6">
        <v>243</v>
      </c>
      <c r="C245" s="6" t="s">
        <v>1316</v>
      </c>
      <c r="D245" s="6" t="s">
        <v>1317</v>
      </c>
      <c r="E245" s="6" t="s">
        <v>1318</v>
      </c>
      <c r="F245" s="6" t="s">
        <v>1319</v>
      </c>
      <c r="G245" s="6">
        <v>406.20499999999998</v>
      </c>
      <c r="H245" s="6">
        <v>100</v>
      </c>
      <c r="I245" s="6" t="s">
        <v>1320</v>
      </c>
      <c r="J245" s="6" t="s">
        <v>43</v>
      </c>
      <c r="K245" s="6"/>
      <c r="L245" s="6"/>
      <c r="M245" s="6"/>
      <c r="N245" s="6" t="s">
        <v>29</v>
      </c>
      <c r="O245" s="6" t="s">
        <v>29</v>
      </c>
      <c r="P245" s="6" t="s">
        <v>1321</v>
      </c>
      <c r="Q245" s="6">
        <v>1.1499999999999999</v>
      </c>
      <c r="R245" s="6">
        <v>4.0599999999999996</v>
      </c>
      <c r="S245" s="6" t="s">
        <v>29</v>
      </c>
      <c r="T245" s="30">
        <v>26.2</v>
      </c>
      <c r="U245" s="31">
        <v>1.1000000000000001</v>
      </c>
      <c r="V245" s="14">
        <v>22.8</v>
      </c>
      <c r="W245" s="6" t="str">
        <f t="shared" si="1"/>
        <v/>
      </c>
      <c r="X245" s="6" t="s">
        <v>521</v>
      </c>
      <c r="Y245" s="6" t="s">
        <v>521</v>
      </c>
      <c r="Z245" s="20"/>
      <c r="AA245" s="29">
        <v>-39.700000000000003</v>
      </c>
      <c r="AB245" s="29">
        <v>-42.46</v>
      </c>
    </row>
    <row r="246" spans="1:28" ht="16" x14ac:dyDescent="0.2">
      <c r="A246" s="49"/>
      <c r="B246" s="6">
        <v>244</v>
      </c>
      <c r="C246" s="6" t="s">
        <v>1322</v>
      </c>
      <c r="D246" s="6" t="s">
        <v>1323</v>
      </c>
      <c r="E246" s="6" t="s">
        <v>1324</v>
      </c>
      <c r="F246" s="6" t="s">
        <v>1325</v>
      </c>
      <c r="G246" s="6">
        <v>352.43</v>
      </c>
      <c r="H246" s="6">
        <v>100</v>
      </c>
      <c r="I246" s="6" t="s">
        <v>1326</v>
      </c>
      <c r="J246" s="6" t="s">
        <v>38</v>
      </c>
      <c r="K246" s="8"/>
      <c r="L246" s="8"/>
      <c r="M246" s="8"/>
      <c r="N246" s="6"/>
      <c r="O246" s="6"/>
      <c r="P246" s="6"/>
      <c r="Q246" s="6"/>
      <c r="R246" s="6"/>
      <c r="S246" s="6"/>
      <c r="T246" s="32"/>
      <c r="U246" s="8"/>
      <c r="V246" s="8"/>
      <c r="W246" s="6" t="str">
        <f t="shared" si="1"/>
        <v/>
      </c>
      <c r="X246" s="6" t="s">
        <v>521</v>
      </c>
      <c r="Y246" s="6" t="s">
        <v>521</v>
      </c>
      <c r="Z246" s="20"/>
      <c r="AA246" s="29">
        <v>-29.3</v>
      </c>
      <c r="AB246" s="29">
        <v>-44.5</v>
      </c>
    </row>
    <row r="247" spans="1:28" ht="16" x14ac:dyDescent="0.2">
      <c r="A247" s="49"/>
      <c r="B247" s="6">
        <v>245</v>
      </c>
      <c r="C247" s="6" t="s">
        <v>1327</v>
      </c>
      <c r="D247" s="6" t="s">
        <v>1328</v>
      </c>
      <c r="E247" s="6" t="s">
        <v>1329</v>
      </c>
      <c r="F247" s="6" t="s">
        <v>1330</v>
      </c>
      <c r="G247" s="6">
        <v>301.29700000000003</v>
      </c>
      <c r="H247" s="6">
        <v>100</v>
      </c>
      <c r="I247" s="6" t="s">
        <v>1331</v>
      </c>
      <c r="J247" s="6" t="s">
        <v>38</v>
      </c>
      <c r="K247" s="8"/>
      <c r="L247" s="8"/>
      <c r="M247" s="8"/>
      <c r="N247" s="6"/>
      <c r="O247" s="6"/>
      <c r="P247" s="6"/>
      <c r="Q247" s="6"/>
      <c r="R247" s="6"/>
      <c r="S247" s="6"/>
      <c r="T247" s="8"/>
      <c r="U247" s="8"/>
      <c r="V247" s="8"/>
      <c r="W247" s="6" t="str">
        <f t="shared" si="1"/>
        <v/>
      </c>
      <c r="X247" s="6" t="s">
        <v>521</v>
      </c>
      <c r="Y247" s="6" t="s">
        <v>521</v>
      </c>
      <c r="Z247" s="20"/>
      <c r="AA247" s="29">
        <v>-25.98</v>
      </c>
      <c r="AB247" s="29">
        <v>-39.94</v>
      </c>
    </row>
    <row r="248" spans="1:28" ht="16" x14ac:dyDescent="0.2">
      <c r="A248" s="49"/>
      <c r="B248" s="6">
        <v>246</v>
      </c>
      <c r="C248" s="6" t="s">
        <v>1332</v>
      </c>
      <c r="D248" s="6" t="s">
        <v>1333</v>
      </c>
      <c r="E248" s="6" t="s">
        <v>1334</v>
      </c>
      <c r="F248" s="6" t="s">
        <v>1335</v>
      </c>
      <c r="G248" s="6">
        <v>393.16699999999997</v>
      </c>
      <c r="H248" s="6">
        <v>100</v>
      </c>
      <c r="I248" s="6" t="s">
        <v>1336</v>
      </c>
      <c r="J248" s="6" t="s">
        <v>38</v>
      </c>
      <c r="K248" s="8"/>
      <c r="L248" s="8"/>
      <c r="M248" s="8"/>
      <c r="N248" s="6"/>
      <c r="O248" s="6"/>
      <c r="P248" s="6"/>
      <c r="Q248" s="6"/>
      <c r="R248" s="6"/>
      <c r="S248" s="6"/>
      <c r="T248" s="8"/>
      <c r="U248" s="8"/>
      <c r="V248" s="8"/>
      <c r="W248" s="6" t="str">
        <f t="shared" si="1"/>
        <v/>
      </c>
      <c r="X248" s="6" t="s">
        <v>521</v>
      </c>
      <c r="Y248" s="6" t="s">
        <v>521</v>
      </c>
      <c r="Z248" s="20"/>
      <c r="AA248" s="29">
        <v>-31.83</v>
      </c>
      <c r="AB248" s="29">
        <v>-52.76</v>
      </c>
    </row>
    <row r="249" spans="1:28" ht="16" x14ac:dyDescent="0.2">
      <c r="A249" s="49"/>
      <c r="B249" s="6">
        <v>247</v>
      </c>
      <c r="C249" s="6" t="s">
        <v>1337</v>
      </c>
      <c r="D249" s="6" t="s">
        <v>1338</v>
      </c>
      <c r="E249" s="6" t="s">
        <v>1339</v>
      </c>
      <c r="F249" s="6" t="s">
        <v>1340</v>
      </c>
      <c r="G249" s="6">
        <v>309.34399999999999</v>
      </c>
      <c r="H249" s="6">
        <v>100</v>
      </c>
      <c r="I249" s="6" t="s">
        <v>1341</v>
      </c>
      <c r="J249" s="6" t="s">
        <v>38</v>
      </c>
      <c r="K249" s="8"/>
      <c r="L249" s="8"/>
      <c r="M249" s="8"/>
      <c r="N249" s="6" t="s">
        <v>29</v>
      </c>
      <c r="O249" s="6" t="s">
        <v>29</v>
      </c>
      <c r="P249" s="6" t="s">
        <v>1342</v>
      </c>
      <c r="Q249" s="6">
        <v>1.1499999999999999</v>
      </c>
      <c r="R249" s="6">
        <v>7.34</v>
      </c>
      <c r="S249" s="6"/>
      <c r="T249" s="8"/>
      <c r="U249" s="8"/>
      <c r="V249" s="8"/>
      <c r="W249" s="6" t="str">
        <f t="shared" si="1"/>
        <v/>
      </c>
      <c r="X249" s="6" t="s">
        <v>521</v>
      </c>
      <c r="Y249" s="6" t="s">
        <v>521</v>
      </c>
      <c r="Z249" s="20"/>
      <c r="AA249" s="29">
        <v>-20.5</v>
      </c>
      <c r="AB249" s="29">
        <v>-39.130000000000003</v>
      </c>
    </row>
    <row r="250" spans="1:28" ht="16" x14ac:dyDescent="0.2">
      <c r="A250" s="49"/>
      <c r="B250" s="6">
        <v>248</v>
      </c>
      <c r="C250" s="6" t="s">
        <v>1343</v>
      </c>
      <c r="D250" s="6" t="s">
        <v>1344</v>
      </c>
      <c r="E250" s="6" t="s">
        <v>1345</v>
      </c>
      <c r="F250" s="6" t="s">
        <v>1346</v>
      </c>
      <c r="G250" s="6">
        <v>312.29500000000002</v>
      </c>
      <c r="H250" s="6">
        <v>100</v>
      </c>
      <c r="I250" s="6" t="s">
        <v>1347</v>
      </c>
      <c r="J250" s="6" t="s">
        <v>38</v>
      </c>
      <c r="K250" s="8"/>
      <c r="L250" s="8"/>
      <c r="M250" s="8"/>
      <c r="N250" s="6" t="s">
        <v>29</v>
      </c>
      <c r="O250" s="6" t="s">
        <v>29</v>
      </c>
      <c r="P250" s="6" t="s">
        <v>1348</v>
      </c>
      <c r="Q250" s="6">
        <v>1.1499999999999999</v>
      </c>
      <c r="R250" s="6">
        <v>20.87</v>
      </c>
      <c r="S250" s="6"/>
      <c r="T250" s="8"/>
      <c r="U250" s="8"/>
      <c r="V250" s="8"/>
      <c r="W250" s="6" t="str">
        <f t="shared" si="1"/>
        <v/>
      </c>
      <c r="X250" s="6" t="s">
        <v>521</v>
      </c>
      <c r="Y250" s="6" t="s">
        <v>521</v>
      </c>
      <c r="Z250" s="20"/>
      <c r="AA250" s="29">
        <v>-30.41</v>
      </c>
      <c r="AB250" s="29">
        <v>-35.799999999999997</v>
      </c>
    </row>
    <row r="251" spans="1:28" ht="16" x14ac:dyDescent="0.2">
      <c r="A251" s="49"/>
      <c r="B251" s="6">
        <v>249</v>
      </c>
      <c r="C251" s="6" t="s">
        <v>1349</v>
      </c>
      <c r="D251" s="6" t="s">
        <v>1350</v>
      </c>
      <c r="E251" s="6" t="s">
        <v>1351</v>
      </c>
      <c r="F251" s="6" t="s">
        <v>1352</v>
      </c>
      <c r="G251" s="6">
        <v>326.36900000000003</v>
      </c>
      <c r="H251" s="6">
        <v>100</v>
      </c>
      <c r="I251" s="6" t="s">
        <v>1353</v>
      </c>
      <c r="J251" s="6" t="s">
        <v>38</v>
      </c>
      <c r="K251" s="8"/>
      <c r="L251" s="8"/>
      <c r="M251" s="8"/>
      <c r="N251" s="6" t="s">
        <v>29</v>
      </c>
      <c r="O251" s="6" t="s">
        <v>29</v>
      </c>
      <c r="P251" s="6" t="s">
        <v>1354</v>
      </c>
      <c r="Q251" s="6">
        <v>1.1499999999999999</v>
      </c>
      <c r="R251" s="6">
        <v>9.91</v>
      </c>
      <c r="S251" s="6"/>
      <c r="T251" s="8"/>
      <c r="U251" s="8"/>
      <c r="V251" s="8"/>
      <c r="W251" s="6" t="str">
        <f t="shared" si="1"/>
        <v/>
      </c>
      <c r="X251" s="6" t="s">
        <v>521</v>
      </c>
      <c r="Y251" s="6" t="s">
        <v>521</v>
      </c>
      <c r="Z251" s="20"/>
      <c r="AA251" s="29">
        <v>-33.61</v>
      </c>
      <c r="AB251" s="29">
        <v>-46.09</v>
      </c>
    </row>
    <row r="252" spans="1:28" ht="16" x14ac:dyDescent="0.2">
      <c r="A252" s="49"/>
      <c r="B252" s="6">
        <v>250</v>
      </c>
      <c r="C252" s="6" t="s">
        <v>1355</v>
      </c>
      <c r="D252" s="6" t="s">
        <v>1356</v>
      </c>
      <c r="E252" s="6" t="s">
        <v>1357</v>
      </c>
      <c r="F252" s="6" t="s">
        <v>1358</v>
      </c>
      <c r="G252" s="6">
        <v>308.33100000000002</v>
      </c>
      <c r="H252" s="6">
        <v>100</v>
      </c>
      <c r="I252" s="6" t="s">
        <v>1359</v>
      </c>
      <c r="J252" s="6" t="s">
        <v>38</v>
      </c>
      <c r="K252" s="8"/>
      <c r="L252" s="8"/>
      <c r="M252" s="8"/>
      <c r="N252" s="6"/>
      <c r="O252" s="6"/>
      <c r="P252" s="6"/>
      <c r="Q252" s="6"/>
      <c r="R252" s="6"/>
      <c r="S252" s="6"/>
      <c r="T252" s="8"/>
      <c r="U252" s="8"/>
      <c r="V252" s="8"/>
      <c r="W252" s="6" t="str">
        <f t="shared" si="1"/>
        <v/>
      </c>
      <c r="X252" s="6" t="s">
        <v>521</v>
      </c>
      <c r="Y252" s="6" t="s">
        <v>521</v>
      </c>
      <c r="Z252" s="20"/>
      <c r="AA252" s="29">
        <v>-25.25</v>
      </c>
      <c r="AB252" s="29">
        <v>-38.07</v>
      </c>
    </row>
    <row r="253" spans="1:28" ht="16" x14ac:dyDescent="0.2">
      <c r="A253" s="49"/>
      <c r="B253" s="6">
        <v>251</v>
      </c>
      <c r="C253" s="6" t="s">
        <v>1360</v>
      </c>
      <c r="D253" s="6" t="s">
        <v>1361</v>
      </c>
      <c r="E253" s="6" t="s">
        <v>1362</v>
      </c>
      <c r="F253" s="6" t="s">
        <v>1363</v>
      </c>
      <c r="G253" s="6">
        <v>389.20299999999997</v>
      </c>
      <c r="H253" s="6">
        <v>100</v>
      </c>
      <c r="I253" s="6" t="s">
        <v>1364</v>
      </c>
      <c r="J253" s="6" t="s">
        <v>43</v>
      </c>
      <c r="K253" s="8"/>
      <c r="L253" s="8"/>
      <c r="M253" s="8"/>
      <c r="N253" s="6" t="s">
        <v>29</v>
      </c>
      <c r="O253" s="6" t="s">
        <v>29</v>
      </c>
      <c r="P253" s="6" t="s">
        <v>1365</v>
      </c>
      <c r="Q253" s="6">
        <v>1.1499999999999999</v>
      </c>
      <c r="R253" s="6">
        <v>1.04</v>
      </c>
      <c r="S253" s="6" t="s">
        <v>29</v>
      </c>
      <c r="T253" s="14">
        <v>2.48</v>
      </c>
      <c r="U253" s="14">
        <v>1.1000000000000001</v>
      </c>
      <c r="V253" s="14">
        <v>2.16</v>
      </c>
      <c r="W253" s="6" t="str">
        <f t="shared" si="1"/>
        <v/>
      </c>
      <c r="X253" s="6" t="s">
        <v>521</v>
      </c>
      <c r="Y253" s="6" t="s">
        <v>521</v>
      </c>
      <c r="Z253" s="20"/>
      <c r="AA253" s="29">
        <v>-30.2</v>
      </c>
      <c r="AB253" s="29">
        <v>-37.31</v>
      </c>
    </row>
    <row r="254" spans="1:28" ht="16" x14ac:dyDescent="0.2">
      <c r="A254" s="49"/>
      <c r="B254" s="6">
        <v>252</v>
      </c>
      <c r="C254" s="6" t="s">
        <v>1366</v>
      </c>
      <c r="D254" s="6" t="s">
        <v>1367</v>
      </c>
      <c r="E254" s="6" t="s">
        <v>1368</v>
      </c>
      <c r="F254" s="6" t="s">
        <v>1369</v>
      </c>
      <c r="G254" s="6">
        <v>304.36399999999998</v>
      </c>
      <c r="H254" s="6">
        <v>91</v>
      </c>
      <c r="I254" s="6" t="s">
        <v>1370</v>
      </c>
      <c r="J254" s="6" t="s">
        <v>91</v>
      </c>
      <c r="K254" s="8"/>
      <c r="L254" s="8"/>
      <c r="M254" s="8"/>
      <c r="N254" s="6" t="s">
        <v>29</v>
      </c>
      <c r="O254" s="6" t="s">
        <v>29</v>
      </c>
      <c r="P254" s="6" t="s">
        <v>1371</v>
      </c>
      <c r="Q254" s="6">
        <v>1.1499999999999999</v>
      </c>
      <c r="R254" s="6">
        <v>5.13</v>
      </c>
      <c r="S254" s="6"/>
      <c r="T254" s="8"/>
      <c r="U254" s="8"/>
      <c r="V254" s="8"/>
      <c r="W254" s="6" t="str">
        <f t="shared" si="1"/>
        <v/>
      </c>
      <c r="X254" s="6" t="s">
        <v>521</v>
      </c>
      <c r="Y254" s="6" t="s">
        <v>521</v>
      </c>
      <c r="Z254" s="20"/>
      <c r="AA254" s="29">
        <v>-32.14</v>
      </c>
      <c r="AB254" s="29">
        <v>-44.07</v>
      </c>
    </row>
    <row r="255" spans="1:28" ht="16" x14ac:dyDescent="0.2">
      <c r="A255" s="49"/>
      <c r="B255" s="6">
        <v>253</v>
      </c>
      <c r="C255" s="6" t="s">
        <v>1372</v>
      </c>
      <c r="D255" s="6" t="s">
        <v>1373</v>
      </c>
      <c r="E255" s="6" t="s">
        <v>1374</v>
      </c>
      <c r="F255" s="6" t="s">
        <v>1375</v>
      </c>
      <c r="G255" s="6">
        <v>329.23399999999998</v>
      </c>
      <c r="H255" s="6">
        <v>100</v>
      </c>
      <c r="I255" s="6" t="s">
        <v>1376</v>
      </c>
      <c r="J255" s="6" t="s">
        <v>38</v>
      </c>
      <c r="K255" s="8"/>
      <c r="L255" s="8"/>
      <c r="M255" s="8"/>
      <c r="N255" s="6"/>
      <c r="O255" s="6"/>
      <c r="P255" s="6"/>
      <c r="Q255" s="6"/>
      <c r="R255" s="6"/>
      <c r="S255" s="6"/>
      <c r="T255" s="8"/>
      <c r="U255" s="8"/>
      <c r="V255" s="8"/>
      <c r="W255" s="6" t="str">
        <f t="shared" si="1"/>
        <v/>
      </c>
      <c r="X255" s="6" t="s">
        <v>521</v>
      </c>
      <c r="Y255" s="6" t="s">
        <v>521</v>
      </c>
      <c r="Z255" s="20"/>
      <c r="AA255" s="29">
        <v>-24.81</v>
      </c>
      <c r="AB255" s="29">
        <v>-41.35</v>
      </c>
    </row>
    <row r="256" spans="1:28" ht="16" x14ac:dyDescent="0.2">
      <c r="A256" s="49"/>
      <c r="B256" s="6">
        <v>254</v>
      </c>
      <c r="C256" s="6" t="s">
        <v>1377</v>
      </c>
      <c r="D256" s="6" t="s">
        <v>1378</v>
      </c>
      <c r="E256" s="6" t="s">
        <v>1379</v>
      </c>
      <c r="F256" s="6" t="s">
        <v>1380</v>
      </c>
      <c r="G256" s="6">
        <v>271.27100000000002</v>
      </c>
      <c r="H256" s="6">
        <v>100</v>
      </c>
      <c r="I256" s="6" t="s">
        <v>1381</v>
      </c>
      <c r="J256" s="6" t="s">
        <v>38</v>
      </c>
      <c r="K256" s="8"/>
      <c r="L256" s="8"/>
      <c r="M256" s="8"/>
      <c r="N256" s="6"/>
      <c r="O256" s="6"/>
      <c r="P256" s="6"/>
      <c r="Q256" s="6"/>
      <c r="R256" s="6"/>
      <c r="S256" s="6"/>
      <c r="T256" s="8"/>
      <c r="U256" s="8"/>
      <c r="V256" s="8"/>
      <c r="W256" s="6" t="str">
        <f t="shared" si="1"/>
        <v/>
      </c>
      <c r="X256" s="6" t="s">
        <v>521</v>
      </c>
      <c r="Y256" s="6" t="s">
        <v>521</v>
      </c>
      <c r="Z256" s="20"/>
      <c r="AA256" s="29">
        <v>-21.33</v>
      </c>
      <c r="AB256" s="29">
        <v>-35.22</v>
      </c>
    </row>
    <row r="257" spans="1:28" ht="16" x14ac:dyDescent="0.2">
      <c r="A257" s="49"/>
      <c r="B257" s="6">
        <v>255</v>
      </c>
      <c r="C257" s="6" t="s">
        <v>1382</v>
      </c>
      <c r="D257" s="6" t="s">
        <v>1383</v>
      </c>
      <c r="E257" s="6" t="s">
        <v>1384</v>
      </c>
      <c r="F257" s="6" t="s">
        <v>1385</v>
      </c>
      <c r="G257" s="6">
        <v>289.30900000000003</v>
      </c>
      <c r="H257" s="6">
        <v>100</v>
      </c>
      <c r="I257" s="6" t="s">
        <v>1386</v>
      </c>
      <c r="J257" s="6" t="s">
        <v>38</v>
      </c>
      <c r="K257" s="8"/>
      <c r="L257" s="8"/>
      <c r="M257" s="8"/>
      <c r="N257" s="6"/>
      <c r="O257" s="6"/>
      <c r="P257" s="6"/>
      <c r="Q257" s="6"/>
      <c r="R257" s="6"/>
      <c r="S257" s="6"/>
      <c r="T257" s="8"/>
      <c r="U257" s="8"/>
      <c r="V257" s="8"/>
      <c r="W257" s="6" t="str">
        <f t="shared" si="1"/>
        <v/>
      </c>
      <c r="X257" s="6" t="s">
        <v>521</v>
      </c>
      <c r="Y257" s="6" t="s">
        <v>521</v>
      </c>
      <c r="Z257" s="20"/>
      <c r="AA257" s="29">
        <v>-20.37</v>
      </c>
      <c r="AB257" s="29">
        <v>-37.1</v>
      </c>
    </row>
    <row r="258" spans="1:28" ht="16" x14ac:dyDescent="0.2">
      <c r="A258" s="49"/>
      <c r="B258" s="6">
        <v>256</v>
      </c>
      <c r="C258" s="6" t="s">
        <v>1387</v>
      </c>
      <c r="D258" s="6" t="s">
        <v>1388</v>
      </c>
      <c r="E258" s="6" t="s">
        <v>1389</v>
      </c>
      <c r="F258" s="6" t="s">
        <v>1390</v>
      </c>
      <c r="G258" s="6">
        <v>285.25400000000002</v>
      </c>
      <c r="H258" s="6">
        <v>100</v>
      </c>
      <c r="I258" s="6" t="s">
        <v>1391</v>
      </c>
      <c r="J258" s="6" t="s">
        <v>38</v>
      </c>
      <c r="K258" s="8"/>
      <c r="L258" s="8"/>
      <c r="M258" s="8"/>
      <c r="N258" s="6"/>
      <c r="O258" s="6"/>
      <c r="P258" s="6"/>
      <c r="Q258" s="6"/>
      <c r="R258" s="6"/>
      <c r="S258" s="6"/>
      <c r="T258" s="8"/>
      <c r="U258" s="8"/>
      <c r="V258" s="8"/>
      <c r="W258" s="6" t="str">
        <f t="shared" si="1"/>
        <v/>
      </c>
      <c r="X258" s="6" t="s">
        <v>521</v>
      </c>
      <c r="Y258" s="6" t="s">
        <v>521</v>
      </c>
      <c r="Z258" s="20"/>
      <c r="AA258" s="29">
        <v>-21.97</v>
      </c>
      <c r="AB258" s="29">
        <v>-42.24</v>
      </c>
    </row>
    <row r="259" spans="1:28" ht="16" x14ac:dyDescent="0.2">
      <c r="A259" s="49"/>
      <c r="B259" s="6">
        <v>257</v>
      </c>
      <c r="C259" s="6" t="s">
        <v>1392</v>
      </c>
      <c r="D259" s="6" t="s">
        <v>1393</v>
      </c>
      <c r="E259" s="6" t="s">
        <v>1394</v>
      </c>
      <c r="F259" s="6" t="s">
        <v>1395</v>
      </c>
      <c r="G259" s="6">
        <v>289.28899999999999</v>
      </c>
      <c r="H259" s="6">
        <v>90</v>
      </c>
      <c r="I259" s="6" t="s">
        <v>1396</v>
      </c>
      <c r="J259" s="6" t="s">
        <v>43</v>
      </c>
      <c r="K259" s="8"/>
      <c r="L259" s="8"/>
      <c r="M259" s="8"/>
      <c r="N259" s="6"/>
      <c r="O259" s="6"/>
      <c r="P259" s="6"/>
      <c r="Q259" s="6"/>
      <c r="R259" s="6"/>
      <c r="S259" s="6"/>
      <c r="T259" s="8"/>
      <c r="U259" s="8"/>
      <c r="V259" s="8"/>
      <c r="W259" s="6" t="str">
        <f t="shared" si="1"/>
        <v/>
      </c>
      <c r="X259" s="6" t="s">
        <v>521</v>
      </c>
      <c r="Y259" s="6" t="s">
        <v>521</v>
      </c>
      <c r="Z259" s="20"/>
      <c r="AA259" s="29">
        <v>-28.79</v>
      </c>
      <c r="AB259" s="29">
        <v>-42.16</v>
      </c>
    </row>
    <row r="260" spans="1:28" ht="16" x14ac:dyDescent="0.2">
      <c r="A260" s="49"/>
      <c r="B260" s="6">
        <v>258</v>
      </c>
      <c r="C260" s="6" t="s">
        <v>1397</v>
      </c>
      <c r="D260" s="6" t="s">
        <v>1398</v>
      </c>
      <c r="E260" s="6" t="s">
        <v>1399</v>
      </c>
      <c r="F260" s="6" t="s">
        <v>1400</v>
      </c>
      <c r="G260" s="6">
        <v>340.74200000000002</v>
      </c>
      <c r="H260" s="6">
        <v>98</v>
      </c>
      <c r="I260" s="6" t="s">
        <v>1401</v>
      </c>
      <c r="J260" s="6" t="s">
        <v>38</v>
      </c>
      <c r="K260" s="8"/>
      <c r="L260" s="8"/>
      <c r="M260" s="8"/>
      <c r="N260" s="6" t="s">
        <v>29</v>
      </c>
      <c r="O260" s="6" t="s">
        <v>29</v>
      </c>
      <c r="P260" s="6" t="s">
        <v>1402</v>
      </c>
      <c r="Q260" s="6">
        <v>1.1499999999999999</v>
      </c>
      <c r="R260" s="6">
        <v>5.08</v>
      </c>
      <c r="S260" s="6"/>
      <c r="T260" s="8"/>
      <c r="U260" s="8"/>
      <c r="V260" s="8"/>
      <c r="W260" s="6" t="str">
        <f t="shared" si="1"/>
        <v/>
      </c>
      <c r="X260" s="6" t="s">
        <v>521</v>
      </c>
      <c r="Y260" s="6" t="s">
        <v>521</v>
      </c>
      <c r="Z260" s="20"/>
      <c r="AA260" s="29">
        <v>-34.57</v>
      </c>
      <c r="AB260" s="29">
        <v>-39.04</v>
      </c>
    </row>
    <row r="261" spans="1:28" ht="16" x14ac:dyDescent="0.2">
      <c r="A261" s="49"/>
      <c r="B261" s="6">
        <v>259</v>
      </c>
      <c r="C261" s="6" t="s">
        <v>1403</v>
      </c>
      <c r="D261" s="6" t="s">
        <v>1404</v>
      </c>
      <c r="E261" s="6" t="s">
        <v>1405</v>
      </c>
      <c r="F261" s="6" t="s">
        <v>1406</v>
      </c>
      <c r="G261" s="6">
        <v>390.274</v>
      </c>
      <c r="H261" s="6">
        <v>95</v>
      </c>
      <c r="I261" s="6" t="s">
        <v>1407</v>
      </c>
      <c r="J261" s="6" t="s">
        <v>38</v>
      </c>
      <c r="K261" s="33" t="s">
        <v>932</v>
      </c>
      <c r="L261" s="33">
        <v>1</v>
      </c>
      <c r="M261" s="33">
        <v>114.023</v>
      </c>
      <c r="N261" s="6" t="s">
        <v>29</v>
      </c>
      <c r="O261" s="6" t="s">
        <v>29</v>
      </c>
      <c r="P261" s="6" t="s">
        <v>1408</v>
      </c>
      <c r="Q261" s="6">
        <v>1.1499999999999999</v>
      </c>
      <c r="R261" s="6">
        <v>4.03</v>
      </c>
      <c r="S261" s="6"/>
      <c r="T261" s="8"/>
      <c r="U261" s="8"/>
      <c r="V261" s="8"/>
      <c r="W261" s="6" t="str">
        <f t="shared" si="1"/>
        <v/>
      </c>
      <c r="X261" s="6" t="s">
        <v>521</v>
      </c>
      <c r="Y261" s="6" t="s">
        <v>521</v>
      </c>
      <c r="Z261" s="20"/>
      <c r="AA261" s="29">
        <v>-33.630000000000003</v>
      </c>
      <c r="AB261" s="29">
        <v>-42.86</v>
      </c>
    </row>
    <row r="262" spans="1:28" ht="16" x14ac:dyDescent="0.2">
      <c r="A262" s="49"/>
      <c r="B262" s="6">
        <v>260</v>
      </c>
      <c r="C262" s="6" t="s">
        <v>1409</v>
      </c>
      <c r="D262" s="6" t="s">
        <v>1410</v>
      </c>
      <c r="E262" s="6" t="s">
        <v>1411</v>
      </c>
      <c r="F262" s="6" t="s">
        <v>1412</v>
      </c>
      <c r="G262" s="6">
        <v>425.77</v>
      </c>
      <c r="H262" s="6">
        <v>100</v>
      </c>
      <c r="I262" s="6" t="s">
        <v>1413</v>
      </c>
      <c r="J262" s="6" t="s">
        <v>38</v>
      </c>
      <c r="K262" s="33" t="s">
        <v>932</v>
      </c>
      <c r="L262" s="33">
        <v>1</v>
      </c>
      <c r="M262" s="33">
        <v>114.023</v>
      </c>
      <c r="N262" s="6"/>
      <c r="O262" s="6"/>
      <c r="P262" s="6"/>
      <c r="Q262" s="6"/>
      <c r="R262" s="6"/>
      <c r="S262" s="6"/>
      <c r="T262" s="8"/>
      <c r="U262" s="8"/>
      <c r="V262" s="8"/>
      <c r="W262" s="6" t="str">
        <f t="shared" si="1"/>
        <v/>
      </c>
      <c r="X262" s="6" t="s">
        <v>521</v>
      </c>
      <c r="Y262" s="6" t="s">
        <v>521</v>
      </c>
      <c r="Z262" s="20"/>
      <c r="AA262" s="29">
        <v>-22.51</v>
      </c>
      <c r="AB262" s="29">
        <v>-39.26</v>
      </c>
    </row>
    <row r="263" spans="1:28" ht="16" x14ac:dyDescent="0.2">
      <c r="A263" s="49"/>
      <c r="B263" s="6">
        <v>261</v>
      </c>
      <c r="C263" s="6" t="s">
        <v>1414</v>
      </c>
      <c r="D263" s="6" t="s">
        <v>1415</v>
      </c>
      <c r="E263" s="6" t="s">
        <v>1416</v>
      </c>
      <c r="F263" s="6" t="s">
        <v>1417</v>
      </c>
      <c r="G263" s="6">
        <v>424.35500000000002</v>
      </c>
      <c r="H263" s="6">
        <v>100</v>
      </c>
      <c r="I263" s="6" t="s">
        <v>1418</v>
      </c>
      <c r="J263" s="6" t="s">
        <v>43</v>
      </c>
      <c r="K263" s="33" t="s">
        <v>932</v>
      </c>
      <c r="L263" s="33">
        <v>1</v>
      </c>
      <c r="M263" s="33">
        <v>114.023</v>
      </c>
      <c r="N263" s="6"/>
      <c r="O263" s="6"/>
      <c r="P263" s="6"/>
      <c r="Q263" s="6"/>
      <c r="R263" s="6"/>
      <c r="S263" s="6"/>
      <c r="T263" s="8"/>
      <c r="U263" s="8"/>
      <c r="V263" s="8"/>
      <c r="W263" s="6" t="str">
        <f t="shared" si="1"/>
        <v/>
      </c>
      <c r="X263" s="6" t="s">
        <v>521</v>
      </c>
      <c r="Y263" s="6" t="s">
        <v>521</v>
      </c>
      <c r="Z263" s="20"/>
      <c r="AA263" s="29">
        <v>-35.729999999999997</v>
      </c>
      <c r="AB263" s="29">
        <v>-48.58</v>
      </c>
    </row>
    <row r="264" spans="1:28" ht="16" x14ac:dyDescent="0.2">
      <c r="A264" s="49"/>
      <c r="B264" s="6">
        <v>262</v>
      </c>
      <c r="C264" s="6" t="s">
        <v>1419</v>
      </c>
      <c r="D264" s="6" t="s">
        <v>1420</v>
      </c>
      <c r="E264" s="6" t="s">
        <v>1421</v>
      </c>
      <c r="F264" s="6" t="s">
        <v>1422</v>
      </c>
      <c r="G264" s="6">
        <v>327.27100000000002</v>
      </c>
      <c r="H264" s="6">
        <v>100</v>
      </c>
      <c r="I264" s="6" t="s">
        <v>1423</v>
      </c>
      <c r="J264" s="6" t="s">
        <v>438</v>
      </c>
      <c r="K264" s="33" t="s">
        <v>1424</v>
      </c>
      <c r="L264" s="33">
        <v>1</v>
      </c>
      <c r="M264" s="33">
        <v>22.989699999999999</v>
      </c>
      <c r="N264" s="6" t="s">
        <v>29</v>
      </c>
      <c r="O264" s="6" t="s">
        <v>29</v>
      </c>
      <c r="P264" s="6" t="s">
        <v>1425</v>
      </c>
      <c r="Q264" s="6">
        <v>1.1499999999999999</v>
      </c>
      <c r="R264" s="6">
        <v>5.18</v>
      </c>
      <c r="S264" s="6"/>
      <c r="T264" s="8"/>
      <c r="U264" s="8"/>
      <c r="V264" s="8"/>
      <c r="W264" s="6" t="str">
        <f t="shared" si="1"/>
        <v/>
      </c>
      <c r="X264" s="6" t="s">
        <v>521</v>
      </c>
      <c r="Y264" s="6" t="s">
        <v>521</v>
      </c>
      <c r="Z264" s="20"/>
      <c r="AA264" s="29">
        <v>-25.54</v>
      </c>
      <c r="AB264" s="29">
        <v>-41.46</v>
      </c>
    </row>
    <row r="265" spans="1:28" ht="16" x14ac:dyDescent="0.2">
      <c r="A265" s="49"/>
      <c r="B265" s="6">
        <v>263</v>
      </c>
      <c r="C265" s="6" t="s">
        <v>1426</v>
      </c>
      <c r="D265" s="6" t="s">
        <v>1427</v>
      </c>
      <c r="E265" s="6" t="s">
        <v>1428</v>
      </c>
      <c r="F265" s="6" t="s">
        <v>1429</v>
      </c>
      <c r="G265" s="6">
        <v>322.31799999999998</v>
      </c>
      <c r="H265" s="6">
        <v>100</v>
      </c>
      <c r="I265" s="6" t="s">
        <v>1430</v>
      </c>
      <c r="J265" s="6" t="s">
        <v>38</v>
      </c>
      <c r="K265" s="8"/>
      <c r="L265" s="8"/>
      <c r="M265" s="8"/>
      <c r="N265" s="6" t="s">
        <v>29</v>
      </c>
      <c r="O265" s="6" t="s">
        <v>29</v>
      </c>
      <c r="P265" s="6" t="s">
        <v>1431</v>
      </c>
      <c r="Q265" s="6">
        <v>1.1499999999999999</v>
      </c>
      <c r="R265" s="6">
        <v>10.36</v>
      </c>
      <c r="S265" s="6"/>
      <c r="T265" s="8"/>
      <c r="U265" s="8"/>
      <c r="V265" s="8"/>
      <c r="W265" s="6" t="str">
        <f t="shared" si="1"/>
        <v/>
      </c>
      <c r="X265" s="6" t="s">
        <v>521</v>
      </c>
      <c r="Y265" s="6" t="s">
        <v>521</v>
      </c>
      <c r="Z265" s="20"/>
      <c r="AA265" s="29">
        <v>-35.22</v>
      </c>
      <c r="AB265" s="29">
        <v>-49.04</v>
      </c>
    </row>
    <row r="266" spans="1:28" ht="16" x14ac:dyDescent="0.2">
      <c r="A266" s="49"/>
      <c r="B266" s="6">
        <v>264</v>
      </c>
      <c r="C266" s="6" t="s">
        <v>1432</v>
      </c>
      <c r="D266" s="6" t="s">
        <v>1433</v>
      </c>
      <c r="E266" s="6" t="s">
        <v>1434</v>
      </c>
      <c r="F266" s="6" t="s">
        <v>1435</v>
      </c>
      <c r="G266" s="6">
        <v>310.30700000000002</v>
      </c>
      <c r="H266" s="6">
        <v>91</v>
      </c>
      <c r="I266" s="6" t="s">
        <v>1436</v>
      </c>
      <c r="J266" s="6" t="s">
        <v>85</v>
      </c>
      <c r="K266" s="8"/>
      <c r="L266" s="8"/>
      <c r="M266" s="8"/>
      <c r="N266" s="6"/>
      <c r="O266" s="6"/>
      <c r="P266" s="6"/>
      <c r="Q266" s="6"/>
      <c r="R266" s="6"/>
      <c r="S266" s="6"/>
      <c r="T266" s="8"/>
      <c r="U266" s="8"/>
      <c r="V266" s="8"/>
      <c r="W266" s="6" t="str">
        <f t="shared" si="1"/>
        <v/>
      </c>
      <c r="X266" s="6" t="s">
        <v>521</v>
      </c>
      <c r="Y266" s="6" t="s">
        <v>521</v>
      </c>
      <c r="Z266" s="20"/>
      <c r="AA266" s="29">
        <v>-29.03</v>
      </c>
      <c r="AB266" s="29">
        <v>-48.46</v>
      </c>
    </row>
    <row r="267" spans="1:28" ht="16" x14ac:dyDescent="0.2">
      <c r="A267" s="49"/>
      <c r="B267" s="6">
        <v>265</v>
      </c>
      <c r="C267" s="6" t="s">
        <v>1437</v>
      </c>
      <c r="D267" s="6" t="s">
        <v>1438</v>
      </c>
      <c r="E267" s="6" t="s">
        <v>1439</v>
      </c>
      <c r="F267" s="6" t="s">
        <v>1440</v>
      </c>
      <c r="G267" s="6">
        <v>384.20499999999998</v>
      </c>
      <c r="H267" s="6">
        <v>99</v>
      </c>
      <c r="I267" s="6" t="s">
        <v>1441</v>
      </c>
      <c r="J267" s="6" t="s">
        <v>38</v>
      </c>
      <c r="K267" s="8"/>
      <c r="L267" s="8"/>
      <c r="M267" s="8"/>
      <c r="N267" s="6" t="s">
        <v>29</v>
      </c>
      <c r="O267" s="6" t="s">
        <v>29</v>
      </c>
      <c r="P267" s="6" t="s">
        <v>1442</v>
      </c>
      <c r="Q267" s="6">
        <v>1.1499999999999999</v>
      </c>
      <c r="R267" s="6">
        <v>4.96</v>
      </c>
      <c r="S267" s="6"/>
      <c r="T267" s="8"/>
      <c r="U267" s="8"/>
      <c r="V267" s="8"/>
      <c r="W267" s="6" t="str">
        <f t="shared" si="1"/>
        <v/>
      </c>
      <c r="X267" s="6" t="s">
        <v>521</v>
      </c>
      <c r="Y267" s="6" t="s">
        <v>521</v>
      </c>
      <c r="Z267" s="20"/>
      <c r="AA267" s="29">
        <v>-32.380000000000003</v>
      </c>
      <c r="AB267" s="29">
        <v>-37.81</v>
      </c>
    </row>
    <row r="268" spans="1:28" ht="16" x14ac:dyDescent="0.2">
      <c r="A268" s="49"/>
      <c r="B268" s="6">
        <v>266</v>
      </c>
      <c r="C268" s="6" t="s">
        <v>1443</v>
      </c>
      <c r="D268" s="6" t="s">
        <v>1444</v>
      </c>
      <c r="E268" s="6" t="s">
        <v>1445</v>
      </c>
      <c r="F268" s="6" t="s">
        <v>1446</v>
      </c>
      <c r="G268" s="6">
        <v>324.30500000000001</v>
      </c>
      <c r="H268" s="6">
        <v>100</v>
      </c>
      <c r="I268" s="6" t="s">
        <v>1447</v>
      </c>
      <c r="J268" s="6" t="s">
        <v>38</v>
      </c>
      <c r="K268" s="8"/>
      <c r="L268" s="8"/>
      <c r="M268" s="8"/>
      <c r="N268" s="6"/>
      <c r="O268" s="6"/>
      <c r="P268" s="6"/>
      <c r="Q268" s="6"/>
      <c r="R268" s="6"/>
      <c r="S268" s="6"/>
      <c r="T268" s="8"/>
      <c r="U268" s="8"/>
      <c r="V268" s="8"/>
      <c r="W268" s="6" t="str">
        <f t="shared" si="1"/>
        <v/>
      </c>
      <c r="X268" s="6" t="s">
        <v>521</v>
      </c>
      <c r="Y268" s="6" t="s">
        <v>521</v>
      </c>
      <c r="Z268" s="20"/>
      <c r="AA268" s="29">
        <v>-30.71</v>
      </c>
      <c r="AB268" s="29">
        <v>-42.84</v>
      </c>
    </row>
    <row r="269" spans="1:28" ht="16" x14ac:dyDescent="0.2">
      <c r="A269" s="49"/>
      <c r="B269" s="6">
        <v>267</v>
      </c>
      <c r="C269" s="6" t="s">
        <v>1448</v>
      </c>
      <c r="D269" s="6" t="s">
        <v>1449</v>
      </c>
      <c r="E269" s="6" t="s">
        <v>1450</v>
      </c>
      <c r="F269" s="6" t="s">
        <v>1451</v>
      </c>
      <c r="G269" s="6">
        <v>322.42899999999997</v>
      </c>
      <c r="H269" s="6">
        <v>90</v>
      </c>
      <c r="I269" s="6" t="s">
        <v>1452</v>
      </c>
      <c r="J269" s="6" t="s">
        <v>38</v>
      </c>
      <c r="K269" s="8"/>
      <c r="L269" s="8"/>
      <c r="M269" s="8"/>
      <c r="N269" s="6"/>
      <c r="O269" s="6"/>
      <c r="P269" s="6"/>
      <c r="Q269" s="6"/>
      <c r="R269" s="6"/>
      <c r="S269" s="6"/>
      <c r="T269" s="8"/>
      <c r="U269" s="8"/>
      <c r="V269" s="8"/>
      <c r="W269" s="6" t="str">
        <f t="shared" si="1"/>
        <v/>
      </c>
      <c r="X269" s="6" t="s">
        <v>521</v>
      </c>
      <c r="Y269" s="6" t="s">
        <v>521</v>
      </c>
      <c r="Z269" s="20"/>
      <c r="AA269" s="29">
        <v>-34.19</v>
      </c>
      <c r="AB269" s="29">
        <v>-46.66</v>
      </c>
    </row>
    <row r="270" spans="1:28" ht="16" x14ac:dyDescent="0.2">
      <c r="A270" s="49"/>
      <c r="B270" s="6">
        <v>268</v>
      </c>
      <c r="C270" s="6" t="s">
        <v>1453</v>
      </c>
      <c r="D270" s="6" t="s">
        <v>1454</v>
      </c>
      <c r="E270" s="6" t="s">
        <v>1455</v>
      </c>
      <c r="F270" s="6" t="s">
        <v>1456</v>
      </c>
      <c r="G270" s="6">
        <v>324.33</v>
      </c>
      <c r="H270" s="6">
        <v>99</v>
      </c>
      <c r="I270" s="6" t="s">
        <v>1457</v>
      </c>
      <c r="J270" s="6" t="s">
        <v>38</v>
      </c>
      <c r="K270" s="8"/>
      <c r="L270" s="8"/>
      <c r="M270" s="8"/>
      <c r="N270" s="6"/>
      <c r="O270" s="6"/>
      <c r="P270" s="6"/>
      <c r="Q270" s="6"/>
      <c r="R270" s="6"/>
      <c r="S270" s="6"/>
      <c r="T270" s="8"/>
      <c r="U270" s="8"/>
      <c r="V270" s="8"/>
      <c r="W270" s="6" t="str">
        <f t="shared" si="1"/>
        <v/>
      </c>
      <c r="X270" s="6" t="s">
        <v>521</v>
      </c>
      <c r="Y270" s="6" t="s">
        <v>521</v>
      </c>
      <c r="Z270" s="20"/>
      <c r="AA270" s="29">
        <v>-24.62</v>
      </c>
      <c r="AB270" s="29">
        <v>-35.020000000000003</v>
      </c>
    </row>
    <row r="271" spans="1:28" ht="16" x14ac:dyDescent="0.2">
      <c r="A271" s="49"/>
      <c r="B271" s="6">
        <v>269</v>
      </c>
      <c r="C271" s="6" t="s">
        <v>1458</v>
      </c>
      <c r="D271" s="6" t="s">
        <v>1459</v>
      </c>
      <c r="E271" s="6" t="s">
        <v>1460</v>
      </c>
      <c r="F271" s="6" t="s">
        <v>1461</v>
      </c>
      <c r="G271" s="6">
        <v>345.346</v>
      </c>
      <c r="H271" s="6">
        <v>100</v>
      </c>
      <c r="I271" s="6" t="s">
        <v>1462</v>
      </c>
      <c r="J271" s="6" t="s">
        <v>91</v>
      </c>
      <c r="K271" s="8"/>
      <c r="L271" s="8"/>
      <c r="M271" s="8"/>
      <c r="N271" s="6" t="s">
        <v>29</v>
      </c>
      <c r="O271" s="6" t="s">
        <v>29</v>
      </c>
      <c r="P271" s="6" t="s">
        <v>1463</v>
      </c>
      <c r="Q271" s="6">
        <v>1.1499999999999999</v>
      </c>
      <c r="R271" s="6">
        <v>6.22</v>
      </c>
      <c r="S271" s="6"/>
      <c r="T271" s="8"/>
      <c r="U271" s="8"/>
      <c r="V271" s="8"/>
      <c r="W271" s="6" t="str">
        <f t="shared" si="1"/>
        <v/>
      </c>
      <c r="X271" s="6" t="s">
        <v>521</v>
      </c>
      <c r="Y271" s="6" t="s">
        <v>521</v>
      </c>
      <c r="Z271" s="20"/>
      <c r="AA271" s="29">
        <v>-23.97</v>
      </c>
      <c r="AB271" s="29">
        <v>-38.590000000000003</v>
      </c>
    </row>
    <row r="272" spans="1:28" ht="16" x14ac:dyDescent="0.2">
      <c r="A272" s="49"/>
      <c r="B272" s="6">
        <v>270</v>
      </c>
      <c r="C272" s="6" t="s">
        <v>1464</v>
      </c>
      <c r="D272" s="6" t="s">
        <v>1465</v>
      </c>
      <c r="E272" s="6" t="s">
        <v>1466</v>
      </c>
      <c r="F272" s="6" t="s">
        <v>1467</v>
      </c>
      <c r="G272" s="6">
        <v>323.30599999999998</v>
      </c>
      <c r="H272" s="6">
        <v>100</v>
      </c>
      <c r="I272" s="6" t="s">
        <v>1468</v>
      </c>
      <c r="J272" s="6" t="s">
        <v>38</v>
      </c>
      <c r="K272" s="8"/>
      <c r="L272" s="8"/>
      <c r="M272" s="8"/>
      <c r="N272" s="6"/>
      <c r="O272" s="6"/>
      <c r="P272" s="6"/>
      <c r="Q272" s="6"/>
      <c r="R272" s="6"/>
      <c r="S272" s="6"/>
      <c r="T272" s="8"/>
      <c r="U272" s="8"/>
      <c r="V272" s="8"/>
      <c r="W272" s="6" t="str">
        <f t="shared" si="1"/>
        <v/>
      </c>
      <c r="X272" s="6" t="s">
        <v>521</v>
      </c>
      <c r="Y272" s="6" t="s">
        <v>521</v>
      </c>
      <c r="Z272" s="20"/>
      <c r="AA272" s="29">
        <v>-28.79</v>
      </c>
      <c r="AB272" s="29">
        <v>-43.04</v>
      </c>
    </row>
    <row r="273" spans="1:28" ht="16" x14ac:dyDescent="0.2">
      <c r="A273" s="49"/>
      <c r="B273" s="6">
        <v>271</v>
      </c>
      <c r="C273" s="6" t="s">
        <v>1469</v>
      </c>
      <c r="D273" s="6" t="s">
        <v>1470</v>
      </c>
      <c r="E273" s="6" t="s">
        <v>1471</v>
      </c>
      <c r="F273" s="6" t="s">
        <v>1472</v>
      </c>
      <c r="G273" s="6">
        <v>350.38400000000001</v>
      </c>
      <c r="H273" s="6">
        <v>100</v>
      </c>
      <c r="I273" s="6" t="s">
        <v>1473</v>
      </c>
      <c r="J273" s="6" t="s">
        <v>91</v>
      </c>
      <c r="K273" s="8"/>
      <c r="L273" s="8"/>
      <c r="M273" s="8"/>
      <c r="N273" s="6"/>
      <c r="O273" s="6"/>
      <c r="P273" s="6"/>
      <c r="Q273" s="6"/>
      <c r="R273" s="6"/>
      <c r="S273" s="6"/>
      <c r="T273" s="8"/>
      <c r="U273" s="8"/>
      <c r="V273" s="8"/>
      <c r="W273" s="6" t="str">
        <f t="shared" si="1"/>
        <v/>
      </c>
      <c r="X273" s="6" t="s">
        <v>521</v>
      </c>
      <c r="Y273" s="6" t="s">
        <v>521</v>
      </c>
      <c r="Z273" s="20"/>
      <c r="AA273" s="29">
        <v>-21.82</v>
      </c>
      <c r="AB273" s="29">
        <v>-42.24</v>
      </c>
    </row>
    <row r="274" spans="1:28" ht="16" x14ac:dyDescent="0.2">
      <c r="A274" s="49"/>
      <c r="B274" s="6">
        <v>272</v>
      </c>
      <c r="C274" s="6" t="s">
        <v>1474</v>
      </c>
      <c r="D274" s="6" t="s">
        <v>1475</v>
      </c>
      <c r="E274" s="6" t="s">
        <v>1476</v>
      </c>
      <c r="F274" s="6" t="s">
        <v>1477</v>
      </c>
      <c r="G274" s="6">
        <v>343.77</v>
      </c>
      <c r="H274" s="6">
        <v>100</v>
      </c>
      <c r="I274" s="6" t="s">
        <v>1478</v>
      </c>
      <c r="J274" s="6" t="s">
        <v>38</v>
      </c>
      <c r="K274" s="8"/>
      <c r="L274" s="8"/>
      <c r="M274" s="8"/>
      <c r="N274" s="6"/>
      <c r="O274" s="6"/>
      <c r="P274" s="6"/>
      <c r="Q274" s="6"/>
      <c r="R274" s="6"/>
      <c r="S274" s="6"/>
      <c r="T274" s="8"/>
      <c r="U274" s="8"/>
      <c r="V274" s="8"/>
      <c r="W274" s="6" t="str">
        <f t="shared" si="1"/>
        <v/>
      </c>
      <c r="X274" s="6" t="s">
        <v>521</v>
      </c>
      <c r="Y274" s="6" t="s">
        <v>521</v>
      </c>
      <c r="Z274" s="20"/>
      <c r="AA274" s="29">
        <v>-40.83</v>
      </c>
      <c r="AB274" s="29">
        <v>-43.86</v>
      </c>
    </row>
    <row r="275" spans="1:28" ht="16" x14ac:dyDescent="0.2">
      <c r="A275" s="49"/>
      <c r="B275" s="6">
        <v>273</v>
      </c>
      <c r="C275" s="6" t="s">
        <v>1479</v>
      </c>
      <c r="D275" s="6" t="s">
        <v>1480</v>
      </c>
      <c r="E275" s="6" t="s">
        <v>1481</v>
      </c>
      <c r="F275" s="6" t="s">
        <v>1482</v>
      </c>
      <c r="G275" s="6">
        <v>286.28500000000003</v>
      </c>
      <c r="H275" s="6">
        <v>100</v>
      </c>
      <c r="I275" s="6" t="s">
        <v>1483</v>
      </c>
      <c r="J275" s="6" t="s">
        <v>38</v>
      </c>
      <c r="K275" s="8"/>
      <c r="L275" s="8"/>
      <c r="M275" s="8"/>
      <c r="N275" s="6"/>
      <c r="O275" s="6"/>
      <c r="P275" s="6"/>
      <c r="Q275" s="6"/>
      <c r="R275" s="6"/>
      <c r="S275" s="6"/>
      <c r="T275" s="8"/>
      <c r="U275" s="8"/>
      <c r="V275" s="8"/>
      <c r="W275" s="6" t="str">
        <f t="shared" si="1"/>
        <v/>
      </c>
      <c r="X275" s="6" t="s">
        <v>521</v>
      </c>
      <c r="Y275" s="6" t="s">
        <v>521</v>
      </c>
      <c r="Z275" s="20"/>
      <c r="AA275" s="29">
        <v>-19.29</v>
      </c>
      <c r="AB275" s="29">
        <v>-38.32</v>
      </c>
    </row>
    <row r="276" spans="1:28" ht="16" x14ac:dyDescent="0.2">
      <c r="A276" s="49"/>
      <c r="B276" s="6">
        <v>274</v>
      </c>
      <c r="C276" s="6" t="s">
        <v>1484</v>
      </c>
      <c r="D276" s="6" t="s">
        <v>1485</v>
      </c>
      <c r="E276" s="6" t="s">
        <v>1486</v>
      </c>
      <c r="F276" s="6" t="s">
        <v>1487</v>
      </c>
      <c r="G276" s="6">
        <v>307.32799999999997</v>
      </c>
      <c r="H276" s="6">
        <v>100</v>
      </c>
      <c r="I276" s="6" t="s">
        <v>1488</v>
      </c>
      <c r="J276" s="6" t="s">
        <v>38</v>
      </c>
      <c r="K276" s="8"/>
      <c r="L276" s="8"/>
      <c r="M276" s="8"/>
      <c r="N276" s="6"/>
      <c r="O276" s="6"/>
      <c r="P276" s="6"/>
      <c r="Q276" s="6"/>
      <c r="R276" s="6"/>
      <c r="S276" s="6"/>
      <c r="T276" s="8"/>
      <c r="U276" s="8"/>
      <c r="V276" s="8"/>
      <c r="W276" s="6" t="str">
        <f t="shared" si="1"/>
        <v/>
      </c>
      <c r="X276" s="6" t="s">
        <v>521</v>
      </c>
      <c r="Y276" s="6" t="s">
        <v>521</v>
      </c>
      <c r="Z276" s="20"/>
      <c r="AA276" s="29">
        <v>-34.25</v>
      </c>
      <c r="AB276" s="29">
        <v>-43.08</v>
      </c>
    </row>
    <row r="277" spans="1:28" ht="16" x14ac:dyDescent="0.2">
      <c r="A277" s="49"/>
      <c r="B277" s="6">
        <v>275</v>
      </c>
      <c r="C277" s="6" t="s">
        <v>1489</v>
      </c>
      <c r="D277" s="6" t="s">
        <v>1490</v>
      </c>
      <c r="E277" s="6" t="s">
        <v>1491</v>
      </c>
      <c r="F277" s="6" t="s">
        <v>1492</v>
      </c>
      <c r="G277" s="6">
        <v>408.28899999999999</v>
      </c>
      <c r="H277" s="6">
        <v>100</v>
      </c>
      <c r="I277" s="6" t="s">
        <v>1493</v>
      </c>
      <c r="J277" s="6" t="s">
        <v>43</v>
      </c>
      <c r="K277" s="8"/>
      <c r="L277" s="8"/>
      <c r="M277" s="8"/>
      <c r="N277" s="6"/>
      <c r="O277" s="6"/>
      <c r="P277" s="6"/>
      <c r="Q277" s="6"/>
      <c r="R277" s="6"/>
      <c r="S277" s="6"/>
      <c r="T277" s="8"/>
      <c r="U277" s="8"/>
      <c r="V277" s="8"/>
      <c r="W277" s="6" t="str">
        <f t="shared" si="1"/>
        <v/>
      </c>
      <c r="X277" s="6" t="s">
        <v>521</v>
      </c>
      <c r="Y277" s="6" t="s">
        <v>521</v>
      </c>
      <c r="Z277" s="20"/>
      <c r="AA277" s="29">
        <v>-26.66</v>
      </c>
      <c r="AB277" s="29">
        <v>-35.06</v>
      </c>
    </row>
    <row r="278" spans="1:28" ht="16" x14ac:dyDescent="0.2">
      <c r="A278" s="49"/>
      <c r="B278" s="6">
        <v>276</v>
      </c>
      <c r="C278" s="6" t="s">
        <v>1494</v>
      </c>
      <c r="D278" s="6" t="s">
        <v>1495</v>
      </c>
      <c r="E278" s="6" t="s">
        <v>1496</v>
      </c>
      <c r="F278" s="6" t="s">
        <v>1497</v>
      </c>
      <c r="G278" s="6">
        <v>352.30700000000002</v>
      </c>
      <c r="H278" s="6">
        <v>97</v>
      </c>
      <c r="I278" s="6" t="s">
        <v>1498</v>
      </c>
      <c r="J278" s="6" t="s">
        <v>43</v>
      </c>
      <c r="K278" s="8"/>
      <c r="L278" s="8"/>
      <c r="M278" s="8"/>
      <c r="N278" s="6"/>
      <c r="O278" s="6"/>
      <c r="P278" s="6"/>
      <c r="Q278" s="6"/>
      <c r="R278" s="6"/>
      <c r="S278" s="6"/>
      <c r="T278" s="8"/>
      <c r="U278" s="8"/>
      <c r="V278" s="8"/>
      <c r="W278" s="6" t="str">
        <f t="shared" si="1"/>
        <v/>
      </c>
      <c r="X278" s="6" t="s">
        <v>521</v>
      </c>
      <c r="Y278" s="6" t="s">
        <v>521</v>
      </c>
      <c r="Z278" s="20"/>
      <c r="AA278" s="29">
        <v>-24.36</v>
      </c>
      <c r="AB278" s="29">
        <v>-38.99</v>
      </c>
    </row>
    <row r="279" spans="1:28" ht="16" x14ac:dyDescent="0.2">
      <c r="A279" s="49"/>
      <c r="B279" s="6">
        <v>277</v>
      </c>
      <c r="C279" s="6" t="s">
        <v>1499</v>
      </c>
      <c r="D279" s="6" t="s">
        <v>1500</v>
      </c>
      <c r="E279" s="6" t="s">
        <v>1501</v>
      </c>
      <c r="F279" s="6" t="s">
        <v>1502</v>
      </c>
      <c r="G279" s="6">
        <v>353.29500000000002</v>
      </c>
      <c r="H279" s="6">
        <v>100</v>
      </c>
      <c r="I279" s="6" t="s">
        <v>1503</v>
      </c>
      <c r="J279" s="6" t="s">
        <v>85</v>
      </c>
      <c r="K279" s="8"/>
      <c r="L279" s="8"/>
      <c r="M279" s="8"/>
      <c r="N279" s="6"/>
      <c r="O279" s="6"/>
      <c r="P279" s="6"/>
      <c r="Q279" s="6"/>
      <c r="R279" s="6"/>
      <c r="S279" s="6"/>
      <c r="T279" s="8"/>
      <c r="U279" s="8"/>
      <c r="V279" s="8"/>
      <c r="W279" s="6" t="str">
        <f t="shared" si="1"/>
        <v/>
      </c>
      <c r="X279" s="6" t="s">
        <v>521</v>
      </c>
      <c r="Y279" s="6" t="s">
        <v>521</v>
      </c>
      <c r="Z279" s="20"/>
      <c r="AA279" s="29">
        <v>-29.14</v>
      </c>
      <c r="AB279" s="29">
        <v>-41.8</v>
      </c>
    </row>
    <row r="280" spans="1:28" ht="16" x14ac:dyDescent="0.2">
      <c r="A280" s="49"/>
      <c r="B280" s="6">
        <v>278</v>
      </c>
      <c r="C280" s="6" t="s">
        <v>1504</v>
      </c>
      <c r="D280" s="6" t="s">
        <v>1505</v>
      </c>
      <c r="E280" s="6" t="s">
        <v>1506</v>
      </c>
      <c r="F280" s="6" t="s">
        <v>1507</v>
      </c>
      <c r="G280" s="6">
        <v>407.73500000000001</v>
      </c>
      <c r="H280" s="6">
        <v>93</v>
      </c>
      <c r="I280" s="6" t="s">
        <v>1508</v>
      </c>
      <c r="J280" s="6" t="s">
        <v>38</v>
      </c>
      <c r="K280" s="33" t="s">
        <v>932</v>
      </c>
      <c r="L280" s="33">
        <v>1</v>
      </c>
      <c r="M280" s="33">
        <v>114.023</v>
      </c>
      <c r="N280" s="6"/>
      <c r="O280" s="6"/>
      <c r="P280" s="6"/>
      <c r="Q280" s="6"/>
      <c r="R280" s="6"/>
      <c r="S280" s="6"/>
      <c r="T280" s="8"/>
      <c r="U280" s="8"/>
      <c r="V280" s="8"/>
      <c r="W280" s="6" t="str">
        <f t="shared" si="1"/>
        <v/>
      </c>
      <c r="X280" s="6" t="s">
        <v>521</v>
      </c>
      <c r="Y280" s="6" t="s">
        <v>521</v>
      </c>
      <c r="Z280" s="20"/>
      <c r="AA280" s="29">
        <v>-25.51</v>
      </c>
      <c r="AB280" s="29">
        <v>-38.119999999999997</v>
      </c>
    </row>
    <row r="281" spans="1:28" ht="16" x14ac:dyDescent="0.2">
      <c r="A281" s="49"/>
      <c r="B281" s="6">
        <v>279</v>
      </c>
      <c r="C281" s="6" t="s">
        <v>1509</v>
      </c>
      <c r="D281" s="6" t="s">
        <v>1510</v>
      </c>
      <c r="E281" s="6" t="s">
        <v>1511</v>
      </c>
      <c r="F281" s="6" t="s">
        <v>1512</v>
      </c>
      <c r="G281" s="6">
        <v>339.47199999999998</v>
      </c>
      <c r="H281" s="6">
        <v>90</v>
      </c>
      <c r="I281" s="6" t="s">
        <v>1513</v>
      </c>
      <c r="J281" s="6" t="s">
        <v>438</v>
      </c>
      <c r="K281" s="8"/>
      <c r="L281" s="8"/>
      <c r="M281" s="8"/>
      <c r="N281" s="6"/>
      <c r="O281" s="6"/>
      <c r="P281" s="6"/>
      <c r="Q281" s="6"/>
      <c r="R281" s="6"/>
      <c r="S281" s="6"/>
      <c r="T281" s="8"/>
      <c r="U281" s="8"/>
      <c r="V281" s="8"/>
      <c r="W281" s="6" t="str">
        <f t="shared" si="1"/>
        <v/>
      </c>
      <c r="X281" s="6" t="s">
        <v>521</v>
      </c>
      <c r="Y281" s="6" t="s">
        <v>521</v>
      </c>
      <c r="Z281" s="20"/>
      <c r="AA281" s="29">
        <v>-24.08</v>
      </c>
      <c r="AB281" s="29">
        <v>-36.36</v>
      </c>
    </row>
    <row r="282" spans="1:28" ht="16" x14ac:dyDescent="0.2">
      <c r="A282" s="49"/>
      <c r="B282" s="6">
        <v>280</v>
      </c>
      <c r="C282" s="6" t="s">
        <v>1514</v>
      </c>
      <c r="D282" s="6" t="s">
        <v>1515</v>
      </c>
      <c r="E282" s="6" t="s">
        <v>1516</v>
      </c>
      <c r="F282" s="6" t="s">
        <v>1517</v>
      </c>
      <c r="G282" s="6">
        <v>323.34500000000003</v>
      </c>
      <c r="H282" s="6">
        <v>100</v>
      </c>
      <c r="I282" s="6" t="s">
        <v>1518</v>
      </c>
      <c r="J282" s="6" t="s">
        <v>38</v>
      </c>
      <c r="K282" s="8"/>
      <c r="L282" s="8"/>
      <c r="M282" s="8"/>
      <c r="N282" s="6"/>
      <c r="O282" s="6"/>
      <c r="P282" s="6"/>
      <c r="Q282" s="6"/>
      <c r="R282" s="6"/>
      <c r="S282" s="6"/>
      <c r="T282" s="8"/>
      <c r="U282" s="8"/>
      <c r="V282" s="8"/>
      <c r="W282" s="6" t="str">
        <f t="shared" si="1"/>
        <v/>
      </c>
      <c r="X282" s="6" t="s">
        <v>521</v>
      </c>
      <c r="Y282" s="6" t="s">
        <v>521</v>
      </c>
      <c r="Z282" s="20"/>
      <c r="AA282" s="29">
        <v>-26.9</v>
      </c>
      <c r="AB282" s="29">
        <v>-44.81</v>
      </c>
    </row>
    <row r="283" spans="1:28" ht="16" x14ac:dyDescent="0.2">
      <c r="A283" s="49"/>
      <c r="B283" s="6">
        <v>281</v>
      </c>
      <c r="C283" s="6" t="s">
        <v>1519</v>
      </c>
      <c r="D283" s="6" t="s">
        <v>1520</v>
      </c>
      <c r="E283" s="6" t="s">
        <v>1521</v>
      </c>
      <c r="F283" s="6" t="s">
        <v>1522</v>
      </c>
      <c r="G283" s="6">
        <v>414.20100000000002</v>
      </c>
      <c r="H283" s="6">
        <v>100</v>
      </c>
      <c r="I283" s="6" t="s">
        <v>1523</v>
      </c>
      <c r="J283" s="6" t="s">
        <v>43</v>
      </c>
      <c r="K283" s="8"/>
      <c r="L283" s="8"/>
      <c r="M283" s="8"/>
      <c r="N283" s="6" t="s">
        <v>29</v>
      </c>
      <c r="O283" s="6" t="s">
        <v>29</v>
      </c>
      <c r="P283" s="6" t="s">
        <v>1524</v>
      </c>
      <c r="Q283" s="6">
        <v>1.1499999999999999</v>
      </c>
      <c r="R283" s="6">
        <v>6.06</v>
      </c>
      <c r="S283" s="6"/>
      <c r="T283" s="8"/>
      <c r="U283" s="8"/>
      <c r="V283" s="8"/>
      <c r="W283" s="6" t="str">
        <f t="shared" si="1"/>
        <v/>
      </c>
      <c r="X283" s="6" t="s">
        <v>521</v>
      </c>
      <c r="Y283" s="6" t="s">
        <v>521</v>
      </c>
      <c r="Z283" s="20"/>
      <c r="AA283" s="29">
        <v>-29.87</v>
      </c>
      <c r="AB283" s="29">
        <v>-38.24</v>
      </c>
    </row>
    <row r="284" spans="1:28" ht="16" x14ac:dyDescent="0.2">
      <c r="A284" s="49"/>
      <c r="B284" s="6">
        <v>282</v>
      </c>
      <c r="C284" s="6" t="s">
        <v>1525</v>
      </c>
      <c r="D284" s="6" t="s">
        <v>1526</v>
      </c>
      <c r="E284" s="6" t="s">
        <v>1527</v>
      </c>
      <c r="F284" s="6" t="s">
        <v>1528</v>
      </c>
      <c r="G284" s="6">
        <v>317.3</v>
      </c>
      <c r="H284" s="6">
        <v>100</v>
      </c>
      <c r="I284" s="6" t="s">
        <v>1529</v>
      </c>
      <c r="J284" s="6" t="s">
        <v>38</v>
      </c>
      <c r="K284" s="8"/>
      <c r="L284" s="8"/>
      <c r="M284" s="8"/>
      <c r="N284" s="6" t="s">
        <v>29</v>
      </c>
      <c r="O284" s="6" t="s">
        <v>29</v>
      </c>
      <c r="P284" s="6" t="s">
        <v>1530</v>
      </c>
      <c r="Q284" s="6">
        <v>1.1499999999999999</v>
      </c>
      <c r="R284" s="6">
        <v>9.23</v>
      </c>
      <c r="S284" s="6"/>
      <c r="T284" s="8"/>
      <c r="U284" s="8"/>
      <c r="V284" s="8"/>
      <c r="W284" s="6" t="str">
        <f t="shared" si="1"/>
        <v/>
      </c>
      <c r="X284" s="6" t="s">
        <v>521</v>
      </c>
      <c r="Y284" s="6" t="s">
        <v>521</v>
      </c>
      <c r="Z284" s="20"/>
      <c r="AA284" s="29">
        <v>-32.82</v>
      </c>
      <c r="AB284" s="29">
        <v>-35.590000000000003</v>
      </c>
    </row>
    <row r="285" spans="1:28" ht="16" x14ac:dyDescent="0.2">
      <c r="A285" s="49"/>
      <c r="B285" s="6">
        <v>283</v>
      </c>
      <c r="C285" s="6" t="s">
        <v>1531</v>
      </c>
      <c r="D285" s="6" t="s">
        <v>1532</v>
      </c>
      <c r="E285" s="6" t="s">
        <v>1533</v>
      </c>
      <c r="F285" s="6" t="s">
        <v>1534</v>
      </c>
      <c r="G285" s="6">
        <v>334.32499999999999</v>
      </c>
      <c r="H285" s="6">
        <v>100</v>
      </c>
      <c r="I285" s="6" t="s">
        <v>1535</v>
      </c>
      <c r="J285" s="6" t="s">
        <v>38</v>
      </c>
      <c r="K285" s="8"/>
      <c r="L285" s="8"/>
      <c r="M285" s="8"/>
      <c r="N285" s="6" t="s">
        <v>29</v>
      </c>
      <c r="O285" s="6" t="s">
        <v>29</v>
      </c>
      <c r="P285" s="6" t="s">
        <v>1536</v>
      </c>
      <c r="Q285" s="6">
        <v>1.1499999999999999</v>
      </c>
      <c r="R285" s="6">
        <v>4.0999999999999996</v>
      </c>
      <c r="S285" s="6"/>
      <c r="T285" s="8"/>
      <c r="U285" s="8"/>
      <c r="V285" s="8"/>
      <c r="W285" s="6" t="str">
        <f t="shared" si="1"/>
        <v/>
      </c>
      <c r="X285" s="6" t="s">
        <v>521</v>
      </c>
      <c r="Y285" s="6" t="s">
        <v>521</v>
      </c>
      <c r="Z285" s="20"/>
      <c r="AA285" s="29">
        <v>-29.07</v>
      </c>
      <c r="AB285" s="29">
        <v>-37.729999999999997</v>
      </c>
    </row>
    <row r="286" spans="1:28" ht="16" x14ac:dyDescent="0.2">
      <c r="A286" s="49"/>
      <c r="B286" s="6">
        <v>284</v>
      </c>
      <c r="C286" s="6" t="s">
        <v>1537</v>
      </c>
      <c r="D286" s="6" t="s">
        <v>1538</v>
      </c>
      <c r="E286" s="6" t="s">
        <v>1539</v>
      </c>
      <c r="F286" s="6" t="s">
        <v>1385</v>
      </c>
      <c r="G286" s="6">
        <v>289.30900000000003</v>
      </c>
      <c r="H286" s="6">
        <v>95</v>
      </c>
      <c r="I286" s="6" t="s">
        <v>1540</v>
      </c>
      <c r="J286" s="6" t="s">
        <v>91</v>
      </c>
      <c r="K286" s="8"/>
      <c r="L286" s="8"/>
      <c r="M286" s="8"/>
      <c r="N286" s="6" t="s">
        <v>29</v>
      </c>
      <c r="O286" s="6" t="s">
        <v>29</v>
      </c>
      <c r="P286" s="6" t="s">
        <v>1541</v>
      </c>
      <c r="Q286" s="6">
        <v>1.1499999999999999</v>
      </c>
      <c r="R286" s="6">
        <v>2.82</v>
      </c>
      <c r="S286" s="6" t="s">
        <v>29</v>
      </c>
      <c r="T286" s="14">
        <v>69.400000000000006</v>
      </c>
      <c r="U286" s="14">
        <v>1.1000000000000001</v>
      </c>
      <c r="V286" s="14">
        <v>60.4</v>
      </c>
      <c r="W286" s="6" t="str">
        <f t="shared" si="1"/>
        <v/>
      </c>
      <c r="X286" s="6" t="s">
        <v>521</v>
      </c>
      <c r="Y286" s="6" t="s">
        <v>521</v>
      </c>
      <c r="Z286" s="20"/>
      <c r="AA286" s="29">
        <v>-23.94</v>
      </c>
      <c r="AB286" s="29">
        <v>-39.56</v>
      </c>
    </row>
    <row r="287" spans="1:28" ht="16" x14ac:dyDescent="0.2">
      <c r="A287" s="49"/>
      <c r="B287" s="6">
        <v>285</v>
      </c>
      <c r="C287" s="6" t="s">
        <v>1542</v>
      </c>
      <c r="D287" s="6" t="s">
        <v>1543</v>
      </c>
      <c r="E287" s="6" t="s">
        <v>1544</v>
      </c>
      <c r="F287" s="6" t="s">
        <v>1545</v>
      </c>
      <c r="G287" s="6">
        <v>323.73399999999998</v>
      </c>
      <c r="H287" s="6">
        <v>100</v>
      </c>
      <c r="I287" s="6" t="s">
        <v>1546</v>
      </c>
      <c r="J287" s="6" t="s">
        <v>43</v>
      </c>
      <c r="K287" s="8"/>
      <c r="L287" s="8"/>
      <c r="M287" s="8"/>
      <c r="N287" s="6"/>
      <c r="O287" s="6"/>
      <c r="P287" s="6"/>
      <c r="Q287" s="6"/>
      <c r="R287" s="6"/>
      <c r="S287" s="6"/>
      <c r="T287" s="8"/>
      <c r="U287" s="8"/>
      <c r="V287" s="8"/>
      <c r="W287" s="6" t="str">
        <f t="shared" si="1"/>
        <v/>
      </c>
      <c r="X287" s="6" t="s">
        <v>521</v>
      </c>
      <c r="Y287" s="6" t="s">
        <v>521</v>
      </c>
      <c r="Z287" s="20"/>
      <c r="AA287" s="29">
        <v>-34.53</v>
      </c>
      <c r="AB287" s="29">
        <v>-39.909999999999997</v>
      </c>
    </row>
    <row r="288" spans="1:28" ht="16" x14ac:dyDescent="0.2">
      <c r="A288" s="49"/>
      <c r="B288" s="6">
        <v>286</v>
      </c>
      <c r="C288" s="6" t="s">
        <v>1547</v>
      </c>
      <c r="D288" s="6" t="s">
        <v>1548</v>
      </c>
      <c r="E288" s="6" t="s">
        <v>1549</v>
      </c>
      <c r="F288" s="6" t="s">
        <v>1550</v>
      </c>
      <c r="G288" s="6">
        <v>354.46699999999998</v>
      </c>
      <c r="H288" s="6">
        <v>100</v>
      </c>
      <c r="I288" s="6" t="s">
        <v>1551</v>
      </c>
      <c r="J288" s="6" t="s">
        <v>91</v>
      </c>
      <c r="K288" s="8"/>
      <c r="L288" s="8"/>
      <c r="M288" s="8"/>
      <c r="N288" s="6"/>
      <c r="O288" s="6"/>
      <c r="P288" s="6"/>
      <c r="Q288" s="6"/>
      <c r="R288" s="6"/>
      <c r="S288" s="6"/>
      <c r="T288" s="8"/>
      <c r="U288" s="8"/>
      <c r="V288" s="8"/>
      <c r="W288" s="6" t="str">
        <f t="shared" si="1"/>
        <v/>
      </c>
      <c r="X288" s="6" t="s">
        <v>521</v>
      </c>
      <c r="Y288" s="6" t="s">
        <v>521</v>
      </c>
      <c r="Z288" s="20"/>
      <c r="AA288" s="29">
        <v>-29.51</v>
      </c>
      <c r="AB288" s="29">
        <v>-45.39</v>
      </c>
    </row>
    <row r="289" spans="1:28" ht="17" thickBot="1" x14ac:dyDescent="0.25">
      <c r="A289" s="62"/>
      <c r="B289" s="67">
        <v>287</v>
      </c>
      <c r="C289" s="68" t="s">
        <v>1552</v>
      </c>
      <c r="D289" s="68" t="s">
        <v>1553</v>
      </c>
      <c r="E289" s="68" t="s">
        <v>1554</v>
      </c>
      <c r="F289" s="68" t="s">
        <v>1555</v>
      </c>
      <c r="G289" s="68">
        <v>342.375</v>
      </c>
      <c r="H289" s="68">
        <v>100</v>
      </c>
      <c r="I289" s="68" t="s">
        <v>1556</v>
      </c>
      <c r="J289" s="68" t="s">
        <v>38</v>
      </c>
      <c r="K289" s="69"/>
      <c r="L289" s="69"/>
      <c r="M289" s="69"/>
      <c r="N289" s="68" t="s">
        <v>29</v>
      </c>
      <c r="O289" s="68" t="s">
        <v>29</v>
      </c>
      <c r="P289" s="68" t="s">
        <v>1557</v>
      </c>
      <c r="Q289" s="68">
        <v>1.1499999999999999</v>
      </c>
      <c r="R289" s="68">
        <v>4.6100000000000003</v>
      </c>
      <c r="S289" s="68" t="s">
        <v>29</v>
      </c>
      <c r="T289" s="70">
        <v>42.4</v>
      </c>
      <c r="U289" s="70">
        <v>1.1000000000000001</v>
      </c>
      <c r="V289" s="70">
        <v>36.9</v>
      </c>
      <c r="W289" s="68" t="str">
        <f t="shared" si="1"/>
        <v/>
      </c>
      <c r="X289" s="68" t="s">
        <v>521</v>
      </c>
      <c r="Y289" s="68" t="s">
        <v>521</v>
      </c>
      <c r="Z289" s="71"/>
      <c r="AA289" s="72">
        <v>-27.77</v>
      </c>
      <c r="AB289" s="72">
        <v>-41.82</v>
      </c>
    </row>
    <row r="290" spans="1:28" ht="52" thickBot="1" x14ac:dyDescent="0.2">
      <c r="A290" s="60" t="s">
        <v>1592</v>
      </c>
      <c r="B290" s="63">
        <v>288</v>
      </c>
      <c r="C290" s="63" t="s">
        <v>1587</v>
      </c>
      <c r="D290" s="64" t="s">
        <v>1586</v>
      </c>
      <c r="E290" s="64" t="s">
        <v>1586</v>
      </c>
      <c r="F290" s="64" t="s">
        <v>1588</v>
      </c>
      <c r="G290" s="64" t="s">
        <v>1589</v>
      </c>
      <c r="H290" s="64">
        <v>100</v>
      </c>
      <c r="I290" s="64" t="s">
        <v>1590</v>
      </c>
      <c r="J290" s="64" t="s">
        <v>91</v>
      </c>
      <c r="K290" s="63"/>
      <c r="L290" s="63"/>
      <c r="M290" s="63"/>
      <c r="N290" s="63" t="s">
        <v>29</v>
      </c>
      <c r="O290" s="63" t="s">
        <v>29</v>
      </c>
      <c r="P290" s="63" t="s">
        <v>1591</v>
      </c>
      <c r="Q290" s="63">
        <v>1.05</v>
      </c>
      <c r="R290" s="63"/>
      <c r="S290" s="63" t="s">
        <v>29</v>
      </c>
      <c r="T290" s="73">
        <v>144</v>
      </c>
      <c r="U290" s="73"/>
      <c r="V290" s="73">
        <v>125</v>
      </c>
      <c r="W290" s="63" t="str">
        <f t="shared" si="1"/>
        <v/>
      </c>
      <c r="X290" s="63" t="s">
        <v>521</v>
      </c>
      <c r="Y290" s="63" t="s">
        <v>521</v>
      </c>
      <c r="Z290" s="65"/>
      <c r="AA290" s="66"/>
      <c r="AB290" s="66"/>
    </row>
    <row r="291" spans="1:28" ht="16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5"/>
      <c r="O291" s="35"/>
      <c r="P291" s="35"/>
      <c r="Q291" s="35"/>
      <c r="R291" s="35"/>
      <c r="S291" s="35"/>
      <c r="T291" s="34"/>
      <c r="U291" s="34"/>
      <c r="V291" s="34"/>
      <c r="W291" s="35"/>
      <c r="X291" s="35"/>
      <c r="Y291" s="35"/>
      <c r="Z291" s="36"/>
      <c r="AA291" s="37"/>
      <c r="AB291" s="37"/>
    </row>
    <row r="292" spans="1:28" ht="16" x14ac:dyDescent="0.2">
      <c r="A292" s="34" t="s">
        <v>1558</v>
      </c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5"/>
      <c r="O292" s="35"/>
      <c r="P292" s="35"/>
      <c r="Q292" s="35"/>
      <c r="R292" s="35"/>
      <c r="S292" s="35"/>
      <c r="T292" s="34"/>
      <c r="U292" s="34"/>
      <c r="V292" s="34"/>
      <c r="W292" s="35"/>
      <c r="X292" s="35"/>
      <c r="Y292" s="35"/>
      <c r="Z292" s="36"/>
      <c r="AA292" s="37"/>
      <c r="AB292" s="37"/>
    </row>
    <row r="293" spans="1:28" ht="16" x14ac:dyDescent="0.2">
      <c r="A293" s="38" t="s">
        <v>1559</v>
      </c>
      <c r="B293" s="38"/>
      <c r="C293" s="38"/>
      <c r="D293" s="38"/>
      <c r="E293" s="38"/>
      <c r="F293" s="38"/>
      <c r="G293" s="38"/>
      <c r="H293" s="38"/>
      <c r="I293" s="34"/>
      <c r="J293" s="34"/>
      <c r="K293" s="34"/>
      <c r="L293" s="34"/>
      <c r="M293" s="34"/>
      <c r="N293" s="35"/>
      <c r="O293" s="35"/>
      <c r="P293" s="35"/>
      <c r="Q293" s="35"/>
      <c r="R293" s="35"/>
      <c r="S293" s="35"/>
      <c r="T293" s="34"/>
      <c r="U293" s="34"/>
      <c r="V293" s="34"/>
      <c r="W293" s="35"/>
      <c r="X293" s="35"/>
      <c r="Y293" s="35"/>
      <c r="Z293" s="36"/>
      <c r="AA293" s="37"/>
      <c r="AB293" s="37"/>
    </row>
    <row r="294" spans="1:28" ht="16" x14ac:dyDescent="0.2">
      <c r="A294" s="39" t="s">
        <v>1560</v>
      </c>
      <c r="B294" s="38"/>
      <c r="C294" s="38"/>
      <c r="D294" s="38"/>
      <c r="E294" s="38"/>
      <c r="F294" s="38"/>
      <c r="G294" s="38"/>
      <c r="H294" s="38"/>
      <c r="I294" s="34"/>
      <c r="J294" s="34"/>
      <c r="K294" s="34"/>
      <c r="L294" s="34"/>
      <c r="M294" s="34"/>
      <c r="N294" s="35"/>
      <c r="O294" s="35"/>
      <c r="P294" s="35"/>
      <c r="Q294" s="35"/>
      <c r="R294" s="35"/>
      <c r="S294" s="35"/>
      <c r="T294" s="34"/>
      <c r="U294" s="34"/>
      <c r="V294" s="34"/>
      <c r="W294" s="35"/>
      <c r="X294" s="35"/>
      <c r="Y294" s="35"/>
      <c r="Z294" s="36"/>
      <c r="AA294" s="37"/>
      <c r="AB294" s="37"/>
    </row>
    <row r="295" spans="1:28" ht="16" x14ac:dyDescent="0.2">
      <c r="A295" s="38" t="s">
        <v>1561</v>
      </c>
      <c r="B295" s="38"/>
      <c r="C295" s="38"/>
      <c r="D295" s="38"/>
      <c r="E295" s="38"/>
      <c r="F295" s="38"/>
      <c r="G295" s="38"/>
      <c r="H295" s="38"/>
      <c r="I295" s="34"/>
      <c r="J295" s="34"/>
      <c r="K295" s="34"/>
      <c r="L295" s="34"/>
      <c r="M295" s="34"/>
      <c r="N295" s="35"/>
      <c r="O295" s="35"/>
      <c r="P295" s="35"/>
      <c r="Q295" s="35"/>
      <c r="R295" s="35"/>
      <c r="S295" s="35"/>
      <c r="T295" s="34"/>
      <c r="U295" s="34"/>
      <c r="V295" s="34"/>
      <c r="W295" s="35"/>
      <c r="X295" s="35"/>
      <c r="Y295" s="35"/>
      <c r="Z295" s="36"/>
      <c r="AA295" s="37"/>
      <c r="AB295" s="37"/>
    </row>
    <row r="296" spans="1:28" ht="16" x14ac:dyDescent="0.2">
      <c r="A296" s="40" t="s">
        <v>1562</v>
      </c>
      <c r="B296" s="38"/>
      <c r="C296" s="38"/>
      <c r="D296" s="38"/>
      <c r="E296" s="38"/>
      <c r="F296" s="38"/>
      <c r="G296" s="38"/>
      <c r="H296" s="38"/>
      <c r="I296" s="34"/>
      <c r="J296" s="34"/>
      <c r="K296" s="34"/>
      <c r="L296" s="34"/>
      <c r="M296" s="34"/>
      <c r="N296" s="35"/>
      <c r="O296" s="35"/>
      <c r="P296" s="35"/>
      <c r="Q296" s="35"/>
      <c r="R296" s="35"/>
      <c r="S296" s="35"/>
      <c r="T296" s="34"/>
      <c r="U296" s="34"/>
      <c r="V296" s="34"/>
      <c r="W296" s="35"/>
      <c r="X296" s="35"/>
      <c r="Y296" s="35"/>
      <c r="Z296" s="36"/>
      <c r="AA296" s="37"/>
      <c r="AB296" s="37"/>
    </row>
    <row r="297" spans="1:28" ht="16" x14ac:dyDescent="0.2">
      <c r="B297" s="41"/>
      <c r="C297" s="41"/>
      <c r="D297" s="41"/>
      <c r="E297" s="41"/>
      <c r="F297" s="41"/>
      <c r="G297" s="41"/>
      <c r="H297" s="41"/>
      <c r="Z297" s="37"/>
      <c r="AA297" s="37"/>
      <c r="AB297" s="37"/>
    </row>
    <row r="298" spans="1:28" ht="13" x14ac:dyDescent="0.15">
      <c r="Z298" s="37"/>
      <c r="AA298" s="37"/>
      <c r="AB298" s="37"/>
    </row>
    <row r="299" spans="1:28" ht="13" x14ac:dyDescent="0.15">
      <c r="Z299" s="37"/>
      <c r="AA299" s="37"/>
      <c r="AB299" s="37"/>
    </row>
    <row r="300" spans="1:28" ht="13" x14ac:dyDescent="0.15">
      <c r="Z300" s="37"/>
      <c r="AA300" s="37"/>
      <c r="AB300" s="37"/>
    </row>
    <row r="301" spans="1:28" ht="14" x14ac:dyDescent="0.15">
      <c r="F301" s="39"/>
      <c r="Z301" s="37"/>
      <c r="AA301" s="37"/>
      <c r="AB301" s="37"/>
    </row>
    <row r="302" spans="1:28" ht="13" x14ac:dyDescent="0.15">
      <c r="Z302" s="37"/>
      <c r="AA302" s="37"/>
      <c r="AB302" s="37"/>
    </row>
    <row r="303" spans="1:28" ht="13" x14ac:dyDescent="0.15">
      <c r="Z303" s="37"/>
      <c r="AA303" s="37"/>
      <c r="AB303" s="37"/>
    </row>
    <row r="304" spans="1:28" ht="13" x14ac:dyDescent="0.15">
      <c r="Z304" s="37"/>
      <c r="AA304" s="37"/>
      <c r="AB304" s="37"/>
    </row>
    <row r="305" spans="26:28" ht="13" x14ac:dyDescent="0.15">
      <c r="Z305" s="37"/>
      <c r="AA305" s="37"/>
      <c r="AB305" s="37"/>
    </row>
    <row r="306" spans="26:28" ht="13" x14ac:dyDescent="0.15">
      <c r="Z306" s="37"/>
      <c r="AA306" s="37"/>
      <c r="AB306" s="37"/>
    </row>
    <row r="307" spans="26:28" ht="13" x14ac:dyDescent="0.15">
      <c r="Z307" s="37"/>
      <c r="AA307" s="37"/>
      <c r="AB307" s="37"/>
    </row>
    <row r="308" spans="26:28" ht="13" x14ac:dyDescent="0.15">
      <c r="Z308" s="37"/>
      <c r="AA308" s="37"/>
      <c r="AB308" s="37"/>
    </row>
    <row r="309" spans="26:28" ht="13" x14ac:dyDescent="0.15">
      <c r="Z309" s="37"/>
      <c r="AA309" s="37"/>
      <c r="AB309" s="37"/>
    </row>
    <row r="310" spans="26:28" ht="13" x14ac:dyDescent="0.15">
      <c r="Z310" s="37"/>
      <c r="AA310" s="37"/>
      <c r="AB310" s="37"/>
    </row>
    <row r="311" spans="26:28" ht="13" x14ac:dyDescent="0.15">
      <c r="Z311" s="37"/>
      <c r="AA311" s="37"/>
      <c r="AB311" s="37"/>
    </row>
    <row r="312" spans="26:28" ht="13" x14ac:dyDescent="0.15">
      <c r="Z312" s="37"/>
      <c r="AA312" s="37"/>
      <c r="AB312" s="37"/>
    </row>
    <row r="313" spans="26:28" ht="13" x14ac:dyDescent="0.15">
      <c r="Z313" s="37"/>
      <c r="AA313" s="37"/>
      <c r="AB313" s="37"/>
    </row>
    <row r="314" spans="26:28" ht="13" x14ac:dyDescent="0.15">
      <c r="Z314" s="37"/>
      <c r="AA314" s="37"/>
      <c r="AB314" s="37"/>
    </row>
    <row r="315" spans="26:28" ht="13" x14ac:dyDescent="0.15">
      <c r="Z315" s="37"/>
      <c r="AA315" s="37"/>
      <c r="AB315" s="37"/>
    </row>
    <row r="316" spans="26:28" ht="13" x14ac:dyDescent="0.15">
      <c r="Z316" s="37"/>
      <c r="AA316" s="37"/>
      <c r="AB316" s="37"/>
    </row>
    <row r="317" spans="26:28" ht="13" x14ac:dyDescent="0.15">
      <c r="Z317" s="37"/>
      <c r="AA317" s="37"/>
      <c r="AB317" s="37"/>
    </row>
    <row r="318" spans="26:28" ht="13" x14ac:dyDescent="0.15">
      <c r="Z318" s="37"/>
      <c r="AA318" s="37"/>
      <c r="AB318" s="37"/>
    </row>
    <row r="319" spans="26:28" ht="13" x14ac:dyDescent="0.15">
      <c r="Z319" s="37"/>
      <c r="AA319" s="37"/>
      <c r="AB319" s="37"/>
    </row>
    <row r="320" spans="26:28" ht="13" x14ac:dyDescent="0.15">
      <c r="Z320" s="37"/>
      <c r="AA320" s="37"/>
      <c r="AB320" s="37"/>
    </row>
    <row r="321" spans="26:28" ht="13" x14ac:dyDescent="0.15">
      <c r="Z321" s="37"/>
      <c r="AA321" s="37"/>
      <c r="AB321" s="37"/>
    </row>
    <row r="322" spans="26:28" ht="13" x14ac:dyDescent="0.15">
      <c r="Z322" s="37"/>
      <c r="AA322" s="37"/>
      <c r="AB322" s="37"/>
    </row>
    <row r="323" spans="26:28" ht="13" x14ac:dyDescent="0.15">
      <c r="Z323" s="37"/>
      <c r="AA323" s="37"/>
      <c r="AB323" s="37"/>
    </row>
    <row r="324" spans="26:28" ht="13" x14ac:dyDescent="0.15">
      <c r="Z324" s="37"/>
      <c r="AA324" s="37"/>
      <c r="AB324" s="37"/>
    </row>
    <row r="325" spans="26:28" ht="13" x14ac:dyDescent="0.15">
      <c r="Z325" s="37"/>
      <c r="AA325" s="37"/>
      <c r="AB325" s="37"/>
    </row>
    <row r="326" spans="26:28" ht="13" x14ac:dyDescent="0.15">
      <c r="Z326" s="37"/>
      <c r="AA326" s="37"/>
      <c r="AB326" s="37"/>
    </row>
    <row r="327" spans="26:28" ht="13" x14ac:dyDescent="0.15">
      <c r="Z327" s="37"/>
      <c r="AA327" s="37"/>
      <c r="AB327" s="37"/>
    </row>
    <row r="328" spans="26:28" ht="13" x14ac:dyDescent="0.15">
      <c r="Z328" s="37"/>
      <c r="AA328" s="37"/>
      <c r="AB328" s="37"/>
    </row>
    <row r="329" spans="26:28" ht="13" x14ac:dyDescent="0.15">
      <c r="Z329" s="37"/>
      <c r="AA329" s="37"/>
      <c r="AB329" s="37"/>
    </row>
    <row r="330" spans="26:28" ht="13" x14ac:dyDescent="0.15">
      <c r="Z330" s="37"/>
      <c r="AA330" s="37"/>
      <c r="AB330" s="37"/>
    </row>
    <row r="331" spans="26:28" ht="13" x14ac:dyDescent="0.15">
      <c r="Z331" s="37"/>
      <c r="AA331" s="37"/>
      <c r="AB331" s="37"/>
    </row>
    <row r="332" spans="26:28" ht="13" x14ac:dyDescent="0.15">
      <c r="Z332" s="37"/>
      <c r="AA332" s="37"/>
      <c r="AB332" s="37"/>
    </row>
    <row r="333" spans="26:28" ht="13" x14ac:dyDescent="0.15">
      <c r="Z333" s="37"/>
      <c r="AA333" s="37"/>
      <c r="AB333" s="37"/>
    </row>
    <row r="334" spans="26:28" ht="13" x14ac:dyDescent="0.15">
      <c r="Z334" s="37"/>
      <c r="AA334" s="37"/>
      <c r="AB334" s="37"/>
    </row>
    <row r="335" spans="26:28" ht="13" x14ac:dyDescent="0.15">
      <c r="Z335" s="37"/>
      <c r="AA335" s="37"/>
      <c r="AB335" s="37"/>
    </row>
    <row r="336" spans="26:28" ht="13" x14ac:dyDescent="0.15">
      <c r="Z336" s="37"/>
      <c r="AA336" s="37"/>
      <c r="AB336" s="37"/>
    </row>
    <row r="337" spans="26:28" ht="13" x14ac:dyDescent="0.15">
      <c r="Z337" s="37"/>
      <c r="AA337" s="37"/>
      <c r="AB337" s="37"/>
    </row>
    <row r="338" spans="26:28" ht="13" x14ac:dyDescent="0.15">
      <c r="Z338" s="37"/>
      <c r="AA338" s="37"/>
      <c r="AB338" s="37"/>
    </row>
    <row r="339" spans="26:28" ht="13" x14ac:dyDescent="0.15">
      <c r="Z339" s="37"/>
      <c r="AA339" s="37"/>
      <c r="AB339" s="37"/>
    </row>
    <row r="340" spans="26:28" ht="13" x14ac:dyDescent="0.15">
      <c r="Z340" s="37"/>
      <c r="AA340" s="37"/>
      <c r="AB340" s="37"/>
    </row>
    <row r="341" spans="26:28" ht="13" x14ac:dyDescent="0.15">
      <c r="Z341" s="37"/>
      <c r="AA341" s="37"/>
      <c r="AB341" s="37"/>
    </row>
    <row r="342" spans="26:28" ht="13" x14ac:dyDescent="0.15">
      <c r="Z342" s="37"/>
      <c r="AA342" s="37"/>
      <c r="AB342" s="37"/>
    </row>
    <row r="343" spans="26:28" ht="13" x14ac:dyDescent="0.15">
      <c r="Z343" s="37"/>
      <c r="AA343" s="37"/>
      <c r="AB343" s="37"/>
    </row>
    <row r="344" spans="26:28" ht="13" x14ac:dyDescent="0.15">
      <c r="Z344" s="37"/>
      <c r="AA344" s="37"/>
      <c r="AB344" s="37"/>
    </row>
    <row r="345" spans="26:28" ht="13" x14ac:dyDescent="0.15">
      <c r="Z345" s="37"/>
      <c r="AA345" s="37"/>
      <c r="AB345" s="37"/>
    </row>
    <row r="346" spans="26:28" ht="13" x14ac:dyDescent="0.15">
      <c r="Z346" s="37"/>
      <c r="AA346" s="37"/>
      <c r="AB346" s="37"/>
    </row>
    <row r="347" spans="26:28" ht="13" x14ac:dyDescent="0.15">
      <c r="Z347" s="37"/>
      <c r="AA347" s="37"/>
      <c r="AB347" s="37"/>
    </row>
    <row r="348" spans="26:28" ht="13" x14ac:dyDescent="0.15">
      <c r="Z348" s="37"/>
      <c r="AA348" s="37"/>
      <c r="AB348" s="37"/>
    </row>
    <row r="349" spans="26:28" ht="13" x14ac:dyDescent="0.15">
      <c r="Z349" s="37"/>
      <c r="AA349" s="37"/>
      <c r="AB349" s="37"/>
    </row>
    <row r="350" spans="26:28" ht="13" x14ac:dyDescent="0.15">
      <c r="Z350" s="37"/>
      <c r="AA350" s="37"/>
      <c r="AB350" s="37"/>
    </row>
    <row r="351" spans="26:28" ht="13" x14ac:dyDescent="0.15">
      <c r="Z351" s="37"/>
      <c r="AA351" s="37"/>
      <c r="AB351" s="37"/>
    </row>
    <row r="352" spans="26:28" ht="13" x14ac:dyDescent="0.15">
      <c r="Z352" s="37"/>
      <c r="AA352" s="37"/>
      <c r="AB352" s="37"/>
    </row>
    <row r="353" spans="26:28" ht="13" x14ac:dyDescent="0.15">
      <c r="Z353" s="37"/>
      <c r="AA353" s="37"/>
      <c r="AB353" s="37"/>
    </row>
    <row r="354" spans="26:28" ht="13" x14ac:dyDescent="0.15">
      <c r="Z354" s="37"/>
      <c r="AA354" s="37"/>
      <c r="AB354" s="37"/>
    </row>
    <row r="355" spans="26:28" ht="13" x14ac:dyDescent="0.15">
      <c r="Z355" s="37"/>
      <c r="AA355" s="37"/>
      <c r="AB355" s="37"/>
    </row>
    <row r="356" spans="26:28" ht="13" x14ac:dyDescent="0.15">
      <c r="Z356" s="37"/>
      <c r="AA356" s="37"/>
      <c r="AB356" s="37"/>
    </row>
    <row r="357" spans="26:28" ht="13" x14ac:dyDescent="0.15">
      <c r="Z357" s="37"/>
      <c r="AA357" s="37"/>
      <c r="AB357" s="37"/>
    </row>
    <row r="358" spans="26:28" ht="13" x14ac:dyDescent="0.15">
      <c r="Z358" s="37"/>
      <c r="AA358" s="37"/>
      <c r="AB358" s="37"/>
    </row>
    <row r="359" spans="26:28" ht="13" x14ac:dyDescent="0.15">
      <c r="Z359" s="37"/>
      <c r="AA359" s="37"/>
      <c r="AB359" s="37"/>
    </row>
    <row r="360" spans="26:28" ht="13" x14ac:dyDescent="0.15">
      <c r="Z360" s="37"/>
      <c r="AA360" s="37"/>
      <c r="AB360" s="37"/>
    </row>
    <row r="361" spans="26:28" ht="13" x14ac:dyDescent="0.15">
      <c r="Z361" s="37"/>
      <c r="AA361" s="37"/>
      <c r="AB361" s="37"/>
    </row>
    <row r="362" spans="26:28" ht="13" x14ac:dyDescent="0.15">
      <c r="Z362" s="37"/>
      <c r="AA362" s="37"/>
      <c r="AB362" s="37"/>
    </row>
    <row r="363" spans="26:28" ht="13" x14ac:dyDescent="0.15">
      <c r="Z363" s="37"/>
      <c r="AA363" s="37"/>
      <c r="AB363" s="37"/>
    </row>
    <row r="364" spans="26:28" ht="13" x14ac:dyDescent="0.15">
      <c r="Z364" s="37"/>
      <c r="AA364" s="37"/>
      <c r="AB364" s="37"/>
    </row>
    <row r="365" spans="26:28" ht="13" x14ac:dyDescent="0.15">
      <c r="Z365" s="37"/>
      <c r="AA365" s="37"/>
      <c r="AB365" s="37"/>
    </row>
    <row r="366" spans="26:28" ht="13" x14ac:dyDescent="0.15">
      <c r="Z366" s="37"/>
      <c r="AA366" s="37"/>
      <c r="AB366" s="37"/>
    </row>
    <row r="367" spans="26:28" ht="13" x14ac:dyDescent="0.15">
      <c r="Z367" s="37"/>
      <c r="AA367" s="37"/>
      <c r="AB367" s="37"/>
    </row>
    <row r="368" spans="26:28" ht="13" x14ac:dyDescent="0.15">
      <c r="Z368" s="37"/>
      <c r="AA368" s="37"/>
      <c r="AB368" s="37"/>
    </row>
    <row r="369" spans="26:28" ht="13" x14ac:dyDescent="0.15">
      <c r="Z369" s="37"/>
      <c r="AA369" s="37"/>
      <c r="AB369" s="37"/>
    </row>
    <row r="370" spans="26:28" ht="13" x14ac:dyDescent="0.15">
      <c r="Z370" s="37"/>
      <c r="AA370" s="37"/>
      <c r="AB370" s="37"/>
    </row>
    <row r="371" spans="26:28" ht="13" x14ac:dyDescent="0.15">
      <c r="Z371" s="37"/>
      <c r="AA371" s="37"/>
      <c r="AB371" s="37"/>
    </row>
    <row r="372" spans="26:28" ht="13" x14ac:dyDescent="0.15">
      <c r="Z372" s="37"/>
      <c r="AA372" s="37"/>
      <c r="AB372" s="37"/>
    </row>
    <row r="373" spans="26:28" ht="13" x14ac:dyDescent="0.15">
      <c r="Z373" s="37"/>
      <c r="AA373" s="37"/>
      <c r="AB373" s="37"/>
    </row>
    <row r="374" spans="26:28" ht="13" x14ac:dyDescent="0.15">
      <c r="Z374" s="37"/>
      <c r="AA374" s="37"/>
      <c r="AB374" s="37"/>
    </row>
    <row r="375" spans="26:28" ht="13" x14ac:dyDescent="0.15">
      <c r="Z375" s="37"/>
      <c r="AA375" s="37"/>
      <c r="AB375" s="37"/>
    </row>
    <row r="376" spans="26:28" ht="13" x14ac:dyDescent="0.15">
      <c r="Z376" s="37"/>
      <c r="AA376" s="37"/>
      <c r="AB376" s="37"/>
    </row>
    <row r="377" spans="26:28" ht="13" x14ac:dyDescent="0.15">
      <c r="Z377" s="37"/>
      <c r="AA377" s="37"/>
      <c r="AB377" s="37"/>
    </row>
    <row r="378" spans="26:28" ht="13" x14ac:dyDescent="0.15">
      <c r="Z378" s="37"/>
      <c r="AA378" s="37"/>
      <c r="AB378" s="37"/>
    </row>
    <row r="379" spans="26:28" ht="13" x14ac:dyDescent="0.15">
      <c r="Z379" s="37"/>
      <c r="AA379" s="37"/>
      <c r="AB379" s="37"/>
    </row>
    <row r="380" spans="26:28" ht="13" x14ac:dyDescent="0.15">
      <c r="Z380" s="37"/>
      <c r="AA380" s="37"/>
      <c r="AB380" s="37"/>
    </row>
    <row r="381" spans="26:28" ht="13" x14ac:dyDescent="0.15">
      <c r="Z381" s="37"/>
      <c r="AA381" s="37"/>
      <c r="AB381" s="37"/>
    </row>
    <row r="382" spans="26:28" ht="13" x14ac:dyDescent="0.15">
      <c r="Z382" s="37"/>
      <c r="AA382" s="37"/>
      <c r="AB382" s="37"/>
    </row>
    <row r="383" spans="26:28" ht="13" x14ac:dyDescent="0.15">
      <c r="Z383" s="37"/>
      <c r="AA383" s="37"/>
      <c r="AB383" s="37"/>
    </row>
    <row r="384" spans="26:28" ht="13" x14ac:dyDescent="0.15">
      <c r="Z384" s="37"/>
      <c r="AA384" s="37"/>
      <c r="AB384" s="37"/>
    </row>
    <row r="385" spans="26:28" ht="13" x14ac:dyDescent="0.15">
      <c r="Z385" s="37"/>
      <c r="AA385" s="37"/>
      <c r="AB385" s="37"/>
    </row>
    <row r="386" spans="26:28" ht="13" x14ac:dyDescent="0.15">
      <c r="Z386" s="37"/>
      <c r="AA386" s="37"/>
      <c r="AB386" s="37"/>
    </row>
    <row r="387" spans="26:28" ht="13" x14ac:dyDescent="0.15">
      <c r="Z387" s="37"/>
      <c r="AA387" s="37"/>
      <c r="AB387" s="37"/>
    </row>
    <row r="388" spans="26:28" ht="13" x14ac:dyDescent="0.15">
      <c r="Z388" s="37"/>
      <c r="AA388" s="37"/>
      <c r="AB388" s="37"/>
    </row>
    <row r="389" spans="26:28" ht="13" x14ac:dyDescent="0.15">
      <c r="Z389" s="37"/>
      <c r="AA389" s="37"/>
      <c r="AB389" s="37"/>
    </row>
    <row r="390" spans="26:28" ht="13" x14ac:dyDescent="0.15">
      <c r="Z390" s="37"/>
      <c r="AA390" s="37"/>
      <c r="AB390" s="37"/>
    </row>
    <row r="391" spans="26:28" ht="13" x14ac:dyDescent="0.15">
      <c r="Z391" s="37"/>
      <c r="AA391" s="37"/>
      <c r="AB391" s="37"/>
    </row>
    <row r="392" spans="26:28" ht="13" x14ac:dyDescent="0.15">
      <c r="Z392" s="37"/>
      <c r="AA392" s="37"/>
      <c r="AB392" s="37"/>
    </row>
    <row r="393" spans="26:28" ht="13" x14ac:dyDescent="0.15">
      <c r="Z393" s="37"/>
      <c r="AA393" s="37"/>
      <c r="AB393" s="37"/>
    </row>
    <row r="394" spans="26:28" ht="13" x14ac:dyDescent="0.15">
      <c r="Z394" s="37"/>
      <c r="AA394" s="37"/>
      <c r="AB394" s="37"/>
    </row>
    <row r="395" spans="26:28" ht="13" x14ac:dyDescent="0.15">
      <c r="Z395" s="37"/>
      <c r="AA395" s="37"/>
      <c r="AB395" s="37"/>
    </row>
    <row r="396" spans="26:28" ht="13" x14ac:dyDescent="0.15">
      <c r="Z396" s="37"/>
      <c r="AA396" s="37"/>
      <c r="AB396" s="37"/>
    </row>
    <row r="397" spans="26:28" ht="13" x14ac:dyDescent="0.15">
      <c r="Z397" s="37"/>
      <c r="AA397" s="37"/>
      <c r="AB397" s="37"/>
    </row>
    <row r="398" spans="26:28" ht="13" x14ac:dyDescent="0.15">
      <c r="Z398" s="37"/>
      <c r="AA398" s="37"/>
      <c r="AB398" s="37"/>
    </row>
    <row r="399" spans="26:28" ht="13" x14ac:dyDescent="0.15">
      <c r="Z399" s="37"/>
      <c r="AA399" s="37"/>
      <c r="AB399" s="37"/>
    </row>
    <row r="400" spans="26:28" ht="13" x14ac:dyDescent="0.15">
      <c r="Z400" s="37"/>
      <c r="AA400" s="37"/>
      <c r="AB400" s="37"/>
    </row>
    <row r="401" spans="26:28" ht="13" x14ac:dyDescent="0.15">
      <c r="Z401" s="37"/>
      <c r="AA401" s="37"/>
      <c r="AB401" s="37"/>
    </row>
    <row r="402" spans="26:28" ht="13" x14ac:dyDescent="0.15">
      <c r="Z402" s="37"/>
      <c r="AA402" s="37"/>
      <c r="AB402" s="37"/>
    </row>
    <row r="403" spans="26:28" ht="13" x14ac:dyDescent="0.15">
      <c r="Z403" s="37"/>
      <c r="AA403" s="37"/>
      <c r="AB403" s="37"/>
    </row>
    <row r="404" spans="26:28" ht="13" x14ac:dyDescent="0.15">
      <c r="Z404" s="37"/>
      <c r="AA404" s="37"/>
      <c r="AB404" s="37"/>
    </row>
    <row r="405" spans="26:28" ht="13" x14ac:dyDescent="0.15">
      <c r="Z405" s="37"/>
      <c r="AA405" s="37"/>
      <c r="AB405" s="37"/>
    </row>
    <row r="406" spans="26:28" ht="13" x14ac:dyDescent="0.15">
      <c r="Z406" s="37"/>
      <c r="AA406" s="37"/>
      <c r="AB406" s="37"/>
    </row>
    <row r="407" spans="26:28" ht="13" x14ac:dyDescent="0.15">
      <c r="Z407" s="37"/>
      <c r="AA407" s="37"/>
      <c r="AB407" s="37"/>
    </row>
    <row r="408" spans="26:28" ht="13" x14ac:dyDescent="0.15">
      <c r="Z408" s="37"/>
      <c r="AA408" s="37"/>
      <c r="AB408" s="37"/>
    </row>
    <row r="409" spans="26:28" ht="13" x14ac:dyDescent="0.15">
      <c r="Z409" s="37"/>
      <c r="AA409" s="37"/>
      <c r="AB409" s="37"/>
    </row>
    <row r="410" spans="26:28" ht="13" x14ac:dyDescent="0.15">
      <c r="Z410" s="37"/>
      <c r="AA410" s="37"/>
      <c r="AB410" s="37"/>
    </row>
    <row r="411" spans="26:28" ht="13" x14ac:dyDescent="0.15">
      <c r="Z411" s="37"/>
      <c r="AA411" s="37"/>
      <c r="AB411" s="37"/>
    </row>
    <row r="412" spans="26:28" ht="13" x14ac:dyDescent="0.15">
      <c r="Z412" s="37"/>
      <c r="AA412" s="37"/>
      <c r="AB412" s="37"/>
    </row>
    <row r="413" spans="26:28" ht="13" x14ac:dyDescent="0.15">
      <c r="Z413" s="37"/>
      <c r="AA413" s="37"/>
      <c r="AB413" s="37"/>
    </row>
    <row r="414" spans="26:28" ht="13" x14ac:dyDescent="0.15">
      <c r="Z414" s="37"/>
      <c r="AA414" s="37"/>
      <c r="AB414" s="37"/>
    </row>
    <row r="415" spans="26:28" ht="13" x14ac:dyDescent="0.15">
      <c r="Z415" s="37"/>
      <c r="AA415" s="37"/>
      <c r="AB415" s="37"/>
    </row>
    <row r="416" spans="26:28" ht="13" x14ac:dyDescent="0.15">
      <c r="Z416" s="37"/>
      <c r="AA416" s="37"/>
      <c r="AB416" s="37"/>
    </row>
    <row r="417" spans="26:28" ht="13" x14ac:dyDescent="0.15">
      <c r="Z417" s="37"/>
      <c r="AA417" s="37"/>
      <c r="AB417" s="37"/>
    </row>
    <row r="418" spans="26:28" ht="13" x14ac:dyDescent="0.15">
      <c r="Z418" s="37"/>
      <c r="AA418" s="37"/>
      <c r="AB418" s="37"/>
    </row>
    <row r="419" spans="26:28" ht="13" x14ac:dyDescent="0.15">
      <c r="Z419" s="37"/>
      <c r="AA419" s="37"/>
      <c r="AB419" s="37"/>
    </row>
    <row r="420" spans="26:28" ht="13" x14ac:dyDescent="0.15">
      <c r="Z420" s="37"/>
      <c r="AA420" s="37"/>
      <c r="AB420" s="37"/>
    </row>
    <row r="421" spans="26:28" ht="13" x14ac:dyDescent="0.15">
      <c r="Z421" s="37"/>
      <c r="AA421" s="37"/>
      <c r="AB421" s="37"/>
    </row>
    <row r="422" spans="26:28" ht="13" x14ac:dyDescent="0.15">
      <c r="Z422" s="37"/>
      <c r="AA422" s="37"/>
      <c r="AB422" s="37"/>
    </row>
    <row r="423" spans="26:28" ht="13" x14ac:dyDescent="0.15">
      <c r="Z423" s="37"/>
      <c r="AA423" s="37"/>
      <c r="AB423" s="37"/>
    </row>
    <row r="424" spans="26:28" ht="13" x14ac:dyDescent="0.15">
      <c r="Z424" s="37"/>
      <c r="AA424" s="37"/>
      <c r="AB424" s="37"/>
    </row>
    <row r="425" spans="26:28" ht="13" x14ac:dyDescent="0.15">
      <c r="Z425" s="37"/>
      <c r="AA425" s="37"/>
      <c r="AB425" s="37"/>
    </row>
    <row r="426" spans="26:28" ht="13" x14ac:dyDescent="0.15">
      <c r="Z426" s="37"/>
      <c r="AA426" s="37"/>
      <c r="AB426" s="37"/>
    </row>
    <row r="427" spans="26:28" ht="13" x14ac:dyDescent="0.15">
      <c r="Z427" s="37"/>
      <c r="AA427" s="37"/>
      <c r="AB427" s="37"/>
    </row>
    <row r="428" spans="26:28" ht="13" x14ac:dyDescent="0.15">
      <c r="Z428" s="37"/>
      <c r="AA428" s="37"/>
      <c r="AB428" s="37"/>
    </row>
    <row r="429" spans="26:28" ht="13" x14ac:dyDescent="0.15">
      <c r="Z429" s="37"/>
      <c r="AA429" s="37"/>
      <c r="AB429" s="37"/>
    </row>
    <row r="430" spans="26:28" ht="13" x14ac:dyDescent="0.15">
      <c r="Z430" s="37"/>
      <c r="AA430" s="37"/>
      <c r="AB430" s="37"/>
    </row>
    <row r="431" spans="26:28" ht="13" x14ac:dyDescent="0.15">
      <c r="Z431" s="37"/>
      <c r="AA431" s="37"/>
      <c r="AB431" s="37"/>
    </row>
    <row r="432" spans="26:28" ht="13" x14ac:dyDescent="0.15">
      <c r="Z432" s="37"/>
      <c r="AA432" s="37"/>
      <c r="AB432" s="37"/>
    </row>
    <row r="433" spans="26:28" ht="13" x14ac:dyDescent="0.15">
      <c r="Z433" s="37"/>
      <c r="AA433" s="37"/>
      <c r="AB433" s="37"/>
    </row>
    <row r="434" spans="26:28" ht="13" x14ac:dyDescent="0.15">
      <c r="Z434" s="37"/>
      <c r="AA434" s="37"/>
      <c r="AB434" s="37"/>
    </row>
    <row r="435" spans="26:28" ht="13" x14ac:dyDescent="0.15">
      <c r="Z435" s="37"/>
      <c r="AA435" s="37"/>
      <c r="AB435" s="37"/>
    </row>
    <row r="436" spans="26:28" ht="13" x14ac:dyDescent="0.15">
      <c r="Z436" s="37"/>
      <c r="AA436" s="37"/>
      <c r="AB436" s="37"/>
    </row>
    <row r="437" spans="26:28" ht="13" x14ac:dyDescent="0.15">
      <c r="Z437" s="37"/>
      <c r="AA437" s="37"/>
      <c r="AB437" s="37"/>
    </row>
    <row r="438" spans="26:28" ht="13" x14ac:dyDescent="0.15">
      <c r="Z438" s="37"/>
      <c r="AA438" s="37"/>
      <c r="AB438" s="37"/>
    </row>
    <row r="439" spans="26:28" ht="13" x14ac:dyDescent="0.15">
      <c r="Z439" s="37"/>
      <c r="AA439" s="37"/>
      <c r="AB439" s="37"/>
    </row>
    <row r="440" spans="26:28" ht="13" x14ac:dyDescent="0.15">
      <c r="Z440" s="37"/>
      <c r="AA440" s="37"/>
      <c r="AB440" s="37"/>
    </row>
    <row r="441" spans="26:28" ht="13" x14ac:dyDescent="0.15">
      <c r="Z441" s="37"/>
      <c r="AA441" s="37"/>
      <c r="AB441" s="37"/>
    </row>
    <row r="442" spans="26:28" ht="13" x14ac:dyDescent="0.15">
      <c r="Z442" s="37"/>
      <c r="AA442" s="37"/>
      <c r="AB442" s="37"/>
    </row>
    <row r="443" spans="26:28" ht="13" x14ac:dyDescent="0.15">
      <c r="Z443" s="37"/>
      <c r="AA443" s="37"/>
      <c r="AB443" s="37"/>
    </row>
    <row r="444" spans="26:28" ht="13" x14ac:dyDescent="0.15">
      <c r="Z444" s="37"/>
      <c r="AA444" s="37"/>
      <c r="AB444" s="37"/>
    </row>
    <row r="445" spans="26:28" ht="13" x14ac:dyDescent="0.15">
      <c r="Z445" s="37"/>
      <c r="AA445" s="37"/>
      <c r="AB445" s="37"/>
    </row>
    <row r="446" spans="26:28" ht="13" x14ac:dyDescent="0.15">
      <c r="Z446" s="37"/>
      <c r="AA446" s="37"/>
      <c r="AB446" s="37"/>
    </row>
    <row r="447" spans="26:28" ht="13" x14ac:dyDescent="0.15">
      <c r="Z447" s="37"/>
      <c r="AA447" s="37"/>
      <c r="AB447" s="37"/>
    </row>
    <row r="448" spans="26:28" ht="13" x14ac:dyDescent="0.15">
      <c r="Z448" s="37"/>
      <c r="AA448" s="37"/>
      <c r="AB448" s="37"/>
    </row>
    <row r="449" spans="26:28" ht="13" x14ac:dyDescent="0.15">
      <c r="Z449" s="37"/>
      <c r="AA449" s="37"/>
      <c r="AB449" s="37"/>
    </row>
    <row r="450" spans="26:28" ht="13" x14ac:dyDescent="0.15">
      <c r="Z450" s="37"/>
      <c r="AA450" s="37"/>
      <c r="AB450" s="37"/>
    </row>
    <row r="451" spans="26:28" ht="13" x14ac:dyDescent="0.15">
      <c r="Z451" s="37"/>
      <c r="AA451" s="37"/>
      <c r="AB451" s="37"/>
    </row>
    <row r="452" spans="26:28" ht="13" x14ac:dyDescent="0.15">
      <c r="Z452" s="37"/>
      <c r="AA452" s="37"/>
      <c r="AB452" s="37"/>
    </row>
    <row r="453" spans="26:28" ht="13" x14ac:dyDescent="0.15">
      <c r="Z453" s="37"/>
      <c r="AA453" s="37"/>
      <c r="AB453" s="37"/>
    </row>
    <row r="454" spans="26:28" ht="13" x14ac:dyDescent="0.15">
      <c r="Z454" s="37"/>
      <c r="AA454" s="37"/>
      <c r="AB454" s="37"/>
    </row>
    <row r="455" spans="26:28" ht="13" x14ac:dyDescent="0.15">
      <c r="Z455" s="37"/>
      <c r="AA455" s="37"/>
      <c r="AB455" s="37"/>
    </row>
    <row r="456" spans="26:28" ht="13" x14ac:dyDescent="0.15">
      <c r="Z456" s="37"/>
      <c r="AA456" s="37"/>
      <c r="AB456" s="37"/>
    </row>
    <row r="457" spans="26:28" ht="13" x14ac:dyDescent="0.15">
      <c r="Z457" s="37"/>
      <c r="AA457" s="37"/>
      <c r="AB457" s="37"/>
    </row>
    <row r="458" spans="26:28" ht="13" x14ac:dyDescent="0.15">
      <c r="Z458" s="37"/>
      <c r="AA458" s="37"/>
      <c r="AB458" s="37"/>
    </row>
    <row r="459" spans="26:28" ht="13" x14ac:dyDescent="0.15">
      <c r="Z459" s="37"/>
      <c r="AA459" s="37"/>
      <c r="AB459" s="37"/>
    </row>
    <row r="460" spans="26:28" ht="13" x14ac:dyDescent="0.15">
      <c r="Z460" s="37"/>
      <c r="AA460" s="37"/>
      <c r="AB460" s="37"/>
    </row>
    <row r="461" spans="26:28" ht="13" x14ac:dyDescent="0.15">
      <c r="Z461" s="37"/>
      <c r="AA461" s="37"/>
      <c r="AB461" s="37"/>
    </row>
    <row r="462" spans="26:28" ht="13" x14ac:dyDescent="0.15">
      <c r="Z462" s="37"/>
      <c r="AA462" s="37"/>
      <c r="AB462" s="37"/>
    </row>
    <row r="463" spans="26:28" ht="13" x14ac:dyDescent="0.15">
      <c r="Z463" s="37"/>
      <c r="AA463" s="37"/>
      <c r="AB463" s="37"/>
    </row>
    <row r="464" spans="26:28" ht="13" x14ac:dyDescent="0.15">
      <c r="Z464" s="37"/>
      <c r="AA464" s="37"/>
      <c r="AB464" s="37"/>
    </row>
    <row r="465" spans="26:28" ht="13" x14ac:dyDescent="0.15">
      <c r="Z465" s="37"/>
      <c r="AA465" s="37"/>
      <c r="AB465" s="37"/>
    </row>
    <row r="466" spans="26:28" ht="13" x14ac:dyDescent="0.15">
      <c r="Z466" s="37"/>
      <c r="AA466" s="37"/>
      <c r="AB466" s="37"/>
    </row>
    <row r="467" spans="26:28" ht="13" x14ac:dyDescent="0.15">
      <c r="Z467" s="37"/>
      <c r="AA467" s="37"/>
      <c r="AB467" s="37"/>
    </row>
    <row r="468" spans="26:28" ht="13" x14ac:dyDescent="0.15">
      <c r="Z468" s="37"/>
      <c r="AA468" s="37"/>
      <c r="AB468" s="37"/>
    </row>
    <row r="469" spans="26:28" ht="13" x14ac:dyDescent="0.15">
      <c r="Z469" s="37"/>
      <c r="AA469" s="37"/>
      <c r="AB469" s="37"/>
    </row>
    <row r="470" spans="26:28" ht="13" x14ac:dyDescent="0.15">
      <c r="Z470" s="37"/>
      <c r="AA470" s="37"/>
      <c r="AB470" s="37"/>
    </row>
    <row r="471" spans="26:28" ht="13" x14ac:dyDescent="0.15">
      <c r="Z471" s="37"/>
      <c r="AA471" s="37"/>
      <c r="AB471" s="37"/>
    </row>
    <row r="472" spans="26:28" ht="13" x14ac:dyDescent="0.15">
      <c r="Z472" s="37"/>
      <c r="AA472" s="37"/>
      <c r="AB472" s="37"/>
    </row>
    <row r="473" spans="26:28" ht="13" x14ac:dyDescent="0.15">
      <c r="Z473" s="37"/>
      <c r="AA473" s="37"/>
      <c r="AB473" s="37"/>
    </row>
    <row r="474" spans="26:28" ht="13" x14ac:dyDescent="0.15">
      <c r="Z474" s="37"/>
      <c r="AA474" s="37"/>
      <c r="AB474" s="37"/>
    </row>
    <row r="475" spans="26:28" ht="13" x14ac:dyDescent="0.15">
      <c r="Z475" s="37"/>
      <c r="AA475" s="37"/>
      <c r="AB475" s="37"/>
    </row>
    <row r="476" spans="26:28" ht="13" x14ac:dyDescent="0.15">
      <c r="Z476" s="37"/>
      <c r="AA476" s="37"/>
      <c r="AB476" s="37"/>
    </row>
    <row r="477" spans="26:28" ht="13" x14ac:dyDescent="0.15">
      <c r="Z477" s="37"/>
      <c r="AA477" s="37"/>
      <c r="AB477" s="37"/>
    </row>
    <row r="478" spans="26:28" ht="13" x14ac:dyDescent="0.15">
      <c r="Z478" s="37"/>
      <c r="AA478" s="37"/>
      <c r="AB478" s="37"/>
    </row>
    <row r="479" spans="26:28" ht="13" x14ac:dyDescent="0.15">
      <c r="Z479" s="37"/>
      <c r="AA479" s="37"/>
      <c r="AB479" s="37"/>
    </row>
    <row r="480" spans="26:28" ht="13" x14ac:dyDescent="0.15">
      <c r="Z480" s="37"/>
      <c r="AA480" s="37"/>
      <c r="AB480" s="37"/>
    </row>
    <row r="481" spans="26:28" ht="13" x14ac:dyDescent="0.15">
      <c r="Z481" s="37"/>
      <c r="AA481" s="37"/>
      <c r="AB481" s="37"/>
    </row>
    <row r="482" spans="26:28" ht="13" x14ac:dyDescent="0.15">
      <c r="Z482" s="37"/>
      <c r="AA482" s="37"/>
      <c r="AB482" s="37"/>
    </row>
    <row r="483" spans="26:28" ht="13" x14ac:dyDescent="0.15">
      <c r="Z483" s="37"/>
      <c r="AA483" s="37"/>
      <c r="AB483" s="37"/>
    </row>
    <row r="484" spans="26:28" ht="13" x14ac:dyDescent="0.15">
      <c r="Z484" s="37"/>
      <c r="AA484" s="37"/>
      <c r="AB484" s="37"/>
    </row>
    <row r="485" spans="26:28" ht="13" x14ac:dyDescent="0.15">
      <c r="Z485" s="37"/>
      <c r="AA485" s="37"/>
      <c r="AB485" s="37"/>
    </row>
    <row r="486" spans="26:28" ht="13" x14ac:dyDescent="0.15">
      <c r="Z486" s="37"/>
      <c r="AA486" s="37"/>
      <c r="AB486" s="37"/>
    </row>
    <row r="487" spans="26:28" ht="13" x14ac:dyDescent="0.15">
      <c r="Z487" s="37"/>
      <c r="AA487" s="37"/>
      <c r="AB487" s="37"/>
    </row>
    <row r="488" spans="26:28" ht="13" x14ac:dyDescent="0.15">
      <c r="Z488" s="37"/>
      <c r="AA488" s="37"/>
      <c r="AB488" s="37"/>
    </row>
    <row r="489" spans="26:28" ht="13" x14ac:dyDescent="0.15">
      <c r="Z489" s="37"/>
      <c r="AA489" s="37"/>
      <c r="AB489" s="37"/>
    </row>
    <row r="490" spans="26:28" ht="13" x14ac:dyDescent="0.15">
      <c r="Z490" s="37"/>
      <c r="AA490" s="37"/>
      <c r="AB490" s="37"/>
    </row>
    <row r="491" spans="26:28" ht="13" x14ac:dyDescent="0.15">
      <c r="Z491" s="37"/>
      <c r="AA491" s="37"/>
      <c r="AB491" s="37"/>
    </row>
    <row r="492" spans="26:28" ht="13" x14ac:dyDescent="0.15">
      <c r="Z492" s="37"/>
      <c r="AA492" s="37"/>
      <c r="AB492" s="37"/>
    </row>
    <row r="493" spans="26:28" ht="13" x14ac:dyDescent="0.15">
      <c r="Z493" s="37"/>
      <c r="AA493" s="37"/>
      <c r="AB493" s="37"/>
    </row>
    <row r="494" spans="26:28" ht="13" x14ac:dyDescent="0.15">
      <c r="Z494" s="37"/>
      <c r="AA494" s="37"/>
      <c r="AB494" s="37"/>
    </row>
    <row r="495" spans="26:28" ht="13" x14ac:dyDescent="0.15">
      <c r="Z495" s="37"/>
      <c r="AA495" s="37"/>
      <c r="AB495" s="37"/>
    </row>
    <row r="496" spans="26:28" ht="13" x14ac:dyDescent="0.15">
      <c r="Z496" s="37"/>
      <c r="AA496" s="37"/>
      <c r="AB496" s="37"/>
    </row>
    <row r="497" spans="26:28" ht="13" x14ac:dyDescent="0.15">
      <c r="Z497" s="37"/>
      <c r="AA497" s="37"/>
      <c r="AB497" s="37"/>
    </row>
    <row r="498" spans="26:28" ht="13" x14ac:dyDescent="0.15">
      <c r="Z498" s="37"/>
      <c r="AA498" s="37"/>
      <c r="AB498" s="37"/>
    </row>
    <row r="499" spans="26:28" ht="13" x14ac:dyDescent="0.15">
      <c r="Z499" s="37"/>
      <c r="AA499" s="37"/>
      <c r="AB499" s="37"/>
    </row>
    <row r="500" spans="26:28" ht="13" x14ac:dyDescent="0.15">
      <c r="Z500" s="37"/>
      <c r="AA500" s="37"/>
      <c r="AB500" s="37"/>
    </row>
    <row r="501" spans="26:28" ht="13" x14ac:dyDescent="0.15">
      <c r="Z501" s="37"/>
      <c r="AA501" s="37"/>
      <c r="AB501" s="37"/>
    </row>
    <row r="502" spans="26:28" ht="13" x14ac:dyDescent="0.15">
      <c r="Z502" s="37"/>
      <c r="AA502" s="37"/>
      <c r="AB502" s="37"/>
    </row>
    <row r="503" spans="26:28" ht="13" x14ac:dyDescent="0.15">
      <c r="Z503" s="37"/>
      <c r="AA503" s="37"/>
      <c r="AB503" s="37"/>
    </row>
    <row r="504" spans="26:28" ht="13" x14ac:dyDescent="0.15">
      <c r="Z504" s="37"/>
      <c r="AA504" s="37"/>
      <c r="AB504" s="37"/>
    </row>
    <row r="505" spans="26:28" ht="13" x14ac:dyDescent="0.15">
      <c r="Z505" s="37"/>
      <c r="AA505" s="37"/>
      <c r="AB505" s="37"/>
    </row>
    <row r="506" spans="26:28" ht="13" x14ac:dyDescent="0.15">
      <c r="Z506" s="37"/>
      <c r="AA506" s="37"/>
      <c r="AB506" s="37"/>
    </row>
    <row r="507" spans="26:28" ht="13" x14ac:dyDescent="0.15">
      <c r="Z507" s="37"/>
      <c r="AA507" s="37"/>
      <c r="AB507" s="37"/>
    </row>
    <row r="508" spans="26:28" ht="13" x14ac:dyDescent="0.15">
      <c r="Z508" s="37"/>
      <c r="AA508" s="37"/>
      <c r="AB508" s="37"/>
    </row>
    <row r="509" spans="26:28" ht="13" x14ac:dyDescent="0.15">
      <c r="Z509" s="37"/>
      <c r="AA509" s="37"/>
      <c r="AB509" s="37"/>
    </row>
    <row r="510" spans="26:28" ht="13" x14ac:dyDescent="0.15">
      <c r="Z510" s="37"/>
      <c r="AA510" s="37"/>
      <c r="AB510" s="37"/>
    </row>
    <row r="511" spans="26:28" ht="13" x14ac:dyDescent="0.15">
      <c r="Z511" s="37"/>
      <c r="AA511" s="37"/>
      <c r="AB511" s="37"/>
    </row>
    <row r="512" spans="26:28" ht="13" x14ac:dyDescent="0.15">
      <c r="Z512" s="37"/>
      <c r="AA512" s="37"/>
      <c r="AB512" s="37"/>
    </row>
    <row r="513" spans="26:28" ht="13" x14ac:dyDescent="0.15">
      <c r="Z513" s="37"/>
      <c r="AA513" s="37"/>
      <c r="AB513" s="37"/>
    </row>
    <row r="514" spans="26:28" ht="13" x14ac:dyDescent="0.15">
      <c r="Z514" s="37"/>
      <c r="AA514" s="37"/>
      <c r="AB514" s="37"/>
    </row>
    <row r="515" spans="26:28" ht="13" x14ac:dyDescent="0.15">
      <c r="Z515" s="37"/>
      <c r="AA515" s="37"/>
      <c r="AB515" s="37"/>
    </row>
    <row r="516" spans="26:28" ht="13" x14ac:dyDescent="0.15">
      <c r="Z516" s="37"/>
      <c r="AA516" s="37"/>
      <c r="AB516" s="37"/>
    </row>
    <row r="517" spans="26:28" ht="13" x14ac:dyDescent="0.15">
      <c r="Z517" s="37"/>
      <c r="AA517" s="37"/>
      <c r="AB517" s="37"/>
    </row>
    <row r="518" spans="26:28" ht="13" x14ac:dyDescent="0.15">
      <c r="Z518" s="37"/>
      <c r="AA518" s="37"/>
      <c r="AB518" s="37"/>
    </row>
    <row r="519" spans="26:28" ht="13" x14ac:dyDescent="0.15">
      <c r="Z519" s="37"/>
      <c r="AA519" s="37"/>
      <c r="AB519" s="37"/>
    </row>
    <row r="520" spans="26:28" ht="13" x14ac:dyDescent="0.15">
      <c r="Z520" s="37"/>
      <c r="AA520" s="37"/>
      <c r="AB520" s="37"/>
    </row>
    <row r="521" spans="26:28" ht="13" x14ac:dyDescent="0.15">
      <c r="Z521" s="37"/>
      <c r="AA521" s="37"/>
      <c r="AB521" s="37"/>
    </row>
    <row r="522" spans="26:28" ht="13" x14ac:dyDescent="0.15">
      <c r="Z522" s="37"/>
      <c r="AA522" s="37"/>
      <c r="AB522" s="37"/>
    </row>
    <row r="523" spans="26:28" ht="13" x14ac:dyDescent="0.15">
      <c r="Z523" s="37"/>
      <c r="AA523" s="37"/>
      <c r="AB523" s="37"/>
    </row>
    <row r="524" spans="26:28" ht="13" x14ac:dyDescent="0.15">
      <c r="Z524" s="37"/>
      <c r="AA524" s="37"/>
      <c r="AB524" s="37"/>
    </row>
    <row r="525" spans="26:28" ht="13" x14ac:dyDescent="0.15">
      <c r="Z525" s="37"/>
      <c r="AA525" s="37"/>
      <c r="AB525" s="37"/>
    </row>
    <row r="526" spans="26:28" ht="13" x14ac:dyDescent="0.15">
      <c r="Z526" s="37"/>
      <c r="AA526" s="37"/>
      <c r="AB526" s="37"/>
    </row>
    <row r="527" spans="26:28" ht="13" x14ac:dyDescent="0.15">
      <c r="Z527" s="37"/>
      <c r="AA527" s="37"/>
      <c r="AB527" s="37"/>
    </row>
    <row r="528" spans="26:28" ht="13" x14ac:dyDescent="0.15">
      <c r="Z528" s="37"/>
      <c r="AA528" s="37"/>
      <c r="AB528" s="37"/>
    </row>
    <row r="529" spans="26:28" ht="13" x14ac:dyDescent="0.15">
      <c r="Z529" s="37"/>
      <c r="AA529" s="37"/>
      <c r="AB529" s="37"/>
    </row>
    <row r="530" spans="26:28" ht="13" x14ac:dyDescent="0.15">
      <c r="Z530" s="37"/>
      <c r="AA530" s="37"/>
      <c r="AB530" s="37"/>
    </row>
    <row r="531" spans="26:28" ht="13" x14ac:dyDescent="0.15">
      <c r="Z531" s="37"/>
      <c r="AA531" s="37"/>
      <c r="AB531" s="37"/>
    </row>
    <row r="532" spans="26:28" ht="13" x14ac:dyDescent="0.15">
      <c r="Z532" s="37"/>
      <c r="AA532" s="37"/>
      <c r="AB532" s="37"/>
    </row>
    <row r="533" spans="26:28" ht="13" x14ac:dyDescent="0.15">
      <c r="Z533" s="37"/>
      <c r="AA533" s="37"/>
      <c r="AB533" s="37"/>
    </row>
    <row r="534" spans="26:28" ht="13" x14ac:dyDescent="0.15">
      <c r="Z534" s="37"/>
      <c r="AA534" s="37"/>
      <c r="AB534" s="37"/>
    </row>
    <row r="535" spans="26:28" ht="13" x14ac:dyDescent="0.15">
      <c r="Z535" s="37"/>
      <c r="AA535" s="37"/>
      <c r="AB535" s="37"/>
    </row>
    <row r="536" spans="26:28" ht="13" x14ac:dyDescent="0.15">
      <c r="Z536" s="37"/>
      <c r="AA536" s="37"/>
      <c r="AB536" s="37"/>
    </row>
    <row r="537" spans="26:28" ht="13" x14ac:dyDescent="0.15">
      <c r="Z537" s="37"/>
      <c r="AA537" s="37"/>
      <c r="AB537" s="37"/>
    </row>
    <row r="538" spans="26:28" ht="13" x14ac:dyDescent="0.15">
      <c r="Z538" s="37"/>
      <c r="AA538" s="37"/>
      <c r="AB538" s="37"/>
    </row>
    <row r="539" spans="26:28" ht="13" x14ac:dyDescent="0.15">
      <c r="Z539" s="37"/>
      <c r="AA539" s="37"/>
      <c r="AB539" s="37"/>
    </row>
    <row r="540" spans="26:28" ht="13" x14ac:dyDescent="0.15">
      <c r="Z540" s="37"/>
      <c r="AA540" s="37"/>
      <c r="AB540" s="37"/>
    </row>
    <row r="541" spans="26:28" ht="13" x14ac:dyDescent="0.15">
      <c r="Z541" s="37"/>
      <c r="AA541" s="37"/>
      <c r="AB541" s="37"/>
    </row>
    <row r="542" spans="26:28" ht="13" x14ac:dyDescent="0.15">
      <c r="Z542" s="37"/>
      <c r="AA542" s="37"/>
      <c r="AB542" s="37"/>
    </row>
    <row r="543" spans="26:28" ht="13" x14ac:dyDescent="0.15">
      <c r="Z543" s="37"/>
      <c r="AA543" s="37"/>
      <c r="AB543" s="37"/>
    </row>
    <row r="544" spans="26:28" ht="13" x14ac:dyDescent="0.15">
      <c r="Z544" s="37"/>
      <c r="AA544" s="37"/>
      <c r="AB544" s="37"/>
    </row>
    <row r="545" spans="26:28" ht="13" x14ac:dyDescent="0.15">
      <c r="Z545" s="37"/>
      <c r="AA545" s="37"/>
      <c r="AB545" s="37"/>
    </row>
    <row r="546" spans="26:28" ht="13" x14ac:dyDescent="0.15">
      <c r="Z546" s="37"/>
      <c r="AA546" s="37"/>
      <c r="AB546" s="37"/>
    </row>
    <row r="547" spans="26:28" ht="13" x14ac:dyDescent="0.15">
      <c r="Z547" s="37"/>
      <c r="AA547" s="37"/>
      <c r="AB547" s="37"/>
    </row>
    <row r="548" spans="26:28" ht="13" x14ac:dyDescent="0.15">
      <c r="Z548" s="37"/>
      <c r="AA548" s="37"/>
      <c r="AB548" s="37"/>
    </row>
    <row r="549" spans="26:28" ht="13" x14ac:dyDescent="0.15">
      <c r="Z549" s="37"/>
      <c r="AA549" s="37"/>
      <c r="AB549" s="37"/>
    </row>
    <row r="550" spans="26:28" ht="13" x14ac:dyDescent="0.15">
      <c r="Z550" s="37"/>
      <c r="AA550" s="37"/>
      <c r="AB550" s="37"/>
    </row>
    <row r="551" spans="26:28" ht="13" x14ac:dyDescent="0.15">
      <c r="Z551" s="37"/>
      <c r="AA551" s="37"/>
      <c r="AB551" s="37"/>
    </row>
    <row r="552" spans="26:28" ht="13" x14ac:dyDescent="0.15">
      <c r="Z552" s="37"/>
      <c r="AA552" s="37"/>
      <c r="AB552" s="37"/>
    </row>
    <row r="553" spans="26:28" ht="13" x14ac:dyDescent="0.15">
      <c r="Z553" s="37"/>
      <c r="AA553" s="37"/>
      <c r="AB553" s="37"/>
    </row>
    <row r="554" spans="26:28" ht="13" x14ac:dyDescent="0.15">
      <c r="Z554" s="37"/>
      <c r="AA554" s="37"/>
      <c r="AB554" s="37"/>
    </row>
    <row r="555" spans="26:28" ht="13" x14ac:dyDescent="0.15">
      <c r="Z555" s="37"/>
      <c r="AA555" s="37"/>
      <c r="AB555" s="37"/>
    </row>
    <row r="556" spans="26:28" ht="13" x14ac:dyDescent="0.15">
      <c r="Z556" s="37"/>
      <c r="AA556" s="37"/>
      <c r="AB556" s="37"/>
    </row>
    <row r="557" spans="26:28" ht="13" x14ac:dyDescent="0.15">
      <c r="Z557" s="37"/>
      <c r="AA557" s="37"/>
      <c r="AB557" s="37"/>
    </row>
    <row r="558" spans="26:28" ht="13" x14ac:dyDescent="0.15">
      <c r="Z558" s="37"/>
      <c r="AA558" s="37"/>
      <c r="AB558" s="37"/>
    </row>
    <row r="559" spans="26:28" ht="13" x14ac:dyDescent="0.15">
      <c r="Z559" s="37"/>
      <c r="AA559" s="37"/>
      <c r="AB559" s="37"/>
    </row>
    <row r="560" spans="26:28" ht="13" x14ac:dyDescent="0.15">
      <c r="Z560" s="37"/>
      <c r="AA560" s="37"/>
      <c r="AB560" s="37"/>
    </row>
    <row r="561" spans="26:28" ht="13" x14ac:dyDescent="0.15">
      <c r="Z561" s="37"/>
      <c r="AA561" s="37"/>
      <c r="AB561" s="37"/>
    </row>
    <row r="562" spans="26:28" ht="13" x14ac:dyDescent="0.15">
      <c r="Z562" s="37"/>
      <c r="AA562" s="37"/>
      <c r="AB562" s="37"/>
    </row>
    <row r="563" spans="26:28" ht="13" x14ac:dyDescent="0.15">
      <c r="Z563" s="37"/>
      <c r="AA563" s="37"/>
      <c r="AB563" s="37"/>
    </row>
    <row r="564" spans="26:28" ht="13" x14ac:dyDescent="0.15">
      <c r="Z564" s="37"/>
      <c r="AA564" s="37"/>
      <c r="AB564" s="37"/>
    </row>
    <row r="565" spans="26:28" ht="13" x14ac:dyDescent="0.15">
      <c r="Z565" s="37"/>
      <c r="AA565" s="37"/>
      <c r="AB565" s="37"/>
    </row>
    <row r="566" spans="26:28" ht="13" x14ac:dyDescent="0.15">
      <c r="Z566" s="37"/>
      <c r="AA566" s="37"/>
      <c r="AB566" s="37"/>
    </row>
    <row r="567" spans="26:28" ht="13" x14ac:dyDescent="0.15">
      <c r="Z567" s="37"/>
      <c r="AA567" s="37"/>
      <c r="AB567" s="37"/>
    </row>
    <row r="568" spans="26:28" ht="13" x14ac:dyDescent="0.15">
      <c r="Z568" s="37"/>
      <c r="AA568" s="37"/>
      <c r="AB568" s="37"/>
    </row>
    <row r="569" spans="26:28" ht="13" x14ac:dyDescent="0.15">
      <c r="Z569" s="37"/>
      <c r="AA569" s="37"/>
      <c r="AB569" s="37"/>
    </row>
    <row r="570" spans="26:28" ht="13" x14ac:dyDescent="0.15">
      <c r="Z570" s="37"/>
      <c r="AA570" s="37"/>
      <c r="AB570" s="37"/>
    </row>
    <row r="571" spans="26:28" ht="13" x14ac:dyDescent="0.15">
      <c r="Z571" s="37"/>
      <c r="AA571" s="37"/>
      <c r="AB571" s="37"/>
    </row>
    <row r="572" spans="26:28" ht="13" x14ac:dyDescent="0.15">
      <c r="Z572" s="37"/>
      <c r="AA572" s="37"/>
      <c r="AB572" s="37"/>
    </row>
    <row r="573" spans="26:28" ht="13" x14ac:dyDescent="0.15">
      <c r="Z573" s="37"/>
      <c r="AA573" s="37"/>
      <c r="AB573" s="37"/>
    </row>
    <row r="574" spans="26:28" ht="13" x14ac:dyDescent="0.15">
      <c r="Z574" s="37"/>
      <c r="AA574" s="37"/>
      <c r="AB574" s="37"/>
    </row>
    <row r="575" spans="26:28" ht="13" x14ac:dyDescent="0.15">
      <c r="Z575" s="37"/>
      <c r="AA575" s="37"/>
      <c r="AB575" s="37"/>
    </row>
    <row r="576" spans="26:28" ht="13" x14ac:dyDescent="0.15">
      <c r="Z576" s="37"/>
      <c r="AA576" s="37"/>
      <c r="AB576" s="37"/>
    </row>
    <row r="577" spans="26:28" ht="13" x14ac:dyDescent="0.15">
      <c r="Z577" s="37"/>
      <c r="AA577" s="37"/>
      <c r="AB577" s="37"/>
    </row>
    <row r="578" spans="26:28" ht="13" x14ac:dyDescent="0.15">
      <c r="Z578" s="37"/>
      <c r="AA578" s="37"/>
      <c r="AB578" s="37"/>
    </row>
    <row r="579" spans="26:28" ht="13" x14ac:dyDescent="0.15">
      <c r="Z579" s="37"/>
      <c r="AA579" s="37"/>
      <c r="AB579" s="37"/>
    </row>
    <row r="580" spans="26:28" ht="13" x14ac:dyDescent="0.15">
      <c r="Z580" s="37"/>
      <c r="AA580" s="37"/>
      <c r="AB580" s="37"/>
    </row>
    <row r="581" spans="26:28" ht="13" x14ac:dyDescent="0.15">
      <c r="Z581" s="37"/>
      <c r="AA581" s="37"/>
      <c r="AB581" s="37"/>
    </row>
    <row r="582" spans="26:28" ht="13" x14ac:dyDescent="0.15">
      <c r="Z582" s="37"/>
      <c r="AA582" s="37"/>
      <c r="AB582" s="37"/>
    </row>
    <row r="583" spans="26:28" ht="13" x14ac:dyDescent="0.15">
      <c r="Z583" s="37"/>
      <c r="AA583" s="37"/>
      <c r="AB583" s="37"/>
    </row>
    <row r="584" spans="26:28" ht="13" x14ac:dyDescent="0.15">
      <c r="Z584" s="37"/>
      <c r="AA584" s="37"/>
      <c r="AB584" s="37"/>
    </row>
    <row r="585" spans="26:28" ht="13" x14ac:dyDescent="0.15">
      <c r="Z585" s="37"/>
      <c r="AA585" s="37"/>
      <c r="AB585" s="37"/>
    </row>
    <row r="586" spans="26:28" ht="13" x14ac:dyDescent="0.15">
      <c r="Z586" s="37"/>
      <c r="AA586" s="37"/>
      <c r="AB586" s="37"/>
    </row>
    <row r="587" spans="26:28" ht="13" x14ac:dyDescent="0.15">
      <c r="Z587" s="37"/>
      <c r="AA587" s="37"/>
      <c r="AB587" s="37"/>
    </row>
    <row r="588" spans="26:28" ht="13" x14ac:dyDescent="0.15">
      <c r="Z588" s="37"/>
      <c r="AA588" s="37"/>
      <c r="AB588" s="37"/>
    </row>
    <row r="589" spans="26:28" ht="13" x14ac:dyDescent="0.15">
      <c r="Z589" s="37"/>
      <c r="AA589" s="37"/>
      <c r="AB589" s="37"/>
    </row>
    <row r="590" spans="26:28" ht="13" x14ac:dyDescent="0.15">
      <c r="Z590" s="37"/>
      <c r="AA590" s="37"/>
      <c r="AB590" s="37"/>
    </row>
    <row r="591" spans="26:28" ht="13" x14ac:dyDescent="0.15">
      <c r="Z591" s="37"/>
      <c r="AA591" s="37"/>
      <c r="AB591" s="37"/>
    </row>
    <row r="592" spans="26:28" ht="13" x14ac:dyDescent="0.15">
      <c r="Z592" s="37"/>
      <c r="AA592" s="37"/>
      <c r="AB592" s="37"/>
    </row>
    <row r="593" spans="26:28" ht="13" x14ac:dyDescent="0.15">
      <c r="Z593" s="37"/>
      <c r="AA593" s="37"/>
      <c r="AB593" s="37"/>
    </row>
    <row r="594" spans="26:28" ht="13" x14ac:dyDescent="0.15">
      <c r="Z594" s="37"/>
      <c r="AA594" s="37"/>
      <c r="AB594" s="37"/>
    </row>
    <row r="595" spans="26:28" ht="13" x14ac:dyDescent="0.15">
      <c r="Z595" s="37"/>
      <c r="AA595" s="37"/>
      <c r="AB595" s="37"/>
    </row>
    <row r="596" spans="26:28" ht="13" x14ac:dyDescent="0.15">
      <c r="Z596" s="37"/>
      <c r="AA596" s="37"/>
      <c r="AB596" s="37"/>
    </row>
    <row r="597" spans="26:28" ht="13" x14ac:dyDescent="0.15">
      <c r="Z597" s="37"/>
      <c r="AA597" s="37"/>
      <c r="AB597" s="37"/>
    </row>
    <row r="598" spans="26:28" ht="13" x14ac:dyDescent="0.15">
      <c r="Z598" s="37"/>
      <c r="AA598" s="37"/>
      <c r="AB598" s="37"/>
    </row>
    <row r="599" spans="26:28" ht="13" x14ac:dyDescent="0.15">
      <c r="Z599" s="37"/>
      <c r="AA599" s="37"/>
      <c r="AB599" s="37"/>
    </row>
    <row r="600" spans="26:28" ht="13" x14ac:dyDescent="0.15">
      <c r="Z600" s="37"/>
      <c r="AA600" s="37"/>
      <c r="AB600" s="37"/>
    </row>
    <row r="601" spans="26:28" ht="13" x14ac:dyDescent="0.15">
      <c r="Z601" s="37"/>
      <c r="AA601" s="37"/>
      <c r="AB601" s="37"/>
    </row>
    <row r="602" spans="26:28" ht="13" x14ac:dyDescent="0.15">
      <c r="Z602" s="37"/>
      <c r="AA602" s="37"/>
      <c r="AB602" s="37"/>
    </row>
    <row r="603" spans="26:28" ht="13" x14ac:dyDescent="0.15">
      <c r="Z603" s="37"/>
      <c r="AA603" s="37"/>
      <c r="AB603" s="37"/>
    </row>
    <row r="604" spans="26:28" ht="13" x14ac:dyDescent="0.15">
      <c r="Z604" s="37"/>
      <c r="AA604" s="37"/>
      <c r="AB604" s="37"/>
    </row>
    <row r="605" spans="26:28" ht="13" x14ac:dyDescent="0.15">
      <c r="Z605" s="37"/>
      <c r="AA605" s="37"/>
      <c r="AB605" s="37"/>
    </row>
    <row r="606" spans="26:28" ht="13" x14ac:dyDescent="0.15">
      <c r="Z606" s="37"/>
      <c r="AA606" s="37"/>
      <c r="AB606" s="37"/>
    </row>
    <row r="607" spans="26:28" ht="13" x14ac:dyDescent="0.15">
      <c r="Z607" s="37"/>
      <c r="AA607" s="37"/>
      <c r="AB607" s="37"/>
    </row>
    <row r="608" spans="26:28" ht="13" x14ac:dyDescent="0.15">
      <c r="Z608" s="37"/>
      <c r="AA608" s="37"/>
      <c r="AB608" s="37"/>
    </row>
    <row r="609" spans="26:28" ht="13" x14ac:dyDescent="0.15">
      <c r="Z609" s="37"/>
      <c r="AA609" s="37"/>
      <c r="AB609" s="37"/>
    </row>
    <row r="610" spans="26:28" ht="13" x14ac:dyDescent="0.15">
      <c r="Z610" s="37"/>
      <c r="AA610" s="37"/>
      <c r="AB610" s="37"/>
    </row>
    <row r="611" spans="26:28" ht="13" x14ac:dyDescent="0.15">
      <c r="Z611" s="37"/>
      <c r="AA611" s="37"/>
      <c r="AB611" s="37"/>
    </row>
    <row r="612" spans="26:28" ht="13" x14ac:dyDescent="0.15">
      <c r="Z612" s="37"/>
      <c r="AA612" s="37"/>
      <c r="AB612" s="37"/>
    </row>
    <row r="613" spans="26:28" ht="13" x14ac:dyDescent="0.15">
      <c r="Z613" s="37"/>
      <c r="AA613" s="37"/>
      <c r="AB613" s="37"/>
    </row>
    <row r="614" spans="26:28" ht="13" x14ac:dyDescent="0.15">
      <c r="Z614" s="37"/>
      <c r="AA614" s="37"/>
      <c r="AB614" s="37"/>
    </row>
    <row r="615" spans="26:28" ht="13" x14ac:dyDescent="0.15">
      <c r="Z615" s="37"/>
      <c r="AA615" s="37"/>
      <c r="AB615" s="37"/>
    </row>
    <row r="616" spans="26:28" ht="13" x14ac:dyDescent="0.15">
      <c r="Z616" s="37"/>
      <c r="AA616" s="37"/>
      <c r="AB616" s="37"/>
    </row>
    <row r="617" spans="26:28" ht="13" x14ac:dyDescent="0.15">
      <c r="Z617" s="37"/>
      <c r="AA617" s="37"/>
      <c r="AB617" s="37"/>
    </row>
    <row r="618" spans="26:28" ht="13" x14ac:dyDescent="0.15">
      <c r="Z618" s="37"/>
      <c r="AA618" s="37"/>
      <c r="AB618" s="37"/>
    </row>
    <row r="619" spans="26:28" ht="13" x14ac:dyDescent="0.15">
      <c r="Z619" s="37"/>
      <c r="AA619" s="37"/>
      <c r="AB619" s="37"/>
    </row>
    <row r="620" spans="26:28" ht="13" x14ac:dyDescent="0.15">
      <c r="Z620" s="37"/>
      <c r="AA620" s="37"/>
      <c r="AB620" s="37"/>
    </row>
    <row r="621" spans="26:28" ht="13" x14ac:dyDescent="0.15">
      <c r="Z621" s="37"/>
      <c r="AA621" s="37"/>
      <c r="AB621" s="37"/>
    </row>
    <row r="622" spans="26:28" ht="13" x14ac:dyDescent="0.15">
      <c r="Z622" s="37"/>
      <c r="AA622" s="37"/>
      <c r="AB622" s="37"/>
    </row>
    <row r="623" spans="26:28" ht="13" x14ac:dyDescent="0.15">
      <c r="Z623" s="37"/>
      <c r="AA623" s="37"/>
      <c r="AB623" s="37"/>
    </row>
    <row r="624" spans="26:28" ht="13" x14ac:dyDescent="0.15">
      <c r="Z624" s="37"/>
      <c r="AA624" s="37"/>
      <c r="AB624" s="37"/>
    </row>
    <row r="625" spans="26:28" ht="13" x14ac:dyDescent="0.15">
      <c r="Z625" s="37"/>
      <c r="AA625" s="37"/>
      <c r="AB625" s="37"/>
    </row>
    <row r="626" spans="26:28" ht="13" x14ac:dyDescent="0.15">
      <c r="Z626" s="37"/>
      <c r="AA626" s="37"/>
      <c r="AB626" s="37"/>
    </row>
    <row r="627" spans="26:28" ht="13" x14ac:dyDescent="0.15">
      <c r="Z627" s="37"/>
      <c r="AA627" s="37"/>
      <c r="AB627" s="37"/>
    </row>
    <row r="628" spans="26:28" ht="13" x14ac:dyDescent="0.15">
      <c r="Z628" s="37"/>
      <c r="AA628" s="37"/>
      <c r="AB628" s="37"/>
    </row>
    <row r="629" spans="26:28" ht="13" x14ac:dyDescent="0.15">
      <c r="Z629" s="37"/>
      <c r="AA629" s="37"/>
      <c r="AB629" s="37"/>
    </row>
    <row r="630" spans="26:28" ht="13" x14ac:dyDescent="0.15">
      <c r="Z630" s="37"/>
      <c r="AA630" s="37"/>
      <c r="AB630" s="37"/>
    </row>
    <row r="631" spans="26:28" ht="13" x14ac:dyDescent="0.15">
      <c r="Z631" s="37"/>
      <c r="AA631" s="37"/>
      <c r="AB631" s="37"/>
    </row>
    <row r="632" spans="26:28" ht="13" x14ac:dyDescent="0.15">
      <c r="Z632" s="37"/>
      <c r="AA632" s="37"/>
      <c r="AB632" s="37"/>
    </row>
    <row r="633" spans="26:28" ht="13" x14ac:dyDescent="0.15">
      <c r="Z633" s="37"/>
      <c r="AA633" s="37"/>
      <c r="AB633" s="37"/>
    </row>
    <row r="634" spans="26:28" ht="13" x14ac:dyDescent="0.15">
      <c r="Z634" s="37"/>
      <c r="AA634" s="37"/>
      <c r="AB634" s="37"/>
    </row>
    <row r="635" spans="26:28" ht="13" x14ac:dyDescent="0.15">
      <c r="Z635" s="37"/>
      <c r="AA635" s="37"/>
      <c r="AB635" s="37"/>
    </row>
    <row r="636" spans="26:28" ht="13" x14ac:dyDescent="0.15">
      <c r="Z636" s="37"/>
      <c r="AA636" s="37"/>
      <c r="AB636" s="37"/>
    </row>
    <row r="637" spans="26:28" ht="13" x14ac:dyDescent="0.15">
      <c r="Z637" s="37"/>
      <c r="AA637" s="37"/>
      <c r="AB637" s="37"/>
    </row>
    <row r="638" spans="26:28" ht="13" x14ac:dyDescent="0.15">
      <c r="Z638" s="37"/>
      <c r="AA638" s="37"/>
      <c r="AB638" s="37"/>
    </row>
    <row r="639" spans="26:28" ht="13" x14ac:dyDescent="0.15">
      <c r="Z639" s="37"/>
      <c r="AA639" s="37"/>
      <c r="AB639" s="37"/>
    </row>
    <row r="640" spans="26:28" ht="13" x14ac:dyDescent="0.15">
      <c r="Z640" s="37"/>
      <c r="AA640" s="37"/>
      <c r="AB640" s="37"/>
    </row>
    <row r="641" spans="26:28" ht="13" x14ac:dyDescent="0.15">
      <c r="Z641" s="37"/>
      <c r="AA641" s="37"/>
      <c r="AB641" s="37"/>
    </row>
    <row r="642" spans="26:28" ht="13" x14ac:dyDescent="0.15">
      <c r="Z642" s="37"/>
      <c r="AA642" s="37"/>
      <c r="AB642" s="37"/>
    </row>
    <row r="643" spans="26:28" ht="13" x14ac:dyDescent="0.15">
      <c r="Z643" s="37"/>
      <c r="AA643" s="37"/>
      <c r="AB643" s="37"/>
    </row>
    <row r="644" spans="26:28" ht="13" x14ac:dyDescent="0.15">
      <c r="Z644" s="37"/>
      <c r="AA644" s="37"/>
      <c r="AB644" s="37"/>
    </row>
    <row r="645" spans="26:28" ht="13" x14ac:dyDescent="0.15">
      <c r="Z645" s="37"/>
      <c r="AA645" s="37"/>
      <c r="AB645" s="37"/>
    </row>
    <row r="646" spans="26:28" ht="13" x14ac:dyDescent="0.15">
      <c r="Z646" s="37"/>
      <c r="AA646" s="37"/>
      <c r="AB646" s="37"/>
    </row>
    <row r="647" spans="26:28" ht="13" x14ac:dyDescent="0.15">
      <c r="Z647" s="37"/>
      <c r="AA647" s="37"/>
      <c r="AB647" s="37"/>
    </row>
    <row r="648" spans="26:28" ht="13" x14ac:dyDescent="0.15">
      <c r="Z648" s="37"/>
      <c r="AA648" s="37"/>
      <c r="AB648" s="37"/>
    </row>
    <row r="649" spans="26:28" ht="13" x14ac:dyDescent="0.15">
      <c r="Z649" s="37"/>
      <c r="AA649" s="37"/>
      <c r="AB649" s="37"/>
    </row>
    <row r="650" spans="26:28" ht="13" x14ac:dyDescent="0.15">
      <c r="Z650" s="37"/>
      <c r="AA650" s="37"/>
      <c r="AB650" s="37"/>
    </row>
    <row r="651" spans="26:28" ht="13" x14ac:dyDescent="0.15">
      <c r="Z651" s="37"/>
      <c r="AA651" s="37"/>
      <c r="AB651" s="37"/>
    </row>
    <row r="652" spans="26:28" ht="13" x14ac:dyDescent="0.15">
      <c r="Z652" s="37"/>
      <c r="AA652" s="37"/>
      <c r="AB652" s="37"/>
    </row>
    <row r="653" spans="26:28" ht="13" x14ac:dyDescent="0.15">
      <c r="Z653" s="37"/>
      <c r="AA653" s="37"/>
      <c r="AB653" s="37"/>
    </row>
    <row r="654" spans="26:28" ht="13" x14ac:dyDescent="0.15">
      <c r="Z654" s="37"/>
      <c r="AA654" s="37"/>
      <c r="AB654" s="37"/>
    </row>
    <row r="655" spans="26:28" ht="13" x14ac:dyDescent="0.15">
      <c r="Z655" s="37"/>
      <c r="AA655" s="37"/>
      <c r="AB655" s="37"/>
    </row>
    <row r="656" spans="26:28" ht="13" x14ac:dyDescent="0.15">
      <c r="Z656" s="37"/>
      <c r="AA656" s="37"/>
      <c r="AB656" s="37"/>
    </row>
    <row r="657" spans="26:28" ht="13" x14ac:dyDescent="0.15">
      <c r="Z657" s="37"/>
      <c r="AA657" s="37"/>
      <c r="AB657" s="37"/>
    </row>
    <row r="658" spans="26:28" ht="13" x14ac:dyDescent="0.15">
      <c r="Z658" s="37"/>
      <c r="AA658" s="37"/>
      <c r="AB658" s="37"/>
    </row>
    <row r="659" spans="26:28" ht="13" x14ac:dyDescent="0.15">
      <c r="Z659" s="37"/>
      <c r="AA659" s="37"/>
      <c r="AB659" s="37"/>
    </row>
    <row r="660" spans="26:28" ht="13" x14ac:dyDescent="0.15">
      <c r="Z660" s="37"/>
      <c r="AA660" s="37"/>
      <c r="AB660" s="37"/>
    </row>
    <row r="661" spans="26:28" ht="13" x14ac:dyDescent="0.15">
      <c r="Z661" s="37"/>
      <c r="AA661" s="37"/>
      <c r="AB661" s="37"/>
    </row>
    <row r="662" spans="26:28" ht="13" x14ac:dyDescent="0.15">
      <c r="Z662" s="37"/>
      <c r="AA662" s="37"/>
      <c r="AB662" s="37"/>
    </row>
    <row r="663" spans="26:28" ht="13" x14ac:dyDescent="0.15">
      <c r="Z663" s="37"/>
      <c r="AA663" s="37"/>
      <c r="AB663" s="37"/>
    </row>
    <row r="664" spans="26:28" ht="13" x14ac:dyDescent="0.15">
      <c r="Z664" s="37"/>
      <c r="AA664" s="37"/>
      <c r="AB664" s="37"/>
    </row>
    <row r="665" spans="26:28" ht="13" x14ac:dyDescent="0.15">
      <c r="Z665" s="37"/>
      <c r="AA665" s="37"/>
      <c r="AB665" s="37"/>
    </row>
    <row r="666" spans="26:28" ht="13" x14ac:dyDescent="0.15">
      <c r="Z666" s="37"/>
      <c r="AA666" s="37"/>
      <c r="AB666" s="37"/>
    </row>
    <row r="667" spans="26:28" ht="13" x14ac:dyDescent="0.15">
      <c r="Z667" s="37"/>
      <c r="AA667" s="37"/>
      <c r="AB667" s="37"/>
    </row>
    <row r="668" spans="26:28" ht="13" x14ac:dyDescent="0.15">
      <c r="Z668" s="37"/>
      <c r="AA668" s="37"/>
      <c r="AB668" s="37"/>
    </row>
    <row r="669" spans="26:28" ht="13" x14ac:dyDescent="0.15">
      <c r="Z669" s="37"/>
      <c r="AA669" s="37"/>
      <c r="AB669" s="37"/>
    </row>
    <row r="670" spans="26:28" ht="13" x14ac:dyDescent="0.15">
      <c r="Z670" s="37"/>
      <c r="AA670" s="37"/>
      <c r="AB670" s="37"/>
    </row>
    <row r="671" spans="26:28" ht="13" x14ac:dyDescent="0.15">
      <c r="Z671" s="37"/>
      <c r="AA671" s="37"/>
      <c r="AB671" s="37"/>
    </row>
    <row r="672" spans="26:28" ht="13" x14ac:dyDescent="0.15">
      <c r="Z672" s="37"/>
      <c r="AA672" s="37"/>
      <c r="AB672" s="37"/>
    </row>
    <row r="673" spans="26:28" ht="13" x14ac:dyDescent="0.15">
      <c r="Z673" s="37"/>
      <c r="AA673" s="37"/>
      <c r="AB673" s="37"/>
    </row>
    <row r="674" spans="26:28" ht="13" x14ac:dyDescent="0.15">
      <c r="Z674" s="37"/>
      <c r="AA674" s="37"/>
      <c r="AB674" s="37"/>
    </row>
    <row r="675" spans="26:28" ht="13" x14ac:dyDescent="0.15">
      <c r="Z675" s="37"/>
      <c r="AA675" s="37"/>
      <c r="AB675" s="37"/>
    </row>
    <row r="676" spans="26:28" ht="13" x14ac:dyDescent="0.15">
      <c r="Z676" s="37"/>
      <c r="AA676" s="37"/>
      <c r="AB676" s="37"/>
    </row>
    <row r="677" spans="26:28" ht="13" x14ac:dyDescent="0.15">
      <c r="Z677" s="37"/>
      <c r="AA677" s="37"/>
      <c r="AB677" s="37"/>
    </row>
    <row r="678" spans="26:28" ht="13" x14ac:dyDescent="0.15">
      <c r="Z678" s="37"/>
      <c r="AA678" s="37"/>
      <c r="AB678" s="37"/>
    </row>
    <row r="679" spans="26:28" ht="13" x14ac:dyDescent="0.15">
      <c r="Z679" s="37"/>
      <c r="AA679" s="37"/>
      <c r="AB679" s="37"/>
    </row>
    <row r="680" spans="26:28" ht="13" x14ac:dyDescent="0.15">
      <c r="Z680" s="37"/>
      <c r="AA680" s="37"/>
      <c r="AB680" s="37"/>
    </row>
    <row r="681" spans="26:28" ht="13" x14ac:dyDescent="0.15">
      <c r="Z681" s="37"/>
      <c r="AA681" s="37"/>
      <c r="AB681" s="37"/>
    </row>
    <row r="682" spans="26:28" ht="13" x14ac:dyDescent="0.15">
      <c r="Z682" s="37"/>
      <c r="AA682" s="37"/>
      <c r="AB682" s="37"/>
    </row>
    <row r="683" spans="26:28" ht="13" x14ac:dyDescent="0.15">
      <c r="Z683" s="37"/>
      <c r="AA683" s="37"/>
      <c r="AB683" s="37"/>
    </row>
    <row r="684" spans="26:28" ht="13" x14ac:dyDescent="0.15">
      <c r="Z684" s="37"/>
      <c r="AA684" s="37"/>
      <c r="AB684" s="37"/>
    </row>
    <row r="685" spans="26:28" ht="13" x14ac:dyDescent="0.15">
      <c r="Z685" s="37"/>
      <c r="AA685" s="37"/>
      <c r="AB685" s="37"/>
    </row>
    <row r="686" spans="26:28" ht="13" x14ac:dyDescent="0.15">
      <c r="Z686" s="37"/>
      <c r="AA686" s="37"/>
      <c r="AB686" s="37"/>
    </row>
    <row r="687" spans="26:28" ht="13" x14ac:dyDescent="0.15">
      <c r="Z687" s="37"/>
      <c r="AA687" s="37"/>
      <c r="AB687" s="37"/>
    </row>
    <row r="688" spans="26:28" ht="13" x14ac:dyDescent="0.15">
      <c r="Z688" s="37"/>
      <c r="AA688" s="37"/>
      <c r="AB688" s="37"/>
    </row>
    <row r="689" spans="26:28" ht="13" x14ac:dyDescent="0.15">
      <c r="Z689" s="37"/>
      <c r="AA689" s="37"/>
      <c r="AB689" s="37"/>
    </row>
    <row r="690" spans="26:28" ht="13" x14ac:dyDescent="0.15">
      <c r="Z690" s="37"/>
      <c r="AA690" s="37"/>
      <c r="AB690" s="37"/>
    </row>
    <row r="691" spans="26:28" ht="13" x14ac:dyDescent="0.15">
      <c r="Z691" s="37"/>
      <c r="AA691" s="37"/>
      <c r="AB691" s="37"/>
    </row>
    <row r="692" spans="26:28" ht="13" x14ac:dyDescent="0.15">
      <c r="Z692" s="37"/>
      <c r="AA692" s="37"/>
      <c r="AB692" s="37"/>
    </row>
    <row r="693" spans="26:28" ht="13" x14ac:dyDescent="0.15">
      <c r="Z693" s="37"/>
      <c r="AA693" s="37"/>
      <c r="AB693" s="37"/>
    </row>
    <row r="694" spans="26:28" ht="13" x14ac:dyDescent="0.15">
      <c r="Z694" s="37"/>
      <c r="AA694" s="37"/>
      <c r="AB694" s="37"/>
    </row>
    <row r="695" spans="26:28" ht="13" x14ac:dyDescent="0.15">
      <c r="Z695" s="37"/>
      <c r="AA695" s="37"/>
      <c r="AB695" s="37"/>
    </row>
    <row r="696" spans="26:28" ht="13" x14ac:dyDescent="0.15">
      <c r="Z696" s="37"/>
      <c r="AA696" s="37"/>
      <c r="AB696" s="37"/>
    </row>
    <row r="697" spans="26:28" ht="13" x14ac:dyDescent="0.15">
      <c r="Z697" s="37"/>
      <c r="AA697" s="37"/>
      <c r="AB697" s="37"/>
    </row>
    <row r="698" spans="26:28" ht="13" x14ac:dyDescent="0.15">
      <c r="Z698" s="37"/>
      <c r="AA698" s="37"/>
      <c r="AB698" s="37"/>
    </row>
    <row r="699" spans="26:28" ht="13" x14ac:dyDescent="0.15">
      <c r="Z699" s="37"/>
      <c r="AA699" s="37"/>
      <c r="AB699" s="37"/>
    </row>
    <row r="700" spans="26:28" ht="13" x14ac:dyDescent="0.15">
      <c r="Z700" s="37"/>
      <c r="AA700" s="37"/>
      <c r="AB700" s="37"/>
    </row>
    <row r="701" spans="26:28" ht="13" x14ac:dyDescent="0.15">
      <c r="Z701" s="37"/>
      <c r="AA701" s="37"/>
      <c r="AB701" s="37"/>
    </row>
    <row r="702" spans="26:28" ht="13" x14ac:dyDescent="0.15">
      <c r="Z702" s="37"/>
      <c r="AA702" s="37"/>
      <c r="AB702" s="37"/>
    </row>
    <row r="703" spans="26:28" ht="13" x14ac:dyDescent="0.15">
      <c r="Z703" s="37"/>
      <c r="AA703" s="37"/>
      <c r="AB703" s="37"/>
    </row>
    <row r="704" spans="26:28" ht="13" x14ac:dyDescent="0.15">
      <c r="Z704" s="37"/>
      <c r="AA704" s="37"/>
      <c r="AB704" s="37"/>
    </row>
    <row r="705" spans="26:28" ht="13" x14ac:dyDescent="0.15">
      <c r="Z705" s="37"/>
      <c r="AA705" s="37"/>
      <c r="AB705" s="37"/>
    </row>
    <row r="706" spans="26:28" ht="13" x14ac:dyDescent="0.15">
      <c r="Z706" s="37"/>
      <c r="AA706" s="37"/>
      <c r="AB706" s="37"/>
    </row>
    <row r="707" spans="26:28" ht="13" x14ac:dyDescent="0.15">
      <c r="Z707" s="37"/>
      <c r="AA707" s="37"/>
      <c r="AB707" s="37"/>
    </row>
    <row r="708" spans="26:28" ht="13" x14ac:dyDescent="0.15">
      <c r="Z708" s="37"/>
      <c r="AA708" s="37"/>
      <c r="AB708" s="37"/>
    </row>
    <row r="709" spans="26:28" ht="13" x14ac:dyDescent="0.15">
      <c r="Z709" s="37"/>
      <c r="AA709" s="37"/>
      <c r="AB709" s="37"/>
    </row>
    <row r="710" spans="26:28" ht="13" x14ac:dyDescent="0.15">
      <c r="Z710" s="37"/>
      <c r="AA710" s="37"/>
      <c r="AB710" s="37"/>
    </row>
    <row r="711" spans="26:28" ht="13" x14ac:dyDescent="0.15">
      <c r="Z711" s="37"/>
      <c r="AA711" s="37"/>
      <c r="AB711" s="37"/>
    </row>
    <row r="712" spans="26:28" ht="13" x14ac:dyDescent="0.15">
      <c r="Z712" s="37"/>
      <c r="AA712" s="37"/>
      <c r="AB712" s="37"/>
    </row>
    <row r="713" spans="26:28" ht="13" x14ac:dyDescent="0.15">
      <c r="Z713" s="37"/>
      <c r="AA713" s="37"/>
      <c r="AB713" s="37"/>
    </row>
    <row r="714" spans="26:28" ht="13" x14ac:dyDescent="0.15">
      <c r="Z714" s="37"/>
      <c r="AA714" s="37"/>
      <c r="AB714" s="37"/>
    </row>
    <row r="715" spans="26:28" ht="13" x14ac:dyDescent="0.15">
      <c r="Z715" s="37"/>
      <c r="AA715" s="37"/>
      <c r="AB715" s="37"/>
    </row>
    <row r="716" spans="26:28" ht="13" x14ac:dyDescent="0.15">
      <c r="Z716" s="37"/>
      <c r="AA716" s="37"/>
      <c r="AB716" s="37"/>
    </row>
    <row r="717" spans="26:28" ht="13" x14ac:dyDescent="0.15">
      <c r="Z717" s="37"/>
      <c r="AA717" s="37"/>
      <c r="AB717" s="37"/>
    </row>
    <row r="718" spans="26:28" ht="13" x14ac:dyDescent="0.15">
      <c r="Z718" s="37"/>
      <c r="AA718" s="37"/>
      <c r="AB718" s="37"/>
    </row>
    <row r="719" spans="26:28" ht="13" x14ac:dyDescent="0.15">
      <c r="Z719" s="37"/>
      <c r="AA719" s="37"/>
      <c r="AB719" s="37"/>
    </row>
    <row r="720" spans="26:28" ht="13" x14ac:dyDescent="0.15">
      <c r="Z720" s="37"/>
      <c r="AA720" s="37"/>
      <c r="AB720" s="37"/>
    </row>
    <row r="721" spans="26:28" ht="13" x14ac:dyDescent="0.15">
      <c r="Z721" s="37"/>
      <c r="AA721" s="37"/>
      <c r="AB721" s="37"/>
    </row>
    <row r="722" spans="26:28" ht="13" x14ac:dyDescent="0.15">
      <c r="Z722" s="37"/>
      <c r="AA722" s="37"/>
      <c r="AB722" s="37"/>
    </row>
    <row r="723" spans="26:28" ht="13" x14ac:dyDescent="0.15">
      <c r="Z723" s="37"/>
      <c r="AA723" s="37"/>
      <c r="AB723" s="37"/>
    </row>
    <row r="724" spans="26:28" ht="13" x14ac:dyDescent="0.15">
      <c r="Z724" s="37"/>
      <c r="AA724" s="37"/>
      <c r="AB724" s="37"/>
    </row>
    <row r="725" spans="26:28" ht="13" x14ac:dyDescent="0.15">
      <c r="Z725" s="37"/>
      <c r="AA725" s="37"/>
      <c r="AB725" s="37"/>
    </row>
    <row r="726" spans="26:28" ht="13" x14ac:dyDescent="0.15">
      <c r="Z726" s="37"/>
      <c r="AA726" s="37"/>
      <c r="AB726" s="37"/>
    </row>
    <row r="727" spans="26:28" ht="13" x14ac:dyDescent="0.15">
      <c r="Z727" s="37"/>
      <c r="AA727" s="37"/>
      <c r="AB727" s="37"/>
    </row>
    <row r="728" spans="26:28" ht="13" x14ac:dyDescent="0.15">
      <c r="Z728" s="37"/>
      <c r="AA728" s="37"/>
      <c r="AB728" s="37"/>
    </row>
    <row r="729" spans="26:28" ht="13" x14ac:dyDescent="0.15">
      <c r="Z729" s="37"/>
      <c r="AA729" s="37"/>
      <c r="AB729" s="37"/>
    </row>
    <row r="730" spans="26:28" ht="13" x14ac:dyDescent="0.15">
      <c r="Z730" s="37"/>
      <c r="AA730" s="37"/>
      <c r="AB730" s="37"/>
    </row>
    <row r="731" spans="26:28" ht="13" x14ac:dyDescent="0.15">
      <c r="Z731" s="37"/>
      <c r="AA731" s="37"/>
      <c r="AB731" s="37"/>
    </row>
    <row r="732" spans="26:28" ht="13" x14ac:dyDescent="0.15">
      <c r="Z732" s="37"/>
      <c r="AA732" s="37"/>
      <c r="AB732" s="37"/>
    </row>
    <row r="733" spans="26:28" ht="13" x14ac:dyDescent="0.15">
      <c r="Z733" s="37"/>
      <c r="AA733" s="37"/>
      <c r="AB733" s="37"/>
    </row>
    <row r="734" spans="26:28" ht="13" x14ac:dyDescent="0.15">
      <c r="Z734" s="37"/>
      <c r="AA734" s="37"/>
      <c r="AB734" s="37"/>
    </row>
    <row r="735" spans="26:28" ht="13" x14ac:dyDescent="0.15">
      <c r="Z735" s="37"/>
      <c r="AA735" s="37"/>
      <c r="AB735" s="37"/>
    </row>
    <row r="736" spans="26:28" ht="13" x14ac:dyDescent="0.15">
      <c r="Z736" s="37"/>
      <c r="AA736" s="37"/>
      <c r="AB736" s="37"/>
    </row>
    <row r="737" spans="26:28" ht="13" x14ac:dyDescent="0.15">
      <c r="Z737" s="37"/>
      <c r="AA737" s="37"/>
      <c r="AB737" s="37"/>
    </row>
    <row r="738" spans="26:28" ht="13" x14ac:dyDescent="0.15">
      <c r="Z738" s="37"/>
      <c r="AA738" s="37"/>
      <c r="AB738" s="37"/>
    </row>
    <row r="739" spans="26:28" ht="13" x14ac:dyDescent="0.15">
      <c r="Z739" s="37"/>
      <c r="AA739" s="37"/>
      <c r="AB739" s="37"/>
    </row>
    <row r="740" spans="26:28" ht="13" x14ac:dyDescent="0.15">
      <c r="Z740" s="37"/>
      <c r="AA740" s="37"/>
      <c r="AB740" s="37"/>
    </row>
    <row r="741" spans="26:28" ht="13" x14ac:dyDescent="0.15">
      <c r="Z741" s="37"/>
      <c r="AA741" s="37"/>
      <c r="AB741" s="37"/>
    </row>
    <row r="742" spans="26:28" ht="13" x14ac:dyDescent="0.15">
      <c r="Z742" s="37"/>
      <c r="AA742" s="37"/>
      <c r="AB742" s="37"/>
    </row>
    <row r="743" spans="26:28" ht="13" x14ac:dyDescent="0.15">
      <c r="Z743" s="37"/>
      <c r="AA743" s="37"/>
      <c r="AB743" s="37"/>
    </row>
    <row r="744" spans="26:28" ht="13" x14ac:dyDescent="0.15">
      <c r="Z744" s="37"/>
      <c r="AA744" s="37"/>
      <c r="AB744" s="37"/>
    </row>
    <row r="745" spans="26:28" ht="13" x14ac:dyDescent="0.15">
      <c r="Z745" s="37"/>
      <c r="AA745" s="37"/>
      <c r="AB745" s="37"/>
    </row>
    <row r="746" spans="26:28" ht="13" x14ac:dyDescent="0.15">
      <c r="Z746" s="37"/>
      <c r="AA746" s="37"/>
      <c r="AB746" s="37"/>
    </row>
    <row r="747" spans="26:28" ht="13" x14ac:dyDescent="0.15">
      <c r="Z747" s="37"/>
      <c r="AA747" s="37"/>
      <c r="AB747" s="37"/>
    </row>
    <row r="748" spans="26:28" ht="13" x14ac:dyDescent="0.15">
      <c r="Z748" s="37"/>
      <c r="AA748" s="37"/>
      <c r="AB748" s="37"/>
    </row>
    <row r="749" spans="26:28" ht="13" x14ac:dyDescent="0.15">
      <c r="Z749" s="37"/>
      <c r="AA749" s="37"/>
      <c r="AB749" s="37"/>
    </row>
    <row r="750" spans="26:28" ht="13" x14ac:dyDescent="0.15">
      <c r="Z750" s="37"/>
      <c r="AA750" s="37"/>
      <c r="AB750" s="37"/>
    </row>
    <row r="751" spans="26:28" ht="13" x14ac:dyDescent="0.15">
      <c r="Z751" s="37"/>
      <c r="AA751" s="37"/>
      <c r="AB751" s="37"/>
    </row>
    <row r="752" spans="26:28" ht="13" x14ac:dyDescent="0.15">
      <c r="Z752" s="37"/>
      <c r="AA752" s="37"/>
      <c r="AB752" s="37"/>
    </row>
    <row r="753" spans="26:28" ht="13" x14ac:dyDescent="0.15">
      <c r="Z753" s="37"/>
      <c r="AA753" s="37"/>
      <c r="AB753" s="37"/>
    </row>
    <row r="754" spans="26:28" ht="13" x14ac:dyDescent="0.15">
      <c r="Z754" s="37"/>
      <c r="AA754" s="37"/>
      <c r="AB754" s="37"/>
    </row>
    <row r="755" spans="26:28" ht="13" x14ac:dyDescent="0.15">
      <c r="Z755" s="37"/>
      <c r="AA755" s="37"/>
      <c r="AB755" s="37"/>
    </row>
    <row r="756" spans="26:28" ht="13" x14ac:dyDescent="0.15">
      <c r="Z756" s="37"/>
      <c r="AA756" s="37"/>
      <c r="AB756" s="37"/>
    </row>
    <row r="757" spans="26:28" ht="13" x14ac:dyDescent="0.15">
      <c r="Z757" s="37"/>
      <c r="AA757" s="37"/>
      <c r="AB757" s="37"/>
    </row>
    <row r="758" spans="26:28" ht="13" x14ac:dyDescent="0.15">
      <c r="Z758" s="37"/>
      <c r="AA758" s="37"/>
      <c r="AB758" s="37"/>
    </row>
    <row r="759" spans="26:28" ht="13" x14ac:dyDescent="0.15">
      <c r="Z759" s="37"/>
      <c r="AA759" s="37"/>
      <c r="AB759" s="37"/>
    </row>
    <row r="760" spans="26:28" ht="13" x14ac:dyDescent="0.15">
      <c r="Z760" s="37"/>
      <c r="AA760" s="37"/>
      <c r="AB760" s="37"/>
    </row>
    <row r="761" spans="26:28" ht="13" x14ac:dyDescent="0.15">
      <c r="Z761" s="37"/>
      <c r="AA761" s="37"/>
      <c r="AB761" s="37"/>
    </row>
    <row r="762" spans="26:28" ht="13" x14ac:dyDescent="0.15">
      <c r="Z762" s="37"/>
      <c r="AA762" s="37"/>
      <c r="AB762" s="37"/>
    </row>
    <row r="763" spans="26:28" ht="13" x14ac:dyDescent="0.15">
      <c r="Z763" s="37"/>
      <c r="AA763" s="37"/>
      <c r="AB763" s="37"/>
    </row>
    <row r="764" spans="26:28" ht="13" x14ac:dyDescent="0.15">
      <c r="Z764" s="37"/>
      <c r="AA764" s="37"/>
      <c r="AB764" s="37"/>
    </row>
    <row r="765" spans="26:28" ht="13" x14ac:dyDescent="0.15">
      <c r="Z765" s="37"/>
      <c r="AA765" s="37"/>
      <c r="AB765" s="37"/>
    </row>
    <row r="766" spans="26:28" ht="13" x14ac:dyDescent="0.15">
      <c r="Z766" s="37"/>
      <c r="AA766" s="37"/>
      <c r="AB766" s="37"/>
    </row>
    <row r="767" spans="26:28" ht="13" x14ac:dyDescent="0.15">
      <c r="Z767" s="37"/>
      <c r="AA767" s="37"/>
      <c r="AB767" s="37"/>
    </row>
    <row r="768" spans="26:28" ht="13" x14ac:dyDescent="0.15">
      <c r="Z768" s="37"/>
      <c r="AA768" s="37"/>
      <c r="AB768" s="37"/>
    </row>
    <row r="769" spans="26:28" ht="13" x14ac:dyDescent="0.15">
      <c r="Z769" s="37"/>
      <c r="AA769" s="37"/>
      <c r="AB769" s="37"/>
    </row>
    <row r="770" spans="26:28" ht="13" x14ac:dyDescent="0.15">
      <c r="Z770" s="37"/>
      <c r="AA770" s="37"/>
      <c r="AB770" s="37"/>
    </row>
    <row r="771" spans="26:28" ht="13" x14ac:dyDescent="0.15">
      <c r="Z771" s="37"/>
      <c r="AA771" s="37"/>
      <c r="AB771" s="37"/>
    </row>
    <row r="772" spans="26:28" ht="13" x14ac:dyDescent="0.15">
      <c r="Z772" s="37"/>
      <c r="AA772" s="37"/>
      <c r="AB772" s="37"/>
    </row>
    <row r="773" spans="26:28" ht="13" x14ac:dyDescent="0.15">
      <c r="Z773" s="37"/>
      <c r="AA773" s="37"/>
      <c r="AB773" s="37"/>
    </row>
    <row r="774" spans="26:28" ht="13" x14ac:dyDescent="0.15">
      <c r="Z774" s="37"/>
      <c r="AA774" s="37"/>
      <c r="AB774" s="37"/>
    </row>
    <row r="775" spans="26:28" ht="13" x14ac:dyDescent="0.15">
      <c r="Z775" s="37"/>
      <c r="AA775" s="37"/>
      <c r="AB775" s="37"/>
    </row>
    <row r="776" spans="26:28" ht="13" x14ac:dyDescent="0.15">
      <c r="Z776" s="37"/>
      <c r="AA776" s="37"/>
      <c r="AB776" s="37"/>
    </row>
    <row r="777" spans="26:28" ht="13" x14ac:dyDescent="0.15">
      <c r="Z777" s="37"/>
      <c r="AA777" s="37"/>
      <c r="AB777" s="37"/>
    </row>
    <row r="778" spans="26:28" ht="13" x14ac:dyDescent="0.15">
      <c r="Z778" s="37"/>
      <c r="AA778" s="37"/>
      <c r="AB778" s="37"/>
    </row>
    <row r="779" spans="26:28" ht="13" x14ac:dyDescent="0.15">
      <c r="Z779" s="37"/>
      <c r="AA779" s="37"/>
      <c r="AB779" s="37"/>
    </row>
    <row r="780" spans="26:28" ht="13" x14ac:dyDescent="0.15">
      <c r="Z780" s="37"/>
      <c r="AA780" s="37"/>
      <c r="AB780" s="37"/>
    </row>
    <row r="781" spans="26:28" ht="13" x14ac:dyDescent="0.15">
      <c r="Z781" s="37"/>
      <c r="AA781" s="37"/>
      <c r="AB781" s="37"/>
    </row>
    <row r="782" spans="26:28" ht="13" x14ac:dyDescent="0.15">
      <c r="Z782" s="37"/>
      <c r="AA782" s="37"/>
      <c r="AB782" s="37"/>
    </row>
    <row r="783" spans="26:28" ht="13" x14ac:dyDescent="0.15">
      <c r="Z783" s="37"/>
      <c r="AA783" s="37"/>
      <c r="AB783" s="37"/>
    </row>
    <row r="784" spans="26:28" ht="13" x14ac:dyDescent="0.15">
      <c r="Z784" s="37"/>
      <c r="AA784" s="37"/>
      <c r="AB784" s="37"/>
    </row>
    <row r="785" spans="26:28" ht="13" x14ac:dyDescent="0.15">
      <c r="Z785" s="37"/>
      <c r="AA785" s="37"/>
      <c r="AB785" s="37"/>
    </row>
    <row r="786" spans="26:28" ht="13" x14ac:dyDescent="0.15">
      <c r="Z786" s="37"/>
      <c r="AA786" s="37"/>
      <c r="AB786" s="37"/>
    </row>
    <row r="787" spans="26:28" ht="13" x14ac:dyDescent="0.15">
      <c r="Z787" s="37"/>
      <c r="AA787" s="37"/>
      <c r="AB787" s="37"/>
    </row>
    <row r="788" spans="26:28" ht="13" x14ac:dyDescent="0.15">
      <c r="Z788" s="37"/>
      <c r="AA788" s="37"/>
      <c r="AB788" s="37"/>
    </row>
    <row r="789" spans="26:28" ht="13" x14ac:dyDescent="0.15">
      <c r="Z789" s="37"/>
      <c r="AA789" s="37"/>
      <c r="AB789" s="37"/>
    </row>
    <row r="790" spans="26:28" ht="13" x14ac:dyDescent="0.15">
      <c r="Z790" s="37"/>
      <c r="AA790" s="37"/>
      <c r="AB790" s="37"/>
    </row>
    <row r="791" spans="26:28" ht="13" x14ac:dyDescent="0.15">
      <c r="Z791" s="37"/>
      <c r="AA791" s="37"/>
      <c r="AB791" s="37"/>
    </row>
    <row r="792" spans="26:28" ht="13" x14ac:dyDescent="0.15">
      <c r="Z792" s="37"/>
      <c r="AA792" s="37"/>
      <c r="AB792" s="37"/>
    </row>
    <row r="793" spans="26:28" ht="13" x14ac:dyDescent="0.15">
      <c r="Z793" s="37"/>
      <c r="AA793" s="37"/>
      <c r="AB793" s="37"/>
    </row>
    <row r="794" spans="26:28" ht="13" x14ac:dyDescent="0.15">
      <c r="Z794" s="37"/>
      <c r="AA794" s="37"/>
      <c r="AB794" s="37"/>
    </row>
    <row r="795" spans="26:28" ht="13" x14ac:dyDescent="0.15">
      <c r="Z795" s="37"/>
      <c r="AA795" s="37"/>
      <c r="AB795" s="37"/>
    </row>
    <row r="796" spans="26:28" ht="13" x14ac:dyDescent="0.15">
      <c r="Z796" s="37"/>
      <c r="AA796" s="37"/>
      <c r="AB796" s="37"/>
    </row>
    <row r="797" spans="26:28" ht="13" x14ac:dyDescent="0.15">
      <c r="Z797" s="37"/>
      <c r="AA797" s="37"/>
      <c r="AB797" s="37"/>
    </row>
    <row r="798" spans="26:28" ht="13" x14ac:dyDescent="0.15">
      <c r="Z798" s="37"/>
      <c r="AA798" s="37"/>
      <c r="AB798" s="37"/>
    </row>
    <row r="799" spans="26:28" ht="13" x14ac:dyDescent="0.15">
      <c r="Z799" s="37"/>
      <c r="AA799" s="37"/>
      <c r="AB799" s="37"/>
    </row>
    <row r="800" spans="26:28" ht="13" x14ac:dyDescent="0.15">
      <c r="Z800" s="37"/>
      <c r="AA800" s="37"/>
      <c r="AB800" s="37"/>
    </row>
    <row r="801" spans="26:28" ht="13" x14ac:dyDescent="0.15">
      <c r="Z801" s="37"/>
      <c r="AA801" s="37"/>
      <c r="AB801" s="37"/>
    </row>
    <row r="802" spans="26:28" ht="13" x14ac:dyDescent="0.15">
      <c r="Z802" s="37"/>
      <c r="AA802" s="37"/>
      <c r="AB802" s="37"/>
    </row>
    <row r="803" spans="26:28" ht="13" x14ac:dyDescent="0.15">
      <c r="Z803" s="37"/>
      <c r="AA803" s="37"/>
      <c r="AB803" s="37"/>
    </row>
    <row r="804" spans="26:28" ht="13" x14ac:dyDescent="0.15">
      <c r="Z804" s="37"/>
      <c r="AA804" s="37"/>
      <c r="AB804" s="37"/>
    </row>
    <row r="805" spans="26:28" ht="13" x14ac:dyDescent="0.15">
      <c r="Z805" s="37"/>
      <c r="AA805" s="37"/>
      <c r="AB805" s="37"/>
    </row>
    <row r="806" spans="26:28" ht="13" x14ac:dyDescent="0.15">
      <c r="Z806" s="37"/>
      <c r="AA806" s="37"/>
      <c r="AB806" s="37"/>
    </row>
    <row r="807" spans="26:28" ht="13" x14ac:dyDescent="0.15">
      <c r="Z807" s="37"/>
      <c r="AA807" s="37"/>
      <c r="AB807" s="37"/>
    </row>
    <row r="808" spans="26:28" ht="13" x14ac:dyDescent="0.15">
      <c r="Z808" s="37"/>
      <c r="AA808" s="37"/>
      <c r="AB808" s="37"/>
    </row>
    <row r="809" spans="26:28" ht="13" x14ac:dyDescent="0.15">
      <c r="Z809" s="37"/>
      <c r="AA809" s="37"/>
      <c r="AB809" s="37"/>
    </row>
    <row r="810" spans="26:28" ht="13" x14ac:dyDescent="0.15">
      <c r="Z810" s="37"/>
      <c r="AA810" s="37"/>
      <c r="AB810" s="37"/>
    </row>
    <row r="811" spans="26:28" ht="13" x14ac:dyDescent="0.15">
      <c r="Z811" s="37"/>
      <c r="AA811" s="37"/>
      <c r="AB811" s="37"/>
    </row>
    <row r="812" spans="26:28" ht="13" x14ac:dyDescent="0.15">
      <c r="Z812" s="37"/>
      <c r="AA812" s="37"/>
      <c r="AB812" s="37"/>
    </row>
    <row r="813" spans="26:28" ht="13" x14ac:dyDescent="0.15">
      <c r="Z813" s="37"/>
      <c r="AA813" s="37"/>
      <c r="AB813" s="37"/>
    </row>
    <row r="814" spans="26:28" ht="13" x14ac:dyDescent="0.15">
      <c r="Z814" s="37"/>
      <c r="AA814" s="37"/>
      <c r="AB814" s="37"/>
    </row>
    <row r="815" spans="26:28" ht="13" x14ac:dyDescent="0.15">
      <c r="Z815" s="37"/>
      <c r="AA815" s="37"/>
      <c r="AB815" s="37"/>
    </row>
    <row r="816" spans="26:28" ht="13" x14ac:dyDescent="0.15">
      <c r="Z816" s="37"/>
      <c r="AA816" s="37"/>
      <c r="AB816" s="37"/>
    </row>
    <row r="817" spans="26:28" ht="13" x14ac:dyDescent="0.15">
      <c r="Z817" s="37"/>
      <c r="AA817" s="37"/>
      <c r="AB817" s="37"/>
    </row>
    <row r="818" spans="26:28" ht="13" x14ac:dyDescent="0.15">
      <c r="Z818" s="37"/>
      <c r="AA818" s="37"/>
      <c r="AB818" s="37"/>
    </row>
    <row r="819" spans="26:28" ht="13" x14ac:dyDescent="0.15">
      <c r="Z819" s="37"/>
      <c r="AA819" s="37"/>
      <c r="AB819" s="37"/>
    </row>
    <row r="820" spans="26:28" ht="13" x14ac:dyDescent="0.15">
      <c r="Z820" s="37"/>
      <c r="AA820" s="37"/>
      <c r="AB820" s="37"/>
    </row>
    <row r="821" spans="26:28" ht="13" x14ac:dyDescent="0.15">
      <c r="Z821" s="37"/>
      <c r="AA821" s="37"/>
      <c r="AB821" s="37"/>
    </row>
    <row r="822" spans="26:28" ht="13" x14ac:dyDescent="0.15">
      <c r="Z822" s="37"/>
      <c r="AA822" s="37"/>
      <c r="AB822" s="37"/>
    </row>
    <row r="823" spans="26:28" ht="13" x14ac:dyDescent="0.15">
      <c r="Z823" s="37"/>
      <c r="AA823" s="37"/>
      <c r="AB823" s="37"/>
    </row>
    <row r="824" spans="26:28" ht="13" x14ac:dyDescent="0.15">
      <c r="Z824" s="37"/>
      <c r="AA824" s="37"/>
      <c r="AB824" s="37"/>
    </row>
    <row r="825" spans="26:28" ht="13" x14ac:dyDescent="0.15">
      <c r="Z825" s="37"/>
      <c r="AA825" s="37"/>
      <c r="AB825" s="37"/>
    </row>
    <row r="826" spans="26:28" ht="13" x14ac:dyDescent="0.15">
      <c r="Z826" s="37"/>
      <c r="AA826" s="37"/>
      <c r="AB826" s="37"/>
    </row>
    <row r="827" spans="26:28" ht="13" x14ac:dyDescent="0.15">
      <c r="Z827" s="37"/>
      <c r="AA827" s="37"/>
      <c r="AB827" s="37"/>
    </row>
    <row r="828" spans="26:28" ht="13" x14ac:dyDescent="0.15">
      <c r="Z828" s="37"/>
      <c r="AA828" s="37"/>
      <c r="AB828" s="37"/>
    </row>
    <row r="829" spans="26:28" ht="13" x14ac:dyDescent="0.15">
      <c r="Z829" s="37"/>
      <c r="AA829" s="37"/>
      <c r="AB829" s="37"/>
    </row>
    <row r="830" spans="26:28" ht="13" x14ac:dyDescent="0.15">
      <c r="Z830" s="37"/>
      <c r="AA830" s="37"/>
      <c r="AB830" s="37"/>
    </row>
    <row r="831" spans="26:28" ht="13" x14ac:dyDescent="0.15">
      <c r="Z831" s="37"/>
      <c r="AA831" s="37"/>
      <c r="AB831" s="37"/>
    </row>
    <row r="832" spans="26:28" ht="13" x14ac:dyDescent="0.15">
      <c r="Z832" s="37"/>
      <c r="AA832" s="37"/>
      <c r="AB832" s="37"/>
    </row>
    <row r="833" spans="26:28" ht="13" x14ac:dyDescent="0.15">
      <c r="Z833" s="37"/>
      <c r="AA833" s="37"/>
      <c r="AB833" s="37"/>
    </row>
    <row r="834" spans="26:28" ht="13" x14ac:dyDescent="0.15">
      <c r="Z834" s="37"/>
      <c r="AA834" s="37"/>
      <c r="AB834" s="37"/>
    </row>
    <row r="835" spans="26:28" ht="13" x14ac:dyDescent="0.15">
      <c r="Z835" s="37"/>
      <c r="AA835" s="37"/>
      <c r="AB835" s="37"/>
    </row>
    <row r="836" spans="26:28" ht="13" x14ac:dyDescent="0.15">
      <c r="Z836" s="37"/>
      <c r="AA836" s="37"/>
      <c r="AB836" s="37"/>
    </row>
    <row r="837" spans="26:28" ht="13" x14ac:dyDescent="0.15">
      <c r="Z837" s="37"/>
      <c r="AA837" s="37"/>
      <c r="AB837" s="37"/>
    </row>
    <row r="838" spans="26:28" ht="13" x14ac:dyDescent="0.15">
      <c r="Z838" s="37"/>
      <c r="AA838" s="37"/>
      <c r="AB838" s="37"/>
    </row>
    <row r="839" spans="26:28" ht="13" x14ac:dyDescent="0.15">
      <c r="Z839" s="37"/>
      <c r="AA839" s="37"/>
      <c r="AB839" s="37"/>
    </row>
    <row r="840" spans="26:28" ht="13" x14ac:dyDescent="0.15">
      <c r="Z840" s="37"/>
      <c r="AA840" s="37"/>
      <c r="AB840" s="37"/>
    </row>
    <row r="841" spans="26:28" ht="13" x14ac:dyDescent="0.15">
      <c r="Z841" s="37"/>
      <c r="AA841" s="37"/>
      <c r="AB841" s="37"/>
    </row>
    <row r="842" spans="26:28" ht="13" x14ac:dyDescent="0.15">
      <c r="Z842" s="37"/>
      <c r="AA842" s="37"/>
      <c r="AB842" s="37"/>
    </row>
    <row r="843" spans="26:28" ht="13" x14ac:dyDescent="0.15">
      <c r="Z843" s="37"/>
      <c r="AA843" s="37"/>
      <c r="AB843" s="37"/>
    </row>
    <row r="844" spans="26:28" ht="13" x14ac:dyDescent="0.15">
      <c r="Z844" s="37"/>
      <c r="AA844" s="37"/>
      <c r="AB844" s="37"/>
    </row>
    <row r="845" spans="26:28" ht="13" x14ac:dyDescent="0.15">
      <c r="Z845" s="37"/>
      <c r="AA845" s="37"/>
      <c r="AB845" s="37"/>
    </row>
    <row r="846" spans="26:28" ht="13" x14ac:dyDescent="0.15">
      <c r="Z846" s="37"/>
      <c r="AA846" s="37"/>
      <c r="AB846" s="37"/>
    </row>
    <row r="847" spans="26:28" ht="13" x14ac:dyDescent="0.15">
      <c r="Z847" s="37"/>
      <c r="AA847" s="37"/>
      <c r="AB847" s="37"/>
    </row>
    <row r="848" spans="26:28" ht="13" x14ac:dyDescent="0.15">
      <c r="Z848" s="37"/>
      <c r="AA848" s="37"/>
      <c r="AB848" s="37"/>
    </row>
    <row r="849" spans="26:28" ht="13" x14ac:dyDescent="0.15">
      <c r="Z849" s="37"/>
      <c r="AA849" s="37"/>
      <c r="AB849" s="37"/>
    </row>
    <row r="850" spans="26:28" ht="13" x14ac:dyDescent="0.15">
      <c r="Z850" s="37"/>
      <c r="AA850" s="37"/>
      <c r="AB850" s="37"/>
    </row>
    <row r="851" spans="26:28" ht="13" x14ac:dyDescent="0.15">
      <c r="Z851" s="37"/>
      <c r="AA851" s="37"/>
      <c r="AB851" s="37"/>
    </row>
    <row r="852" spans="26:28" ht="13" x14ac:dyDescent="0.15">
      <c r="Z852" s="37"/>
      <c r="AA852" s="37"/>
      <c r="AB852" s="37"/>
    </row>
    <row r="853" spans="26:28" ht="13" x14ac:dyDescent="0.15">
      <c r="Z853" s="37"/>
      <c r="AA853" s="37"/>
      <c r="AB853" s="37"/>
    </row>
    <row r="854" spans="26:28" ht="13" x14ac:dyDescent="0.15">
      <c r="Z854" s="37"/>
      <c r="AA854" s="37"/>
      <c r="AB854" s="37"/>
    </row>
    <row r="855" spans="26:28" ht="13" x14ac:dyDescent="0.15">
      <c r="Z855" s="37"/>
      <c r="AA855" s="37"/>
      <c r="AB855" s="37"/>
    </row>
    <row r="856" spans="26:28" ht="13" x14ac:dyDescent="0.15">
      <c r="Z856" s="37"/>
      <c r="AA856" s="37"/>
      <c r="AB856" s="37"/>
    </row>
    <row r="857" spans="26:28" ht="13" x14ac:dyDescent="0.15">
      <c r="Z857" s="37"/>
      <c r="AA857" s="37"/>
      <c r="AB857" s="37"/>
    </row>
    <row r="858" spans="26:28" ht="13" x14ac:dyDescent="0.15">
      <c r="Z858" s="37"/>
      <c r="AA858" s="37"/>
      <c r="AB858" s="37"/>
    </row>
    <row r="859" spans="26:28" ht="13" x14ac:dyDescent="0.15">
      <c r="Z859" s="37"/>
      <c r="AA859" s="37"/>
      <c r="AB859" s="37"/>
    </row>
    <row r="860" spans="26:28" ht="13" x14ac:dyDescent="0.15">
      <c r="Z860" s="37"/>
      <c r="AA860" s="37"/>
      <c r="AB860" s="37"/>
    </row>
    <row r="861" spans="26:28" ht="13" x14ac:dyDescent="0.15">
      <c r="Z861" s="37"/>
      <c r="AA861" s="37"/>
      <c r="AB861" s="37"/>
    </row>
    <row r="862" spans="26:28" ht="13" x14ac:dyDescent="0.15">
      <c r="Z862" s="37"/>
      <c r="AA862" s="37"/>
      <c r="AB862" s="37"/>
    </row>
    <row r="863" spans="26:28" ht="13" x14ac:dyDescent="0.15">
      <c r="Z863" s="37"/>
      <c r="AA863" s="37"/>
      <c r="AB863" s="37"/>
    </row>
    <row r="864" spans="26:28" ht="13" x14ac:dyDescent="0.15">
      <c r="Z864" s="37"/>
      <c r="AA864" s="37"/>
      <c r="AB864" s="37"/>
    </row>
    <row r="865" spans="26:28" ht="13" x14ac:dyDescent="0.15">
      <c r="Z865" s="37"/>
      <c r="AA865" s="37"/>
      <c r="AB865" s="37"/>
    </row>
    <row r="866" spans="26:28" ht="13" x14ac:dyDescent="0.15">
      <c r="Z866" s="37"/>
      <c r="AA866" s="37"/>
      <c r="AB866" s="37"/>
    </row>
    <row r="867" spans="26:28" ht="13" x14ac:dyDescent="0.15">
      <c r="Z867" s="37"/>
      <c r="AA867" s="37"/>
      <c r="AB867" s="37"/>
    </row>
    <row r="868" spans="26:28" ht="13" x14ac:dyDescent="0.15">
      <c r="Z868" s="37"/>
      <c r="AA868" s="37"/>
      <c r="AB868" s="37"/>
    </row>
    <row r="869" spans="26:28" ht="13" x14ac:dyDescent="0.15">
      <c r="Z869" s="37"/>
      <c r="AA869" s="37"/>
      <c r="AB869" s="37"/>
    </row>
    <row r="870" spans="26:28" ht="13" x14ac:dyDescent="0.15">
      <c r="Z870" s="37"/>
      <c r="AA870" s="37"/>
      <c r="AB870" s="37"/>
    </row>
    <row r="871" spans="26:28" ht="13" x14ac:dyDescent="0.15">
      <c r="Z871" s="37"/>
      <c r="AA871" s="37"/>
      <c r="AB871" s="37"/>
    </row>
    <row r="872" spans="26:28" ht="13" x14ac:dyDescent="0.15">
      <c r="Z872" s="37"/>
      <c r="AA872" s="37"/>
      <c r="AB872" s="37"/>
    </row>
    <row r="873" spans="26:28" ht="13" x14ac:dyDescent="0.15">
      <c r="Z873" s="37"/>
      <c r="AA873" s="37"/>
      <c r="AB873" s="37"/>
    </row>
    <row r="874" spans="26:28" ht="13" x14ac:dyDescent="0.15">
      <c r="Z874" s="37"/>
      <c r="AA874" s="37"/>
      <c r="AB874" s="37"/>
    </row>
    <row r="875" spans="26:28" ht="13" x14ac:dyDescent="0.15">
      <c r="Z875" s="37"/>
      <c r="AA875" s="37"/>
      <c r="AB875" s="37"/>
    </row>
    <row r="876" spans="26:28" ht="13" x14ac:dyDescent="0.15">
      <c r="Z876" s="37"/>
      <c r="AA876" s="37"/>
      <c r="AB876" s="37"/>
    </row>
    <row r="877" spans="26:28" ht="13" x14ac:dyDescent="0.15">
      <c r="Z877" s="37"/>
      <c r="AA877" s="37"/>
      <c r="AB877" s="37"/>
    </row>
    <row r="878" spans="26:28" ht="13" x14ac:dyDescent="0.15">
      <c r="Z878" s="37"/>
      <c r="AA878" s="37"/>
      <c r="AB878" s="37"/>
    </row>
    <row r="879" spans="26:28" ht="13" x14ac:dyDescent="0.15">
      <c r="Z879" s="37"/>
      <c r="AA879" s="37"/>
      <c r="AB879" s="37"/>
    </row>
    <row r="880" spans="26:28" ht="13" x14ac:dyDescent="0.15">
      <c r="Z880" s="37"/>
      <c r="AA880" s="37"/>
      <c r="AB880" s="37"/>
    </row>
    <row r="881" spans="26:28" ht="13" x14ac:dyDescent="0.15">
      <c r="Z881" s="37"/>
      <c r="AA881" s="37"/>
      <c r="AB881" s="37"/>
    </row>
    <row r="882" spans="26:28" ht="13" x14ac:dyDescent="0.15">
      <c r="Z882" s="37"/>
      <c r="AA882" s="37"/>
      <c r="AB882" s="37"/>
    </row>
    <row r="883" spans="26:28" ht="13" x14ac:dyDescent="0.15">
      <c r="Z883" s="37"/>
      <c r="AA883" s="37"/>
      <c r="AB883" s="37"/>
    </row>
    <row r="884" spans="26:28" ht="13" x14ac:dyDescent="0.15">
      <c r="Z884" s="37"/>
      <c r="AA884" s="37"/>
      <c r="AB884" s="37"/>
    </row>
    <row r="885" spans="26:28" ht="13" x14ac:dyDescent="0.15">
      <c r="Z885" s="37"/>
      <c r="AA885" s="37"/>
      <c r="AB885" s="37"/>
    </row>
    <row r="886" spans="26:28" ht="13" x14ac:dyDescent="0.15">
      <c r="Z886" s="37"/>
      <c r="AA886" s="37"/>
      <c r="AB886" s="37"/>
    </row>
    <row r="887" spans="26:28" ht="13" x14ac:dyDescent="0.15">
      <c r="Z887" s="37"/>
      <c r="AA887" s="37"/>
      <c r="AB887" s="37"/>
    </row>
    <row r="888" spans="26:28" ht="13" x14ac:dyDescent="0.15">
      <c r="Z888" s="37"/>
      <c r="AA888" s="37"/>
      <c r="AB888" s="37"/>
    </row>
    <row r="889" spans="26:28" ht="13" x14ac:dyDescent="0.15">
      <c r="Z889" s="37"/>
      <c r="AA889" s="37"/>
      <c r="AB889" s="37"/>
    </row>
    <row r="890" spans="26:28" ht="13" x14ac:dyDescent="0.15">
      <c r="Z890" s="37"/>
      <c r="AA890" s="37"/>
      <c r="AB890" s="37"/>
    </row>
    <row r="891" spans="26:28" ht="13" x14ac:dyDescent="0.15">
      <c r="Z891" s="37"/>
      <c r="AA891" s="37"/>
      <c r="AB891" s="37"/>
    </row>
    <row r="892" spans="26:28" ht="13" x14ac:dyDescent="0.15">
      <c r="Z892" s="37"/>
      <c r="AA892" s="37"/>
      <c r="AB892" s="37"/>
    </row>
    <row r="893" spans="26:28" ht="13" x14ac:dyDescent="0.15">
      <c r="Z893" s="37"/>
      <c r="AA893" s="37"/>
      <c r="AB893" s="37"/>
    </row>
    <row r="894" spans="26:28" ht="13" x14ac:dyDescent="0.15">
      <c r="Z894" s="37"/>
      <c r="AA894" s="37"/>
      <c r="AB894" s="37"/>
    </row>
    <row r="895" spans="26:28" ht="13" x14ac:dyDescent="0.15">
      <c r="Z895" s="37"/>
      <c r="AA895" s="37"/>
      <c r="AB895" s="37"/>
    </row>
    <row r="896" spans="26:28" ht="13" x14ac:dyDescent="0.15">
      <c r="Z896" s="37"/>
      <c r="AA896" s="37"/>
      <c r="AB896" s="37"/>
    </row>
    <row r="897" spans="26:28" ht="13" x14ac:dyDescent="0.15">
      <c r="Z897" s="37"/>
      <c r="AA897" s="37"/>
      <c r="AB897" s="37"/>
    </row>
    <row r="898" spans="26:28" ht="13" x14ac:dyDescent="0.15">
      <c r="Z898" s="37"/>
      <c r="AA898" s="37"/>
      <c r="AB898" s="37"/>
    </row>
    <row r="899" spans="26:28" ht="13" x14ac:dyDescent="0.15">
      <c r="Z899" s="37"/>
      <c r="AA899" s="37"/>
      <c r="AB899" s="37"/>
    </row>
    <row r="900" spans="26:28" ht="13" x14ac:dyDescent="0.15">
      <c r="Z900" s="37"/>
      <c r="AA900" s="37"/>
      <c r="AB900" s="37"/>
    </row>
    <row r="901" spans="26:28" ht="13" x14ac:dyDescent="0.15">
      <c r="Z901" s="37"/>
      <c r="AA901" s="37"/>
      <c r="AB901" s="37"/>
    </row>
    <row r="902" spans="26:28" ht="13" x14ac:dyDescent="0.15">
      <c r="Z902" s="37"/>
      <c r="AA902" s="37"/>
      <c r="AB902" s="37"/>
    </row>
    <row r="903" spans="26:28" ht="13" x14ac:dyDescent="0.15">
      <c r="Z903" s="37"/>
      <c r="AA903" s="37"/>
      <c r="AB903" s="37"/>
    </row>
    <row r="904" spans="26:28" ht="13" x14ac:dyDescent="0.15">
      <c r="Z904" s="37"/>
      <c r="AA904" s="37"/>
      <c r="AB904" s="37"/>
    </row>
    <row r="905" spans="26:28" ht="13" x14ac:dyDescent="0.15">
      <c r="Z905" s="37"/>
      <c r="AA905" s="37"/>
      <c r="AB905" s="37"/>
    </row>
    <row r="906" spans="26:28" ht="13" x14ac:dyDescent="0.15">
      <c r="Z906" s="37"/>
      <c r="AA906" s="37"/>
      <c r="AB906" s="37"/>
    </row>
    <row r="907" spans="26:28" ht="13" x14ac:dyDescent="0.15">
      <c r="Z907" s="37"/>
      <c r="AA907" s="37"/>
      <c r="AB907" s="37"/>
    </row>
    <row r="908" spans="26:28" ht="13" x14ac:dyDescent="0.15">
      <c r="Z908" s="37"/>
      <c r="AA908" s="37"/>
      <c r="AB908" s="37"/>
    </row>
    <row r="909" spans="26:28" ht="13" x14ac:dyDescent="0.15">
      <c r="Z909" s="37"/>
      <c r="AA909" s="37"/>
      <c r="AB909" s="37"/>
    </row>
    <row r="910" spans="26:28" ht="13" x14ac:dyDescent="0.15">
      <c r="Z910" s="37"/>
      <c r="AA910" s="37"/>
      <c r="AB910" s="37"/>
    </row>
    <row r="911" spans="26:28" ht="13" x14ac:dyDescent="0.15">
      <c r="Z911" s="37"/>
      <c r="AA911" s="37"/>
      <c r="AB911" s="37"/>
    </row>
    <row r="912" spans="26:28" ht="13" x14ac:dyDescent="0.15">
      <c r="Z912" s="37"/>
      <c r="AA912" s="37"/>
      <c r="AB912" s="37"/>
    </row>
    <row r="913" spans="26:28" ht="13" x14ac:dyDescent="0.15">
      <c r="Z913" s="37"/>
      <c r="AA913" s="37"/>
      <c r="AB913" s="37"/>
    </row>
    <row r="914" spans="26:28" ht="13" x14ac:dyDescent="0.15">
      <c r="Z914" s="37"/>
      <c r="AA914" s="37"/>
      <c r="AB914" s="37"/>
    </row>
    <row r="915" spans="26:28" ht="13" x14ac:dyDescent="0.15">
      <c r="Z915" s="37"/>
      <c r="AA915" s="37"/>
      <c r="AB915" s="37"/>
    </row>
    <row r="916" spans="26:28" ht="13" x14ac:dyDescent="0.15">
      <c r="Z916" s="37"/>
      <c r="AA916" s="37"/>
      <c r="AB916" s="37"/>
    </row>
    <row r="917" spans="26:28" ht="13" x14ac:dyDescent="0.15">
      <c r="Z917" s="37"/>
      <c r="AA917" s="37"/>
      <c r="AB917" s="37"/>
    </row>
    <row r="918" spans="26:28" ht="13" x14ac:dyDescent="0.15">
      <c r="Z918" s="37"/>
      <c r="AA918" s="37"/>
      <c r="AB918" s="37"/>
    </row>
    <row r="919" spans="26:28" ht="13" x14ac:dyDescent="0.15">
      <c r="Z919" s="37"/>
      <c r="AA919" s="37"/>
      <c r="AB919" s="37"/>
    </row>
    <row r="920" spans="26:28" ht="13" x14ac:dyDescent="0.15">
      <c r="Z920" s="37"/>
      <c r="AA920" s="37"/>
      <c r="AB920" s="37"/>
    </row>
    <row r="921" spans="26:28" ht="13" x14ac:dyDescent="0.15">
      <c r="Z921" s="37"/>
      <c r="AA921" s="37"/>
      <c r="AB921" s="37"/>
    </row>
    <row r="922" spans="26:28" ht="13" x14ac:dyDescent="0.15">
      <c r="Z922" s="37"/>
      <c r="AA922" s="37"/>
      <c r="AB922" s="37"/>
    </row>
    <row r="923" spans="26:28" ht="13" x14ac:dyDescent="0.15">
      <c r="Z923" s="37"/>
      <c r="AA923" s="37"/>
      <c r="AB923" s="37"/>
    </row>
    <row r="924" spans="26:28" ht="13" x14ac:dyDescent="0.15">
      <c r="Z924" s="37"/>
      <c r="AA924" s="37"/>
      <c r="AB924" s="37"/>
    </row>
    <row r="925" spans="26:28" ht="13" x14ac:dyDescent="0.15">
      <c r="Z925" s="37"/>
      <c r="AA925" s="37"/>
      <c r="AB925" s="37"/>
    </row>
    <row r="926" spans="26:28" ht="13" x14ac:dyDescent="0.15">
      <c r="Z926" s="37"/>
      <c r="AA926" s="37"/>
      <c r="AB926" s="37"/>
    </row>
    <row r="927" spans="26:28" ht="13" x14ac:dyDescent="0.15">
      <c r="Z927" s="37"/>
      <c r="AA927" s="37"/>
      <c r="AB927" s="37"/>
    </row>
    <row r="928" spans="26:28" ht="13" x14ac:dyDescent="0.15">
      <c r="Z928" s="37"/>
      <c r="AA928" s="37"/>
      <c r="AB928" s="37"/>
    </row>
    <row r="929" spans="26:28" ht="13" x14ac:dyDescent="0.15">
      <c r="Z929" s="37"/>
      <c r="AA929" s="37"/>
      <c r="AB929" s="37"/>
    </row>
    <row r="930" spans="26:28" ht="13" x14ac:dyDescent="0.15">
      <c r="Z930" s="37"/>
      <c r="AA930" s="37"/>
      <c r="AB930" s="37"/>
    </row>
    <row r="931" spans="26:28" ht="13" x14ac:dyDescent="0.15">
      <c r="Z931" s="37"/>
      <c r="AA931" s="37"/>
      <c r="AB931" s="37"/>
    </row>
    <row r="932" spans="26:28" ht="13" x14ac:dyDescent="0.15">
      <c r="Z932" s="37"/>
      <c r="AA932" s="37"/>
      <c r="AB932" s="37"/>
    </row>
    <row r="933" spans="26:28" ht="13" x14ac:dyDescent="0.15">
      <c r="Z933" s="37"/>
      <c r="AA933" s="37"/>
      <c r="AB933" s="37"/>
    </row>
    <row r="934" spans="26:28" ht="13" x14ac:dyDescent="0.15">
      <c r="Z934" s="37"/>
      <c r="AA934" s="37"/>
      <c r="AB934" s="37"/>
    </row>
    <row r="935" spans="26:28" ht="13" x14ac:dyDescent="0.15">
      <c r="Z935" s="37"/>
      <c r="AA935" s="37"/>
      <c r="AB935" s="37"/>
    </row>
    <row r="936" spans="26:28" ht="13" x14ac:dyDescent="0.15">
      <c r="Z936" s="37"/>
      <c r="AA936" s="37"/>
      <c r="AB936" s="37"/>
    </row>
    <row r="937" spans="26:28" ht="13" x14ac:dyDescent="0.15">
      <c r="Z937" s="37"/>
      <c r="AA937" s="37"/>
      <c r="AB937" s="37"/>
    </row>
    <row r="938" spans="26:28" ht="13" x14ac:dyDescent="0.15">
      <c r="Z938" s="37"/>
      <c r="AA938" s="37"/>
      <c r="AB938" s="37"/>
    </row>
    <row r="939" spans="26:28" ht="13" x14ac:dyDescent="0.15">
      <c r="Z939" s="37"/>
      <c r="AA939" s="37"/>
      <c r="AB939" s="37"/>
    </row>
    <row r="940" spans="26:28" ht="13" x14ac:dyDescent="0.15">
      <c r="Z940" s="37"/>
      <c r="AA940" s="37"/>
      <c r="AB940" s="37"/>
    </row>
    <row r="941" spans="26:28" ht="13" x14ac:dyDescent="0.15">
      <c r="Z941" s="37"/>
      <c r="AA941" s="37"/>
      <c r="AB941" s="37"/>
    </row>
    <row r="942" spans="26:28" ht="13" x14ac:dyDescent="0.15">
      <c r="Z942" s="37"/>
      <c r="AA942" s="37"/>
      <c r="AB942" s="37"/>
    </row>
    <row r="943" spans="26:28" ht="13" x14ac:dyDescent="0.15">
      <c r="Z943" s="37"/>
      <c r="AA943" s="37"/>
      <c r="AB943" s="37"/>
    </row>
    <row r="944" spans="26:28" ht="13" x14ac:dyDescent="0.15">
      <c r="Z944" s="37"/>
      <c r="AA944" s="37"/>
      <c r="AB944" s="37"/>
    </row>
    <row r="945" spans="26:28" ht="13" x14ac:dyDescent="0.15">
      <c r="Z945" s="37"/>
      <c r="AA945" s="37"/>
      <c r="AB945" s="37"/>
    </row>
    <row r="946" spans="26:28" ht="13" x14ac:dyDescent="0.15">
      <c r="Z946" s="37"/>
      <c r="AA946" s="37"/>
      <c r="AB946" s="37"/>
    </row>
    <row r="947" spans="26:28" ht="13" x14ac:dyDescent="0.15">
      <c r="Z947" s="37"/>
      <c r="AA947" s="37"/>
      <c r="AB947" s="37"/>
    </row>
    <row r="948" spans="26:28" ht="13" x14ac:dyDescent="0.15">
      <c r="Z948" s="37"/>
      <c r="AA948" s="37"/>
      <c r="AB948" s="37"/>
    </row>
    <row r="949" spans="26:28" ht="13" x14ac:dyDescent="0.15">
      <c r="Z949" s="37"/>
      <c r="AA949" s="37"/>
      <c r="AB949" s="37"/>
    </row>
    <row r="950" spans="26:28" ht="13" x14ac:dyDescent="0.15">
      <c r="Z950" s="37"/>
      <c r="AA950" s="37"/>
      <c r="AB950" s="37"/>
    </row>
    <row r="951" spans="26:28" ht="13" x14ac:dyDescent="0.15">
      <c r="Z951" s="37"/>
      <c r="AA951" s="37"/>
      <c r="AB951" s="37"/>
    </row>
    <row r="952" spans="26:28" ht="13" x14ac:dyDescent="0.15">
      <c r="Z952" s="37"/>
      <c r="AA952" s="37"/>
      <c r="AB952" s="37"/>
    </row>
    <row r="953" spans="26:28" ht="13" x14ac:dyDescent="0.15">
      <c r="Z953" s="37"/>
      <c r="AA953" s="37"/>
      <c r="AB953" s="37"/>
    </row>
    <row r="954" spans="26:28" ht="13" x14ac:dyDescent="0.15">
      <c r="Z954" s="37"/>
      <c r="AA954" s="37"/>
      <c r="AB954" s="37"/>
    </row>
    <row r="955" spans="26:28" ht="13" x14ac:dyDescent="0.15">
      <c r="Z955" s="37"/>
      <c r="AA955" s="37"/>
      <c r="AB955" s="37"/>
    </row>
    <row r="956" spans="26:28" ht="13" x14ac:dyDescent="0.15">
      <c r="Z956" s="37"/>
      <c r="AA956" s="37"/>
      <c r="AB956" s="37"/>
    </row>
    <row r="957" spans="26:28" ht="13" x14ac:dyDescent="0.15">
      <c r="Z957" s="37"/>
      <c r="AA957" s="37"/>
      <c r="AB957" s="37"/>
    </row>
    <row r="958" spans="26:28" ht="13" x14ac:dyDescent="0.15">
      <c r="Z958" s="37"/>
      <c r="AA958" s="37"/>
      <c r="AB958" s="37"/>
    </row>
    <row r="959" spans="26:28" ht="13" x14ac:dyDescent="0.15">
      <c r="Z959" s="37"/>
      <c r="AA959" s="37"/>
      <c r="AB959" s="37"/>
    </row>
    <row r="960" spans="26:28" ht="13" x14ac:dyDescent="0.15">
      <c r="Z960" s="37"/>
      <c r="AA960" s="37"/>
      <c r="AB960" s="37"/>
    </row>
    <row r="961" spans="26:28" ht="13" x14ac:dyDescent="0.15">
      <c r="Z961" s="37"/>
      <c r="AA961" s="37"/>
      <c r="AB961" s="37"/>
    </row>
    <row r="962" spans="26:28" ht="13" x14ac:dyDescent="0.15">
      <c r="Z962" s="37"/>
      <c r="AA962" s="37"/>
      <c r="AB962" s="37"/>
    </row>
    <row r="963" spans="26:28" ht="13" x14ac:dyDescent="0.15">
      <c r="Z963" s="37"/>
      <c r="AA963" s="37"/>
      <c r="AB963" s="37"/>
    </row>
    <row r="964" spans="26:28" ht="13" x14ac:dyDescent="0.15">
      <c r="Z964" s="37"/>
      <c r="AA964" s="37"/>
      <c r="AB964" s="37"/>
    </row>
    <row r="965" spans="26:28" ht="13" x14ac:dyDescent="0.15">
      <c r="Z965" s="37"/>
      <c r="AA965" s="37"/>
      <c r="AB965" s="37"/>
    </row>
    <row r="966" spans="26:28" ht="13" x14ac:dyDescent="0.15">
      <c r="Z966" s="37"/>
      <c r="AA966" s="37"/>
      <c r="AB966" s="37"/>
    </row>
    <row r="967" spans="26:28" ht="13" x14ac:dyDescent="0.15">
      <c r="Z967" s="37"/>
      <c r="AA967" s="37"/>
      <c r="AB967" s="37"/>
    </row>
    <row r="968" spans="26:28" ht="13" x14ac:dyDescent="0.15">
      <c r="Z968" s="37"/>
      <c r="AA968" s="37"/>
      <c r="AB968" s="37"/>
    </row>
    <row r="969" spans="26:28" ht="13" x14ac:dyDescent="0.15">
      <c r="Z969" s="37"/>
      <c r="AA969" s="37"/>
      <c r="AB969" s="37"/>
    </row>
    <row r="970" spans="26:28" ht="13" x14ac:dyDescent="0.15">
      <c r="Z970" s="37"/>
      <c r="AA970" s="37"/>
      <c r="AB970" s="37"/>
    </row>
    <row r="971" spans="26:28" ht="13" x14ac:dyDescent="0.15">
      <c r="Z971" s="37"/>
      <c r="AA971" s="37"/>
      <c r="AB971" s="37"/>
    </row>
    <row r="972" spans="26:28" ht="13" x14ac:dyDescent="0.15">
      <c r="Z972" s="37"/>
      <c r="AA972" s="37"/>
      <c r="AB972" s="37"/>
    </row>
    <row r="973" spans="26:28" ht="13" x14ac:dyDescent="0.15">
      <c r="Z973" s="37"/>
      <c r="AA973" s="37"/>
      <c r="AB973" s="37"/>
    </row>
    <row r="974" spans="26:28" ht="13" x14ac:dyDescent="0.15">
      <c r="Z974" s="37"/>
      <c r="AA974" s="37"/>
      <c r="AB974" s="37"/>
    </row>
    <row r="975" spans="26:28" ht="13" x14ac:dyDescent="0.15">
      <c r="Z975" s="37"/>
      <c r="AA975" s="37"/>
      <c r="AB975" s="37"/>
    </row>
    <row r="976" spans="26:28" ht="13" x14ac:dyDescent="0.15">
      <c r="Z976" s="37"/>
      <c r="AA976" s="37"/>
      <c r="AB976" s="37"/>
    </row>
    <row r="977" spans="26:28" ht="13" x14ac:dyDescent="0.15">
      <c r="Z977" s="37"/>
      <c r="AA977" s="37"/>
      <c r="AB977" s="37"/>
    </row>
    <row r="978" spans="26:28" ht="13" x14ac:dyDescent="0.15">
      <c r="Z978" s="37"/>
      <c r="AA978" s="37"/>
      <c r="AB978" s="37"/>
    </row>
    <row r="979" spans="26:28" ht="13" x14ac:dyDescent="0.15">
      <c r="Z979" s="37"/>
      <c r="AA979" s="37"/>
      <c r="AB979" s="37"/>
    </row>
    <row r="980" spans="26:28" ht="13" x14ac:dyDescent="0.15">
      <c r="Z980" s="37"/>
      <c r="AA980" s="37"/>
      <c r="AB980" s="37"/>
    </row>
    <row r="981" spans="26:28" ht="13" x14ac:dyDescent="0.15">
      <c r="Z981" s="37"/>
      <c r="AA981" s="37"/>
      <c r="AB981" s="37"/>
    </row>
    <row r="982" spans="26:28" ht="13" x14ac:dyDescent="0.15">
      <c r="Z982" s="37"/>
      <c r="AA982" s="37"/>
      <c r="AB982" s="37"/>
    </row>
    <row r="983" spans="26:28" ht="13" x14ac:dyDescent="0.15">
      <c r="Z983" s="37"/>
      <c r="AA983" s="37"/>
      <c r="AB983" s="37"/>
    </row>
    <row r="984" spans="26:28" ht="13" x14ac:dyDescent="0.15">
      <c r="Z984" s="37"/>
      <c r="AA984" s="37"/>
      <c r="AB984" s="37"/>
    </row>
    <row r="985" spans="26:28" ht="13" x14ac:dyDescent="0.15">
      <c r="Z985" s="37"/>
      <c r="AA985" s="37"/>
      <c r="AB985" s="37"/>
    </row>
    <row r="986" spans="26:28" ht="13" x14ac:dyDescent="0.15">
      <c r="Z986" s="37"/>
      <c r="AA986" s="37"/>
      <c r="AB986" s="37"/>
    </row>
    <row r="987" spans="26:28" ht="13" x14ac:dyDescent="0.15">
      <c r="Z987" s="37"/>
      <c r="AA987" s="37"/>
      <c r="AB987" s="37"/>
    </row>
    <row r="988" spans="26:28" ht="13" x14ac:dyDescent="0.15">
      <c r="Z988" s="37"/>
      <c r="AA988" s="37"/>
      <c r="AB988" s="37"/>
    </row>
    <row r="989" spans="26:28" ht="13" x14ac:dyDescent="0.15">
      <c r="Z989" s="37"/>
      <c r="AA989" s="37"/>
      <c r="AB989" s="37"/>
    </row>
    <row r="990" spans="26:28" ht="13" x14ac:dyDescent="0.15">
      <c r="Z990" s="37"/>
      <c r="AA990" s="37"/>
      <c r="AB990" s="37"/>
    </row>
    <row r="991" spans="26:28" ht="13" x14ac:dyDescent="0.15">
      <c r="Z991" s="37"/>
      <c r="AA991" s="37"/>
      <c r="AB991" s="37"/>
    </row>
    <row r="992" spans="26:28" ht="13" x14ac:dyDescent="0.15">
      <c r="Z992" s="37"/>
      <c r="AA992" s="37"/>
      <c r="AB992" s="37"/>
    </row>
    <row r="993" spans="26:28" ht="13" x14ac:dyDescent="0.15">
      <c r="Z993" s="37"/>
      <c r="AA993" s="37"/>
      <c r="AB993" s="37"/>
    </row>
    <row r="994" spans="26:28" ht="13" x14ac:dyDescent="0.15">
      <c r="Z994" s="37"/>
      <c r="AA994" s="37"/>
      <c r="AB994" s="37"/>
    </row>
    <row r="995" spans="26:28" ht="13" x14ac:dyDescent="0.15">
      <c r="Z995" s="37"/>
      <c r="AA995" s="37"/>
      <c r="AB995" s="37"/>
    </row>
    <row r="996" spans="26:28" ht="13" x14ac:dyDescent="0.15">
      <c r="Z996" s="37"/>
      <c r="AA996" s="37"/>
      <c r="AB996" s="37"/>
    </row>
    <row r="997" spans="26:28" ht="13" x14ac:dyDescent="0.15">
      <c r="Z997" s="37"/>
      <c r="AA997" s="37"/>
      <c r="AB997" s="37"/>
    </row>
    <row r="998" spans="26:28" ht="13" x14ac:dyDescent="0.15">
      <c r="Z998" s="37"/>
      <c r="AA998" s="37"/>
      <c r="AB998" s="37"/>
    </row>
    <row r="999" spans="26:28" ht="13" x14ac:dyDescent="0.15">
      <c r="Z999" s="37"/>
      <c r="AA999" s="37"/>
      <c r="AB999" s="37"/>
    </row>
    <row r="1000" spans="26:28" ht="13" x14ac:dyDescent="0.15">
      <c r="Z1000" s="37"/>
      <c r="AA1000" s="37"/>
      <c r="AB1000" s="37"/>
    </row>
    <row r="1001" spans="26:28" ht="13" x14ac:dyDescent="0.15">
      <c r="Z1001" s="37"/>
      <c r="AA1001" s="37"/>
      <c r="AB1001" s="37"/>
    </row>
  </sheetData>
  <mergeCells count="10">
    <mergeCell ref="A210:A213"/>
    <mergeCell ref="A214:A233"/>
    <mergeCell ref="A234:A289"/>
    <mergeCell ref="A3:A80"/>
    <mergeCell ref="A81:A93"/>
    <mergeCell ref="A94:A97"/>
    <mergeCell ref="A98:A123"/>
    <mergeCell ref="A124:A169"/>
    <mergeCell ref="A170:A178"/>
    <mergeCell ref="A179:A2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2AF8-AD40-5F4E-8FEE-C9C4E60776D4}">
  <dimension ref="A1:Z1001"/>
  <sheetViews>
    <sheetView workbookViewId="0">
      <selection activeCell="C15" sqref="C15"/>
    </sheetView>
  </sheetViews>
  <sheetFormatPr baseColWidth="10" defaultRowHeight="13" x14ac:dyDescent="0.15"/>
  <cols>
    <col min="1" max="1" width="29" customWidth="1"/>
    <col min="2" max="2" width="25.83203125" customWidth="1"/>
    <col min="3" max="3" width="30.83203125" customWidth="1"/>
    <col min="4" max="4" width="21.83203125" customWidth="1"/>
    <col min="5" max="5" width="23" customWidth="1"/>
    <col min="6" max="6" width="22.1640625" customWidth="1"/>
    <col min="7" max="7" width="26.6640625" customWidth="1"/>
    <col min="8" max="8" width="25" customWidth="1"/>
    <col min="9" max="9" width="23" customWidth="1"/>
  </cols>
  <sheetData>
    <row r="1" spans="1:26" ht="17" x14ac:dyDescent="0.2">
      <c r="A1" s="53" t="s">
        <v>1563</v>
      </c>
      <c r="B1" s="54" t="s">
        <v>1564</v>
      </c>
      <c r="C1" s="54" t="s">
        <v>1565</v>
      </c>
      <c r="D1" s="54" t="s">
        <v>1566</v>
      </c>
      <c r="E1" s="54" t="s">
        <v>1567</v>
      </c>
      <c r="F1" s="54" t="s">
        <v>1568</v>
      </c>
      <c r="G1" s="54" t="s">
        <v>1569</v>
      </c>
      <c r="H1" s="54" t="s">
        <v>1570</v>
      </c>
      <c r="I1" s="55" t="s">
        <v>1571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6" x14ac:dyDescent="0.2">
      <c r="A2" s="56" t="s">
        <v>1572</v>
      </c>
      <c r="B2" s="57">
        <v>90</v>
      </c>
      <c r="C2" s="57">
        <v>78</v>
      </c>
      <c r="D2" s="57">
        <v>22</v>
      </c>
      <c r="E2" s="57">
        <v>30</v>
      </c>
      <c r="F2" s="57">
        <v>11</v>
      </c>
      <c r="G2" s="57">
        <v>0</v>
      </c>
      <c r="H2" s="57">
        <v>0</v>
      </c>
      <c r="I2" s="57">
        <v>0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6" x14ac:dyDescent="0.2">
      <c r="A3" s="56" t="s">
        <v>1573</v>
      </c>
      <c r="B3" s="57">
        <v>54</v>
      </c>
      <c r="C3" s="57">
        <v>46</v>
      </c>
      <c r="D3" s="57">
        <v>25</v>
      </c>
      <c r="E3" s="57">
        <v>8</v>
      </c>
      <c r="F3" s="57">
        <v>5</v>
      </c>
      <c r="G3" s="57">
        <v>2</v>
      </c>
      <c r="H3" s="57">
        <v>0</v>
      </c>
      <c r="I3" s="57">
        <v>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6" x14ac:dyDescent="0.2">
      <c r="A4" s="56" t="s">
        <v>1574</v>
      </c>
      <c r="B4" s="57">
        <v>73</v>
      </c>
      <c r="C4" s="57">
        <v>56</v>
      </c>
      <c r="D4" s="57">
        <v>22</v>
      </c>
      <c r="E4" s="57" t="s">
        <v>521</v>
      </c>
      <c r="F4" s="57">
        <v>5</v>
      </c>
      <c r="G4" s="57">
        <v>3</v>
      </c>
      <c r="H4" s="57">
        <v>1</v>
      </c>
      <c r="I4" s="57">
        <v>0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6" x14ac:dyDescent="0.2">
      <c r="A5" s="56" t="s">
        <v>1575</v>
      </c>
      <c r="B5" s="57">
        <v>9</v>
      </c>
      <c r="C5" s="57">
        <v>9</v>
      </c>
      <c r="D5" s="57">
        <v>7</v>
      </c>
      <c r="E5" s="57">
        <v>5</v>
      </c>
      <c r="F5" s="57">
        <v>4</v>
      </c>
      <c r="G5" s="57">
        <v>3</v>
      </c>
      <c r="H5" s="57">
        <v>1</v>
      </c>
      <c r="I5" s="57">
        <v>0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6" x14ac:dyDescent="0.2">
      <c r="A6" s="56" t="s">
        <v>1576</v>
      </c>
      <c r="B6" s="57">
        <v>32</v>
      </c>
      <c r="C6" s="57">
        <v>31</v>
      </c>
      <c r="D6" s="57">
        <v>24</v>
      </c>
      <c r="E6" s="57" t="s">
        <v>521</v>
      </c>
      <c r="F6" s="57">
        <v>22</v>
      </c>
      <c r="G6" s="57">
        <v>17</v>
      </c>
      <c r="H6" s="57">
        <v>1</v>
      </c>
      <c r="I6" s="57">
        <v>0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6" x14ac:dyDescent="0.2">
      <c r="A7" s="56" t="s">
        <v>1577</v>
      </c>
      <c r="B7" s="57">
        <v>16</v>
      </c>
      <c r="C7" s="57">
        <v>13</v>
      </c>
      <c r="D7" s="57">
        <v>8</v>
      </c>
      <c r="E7" s="57">
        <v>7</v>
      </c>
      <c r="F7" s="57">
        <v>2</v>
      </c>
      <c r="G7" s="57">
        <v>2</v>
      </c>
      <c r="H7" s="57">
        <v>1</v>
      </c>
      <c r="I7" s="57">
        <v>0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6" x14ac:dyDescent="0.2">
      <c r="A8" s="56" t="s">
        <v>1578</v>
      </c>
      <c r="B8" s="57">
        <v>4</v>
      </c>
      <c r="C8" s="57">
        <v>4</v>
      </c>
      <c r="D8" s="57">
        <v>3</v>
      </c>
      <c r="E8" s="57" t="s">
        <v>521</v>
      </c>
      <c r="F8" s="57">
        <v>4</v>
      </c>
      <c r="G8" s="57">
        <v>4</v>
      </c>
      <c r="H8" s="57">
        <v>2</v>
      </c>
      <c r="I8" s="57">
        <v>1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6" x14ac:dyDescent="0.2">
      <c r="A9" s="56" t="s">
        <v>1579</v>
      </c>
      <c r="B9" s="57">
        <v>32</v>
      </c>
      <c r="C9" s="57">
        <v>30</v>
      </c>
      <c r="D9" s="57">
        <v>27</v>
      </c>
      <c r="E9" s="57" t="s">
        <v>1580</v>
      </c>
      <c r="F9" s="57">
        <v>24</v>
      </c>
      <c r="G9" s="57">
        <v>22</v>
      </c>
      <c r="H9" s="57">
        <v>14</v>
      </c>
      <c r="I9" s="57">
        <v>2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6" x14ac:dyDescent="0.2">
      <c r="A10" s="56" t="s">
        <v>1581</v>
      </c>
      <c r="B10" s="57">
        <v>21</v>
      </c>
      <c r="C10" s="57">
        <v>20</v>
      </c>
      <c r="D10" s="57">
        <v>14</v>
      </c>
      <c r="E10" s="57" t="s">
        <v>521</v>
      </c>
      <c r="F10" s="57">
        <v>4</v>
      </c>
      <c r="G10" s="57">
        <v>3</v>
      </c>
      <c r="H10" s="57">
        <v>2</v>
      </c>
      <c r="I10" s="57">
        <v>0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6" x14ac:dyDescent="0.2">
      <c r="A11" s="56" t="s">
        <v>1582</v>
      </c>
      <c r="B11" s="57">
        <v>331</v>
      </c>
      <c r="C11" s="57">
        <v>287</v>
      </c>
      <c r="D11" s="57">
        <v>152</v>
      </c>
      <c r="E11" s="57" t="s">
        <v>1583</v>
      </c>
      <c r="F11" s="57">
        <v>81</v>
      </c>
      <c r="G11" s="57">
        <v>56</v>
      </c>
      <c r="H11" s="57">
        <v>22</v>
      </c>
      <c r="I11" s="57">
        <v>3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x14ac:dyDescent="0.15">
      <c r="A12" s="52" t="s">
        <v>1584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x14ac:dyDescent="0.15">
      <c r="A13" s="52" t="s">
        <v>1585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x14ac:dyDescent="0.1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x14ac:dyDescent="0.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x14ac:dyDescent="0.1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x14ac:dyDescent="0.1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x14ac:dyDescent="0.1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x14ac:dyDescent="0.1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x14ac:dyDescent="0.1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x14ac:dyDescent="0.1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x14ac:dyDescent="0.1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x14ac:dyDescent="0.1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x14ac:dyDescent="0.1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x14ac:dyDescent="0.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x14ac:dyDescent="0.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x14ac:dyDescent="0.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x14ac:dyDescent="0.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x14ac:dyDescent="0.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x14ac:dyDescent="0.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x14ac:dyDescent="0.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x14ac:dyDescent="0.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x14ac:dyDescent="0.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x14ac:dyDescent="0.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x14ac:dyDescent="0.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x14ac:dyDescent="0.1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x14ac:dyDescent="0.1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x14ac:dyDescent="0.1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x14ac:dyDescent="0.1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x14ac:dyDescent="0.1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x14ac:dyDescent="0.1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x14ac:dyDescent="0.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x14ac:dyDescent="0.1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x14ac:dyDescent="0.1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x14ac:dyDescent="0.1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x14ac:dyDescent="0.1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x14ac:dyDescent="0.1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x14ac:dyDescent="0.1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x14ac:dyDescent="0.1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x14ac:dyDescent="0.1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x14ac:dyDescent="0.1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x14ac:dyDescent="0.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x14ac:dyDescent="0.1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x14ac:dyDescent="0.1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x14ac:dyDescent="0.1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x14ac:dyDescent="0.1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x14ac:dyDescent="0.1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x14ac:dyDescent="0.1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x14ac:dyDescent="0.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x14ac:dyDescent="0.1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x14ac:dyDescent="0.1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x14ac:dyDescent="0.1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x14ac:dyDescent="0.1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x14ac:dyDescent="0.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x14ac:dyDescent="0.1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x14ac:dyDescent="0.1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x14ac:dyDescent="0.1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x14ac:dyDescent="0.1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x14ac:dyDescent="0.1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x14ac:dyDescent="0.1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x14ac:dyDescent="0.1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x14ac:dyDescent="0.1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x14ac:dyDescent="0.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x14ac:dyDescent="0.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x14ac:dyDescent="0.1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x14ac:dyDescent="0.1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x14ac:dyDescent="0.1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x14ac:dyDescent="0.1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x14ac:dyDescent="0.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x14ac:dyDescent="0.1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x14ac:dyDescent="0.1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x14ac:dyDescent="0.1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x14ac:dyDescent="0.1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x14ac:dyDescent="0.1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x14ac:dyDescent="0.1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x14ac:dyDescent="0.1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x14ac:dyDescent="0.1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x14ac:dyDescent="0.1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x14ac:dyDescent="0.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x14ac:dyDescent="0.1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x14ac:dyDescent="0.1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x14ac:dyDescent="0.1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x14ac:dyDescent="0.1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x14ac:dyDescent="0.1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x14ac:dyDescent="0.1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x14ac:dyDescent="0.1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x14ac:dyDescent="0.1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x14ac:dyDescent="0.1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x14ac:dyDescent="0.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x14ac:dyDescent="0.1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x14ac:dyDescent="0.1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x14ac:dyDescent="0.1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x14ac:dyDescent="0.1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x14ac:dyDescent="0.1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x14ac:dyDescent="0.1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x14ac:dyDescent="0.1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x14ac:dyDescent="0.1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x14ac:dyDescent="0.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x14ac:dyDescent="0.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x14ac:dyDescent="0.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x14ac:dyDescent="0.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x14ac:dyDescent="0.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x14ac:dyDescent="0.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x14ac:dyDescent="0.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x14ac:dyDescent="0.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x14ac:dyDescent="0.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x14ac:dyDescent="0.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x14ac:dyDescent="0.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x14ac:dyDescent="0.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x14ac:dyDescent="0.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x14ac:dyDescent="0.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x14ac:dyDescent="0.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x14ac:dyDescent="0.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x14ac:dyDescent="0.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x14ac:dyDescent="0.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x14ac:dyDescent="0.1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x14ac:dyDescent="0.1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x14ac:dyDescent="0.1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x14ac:dyDescent="0.1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x14ac:dyDescent="0.1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x14ac:dyDescent="0.1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x14ac:dyDescent="0.1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x14ac:dyDescent="0.1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x14ac:dyDescent="0.1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x14ac:dyDescent="0.1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x14ac:dyDescent="0.1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x14ac:dyDescent="0.1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x14ac:dyDescent="0.1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x14ac:dyDescent="0.1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x14ac:dyDescent="0.1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x14ac:dyDescent="0.1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x14ac:dyDescent="0.1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x14ac:dyDescent="0.1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x14ac:dyDescent="0.1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x14ac:dyDescent="0.1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x14ac:dyDescent="0.1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x14ac:dyDescent="0.1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x14ac:dyDescent="0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x14ac:dyDescent="0.1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x14ac:dyDescent="0.1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x14ac:dyDescent="0.1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x14ac:dyDescent="0.1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x14ac:dyDescent="0.1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x14ac:dyDescent="0.1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x14ac:dyDescent="0.1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x14ac:dyDescent="0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x14ac:dyDescent="0.1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x14ac:dyDescent="0.1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x14ac:dyDescent="0.1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x14ac:dyDescent="0.1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x14ac:dyDescent="0.1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x14ac:dyDescent="0.1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x14ac:dyDescent="0.1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x14ac:dyDescent="0.1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x14ac:dyDescent="0.1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x14ac:dyDescent="0.1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x14ac:dyDescent="0.1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x14ac:dyDescent="0.1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x14ac:dyDescent="0.1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x14ac:dyDescent="0.1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x14ac:dyDescent="0.1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x14ac:dyDescent="0.1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x14ac:dyDescent="0.1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x14ac:dyDescent="0.1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x14ac:dyDescent="0.1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x14ac:dyDescent="0.1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x14ac:dyDescent="0.1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x14ac:dyDescent="0.1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x14ac:dyDescent="0.1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x14ac:dyDescent="0.1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x14ac:dyDescent="0.1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x14ac:dyDescent="0.1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x14ac:dyDescent="0.1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x14ac:dyDescent="0.1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x14ac:dyDescent="0.1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x14ac:dyDescent="0.1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x14ac:dyDescent="0.1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x14ac:dyDescent="0.1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x14ac:dyDescent="0.1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x14ac:dyDescent="0.1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x14ac:dyDescent="0.1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x14ac:dyDescent="0.1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x14ac:dyDescent="0.1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x14ac:dyDescent="0.1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x14ac:dyDescent="0.1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x14ac:dyDescent="0.1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x14ac:dyDescent="0.1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x14ac:dyDescent="0.1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x14ac:dyDescent="0.1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x14ac:dyDescent="0.1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x14ac:dyDescent="0.1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x14ac:dyDescent="0.1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x14ac:dyDescent="0.1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x14ac:dyDescent="0.1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x14ac:dyDescent="0.1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x14ac:dyDescent="0.1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x14ac:dyDescent="0.1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x14ac:dyDescent="0.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x14ac:dyDescent="0.1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x14ac:dyDescent="0.1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x14ac:dyDescent="0.1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x14ac:dyDescent="0.1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x14ac:dyDescent="0.1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x14ac:dyDescent="0.1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x14ac:dyDescent="0.1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x14ac:dyDescent="0.1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x14ac:dyDescent="0.1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x14ac:dyDescent="0.1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x14ac:dyDescent="0.1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x14ac:dyDescent="0.1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x14ac:dyDescent="0.1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x14ac:dyDescent="0.1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x14ac:dyDescent="0.1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x14ac:dyDescent="0.1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x14ac:dyDescent="0.1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x14ac:dyDescent="0.1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x14ac:dyDescent="0.1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x14ac:dyDescent="0.1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x14ac:dyDescent="0.1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x14ac:dyDescent="0.1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x14ac:dyDescent="0.1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x14ac:dyDescent="0.1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x14ac:dyDescent="0.1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x14ac:dyDescent="0.1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x14ac:dyDescent="0.1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x14ac:dyDescent="0.1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x14ac:dyDescent="0.1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x14ac:dyDescent="0.1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x14ac:dyDescent="0.1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x14ac:dyDescent="0.1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x14ac:dyDescent="0.1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x14ac:dyDescent="0.1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x14ac:dyDescent="0.1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x14ac:dyDescent="0.1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x14ac:dyDescent="0.1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x14ac:dyDescent="0.1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x14ac:dyDescent="0.1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x14ac:dyDescent="0.1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x14ac:dyDescent="0.1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x14ac:dyDescent="0.1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x14ac:dyDescent="0.1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x14ac:dyDescent="0.1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x14ac:dyDescent="0.1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x14ac:dyDescent="0.1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x14ac:dyDescent="0.1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x14ac:dyDescent="0.1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x14ac:dyDescent="0.1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x14ac:dyDescent="0.1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x14ac:dyDescent="0.1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x14ac:dyDescent="0.1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x14ac:dyDescent="0.1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x14ac:dyDescent="0.1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x14ac:dyDescent="0.1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x14ac:dyDescent="0.1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x14ac:dyDescent="0.1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x14ac:dyDescent="0.1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x14ac:dyDescent="0.1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x14ac:dyDescent="0.1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x14ac:dyDescent="0.1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x14ac:dyDescent="0.1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x14ac:dyDescent="0.1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x14ac:dyDescent="0.1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x14ac:dyDescent="0.1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x14ac:dyDescent="0.1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x14ac:dyDescent="0.1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x14ac:dyDescent="0.1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x14ac:dyDescent="0.1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x14ac:dyDescent="0.1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x14ac:dyDescent="0.1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x14ac:dyDescent="0.1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x14ac:dyDescent="0.1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x14ac:dyDescent="0.1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x14ac:dyDescent="0.1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x14ac:dyDescent="0.1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x14ac:dyDescent="0.1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x14ac:dyDescent="0.1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x14ac:dyDescent="0.1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x14ac:dyDescent="0.1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x14ac:dyDescent="0.1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x14ac:dyDescent="0.1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x14ac:dyDescent="0.1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x14ac:dyDescent="0.1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x14ac:dyDescent="0.1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x14ac:dyDescent="0.1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x14ac:dyDescent="0.1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x14ac:dyDescent="0.1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x14ac:dyDescent="0.1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x14ac:dyDescent="0.1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x14ac:dyDescent="0.1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x14ac:dyDescent="0.1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x14ac:dyDescent="0.1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x14ac:dyDescent="0.1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x14ac:dyDescent="0.1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x14ac:dyDescent="0.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x14ac:dyDescent="0.1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x14ac:dyDescent="0.1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x14ac:dyDescent="0.1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x14ac:dyDescent="0.1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x14ac:dyDescent="0.1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x14ac:dyDescent="0.1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x14ac:dyDescent="0.1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x14ac:dyDescent="0.1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x14ac:dyDescent="0.1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x14ac:dyDescent="0.1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x14ac:dyDescent="0.1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x14ac:dyDescent="0.1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x14ac:dyDescent="0.1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x14ac:dyDescent="0.1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x14ac:dyDescent="0.1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x14ac:dyDescent="0.1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x14ac:dyDescent="0.1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x14ac:dyDescent="0.1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x14ac:dyDescent="0.1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x14ac:dyDescent="0.1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x14ac:dyDescent="0.1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x14ac:dyDescent="0.1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x14ac:dyDescent="0.1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x14ac:dyDescent="0.1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x14ac:dyDescent="0.1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x14ac:dyDescent="0.1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x14ac:dyDescent="0.1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x14ac:dyDescent="0.1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x14ac:dyDescent="0.1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x14ac:dyDescent="0.1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x14ac:dyDescent="0.1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x14ac:dyDescent="0.1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x14ac:dyDescent="0.1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x14ac:dyDescent="0.1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x14ac:dyDescent="0.1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x14ac:dyDescent="0.1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x14ac:dyDescent="0.1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x14ac:dyDescent="0.1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x14ac:dyDescent="0.1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x14ac:dyDescent="0.1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x14ac:dyDescent="0.1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x14ac:dyDescent="0.1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x14ac:dyDescent="0.1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x14ac:dyDescent="0.1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x14ac:dyDescent="0.1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x14ac:dyDescent="0.1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x14ac:dyDescent="0.1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x14ac:dyDescent="0.1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x14ac:dyDescent="0.1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x14ac:dyDescent="0.1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x14ac:dyDescent="0.1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x14ac:dyDescent="0.1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x14ac:dyDescent="0.1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x14ac:dyDescent="0.1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x14ac:dyDescent="0.1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x14ac:dyDescent="0.1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x14ac:dyDescent="0.1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x14ac:dyDescent="0.1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x14ac:dyDescent="0.1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x14ac:dyDescent="0.1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x14ac:dyDescent="0.1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x14ac:dyDescent="0.1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x14ac:dyDescent="0.1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x14ac:dyDescent="0.1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x14ac:dyDescent="0.1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x14ac:dyDescent="0.1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x14ac:dyDescent="0.1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x14ac:dyDescent="0.1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x14ac:dyDescent="0.1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x14ac:dyDescent="0.1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x14ac:dyDescent="0.1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x14ac:dyDescent="0.1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x14ac:dyDescent="0.1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x14ac:dyDescent="0.1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x14ac:dyDescent="0.1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x14ac:dyDescent="0.1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x14ac:dyDescent="0.1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x14ac:dyDescent="0.1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x14ac:dyDescent="0.1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x14ac:dyDescent="0.1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x14ac:dyDescent="0.1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x14ac:dyDescent="0.1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x14ac:dyDescent="0.1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x14ac:dyDescent="0.1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x14ac:dyDescent="0.1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x14ac:dyDescent="0.1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x14ac:dyDescent="0.1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x14ac:dyDescent="0.1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x14ac:dyDescent="0.1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x14ac:dyDescent="0.1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x14ac:dyDescent="0.1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x14ac:dyDescent="0.1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x14ac:dyDescent="0.1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x14ac:dyDescent="0.1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x14ac:dyDescent="0.1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x14ac:dyDescent="0.1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x14ac:dyDescent="0.1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x14ac:dyDescent="0.1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x14ac:dyDescent="0.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x14ac:dyDescent="0.1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x14ac:dyDescent="0.1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x14ac:dyDescent="0.1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x14ac:dyDescent="0.1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x14ac:dyDescent="0.1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x14ac:dyDescent="0.1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x14ac:dyDescent="0.1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x14ac:dyDescent="0.1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x14ac:dyDescent="0.1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x14ac:dyDescent="0.1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x14ac:dyDescent="0.1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x14ac:dyDescent="0.1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x14ac:dyDescent="0.1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x14ac:dyDescent="0.1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x14ac:dyDescent="0.1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x14ac:dyDescent="0.1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x14ac:dyDescent="0.1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x14ac:dyDescent="0.1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x14ac:dyDescent="0.1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x14ac:dyDescent="0.1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x14ac:dyDescent="0.1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x14ac:dyDescent="0.1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x14ac:dyDescent="0.1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x14ac:dyDescent="0.1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x14ac:dyDescent="0.1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x14ac:dyDescent="0.1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x14ac:dyDescent="0.1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x14ac:dyDescent="0.1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x14ac:dyDescent="0.1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x14ac:dyDescent="0.1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x14ac:dyDescent="0.1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x14ac:dyDescent="0.1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x14ac:dyDescent="0.1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x14ac:dyDescent="0.1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x14ac:dyDescent="0.1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x14ac:dyDescent="0.1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x14ac:dyDescent="0.1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x14ac:dyDescent="0.1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x14ac:dyDescent="0.1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x14ac:dyDescent="0.1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x14ac:dyDescent="0.1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x14ac:dyDescent="0.1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x14ac:dyDescent="0.1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x14ac:dyDescent="0.1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x14ac:dyDescent="0.1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x14ac:dyDescent="0.1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x14ac:dyDescent="0.1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x14ac:dyDescent="0.1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x14ac:dyDescent="0.1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x14ac:dyDescent="0.1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x14ac:dyDescent="0.1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x14ac:dyDescent="0.1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x14ac:dyDescent="0.1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x14ac:dyDescent="0.1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x14ac:dyDescent="0.1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x14ac:dyDescent="0.1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x14ac:dyDescent="0.1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x14ac:dyDescent="0.1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x14ac:dyDescent="0.1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x14ac:dyDescent="0.1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x14ac:dyDescent="0.1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x14ac:dyDescent="0.1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x14ac:dyDescent="0.1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x14ac:dyDescent="0.1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x14ac:dyDescent="0.1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x14ac:dyDescent="0.1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x14ac:dyDescent="0.1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x14ac:dyDescent="0.1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x14ac:dyDescent="0.1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x14ac:dyDescent="0.1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x14ac:dyDescent="0.1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x14ac:dyDescent="0.1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x14ac:dyDescent="0.1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x14ac:dyDescent="0.1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x14ac:dyDescent="0.1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x14ac:dyDescent="0.1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x14ac:dyDescent="0.1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x14ac:dyDescent="0.1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x14ac:dyDescent="0.1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x14ac:dyDescent="0.1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x14ac:dyDescent="0.1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x14ac:dyDescent="0.1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x14ac:dyDescent="0.1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x14ac:dyDescent="0.1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x14ac:dyDescent="0.1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x14ac:dyDescent="0.1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x14ac:dyDescent="0.1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x14ac:dyDescent="0.1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x14ac:dyDescent="0.1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x14ac:dyDescent="0.1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x14ac:dyDescent="0.1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x14ac:dyDescent="0.1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x14ac:dyDescent="0.1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x14ac:dyDescent="0.1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x14ac:dyDescent="0.1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x14ac:dyDescent="0.1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x14ac:dyDescent="0.1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x14ac:dyDescent="0.1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x14ac:dyDescent="0.1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x14ac:dyDescent="0.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x14ac:dyDescent="0.1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x14ac:dyDescent="0.1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x14ac:dyDescent="0.1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x14ac:dyDescent="0.1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x14ac:dyDescent="0.1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x14ac:dyDescent="0.1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x14ac:dyDescent="0.1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x14ac:dyDescent="0.1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x14ac:dyDescent="0.1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x14ac:dyDescent="0.1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x14ac:dyDescent="0.1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x14ac:dyDescent="0.1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x14ac:dyDescent="0.1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x14ac:dyDescent="0.1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x14ac:dyDescent="0.1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x14ac:dyDescent="0.1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x14ac:dyDescent="0.1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x14ac:dyDescent="0.1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x14ac:dyDescent="0.1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x14ac:dyDescent="0.1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x14ac:dyDescent="0.1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x14ac:dyDescent="0.1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x14ac:dyDescent="0.1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x14ac:dyDescent="0.1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x14ac:dyDescent="0.1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x14ac:dyDescent="0.1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x14ac:dyDescent="0.1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x14ac:dyDescent="0.1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x14ac:dyDescent="0.1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x14ac:dyDescent="0.1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x14ac:dyDescent="0.1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x14ac:dyDescent="0.1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x14ac:dyDescent="0.1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x14ac:dyDescent="0.1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x14ac:dyDescent="0.1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x14ac:dyDescent="0.1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x14ac:dyDescent="0.1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x14ac:dyDescent="0.1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x14ac:dyDescent="0.1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x14ac:dyDescent="0.1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x14ac:dyDescent="0.1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x14ac:dyDescent="0.1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x14ac:dyDescent="0.1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x14ac:dyDescent="0.1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x14ac:dyDescent="0.1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x14ac:dyDescent="0.1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x14ac:dyDescent="0.1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x14ac:dyDescent="0.1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x14ac:dyDescent="0.1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x14ac:dyDescent="0.1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x14ac:dyDescent="0.1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x14ac:dyDescent="0.1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x14ac:dyDescent="0.1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x14ac:dyDescent="0.1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x14ac:dyDescent="0.1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x14ac:dyDescent="0.1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x14ac:dyDescent="0.1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x14ac:dyDescent="0.1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x14ac:dyDescent="0.1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x14ac:dyDescent="0.1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x14ac:dyDescent="0.1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x14ac:dyDescent="0.1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x14ac:dyDescent="0.1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x14ac:dyDescent="0.1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x14ac:dyDescent="0.1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x14ac:dyDescent="0.1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x14ac:dyDescent="0.1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x14ac:dyDescent="0.1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x14ac:dyDescent="0.1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x14ac:dyDescent="0.1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x14ac:dyDescent="0.1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x14ac:dyDescent="0.1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x14ac:dyDescent="0.1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x14ac:dyDescent="0.1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x14ac:dyDescent="0.1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x14ac:dyDescent="0.1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x14ac:dyDescent="0.1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x14ac:dyDescent="0.1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x14ac:dyDescent="0.1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x14ac:dyDescent="0.1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x14ac:dyDescent="0.1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x14ac:dyDescent="0.1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x14ac:dyDescent="0.1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x14ac:dyDescent="0.1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x14ac:dyDescent="0.1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x14ac:dyDescent="0.1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x14ac:dyDescent="0.1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x14ac:dyDescent="0.1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x14ac:dyDescent="0.1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x14ac:dyDescent="0.1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x14ac:dyDescent="0.1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x14ac:dyDescent="0.1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x14ac:dyDescent="0.1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x14ac:dyDescent="0.1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x14ac:dyDescent="0.1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x14ac:dyDescent="0.1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x14ac:dyDescent="0.1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x14ac:dyDescent="0.1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x14ac:dyDescent="0.1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x14ac:dyDescent="0.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x14ac:dyDescent="0.1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x14ac:dyDescent="0.1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x14ac:dyDescent="0.1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x14ac:dyDescent="0.1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x14ac:dyDescent="0.1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x14ac:dyDescent="0.1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x14ac:dyDescent="0.1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x14ac:dyDescent="0.1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x14ac:dyDescent="0.1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x14ac:dyDescent="0.1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x14ac:dyDescent="0.1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x14ac:dyDescent="0.1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x14ac:dyDescent="0.1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x14ac:dyDescent="0.1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x14ac:dyDescent="0.1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x14ac:dyDescent="0.1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x14ac:dyDescent="0.1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x14ac:dyDescent="0.1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x14ac:dyDescent="0.1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x14ac:dyDescent="0.1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x14ac:dyDescent="0.1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x14ac:dyDescent="0.1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x14ac:dyDescent="0.1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x14ac:dyDescent="0.1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x14ac:dyDescent="0.1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x14ac:dyDescent="0.1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x14ac:dyDescent="0.1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x14ac:dyDescent="0.1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x14ac:dyDescent="0.1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x14ac:dyDescent="0.1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x14ac:dyDescent="0.1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x14ac:dyDescent="0.1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x14ac:dyDescent="0.1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x14ac:dyDescent="0.1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x14ac:dyDescent="0.1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x14ac:dyDescent="0.1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x14ac:dyDescent="0.1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x14ac:dyDescent="0.1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x14ac:dyDescent="0.1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x14ac:dyDescent="0.1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x14ac:dyDescent="0.1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x14ac:dyDescent="0.1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x14ac:dyDescent="0.1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x14ac:dyDescent="0.1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x14ac:dyDescent="0.1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x14ac:dyDescent="0.1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x14ac:dyDescent="0.1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x14ac:dyDescent="0.1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x14ac:dyDescent="0.1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x14ac:dyDescent="0.1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x14ac:dyDescent="0.1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x14ac:dyDescent="0.1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x14ac:dyDescent="0.1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x14ac:dyDescent="0.1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x14ac:dyDescent="0.1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x14ac:dyDescent="0.1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x14ac:dyDescent="0.1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x14ac:dyDescent="0.1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x14ac:dyDescent="0.1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x14ac:dyDescent="0.1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x14ac:dyDescent="0.1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x14ac:dyDescent="0.1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x14ac:dyDescent="0.1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x14ac:dyDescent="0.1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x14ac:dyDescent="0.1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x14ac:dyDescent="0.1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x14ac:dyDescent="0.1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x14ac:dyDescent="0.1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x14ac:dyDescent="0.1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x14ac:dyDescent="0.1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x14ac:dyDescent="0.1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x14ac:dyDescent="0.1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x14ac:dyDescent="0.1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x14ac:dyDescent="0.1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x14ac:dyDescent="0.1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x14ac:dyDescent="0.1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x14ac:dyDescent="0.1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x14ac:dyDescent="0.1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x14ac:dyDescent="0.1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x14ac:dyDescent="0.1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x14ac:dyDescent="0.1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x14ac:dyDescent="0.1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x14ac:dyDescent="0.1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x14ac:dyDescent="0.1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x14ac:dyDescent="0.1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x14ac:dyDescent="0.1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x14ac:dyDescent="0.1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x14ac:dyDescent="0.1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x14ac:dyDescent="0.1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x14ac:dyDescent="0.1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x14ac:dyDescent="0.1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x14ac:dyDescent="0.1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x14ac:dyDescent="0.1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x14ac:dyDescent="0.1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x14ac:dyDescent="0.1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x14ac:dyDescent="0.1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x14ac:dyDescent="0.1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x14ac:dyDescent="0.1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x14ac:dyDescent="0.1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x14ac:dyDescent="0.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x14ac:dyDescent="0.1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x14ac:dyDescent="0.1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x14ac:dyDescent="0.1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x14ac:dyDescent="0.1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x14ac:dyDescent="0.1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x14ac:dyDescent="0.1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x14ac:dyDescent="0.1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x14ac:dyDescent="0.1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x14ac:dyDescent="0.1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x14ac:dyDescent="0.1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x14ac:dyDescent="0.1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x14ac:dyDescent="0.1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x14ac:dyDescent="0.1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x14ac:dyDescent="0.1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x14ac:dyDescent="0.1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x14ac:dyDescent="0.1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x14ac:dyDescent="0.1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x14ac:dyDescent="0.1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x14ac:dyDescent="0.1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x14ac:dyDescent="0.1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x14ac:dyDescent="0.1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x14ac:dyDescent="0.1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x14ac:dyDescent="0.1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x14ac:dyDescent="0.1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x14ac:dyDescent="0.1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x14ac:dyDescent="0.1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x14ac:dyDescent="0.1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x14ac:dyDescent="0.1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x14ac:dyDescent="0.1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x14ac:dyDescent="0.1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x14ac:dyDescent="0.1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x14ac:dyDescent="0.1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x14ac:dyDescent="0.1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x14ac:dyDescent="0.1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x14ac:dyDescent="0.1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x14ac:dyDescent="0.1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x14ac:dyDescent="0.1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x14ac:dyDescent="0.1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x14ac:dyDescent="0.1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x14ac:dyDescent="0.1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x14ac:dyDescent="0.1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x14ac:dyDescent="0.1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x14ac:dyDescent="0.1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x14ac:dyDescent="0.1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x14ac:dyDescent="0.1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x14ac:dyDescent="0.1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x14ac:dyDescent="0.1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x14ac:dyDescent="0.1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x14ac:dyDescent="0.1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x14ac:dyDescent="0.1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x14ac:dyDescent="0.1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x14ac:dyDescent="0.1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x14ac:dyDescent="0.1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x14ac:dyDescent="0.1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x14ac:dyDescent="0.1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x14ac:dyDescent="0.1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x14ac:dyDescent="0.1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x14ac:dyDescent="0.1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x14ac:dyDescent="0.1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x14ac:dyDescent="0.1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x14ac:dyDescent="0.1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x14ac:dyDescent="0.1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x14ac:dyDescent="0.1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x14ac:dyDescent="0.1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x14ac:dyDescent="0.1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x14ac:dyDescent="0.1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x14ac:dyDescent="0.1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x14ac:dyDescent="0.1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x14ac:dyDescent="0.1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x14ac:dyDescent="0.1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x14ac:dyDescent="0.1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x14ac:dyDescent="0.1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x14ac:dyDescent="0.1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x14ac:dyDescent="0.1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x14ac:dyDescent="0.1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x14ac:dyDescent="0.1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x14ac:dyDescent="0.1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x14ac:dyDescent="0.1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x14ac:dyDescent="0.1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x14ac:dyDescent="0.1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x14ac:dyDescent="0.1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x14ac:dyDescent="0.1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x14ac:dyDescent="0.1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x14ac:dyDescent="0.1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x14ac:dyDescent="0.1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x14ac:dyDescent="0.1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x14ac:dyDescent="0.1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x14ac:dyDescent="0.1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x14ac:dyDescent="0.1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x14ac:dyDescent="0.1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x14ac:dyDescent="0.1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x14ac:dyDescent="0.1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x14ac:dyDescent="0.1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x14ac:dyDescent="0.1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x14ac:dyDescent="0.1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x14ac:dyDescent="0.1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x14ac:dyDescent="0.1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x14ac:dyDescent="0.1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x14ac:dyDescent="0.1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x14ac:dyDescent="0.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x14ac:dyDescent="0.1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x14ac:dyDescent="0.1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x14ac:dyDescent="0.1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x14ac:dyDescent="0.1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x14ac:dyDescent="0.1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x14ac:dyDescent="0.1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x14ac:dyDescent="0.1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x14ac:dyDescent="0.1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x14ac:dyDescent="0.1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x14ac:dyDescent="0.1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x14ac:dyDescent="0.1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x14ac:dyDescent="0.1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x14ac:dyDescent="0.1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x14ac:dyDescent="0.1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x14ac:dyDescent="0.1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x14ac:dyDescent="0.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x14ac:dyDescent="0.1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x14ac:dyDescent="0.1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x14ac:dyDescent="0.1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x14ac:dyDescent="0.1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x14ac:dyDescent="0.1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x14ac:dyDescent="0.1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x14ac:dyDescent="0.1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x14ac:dyDescent="0.1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x14ac:dyDescent="0.1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x14ac:dyDescent="0.1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x14ac:dyDescent="0.1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x14ac:dyDescent="0.1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x14ac:dyDescent="0.1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x14ac:dyDescent="0.1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x14ac:dyDescent="0.1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x14ac:dyDescent="0.1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x14ac:dyDescent="0.1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x14ac:dyDescent="0.1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x14ac:dyDescent="0.1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x14ac:dyDescent="0.1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x14ac:dyDescent="0.1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x14ac:dyDescent="0.1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x14ac:dyDescent="0.1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x14ac:dyDescent="0.1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x14ac:dyDescent="0.1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x14ac:dyDescent="0.1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x14ac:dyDescent="0.1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x14ac:dyDescent="0.1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x14ac:dyDescent="0.1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x14ac:dyDescent="0.1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x14ac:dyDescent="0.1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x14ac:dyDescent="0.1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x14ac:dyDescent="0.1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x14ac:dyDescent="0.1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x14ac:dyDescent="0.1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x14ac:dyDescent="0.1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x14ac:dyDescent="0.1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x14ac:dyDescent="0.1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x14ac:dyDescent="0.1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x14ac:dyDescent="0.1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x14ac:dyDescent="0.1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x14ac:dyDescent="0.1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x14ac:dyDescent="0.1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x14ac:dyDescent="0.1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x14ac:dyDescent="0.1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x14ac:dyDescent="0.1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x14ac:dyDescent="0.1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x14ac:dyDescent="0.1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x14ac:dyDescent="0.1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x14ac:dyDescent="0.1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x14ac:dyDescent="0.1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x14ac:dyDescent="0.1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x14ac:dyDescent="0.1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x14ac:dyDescent="0.1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spans="1:26" x14ac:dyDescent="0.15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 Summary</vt:lpstr>
      <vt:lpstr>Screening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2022-06-27T17:20:51Z</dcterms:created>
  <dcterms:modified xsi:type="dcterms:W3CDTF">2022-10-12T22:55:17Z</dcterms:modified>
</cp:coreProperties>
</file>