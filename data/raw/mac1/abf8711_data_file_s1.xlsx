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galencorrey/postphd/QCRG/macrodomain/paper/submission/revisions/"/>
    </mc:Choice>
  </mc:AlternateContent>
  <xr:revisionPtr revIDLastSave="0" documentId="13_ncr:1_{17BA3C27-4628-6C43-B411-09A976DE2555}" xr6:coauthVersionLast="46" xr6:coauthVersionMax="46" xr10:uidLastSave="{00000000-0000-0000-0000-000000000000}"/>
  <bookViews>
    <workbookView xWindow="16180" yWindow="460" windowWidth="33120" windowHeight="26620" xr2:uid="{00000000-000D-0000-FFFF-FFFF00000000}"/>
  </bookViews>
  <sheets>
    <sheet name="README" sheetId="12" r:id="rId1"/>
    <sheet name="1. fragment_summary" sheetId="1" r:id="rId2"/>
    <sheet name="2. sequences" sheetId="2" r:id="rId3"/>
    <sheet name="3. x-ray_strategy" sheetId="3" r:id="rId4"/>
    <sheet name="4. x-ray_stats_non-fragments" sheetId="4" r:id="rId5"/>
    <sheet name="5. x-ray_stats_C2@UCSF" sheetId="5" r:id="rId6"/>
    <sheet name="6. x-ray_stats_P43@UCSF" sheetId="6" r:id="rId7"/>
    <sheet name="7. x-ray_stats_P43@XChem" sheetId="7" r:id="rId8"/>
    <sheet name="8. P43_all_datasets" sheetId="8" r:id="rId9"/>
    <sheet name="9. P43_duplicate_compounds" sheetId="9" r:id="rId10"/>
    <sheet name="10. C2_all_datasets" sheetId="10" r:id="rId11"/>
    <sheet name="11. fragment_hits_classified" sheetId="11" r:id="rId12"/>
    <sheet name="12. solution_binding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1" l="1"/>
  <c r="CX6" i="6"/>
  <c r="E25" i="1"/>
  <c r="E8" i="1"/>
  <c r="E11" i="1"/>
  <c r="E23" i="1" s="1"/>
  <c r="E21" i="1"/>
  <c r="E4" i="1"/>
  <c r="H20" i="1"/>
  <c r="H19" i="1"/>
  <c r="H18" i="1"/>
  <c r="H17" i="1"/>
  <c r="H16" i="1"/>
  <c r="H15" i="1"/>
  <c r="H14" i="1"/>
  <c r="H13" i="1"/>
  <c r="H10" i="1"/>
  <c r="H7" i="1"/>
  <c r="H6" i="1"/>
  <c r="H3" i="1"/>
  <c r="H2" i="1"/>
  <c r="G11" i="1"/>
  <c r="G8" i="1"/>
  <c r="H8" i="1" s="1"/>
  <c r="F8" i="1"/>
  <c r="F11" i="1" s="1"/>
  <c r="G4" i="1"/>
  <c r="H4" i="1" s="1"/>
  <c r="F4" i="1"/>
  <c r="G21" i="1"/>
  <c r="F21" i="1"/>
  <c r="DA6" i="7"/>
  <c r="CZ6" i="7"/>
  <c r="CY6" i="7"/>
  <c r="CX6" i="7"/>
  <c r="CW6" i="7"/>
  <c r="CV6" i="7"/>
  <c r="CU6" i="7"/>
  <c r="CT6" i="7"/>
  <c r="CS6" i="7"/>
  <c r="CR6" i="7"/>
  <c r="CQ6" i="7"/>
  <c r="CP6" i="7"/>
  <c r="CO6" i="7"/>
  <c r="CN6" i="7"/>
  <c r="CM6" i="7"/>
  <c r="CL6" i="7"/>
  <c r="CK6" i="7"/>
  <c r="CJ6" i="7"/>
  <c r="CI6" i="7"/>
  <c r="CH6" i="7"/>
  <c r="CG6" i="7"/>
  <c r="CF6" i="7"/>
  <c r="CE6" i="7"/>
  <c r="CD6" i="7"/>
  <c r="CC6" i="7"/>
  <c r="CB6" i="7"/>
  <c r="CA6" i="7"/>
  <c r="BZ6" i="7"/>
  <c r="BY6" i="7"/>
  <c r="BX6" i="7"/>
  <c r="BW6" i="7"/>
  <c r="BV6" i="7"/>
  <c r="BU6" i="7"/>
  <c r="BT6" i="7"/>
  <c r="BS6" i="7"/>
  <c r="BR6" i="7"/>
  <c r="BQ6" i="7"/>
  <c r="BP6" i="7"/>
  <c r="BO6" i="7"/>
  <c r="BN6" i="7"/>
  <c r="BM6" i="7"/>
  <c r="BL6" i="7"/>
  <c r="BK6" i="7"/>
  <c r="BJ6" i="7"/>
  <c r="BI6" i="7"/>
  <c r="BH6" i="7"/>
  <c r="BG6" i="7"/>
  <c r="BF6" i="7"/>
  <c r="BE6" i="7"/>
  <c r="BD6" i="7"/>
  <c r="BC6" i="7"/>
  <c r="BB6" i="7"/>
  <c r="BA6" i="7"/>
  <c r="AZ6" i="7"/>
  <c r="AY6" i="7"/>
  <c r="AX6" i="7"/>
  <c r="AW6" i="7"/>
  <c r="AV6" i="7"/>
  <c r="AU6" i="7"/>
  <c r="AT6" i="7"/>
  <c r="AS6" i="7"/>
  <c r="AR6" i="7"/>
  <c r="AQ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D21" i="1"/>
  <c r="DP6" i="6"/>
  <c r="DO6" i="6"/>
  <c r="DN6" i="6"/>
  <c r="DM6" i="6"/>
  <c r="DL6" i="6"/>
  <c r="DK6" i="6"/>
  <c r="DJ6" i="6"/>
  <c r="DI6" i="6"/>
  <c r="DH6" i="6"/>
  <c r="DG6" i="6"/>
  <c r="DF6" i="6"/>
  <c r="DE6" i="6"/>
  <c r="DD6" i="6"/>
  <c r="DC6" i="6"/>
  <c r="DB6" i="6"/>
  <c r="DA6" i="6"/>
  <c r="CZ6" i="6"/>
  <c r="CY6" i="6"/>
  <c r="CW6" i="6"/>
  <c r="CV6" i="6"/>
  <c r="CU6" i="6"/>
  <c r="CT6" i="6"/>
  <c r="CS6" i="6"/>
  <c r="CR6" i="6"/>
  <c r="CQ6" i="6"/>
  <c r="CP6" i="6"/>
  <c r="CO6" i="6"/>
  <c r="CN6" i="6"/>
  <c r="CM6" i="6"/>
  <c r="CL6" i="6"/>
  <c r="CK6" i="6"/>
  <c r="CJ6" i="6"/>
  <c r="CI6" i="6"/>
  <c r="CH6" i="6"/>
  <c r="CG6" i="6"/>
  <c r="CF6" i="6"/>
  <c r="CE6" i="6"/>
  <c r="CD6" i="6"/>
  <c r="CC6" i="6"/>
  <c r="CB6" i="6"/>
  <c r="CA6" i="6"/>
  <c r="BZ6" i="6"/>
  <c r="BY6" i="6"/>
  <c r="BX6" i="6"/>
  <c r="BW6" i="6"/>
  <c r="BV6" i="6"/>
  <c r="BU6" i="6"/>
  <c r="BT6" i="6"/>
  <c r="BS6" i="6"/>
  <c r="BR6" i="6"/>
  <c r="BQ6" i="6"/>
  <c r="BP6" i="6"/>
  <c r="BO6" i="6"/>
  <c r="BN6" i="6"/>
  <c r="BM6" i="6"/>
  <c r="BL6" i="6"/>
  <c r="BK6" i="6"/>
  <c r="BJ6" i="6"/>
  <c r="BI6" i="6"/>
  <c r="BH6" i="6"/>
  <c r="BG6" i="6"/>
  <c r="BF6" i="6"/>
  <c r="BE6" i="6"/>
  <c r="BD6" i="6"/>
  <c r="BC6" i="6"/>
  <c r="BB6" i="6"/>
  <c r="BA6" i="6"/>
  <c r="AZ6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N6" i="5"/>
  <c r="M6" i="5"/>
  <c r="L6" i="5"/>
  <c r="K6" i="5"/>
  <c r="J6" i="5"/>
  <c r="I6" i="5"/>
  <c r="H6" i="5"/>
  <c r="G6" i="5"/>
  <c r="F6" i="5"/>
  <c r="E6" i="5"/>
  <c r="D6" i="5"/>
  <c r="C6" i="5"/>
  <c r="B6" i="5"/>
  <c r="M11" i="3"/>
  <c r="L11" i="3"/>
  <c r="F25" i="1" l="1"/>
  <c r="H25" i="1" s="1"/>
  <c r="I11" i="1"/>
  <c r="I4" i="1"/>
  <c r="H21" i="1"/>
  <c r="G25" i="1"/>
  <c r="G23" i="1"/>
  <c r="I23" i="1" s="1"/>
  <c r="H11" i="1"/>
  <c r="I17" i="1" l="1"/>
  <c r="I13" i="1"/>
  <c r="I7" i="1"/>
  <c r="I2" i="1"/>
  <c r="I14" i="1"/>
  <c r="I20" i="1"/>
  <c r="I16" i="1"/>
  <c r="I6" i="1"/>
  <c r="I18" i="1"/>
  <c r="I3" i="1"/>
  <c r="I19" i="1"/>
  <c r="I15" i="1"/>
  <c r="I10" i="1"/>
  <c r="I25" i="1"/>
  <c r="I8" i="1"/>
  <c r="I21" i="1"/>
  <c r="H23" i="1"/>
</calcChain>
</file>

<file path=xl/sharedStrings.xml><?xml version="1.0" encoding="utf-8"?>
<sst xmlns="http://schemas.openxmlformats.org/spreadsheetml/2006/main" count="32233" uniqueCount="13148">
  <si>
    <t>Crystal form</t>
  </si>
  <si>
    <t>Library</t>
  </si>
  <si>
    <t>Compound concentration (mM)</t>
  </si>
  <si>
    <t>Compounds in library</t>
  </si>
  <si>
    <t>Hits</t>
  </si>
  <si>
    <t>Hit rate (%)</t>
  </si>
  <si>
    <t>Proportion of total hits (%)</t>
  </si>
  <si>
    <t>C2 at UCSF</t>
  </si>
  <si>
    <t>UCSF_91</t>
  </si>
  <si>
    <t>Enamine_essential</t>
  </si>
  <si>
    <t>C2 total</t>
  </si>
  <si>
    <t>P43 at UCSF</t>
  </si>
  <si>
    <t>Subtotal</t>
  </si>
  <si>
    <t>docking_fragment</t>
  </si>
  <si>
    <t>UCSF P43 subtotal</t>
  </si>
  <si>
    <t>P43 at Xchem</t>
  </si>
  <si>
    <t>DSIpoised</t>
  </si>
  <si>
    <t>EDELRIS</t>
  </si>
  <si>
    <t>EUOpenScreen</t>
  </si>
  <si>
    <t>Minifrags</t>
  </si>
  <si>
    <t>Newcastle_FragLite</t>
  </si>
  <si>
    <t>Newcastle_PepLite</t>
  </si>
  <si>
    <t>SpotFinder0</t>
  </si>
  <si>
    <t>York_3D</t>
  </si>
  <si>
    <t>XChem P43 subtotal</t>
  </si>
  <si>
    <t>P43 total</t>
  </si>
  <si>
    <t>Total</t>
  </si>
  <si>
    <t>Duplicates from libraries sceened @ XChem and UCSF against P43 crystals</t>
  </si>
  <si>
    <t>Duplicate pairs</t>
  </si>
  <si>
    <t>Hits?</t>
  </si>
  <si>
    <t>Hits in both?</t>
  </si>
  <si>
    <t>Comparing C2 and P43 screens @ UCSF</t>
  </si>
  <si>
    <t>Fragments screened against both C2 and P43?</t>
  </si>
  <si>
    <t>P43 hits screened against C2 crystals?</t>
  </si>
  <si>
    <t>P43 hits not screened against C2 crystals</t>
  </si>
  <si>
    <t>Hits in C2 but not in P43?</t>
  </si>
  <si>
    <t>Hits in P43 but not in C2?</t>
  </si>
  <si>
    <t>Mac1 sequences used in this work</t>
  </si>
  <si>
    <t>Vector backbone</t>
  </si>
  <si>
    <t>Residues</t>
  </si>
  <si>
    <t>Sequence</t>
  </si>
  <si>
    <t>C2</t>
  </si>
  <si>
    <t>pET22b(+)</t>
  </si>
  <si>
    <t>2-170</t>
  </si>
  <si>
    <t xml:space="preserve">MHHHHHHENLYFQSNAGEVNSFSGYLKLTDNVYIKNADIVEEAKKVKPTVVVNAANVYLKHGGGVAGALNKATNNAMQVESDDYIATNGPLKVGGSCVLSGHNLAKHCLHVVGPNVNKGEDIQLLKSAYENFNQHEVLLAPLLSAGIFGADPIHSLRVCVDTVRTNVYLAVFDKNLYDKLVSSFLE </t>
  </si>
  <si>
    <t>P43 @ UCSF</t>
  </si>
  <si>
    <t>3-169</t>
  </si>
  <si>
    <t>MHHHHHHSSGVDLGTENLYFQSMVNSFSGYLKLTDNVYIKNADIVEEAKKVKPTVVVNAANVYLKHGGGVAGALNKATNNAMQVESDDYIATNGPLKVGGSCVLSGHNLAKHCLHVVGPNVNKGEDIQLLKSAYENFNQHEVLLAPLLSAGIFGADPIHSLRVCVDTVRTNVYLAVFDKNLYDKLVSSFL</t>
  </si>
  <si>
    <t>P43 @ Oxford/XChem</t>
  </si>
  <si>
    <t>pNIC28-Bsa4</t>
  </si>
  <si>
    <t>Previously reported Mac1 structures</t>
  </si>
  <si>
    <t>PDB</t>
  </si>
  <si>
    <t>Spacegroup</t>
  </si>
  <si>
    <t>Number in ASU</t>
  </si>
  <si>
    <t>Resolution (Å)</t>
  </si>
  <si>
    <t>N-term. #</t>
  </si>
  <si>
    <t>C-term.</t>
  </si>
  <si>
    <t>Ligand</t>
  </si>
  <si>
    <t>Notes</t>
  </si>
  <si>
    <t>6VXS</t>
  </si>
  <si>
    <t>P1</t>
  </si>
  <si>
    <r>
      <rPr>
        <sz val="10"/>
        <color rgb="FFFF0000"/>
        <rFont val="Arial"/>
        <family val="2"/>
      </rPr>
      <t>G</t>
    </r>
    <r>
      <rPr>
        <sz val="10"/>
        <color rgb="FF000000"/>
        <rFont val="Arial"/>
        <family val="2"/>
      </rPr>
      <t>EV</t>
    </r>
  </si>
  <si>
    <t>LE</t>
  </si>
  <si>
    <t>CHES</t>
  </si>
  <si>
    <t>6W02</t>
  </si>
  <si>
    <r>
      <rPr>
        <sz val="10"/>
        <color rgb="FFFF0000"/>
        <rFont val="Arial"/>
        <family val="2"/>
      </rPr>
      <t>G</t>
    </r>
    <r>
      <rPr>
        <sz val="10"/>
        <color rgb="FF000000"/>
        <rFont val="Arial"/>
        <family val="2"/>
      </rPr>
      <t>EV</t>
    </r>
  </si>
  <si>
    <t>ADP-ribose</t>
  </si>
  <si>
    <t>6W6Y</t>
  </si>
  <si>
    <t>P21</t>
  </si>
  <si>
    <r>
      <rPr>
        <sz val="10"/>
        <color rgb="FFFF0000"/>
        <rFont val="Arial"/>
        <family val="2"/>
      </rPr>
      <t>G</t>
    </r>
    <r>
      <rPr>
        <sz val="10"/>
        <color rgb="FF000000"/>
        <rFont val="Arial"/>
        <family val="2"/>
      </rPr>
      <t>EV</t>
    </r>
  </si>
  <si>
    <t>AMP</t>
  </si>
  <si>
    <t>6WCF</t>
  </si>
  <si>
    <r>
      <rPr>
        <sz val="10"/>
        <color rgb="FFFF0000"/>
        <rFont val="Arial"/>
        <family val="2"/>
      </rPr>
      <t>G</t>
    </r>
    <r>
      <rPr>
        <sz val="10"/>
        <color rgb="FF000000"/>
        <rFont val="Arial"/>
        <family val="2"/>
      </rPr>
      <t>EV</t>
    </r>
  </si>
  <si>
    <t>MES</t>
  </si>
  <si>
    <t>6WEN</t>
  </si>
  <si>
    <r>
      <rPr>
        <sz val="10"/>
        <color rgb="FFFF0000"/>
        <rFont val="Arial"/>
        <family val="2"/>
      </rPr>
      <t>G</t>
    </r>
    <r>
      <rPr>
        <sz val="10"/>
        <color rgb="FF000000"/>
        <rFont val="Arial"/>
        <family val="2"/>
      </rPr>
      <t>EV</t>
    </r>
  </si>
  <si>
    <t>apo</t>
  </si>
  <si>
    <t>6WOJ</t>
  </si>
  <si>
    <t>P2</t>
  </si>
  <si>
    <r>
      <rPr>
        <sz val="10"/>
        <color rgb="FFFF0000"/>
        <rFont val="Arial"/>
        <family val="2"/>
      </rPr>
      <t>G</t>
    </r>
    <r>
      <rPr>
        <sz val="10"/>
        <color rgb="FF000000"/>
        <rFont val="Arial"/>
        <family val="2"/>
      </rPr>
      <t>IEV</t>
    </r>
  </si>
  <si>
    <t>LEMKSEK</t>
  </si>
  <si>
    <t>1-175</t>
  </si>
  <si>
    <t>6WEY</t>
  </si>
  <si>
    <t>P212121</t>
  </si>
  <si>
    <r>
      <rPr>
        <sz val="10"/>
        <color rgb="FFFF0000"/>
        <rFont val="Arial"/>
        <family val="2"/>
      </rPr>
      <t>G</t>
    </r>
    <r>
      <rPr>
        <sz val="10"/>
        <color rgb="FF000000"/>
        <rFont val="Arial"/>
        <family val="2"/>
      </rPr>
      <t>V</t>
    </r>
  </si>
  <si>
    <t>LEMKS</t>
  </si>
  <si>
    <t>3-173</t>
  </si>
  <si>
    <t>6YWK</t>
  </si>
  <si>
    <r>
      <rPr>
        <sz val="10"/>
        <color rgb="FFFF0000"/>
        <rFont val="Arial"/>
        <family val="2"/>
      </rPr>
      <t>GHM</t>
    </r>
    <r>
      <rPr>
        <sz val="10"/>
        <color rgb="FF000000"/>
        <rFont val="Arial"/>
        <family val="2"/>
      </rPr>
      <t>V</t>
    </r>
  </si>
  <si>
    <t>LEMK</t>
  </si>
  <si>
    <t>3-172</t>
  </si>
  <si>
    <t>HEPES</t>
  </si>
  <si>
    <t>6Z5T</t>
  </si>
  <si>
    <r>
      <rPr>
        <sz val="10"/>
        <color rgb="FFFF0000"/>
        <rFont val="Arial"/>
        <family val="2"/>
      </rPr>
      <t>LFQGP</t>
    </r>
    <r>
      <rPr>
        <sz val="10"/>
        <color rgb="FF000000"/>
        <rFont val="Arial"/>
        <family val="2"/>
      </rPr>
      <t>EV</t>
    </r>
  </si>
  <si>
    <t>2-175</t>
  </si>
  <si>
    <t>6Z6I</t>
  </si>
  <si>
    <r>
      <rPr>
        <sz val="10"/>
        <color rgb="FFFF0000"/>
        <rFont val="Arial"/>
        <family val="2"/>
      </rPr>
      <t>LFQGP</t>
    </r>
    <r>
      <rPr>
        <sz val="10"/>
        <color rgb="FF000000"/>
        <rFont val="Arial"/>
        <family val="2"/>
      </rPr>
      <t>EV</t>
    </r>
  </si>
  <si>
    <t>C1'' deoxy ADP-ribose</t>
  </si>
  <si>
    <t>Mac1 structures reported in this work (non-fragment)</t>
  </si>
  <si>
    <t>7KR0</t>
  </si>
  <si>
    <r>
      <rPr>
        <sz val="10"/>
        <color rgb="FFFF0000"/>
        <rFont val="Arial"/>
        <family val="2"/>
      </rPr>
      <t>SNAG</t>
    </r>
    <r>
      <rPr>
        <sz val="10"/>
        <color rgb="FF000000"/>
        <rFont val="Arial"/>
        <family val="2"/>
      </rPr>
      <t>EV</t>
    </r>
  </si>
  <si>
    <t>7KR1</t>
  </si>
  <si>
    <r>
      <rPr>
        <sz val="10"/>
        <color rgb="FFFF0000"/>
        <rFont val="Arial"/>
        <family val="2"/>
      </rPr>
      <t>SNAG</t>
    </r>
    <r>
      <rPr>
        <sz val="10"/>
        <color rgb="FF000000"/>
        <rFont val="Arial"/>
        <family val="2"/>
      </rPr>
      <t>EV</t>
    </r>
  </si>
  <si>
    <t>310 K</t>
  </si>
  <si>
    <t>7KQW</t>
  </si>
  <si>
    <r>
      <rPr>
        <sz val="10"/>
        <color rgb="FFFF0000"/>
        <rFont val="Arial"/>
        <family val="2"/>
      </rPr>
      <t>SNAG</t>
    </r>
    <r>
      <rPr>
        <sz val="10"/>
        <color rgb="FF000000"/>
        <rFont val="Arial"/>
        <family val="2"/>
      </rPr>
      <t>EV</t>
    </r>
  </si>
  <si>
    <t>Methylated</t>
  </si>
  <si>
    <t>7KQO</t>
  </si>
  <si>
    <t>P43</t>
  </si>
  <si>
    <r>
      <rPr>
        <sz val="10"/>
        <color rgb="FFFF0000"/>
        <rFont val="Arial"/>
        <family val="2"/>
      </rPr>
      <t>SM</t>
    </r>
    <r>
      <rPr>
        <sz val="10"/>
        <color rgb="FF000000"/>
        <rFont val="Arial"/>
        <family val="2"/>
      </rPr>
      <t>V</t>
    </r>
  </si>
  <si>
    <t>L</t>
  </si>
  <si>
    <t>7KQP</t>
  </si>
  <si>
    <r>
      <rPr>
        <sz val="10"/>
        <color rgb="FFFF0000"/>
        <rFont val="Arial"/>
        <family val="2"/>
      </rPr>
      <t>SM</t>
    </r>
    <r>
      <rPr>
        <sz val="10"/>
        <color rgb="FF000000"/>
        <rFont val="Arial"/>
        <family val="2"/>
      </rPr>
      <t>V</t>
    </r>
  </si>
  <si>
    <t># Residues in red were introduced to aid TEV or C3 protease cleavage of the poly-histidine tags used to purify these proteins.</t>
  </si>
  <si>
    <t>Crystals</t>
  </si>
  <si>
    <t>Strategy</t>
  </si>
  <si>
    <t>Beamline</t>
  </si>
  <si>
    <t>Temp. (K)</t>
  </si>
  <si>
    <t>Energy (keV)</t>
  </si>
  <si>
    <t>Transmission (%)</t>
  </si>
  <si>
    <t>Beam size (w x h, μm)</t>
  </si>
  <si>
    <t>Detector edge (Å)</t>
  </si>
  <si>
    <t>Detector</t>
  </si>
  <si>
    <t>Oscillation range, width (°)</t>
  </si>
  <si>
    <t>Exposure time (sec)</t>
  </si>
  <si>
    <t>Datasets collected</t>
  </si>
  <si>
    <t>Fragments identified</t>
  </si>
  <si>
    <t>C2 @ UCSF</t>
  </si>
  <si>
    <t>High res, high energy</t>
  </si>
  <si>
    <t>ALS 8.3.1</t>
  </si>
  <si>
    <t>100 x 100</t>
  </si>
  <si>
    <t>DECTRIS PILATUS3 6M</t>
  </si>
  <si>
    <t>360°, 0.5°</t>
  </si>
  <si>
    <t>NA</t>
  </si>
  <si>
    <t>High res, low energy</t>
  </si>
  <si>
    <t>Physiological temperature</t>
  </si>
  <si>
    <t>100 (but slits very narrow)</t>
  </si>
  <si>
    <t>50 x 50</t>
  </si>
  <si>
    <t>Fragments</t>
  </si>
  <si>
    <t>SSRL 12-2</t>
  </si>
  <si>
    <t>50 x 15</t>
  </si>
  <si>
    <t>180°, 0.2°</t>
  </si>
  <si>
    <t>C2 methylated @ UCSF</t>
  </si>
  <si>
    <t>NSLS-II 17-ID-2</t>
  </si>
  <si>
    <t>10 x 10</t>
  </si>
  <si>
    <t>DECTRIS EIGER X 16M</t>
  </si>
  <si>
    <t>180°, 0.1°</t>
  </si>
  <si>
    <t>P43 apo @ UCSF</t>
  </si>
  <si>
    <t>180°, 0.5°</t>
  </si>
  <si>
    <t>P43 adpr @ UCSF</t>
  </si>
  <si>
    <t>SSRL 12-1</t>
  </si>
  <si>
    <t>P43 @ XChem</t>
  </si>
  <si>
    <t>Diamond I04-1</t>
  </si>
  <si>
    <t>60 x 50</t>
  </si>
  <si>
    <t>DECTRIS PILATUS 6M-F (25Hz)</t>
  </si>
  <si>
    <t>180°, 0.48°</t>
  </si>
  <si>
    <t>Dataset</t>
  </si>
  <si>
    <t>C2_100k</t>
  </si>
  <si>
    <t>C2_310k</t>
  </si>
  <si>
    <t>C2_methylated</t>
  </si>
  <si>
    <t>P43_apo</t>
  </si>
  <si>
    <t>P43_adpr</t>
  </si>
  <si>
    <t>PDB_ID</t>
  </si>
  <si>
    <t>Wavelength</t>
  </si>
  <si>
    <t>Resolution range</t>
  </si>
  <si>
    <t>36.9  - 0.77 (0.7975  - 0.77)</t>
  </si>
  <si>
    <t>66.6  - 1.55 (1.605  - 1.55)</t>
  </si>
  <si>
    <t>31.92  - 0.93 (0.9632  - 0.93)</t>
  </si>
  <si>
    <t>39.68  - 0.85 (0.8804  - 0.85)</t>
  </si>
  <si>
    <t>39.52  - 0.88 (0.9115  - 0.88)</t>
  </si>
  <si>
    <t>Space group</t>
  </si>
  <si>
    <t>C 1 2 1</t>
  </si>
  <si>
    <t>P 43</t>
  </si>
  <si>
    <t>Unit cell</t>
  </si>
  <si>
    <t>139.82 29.63 37.96 90 103.56 90</t>
  </si>
  <si>
    <t>134.837 30.4466 37.8778 90 98.9513 90</t>
  </si>
  <si>
    <t>129.146 30.647 39.608 90 96.69 90</t>
  </si>
  <si>
    <t>88.72 88.72 39.68 90 90 90</t>
  </si>
  <si>
    <t>88.365 88.365 39.55 90 90 90</t>
  </si>
  <si>
    <t>Total reflections</t>
  </si>
  <si>
    <t>11827648 (373096)</t>
  </si>
  <si>
    <t>439167 (44525)</t>
  </si>
  <si>
    <t>341594 (33455)</t>
  </si>
  <si>
    <t>2357385 (171736)</t>
  </si>
  <si>
    <t>1528593 (102125)</t>
  </si>
  <si>
    <t>Unique reflections</t>
  </si>
  <si>
    <t>178323 (17321)</t>
  </si>
  <si>
    <t>22439 (2242)</t>
  </si>
  <si>
    <t>98233 (9312)</t>
  </si>
  <si>
    <t>270575 (26927)</t>
  </si>
  <si>
    <t>239103 (21973)</t>
  </si>
  <si>
    <t>Multiplicity</t>
  </si>
  <si>
    <t>66.3 (21.5)</t>
  </si>
  <si>
    <t>19.6 (19.9)</t>
  </si>
  <si>
    <t>3.5 (3.6)</t>
  </si>
  <si>
    <t>8.7 (6.4)</t>
  </si>
  <si>
    <t>6.4 (4.6)</t>
  </si>
  <si>
    <t>Completeness (%)</t>
  </si>
  <si>
    <t>99.71 (97.23)</t>
  </si>
  <si>
    <t>99.99 (99.96)</t>
  </si>
  <si>
    <t>94.70 (90.01)</t>
  </si>
  <si>
    <t>99.96 (99.73)</t>
  </si>
  <si>
    <t>99.10 (91.38)</t>
  </si>
  <si>
    <t>Mean I/sigma(I)</t>
  </si>
  <si>
    <t>34.87 (2.17)</t>
  </si>
  <si>
    <t>9.07 (0.51)</t>
  </si>
  <si>
    <t>11.73 (0.73)</t>
  </si>
  <si>
    <t>19.11 (0.83)</t>
  </si>
  <si>
    <t>13.29 (0.71)</t>
  </si>
  <si>
    <t>Wilson B-factor</t>
  </si>
  <si>
    <t>R-merge</t>
  </si>
  <si>
    <t>0.1162 (15.6)</t>
  </si>
  <si>
    <t>0.1932 (3.87)</t>
  </si>
  <si>
    <t>0.04147 (1.386)</t>
  </si>
  <si>
    <t>0.04505 (1.934)</t>
  </si>
  <si>
    <t>0.05689 (1.445)</t>
  </si>
  <si>
    <t>R-meas</t>
  </si>
  <si>
    <t>0.1169 (15.89)</t>
  </si>
  <si>
    <t>0.1983 (3.97)</t>
  </si>
  <si>
    <t>0.04942 (1.627)</t>
  </si>
  <si>
    <t>0.04736 (2.106)</t>
  </si>
  <si>
    <t>0.06179 (1.624)</t>
  </si>
  <si>
    <t>R-pim</t>
  </si>
  <si>
    <t>0.01247 (2.911)</t>
  </si>
  <si>
    <t>0.04451 (0.8803)</t>
  </si>
  <si>
    <t>0.0265 (0.8455)</t>
  </si>
  <si>
    <t>0.01432 (0.8273)</t>
  </si>
  <si>
    <t>0.02388 (0.7198)</t>
  </si>
  <si>
    <t>CC1/2</t>
  </si>
  <si>
    <t>1 (0.598)</t>
  </si>
  <si>
    <t>0.999 (0.399)</t>
  </si>
  <si>
    <t>0.998 (0.471)</t>
  </si>
  <si>
    <t>0.999 (0.437)</t>
  </si>
  <si>
    <t>0.999 (0.422)</t>
  </si>
  <si>
    <t>CC*</t>
  </si>
  <si>
    <t>1 (0.865)</t>
  </si>
  <si>
    <t>1 (0.755)</t>
  </si>
  <si>
    <t>1 (0.8)</t>
  </si>
  <si>
    <t>1 (0.78)</t>
  </si>
  <si>
    <t>1 (0.77)</t>
  </si>
  <si>
    <t>Reflections used in refinement</t>
  </si>
  <si>
    <t>178310 (17317)</t>
  </si>
  <si>
    <t>22437 (2241)</t>
  </si>
  <si>
    <t>98176 (9288)</t>
  </si>
  <si>
    <t>270487 (26870)</t>
  </si>
  <si>
    <t>238991 (21869)</t>
  </si>
  <si>
    <t>Reflections used for R-free</t>
  </si>
  <si>
    <t>8711 (837)</t>
  </si>
  <si>
    <t>1035 (104)</t>
  </si>
  <si>
    <t>4806 (511)</t>
  </si>
  <si>
    <t>13248 (1341)</t>
  </si>
  <si>
    <t>11640 (1066)</t>
  </si>
  <si>
    <t>R-work</t>
  </si>
  <si>
    <t>0.1100 (0.2341)</t>
  </si>
  <si>
    <t>0.1798 (0.3293)</t>
  </si>
  <si>
    <t>0.1276 (0.3357)</t>
  </si>
  <si>
    <t>0.1208 (0.3534)</t>
  </si>
  <si>
    <t>0.1076 (0.3136)</t>
  </si>
  <si>
    <t>R-free</t>
  </si>
  <si>
    <t>0.1171 (0.2370)</t>
  </si>
  <si>
    <t>0.2216 (0.3684)</t>
  </si>
  <si>
    <t>0.1467 (0.3363)</t>
  </si>
  <si>
    <t>0.1383 (0.3557)</t>
  </si>
  <si>
    <t>0.1233 (0.3200)</t>
  </si>
  <si>
    <t>CC(work)</t>
  </si>
  <si>
    <t>0.982 (0.877)</t>
  </si>
  <si>
    <t>0.975 (0.655)</t>
  </si>
  <si>
    <t>0.980 (0.770)</t>
  </si>
  <si>
    <t>0.985 (0.749)</t>
  </si>
  <si>
    <t>0.985 (0.752)</t>
  </si>
  <si>
    <t>CC(free)</t>
  </si>
  <si>
    <t>0.977 (0.883)</t>
  </si>
  <si>
    <t>0.948 (0.726)</t>
  </si>
  <si>
    <t>0.976 (0.732)</t>
  </si>
  <si>
    <t>0.977 (0.726)</t>
  </si>
  <si>
    <t>0.980 (0.749)</t>
  </si>
  <si>
    <t>Number of non-hydrogen atoms</t>
  </si>
  <si>
    <t>macromolecules</t>
  </si>
  <si>
    <t>ligands</t>
  </si>
  <si>
    <t>solvent</t>
  </si>
  <si>
    <t>Protein residues</t>
  </si>
  <si>
    <t>RMS(bonds)</t>
  </si>
  <si>
    <t>RMS(angles)</t>
  </si>
  <si>
    <t>Ramachandran favored (%)</t>
  </si>
  <si>
    <t>Ramachandran allowed (%)</t>
  </si>
  <si>
    <t>Ramachandran outliers (%)</t>
  </si>
  <si>
    <t>Rotamer outliers (%)</t>
  </si>
  <si>
    <t>Clashscore</t>
  </si>
  <si>
    <t>Average B-factor</t>
  </si>
  <si>
    <t>Group_ID</t>
  </si>
  <si>
    <t>G_1002172</t>
  </si>
  <si>
    <t>5RVJ</t>
  </si>
  <si>
    <t>5RVK</t>
  </si>
  <si>
    <t>5RVL</t>
  </si>
  <si>
    <t>5RVM</t>
  </si>
  <si>
    <t>5RVN</t>
  </si>
  <si>
    <t>5RVO</t>
  </si>
  <si>
    <t>5RVP</t>
  </si>
  <si>
    <t>5RVQ</t>
  </si>
  <si>
    <t>5RVR</t>
  </si>
  <si>
    <t>5RVS</t>
  </si>
  <si>
    <t>5RVT</t>
  </si>
  <si>
    <t>5RVU</t>
  </si>
  <si>
    <t>5RVV</t>
  </si>
  <si>
    <t>Compound_ID</t>
  </si>
  <si>
    <t>ZINC000001612349</t>
  </si>
  <si>
    <t>ZINC000002977810</t>
  </si>
  <si>
    <t>ZINC000000149580</t>
  </si>
  <si>
    <t>ZINC000000157088</t>
  </si>
  <si>
    <t>ZINC000000332748</t>
  </si>
  <si>
    <t>ZINC000013514509</t>
  </si>
  <si>
    <t>ZINC000000154817</t>
  </si>
  <si>
    <t>ZINC000002508153</t>
  </si>
  <si>
    <t>ZINC000016052862</t>
  </si>
  <si>
    <t>ZINC000000159004</t>
  </si>
  <si>
    <t>ZINC000002582714</t>
  </si>
  <si>
    <t>ZINC000002506130</t>
  </si>
  <si>
    <t>ZINC000020269197</t>
  </si>
  <si>
    <t>UCSF-C0058</t>
  </si>
  <si>
    <t>UCSF-C0102</t>
  </si>
  <si>
    <t>UCSF-C0120</t>
  </si>
  <si>
    <t>UCSF-C0137</t>
  </si>
  <si>
    <t>UCSF-C0189</t>
  </si>
  <si>
    <t>UCSF-C0194</t>
  </si>
  <si>
    <t>UCSF-C0242</t>
  </si>
  <si>
    <t>UCSF-C0257</t>
  </si>
  <si>
    <t>UCSF-C0279</t>
  </si>
  <si>
    <t>UCSF-C0295</t>
  </si>
  <si>
    <t>UCSF-C0309</t>
  </si>
  <si>
    <t>UCSF-C0327</t>
  </si>
  <si>
    <t>UCSF-C0362</t>
  </si>
  <si>
    <t>Fragalysis Link</t>
  </si>
  <si>
    <t>31.78  - 1.2 (1.243  - 1.2)</t>
  </si>
  <si>
    <t>39  - 1.46 (1.512  - 1.46)</t>
  </si>
  <si>
    <t>34.39  - 1.36 (1.409  - 1.36)</t>
  </si>
  <si>
    <t>67.8  - 1.034 (1.071  - 1.034)</t>
  </si>
  <si>
    <t>65.5  - 1.26 (1.305  - 1.26)</t>
  </si>
  <si>
    <t>32.84  - 1.52 (1.574  - 1.52)</t>
  </si>
  <si>
    <t>36.84  - 1.04 (1.077  - 1.04)</t>
  </si>
  <si>
    <t>36.9  - 1.08 (1.119  - 1.08)</t>
  </si>
  <si>
    <t>36.01  - 1.04 (1.077  - 1.04)</t>
  </si>
  <si>
    <t>32.73  - 1.52 (1.574  - 1.52)</t>
  </si>
  <si>
    <t>32.21  - 1.26 (1.305  - 1.26)</t>
  </si>
  <si>
    <t>36.85  - 1.2 (1.243  - 1.2)</t>
  </si>
  <si>
    <t>32.93  - 1.42 (1.471  - 1.42)</t>
  </si>
  <si>
    <t>129.9 30.15 39.45 90 97.03 90</t>
  </si>
  <si>
    <t>130.02 29.96 39.32 90 97.33 90</t>
  </si>
  <si>
    <t>132.48 29.9 37.22 90 98.79 90</t>
  </si>
  <si>
    <t>139.36 29.61 37.89 90 103.35 90</t>
  </si>
  <si>
    <t>132.5 30.05 37.22 90 98.64 90</t>
  </si>
  <si>
    <t>132.87 30.13 37.34 90 98.61 90</t>
  </si>
  <si>
    <t>138.77 29.62 37.84 90 103.23 90</t>
  </si>
  <si>
    <t>139.35 29.62 37.91 90 103.26 90</t>
  </si>
  <si>
    <t>139.06 29.58 37.87 90 103.18 90</t>
  </si>
  <si>
    <t>132.44 29.88 37.26 90 98.71 90</t>
  </si>
  <si>
    <t>129.81 30.14 39.4 90 97.08 90</t>
  </si>
  <si>
    <t>139.02 29.63 37.85 90 103.21 90</t>
  </si>
  <si>
    <t>133.33 29.97 37.65 90 98.96 90</t>
  </si>
  <si>
    <t>124304 (2989)</t>
  </si>
  <si>
    <t>84914 (7949)</t>
  </si>
  <si>
    <t>100563 (9980)</t>
  </si>
  <si>
    <t>171922 (1488)</t>
  </si>
  <si>
    <t>119264 (9852)</t>
  </si>
  <si>
    <t>72360 (7253)</t>
  </si>
  <si>
    <t>173531 (1922)</t>
  </si>
  <si>
    <t>168661 (4653)</t>
  </si>
  <si>
    <t>173679 (1843)</t>
  </si>
  <si>
    <t>72667 (6623)</t>
  </si>
  <si>
    <t>133844 (12688)</t>
  </si>
  <si>
    <t>149113 (12186)</t>
  </si>
  <si>
    <t>90792 (9065)</t>
  </si>
  <si>
    <t>40763 (1576)</t>
  </si>
  <si>
    <t>26265 (2602)</t>
  </si>
  <si>
    <t>30217 (2937)</t>
  </si>
  <si>
    <t>58030 (848)</t>
  </si>
  <si>
    <t>38255 (3560)</t>
  </si>
  <si>
    <t>22342 (2200)</t>
  </si>
  <si>
    <t>53057 (928)</t>
  </si>
  <si>
    <t>51894 (1990)</t>
  </si>
  <si>
    <t>54999 (922)</t>
  </si>
  <si>
    <t>21943 (2155)</t>
  </si>
  <si>
    <t>40198 (3942)</t>
  </si>
  <si>
    <t>44340 (3876)</t>
  </si>
  <si>
    <t>27384 (2710)</t>
  </si>
  <si>
    <t>3.0 (1.9)</t>
  </si>
  <si>
    <t>3.2 (3.1)</t>
  </si>
  <si>
    <t>3.3 (3.4)</t>
  </si>
  <si>
    <t>3.0 (1.8)</t>
  </si>
  <si>
    <t>3.1 (2.8)</t>
  </si>
  <si>
    <t>3.2 (3.3)</t>
  </si>
  <si>
    <t>3.3 (2.1)</t>
  </si>
  <si>
    <t>3.3 (2.3)</t>
  </si>
  <si>
    <t>3.2 (2.0)</t>
  </si>
  <si>
    <t>3.3 (3.1)</t>
  </si>
  <si>
    <t>3.3 (3.2)</t>
  </si>
  <si>
    <t>3.4 (3.1)</t>
  </si>
  <si>
    <t>3.3 (3.3)</t>
  </si>
  <si>
    <t>85.26 (33.29)</t>
  </si>
  <si>
    <t>99.18 (99.31)</t>
  </si>
  <si>
    <t>96.35 (94.46)</t>
  </si>
  <si>
    <t>78.51 (11.53)</t>
  </si>
  <si>
    <t>96.70 (90.91)</t>
  </si>
  <si>
    <t>97.63 (96.91)</t>
  </si>
  <si>
    <t>73.36 (12.97)</t>
  </si>
  <si>
    <t>79.70 (30.56)</t>
  </si>
  <si>
    <t>75.90 (12.84)</t>
  </si>
  <si>
    <t>97.14 (95.52)</t>
  </si>
  <si>
    <t>97.38 (96.40)</t>
  </si>
  <si>
    <t>93.51 (82.52)</t>
  </si>
  <si>
    <t>97.34 (98.01)</t>
  </si>
  <si>
    <t>15.01 (1.39)</t>
  </si>
  <si>
    <t>10.74 (0.93)</t>
  </si>
  <si>
    <t>9.59 (0.85)</t>
  </si>
  <si>
    <t>15.91 (2.33)</t>
  </si>
  <si>
    <t>11.47 (0.80)</t>
  </si>
  <si>
    <t>8.11 (0.89)</t>
  </si>
  <si>
    <t>12.21 (1.69)</t>
  </si>
  <si>
    <t>7.41 (0.69)</t>
  </si>
  <si>
    <t>7.69 (1.08)</t>
  </si>
  <si>
    <t>8.41 (0.93)</t>
  </si>
  <si>
    <t>9.39 (0.89)</t>
  </si>
  <si>
    <t>6.17 (0.88)</t>
  </si>
  <si>
    <t>9.59 (0.91)</t>
  </si>
  <si>
    <t>0.03328 (0.5127)</t>
  </si>
  <si>
    <t>0.05472 (1.212)</t>
  </si>
  <si>
    <t>0.06677 (1.506)</t>
  </si>
  <si>
    <t>0.03475 (0.3444)</t>
  </si>
  <si>
    <t>0.04331 (1.325)</t>
  </si>
  <si>
    <t>0.07679 (1.499)</t>
  </si>
  <si>
    <t>0.0511 (0.4107)</t>
  </si>
  <si>
    <t>0.08888 (1.358)</t>
  </si>
  <si>
    <t>0.1019 (0.754)</t>
  </si>
  <si>
    <t>0.08039 (1.334)</t>
  </si>
  <si>
    <t>0.0632 (1.17)</t>
  </si>
  <si>
    <t>0.1167 (1.328)</t>
  </si>
  <si>
    <t>0.06328 (1.32)</t>
  </si>
  <si>
    <t>0.04008 (0.7031)</t>
  </si>
  <si>
    <t>0.06563 (1.469)</t>
  </si>
  <si>
    <t>0.07983 (1.786)</t>
  </si>
  <si>
    <t>0.04212 (0.4801)</t>
  </si>
  <si>
    <t>0.05217 (1.614)</t>
  </si>
  <si>
    <t>0.09223 (1.782)</t>
  </si>
  <si>
    <t>0.06095 (0.5637)</t>
  </si>
  <si>
    <t>0.1064 (1.775)</t>
  </si>
  <si>
    <t>0.1222 (1.047)</t>
  </si>
  <si>
    <t>0.0961 (1.62)</t>
  </si>
  <si>
    <t>0.07553 (1.412)</t>
  </si>
  <si>
    <t>0.1389 (1.596)</t>
  </si>
  <si>
    <t>0.0757 (1.576)</t>
  </si>
  <si>
    <t>0.02205 (0.4774)</t>
  </si>
  <si>
    <t>0.03581 (0.8195)</t>
  </si>
  <si>
    <t>0.04323 (0.9511)</t>
  </si>
  <si>
    <t>0.02347 (0.3332)</t>
  </si>
  <si>
    <t>0.02872 (0.9097)</t>
  </si>
  <si>
    <t>0.05043 (0.9535)</t>
  </si>
  <si>
    <t>0.03274 (0.3829)</t>
  </si>
  <si>
    <t>0.05756 (1.124)</t>
  </si>
  <si>
    <t>0.0664 (0.7234)</t>
  </si>
  <si>
    <t>0.05189 (0.9029)</t>
  </si>
  <si>
    <t>0.04073 (0.7762)</t>
  </si>
  <si>
    <t>0.07429 (0.871)</t>
  </si>
  <si>
    <t>0.04095 (0.8484)</t>
  </si>
  <si>
    <t>0.999 (0.592)</t>
  </si>
  <si>
    <t>0.999 (0.356)</t>
  </si>
  <si>
    <t>0.999 (0.369)</t>
  </si>
  <si>
    <t>0.999 (0.729)</t>
  </si>
  <si>
    <t>0.999 (0.35)</t>
  </si>
  <si>
    <t>0.998 (0.385)</t>
  </si>
  <si>
    <t>0.998 (0.693)</t>
  </si>
  <si>
    <t>0.998 (0.384)</t>
  </si>
  <si>
    <t>0.996 (0.305)</t>
  </si>
  <si>
    <t>0.997 (0.345)</t>
  </si>
  <si>
    <t>0.999 (0.37)</t>
  </si>
  <si>
    <t>0.996 (0.408)</t>
  </si>
  <si>
    <t>0.999 (0.355)</t>
  </si>
  <si>
    <t>1 (0.862)</t>
  </si>
  <si>
    <t>1 (0.724)</t>
  </si>
  <si>
    <t>1 (0.734)</t>
  </si>
  <si>
    <t>1 (0.918)</t>
  </si>
  <si>
    <t>1 (0.72)</t>
  </si>
  <si>
    <t>0.999 (0.746)</t>
  </si>
  <si>
    <t>1 (0.905)</t>
  </si>
  <si>
    <t>0.999 (0.745)</t>
  </si>
  <si>
    <t>0.999 (0.683)</t>
  </si>
  <si>
    <t>0.999 (0.716)</t>
  </si>
  <si>
    <t>1 (0.735)</t>
  </si>
  <si>
    <t>0.999 (0.761)</t>
  </si>
  <si>
    <t>26265 (2601)</t>
  </si>
  <si>
    <t>30205 (2930)</t>
  </si>
  <si>
    <t>58026 (848)</t>
  </si>
  <si>
    <t>38244 (3552)</t>
  </si>
  <si>
    <t>22335 (2198)</t>
  </si>
  <si>
    <t>53054 (929)</t>
  </si>
  <si>
    <t>51840 (1982)</t>
  </si>
  <si>
    <t>54995 (922)</t>
  </si>
  <si>
    <t>21939 (2152)</t>
  </si>
  <si>
    <t>40191 (3939)</t>
  </si>
  <si>
    <t>44328 (3871)</t>
  </si>
  <si>
    <t>27384 (2705)</t>
  </si>
  <si>
    <t>1973 (75)</t>
  </si>
  <si>
    <t>1293 (110)</t>
  </si>
  <si>
    <t>1446 (127)</t>
  </si>
  <si>
    <t>2778 (44)</t>
  </si>
  <si>
    <t>1922 (202)</t>
  </si>
  <si>
    <t>1146 (94)</t>
  </si>
  <si>
    <t>2759 (53)</t>
  </si>
  <si>
    <t>2497 (100)</t>
  </si>
  <si>
    <t>2823 (37)</t>
  </si>
  <si>
    <t>1130 (94)</t>
  </si>
  <si>
    <t>2004 (181)</t>
  </si>
  <si>
    <t>2172 (192)</t>
  </si>
  <si>
    <t>1368 (140)</t>
  </si>
  <si>
    <t>0.1395 (0.2641)</t>
  </si>
  <si>
    <t>0.1533 (0.2750)</t>
  </si>
  <si>
    <t>0.1647 (0.2836)</t>
  </si>
  <si>
    <t>0.1328 (0.2298)</t>
  </si>
  <si>
    <t>0.1590 (0.3078)</t>
  </si>
  <si>
    <t>0.1606 (0.3167)</t>
  </si>
  <si>
    <t>0.1307 (0.2231)</t>
  </si>
  <si>
    <t>0.1650 (0.3619)</t>
  </si>
  <si>
    <t>0.1441 (0.3037)</t>
  </si>
  <si>
    <t>0.1672 (0.3100)</t>
  </si>
  <si>
    <t>0.1501 (0.3012)</t>
  </si>
  <si>
    <t>0.1661 (0.3191)</t>
  </si>
  <si>
    <t>0.1815 (0.2973)</t>
  </si>
  <si>
    <t>0.1580 (0.2700)</t>
  </si>
  <si>
    <t>0.1946 (0.3469)</t>
  </si>
  <si>
    <t>0.1949 (0.3429)</t>
  </si>
  <si>
    <t>0.1552 (0.2606)</t>
  </si>
  <si>
    <t>0.1870 (0.3353)</t>
  </si>
  <si>
    <t>0.2119 (0.3491)</t>
  </si>
  <si>
    <t>0.1419 (0.2601)</t>
  </si>
  <si>
    <t>0.1834 (0.3731)</t>
  </si>
  <si>
    <t>0.1579 (0.3132)</t>
  </si>
  <si>
    <t>0.2227 (0.3831)</t>
  </si>
  <si>
    <t>0.1703 (0.3423)</t>
  </si>
  <si>
    <t>0.1877 (0.3593)</t>
  </si>
  <si>
    <t>0.2150 (0.3554)</t>
  </si>
  <si>
    <t>0.973 (0.818)</t>
  </si>
  <si>
    <t>0.970 (0.718)</t>
  </si>
  <si>
    <t>0.964 (0.723)</t>
  </si>
  <si>
    <t>0.969 (0.914)</t>
  </si>
  <si>
    <t>0.971 (0.653)</t>
  </si>
  <si>
    <t>0.974 (0.741)</t>
  </si>
  <si>
    <t>0.969 (0.881)</t>
  </si>
  <si>
    <t>0.970 (0.685)</t>
  </si>
  <si>
    <t>0.969 (0.782)</t>
  </si>
  <si>
    <t>0.969 (0.681)</t>
  </si>
  <si>
    <t>0.974 (0.702)</t>
  </si>
  <si>
    <t>0.967 (0.728)</t>
  </si>
  <si>
    <t>0.965 (0.677)</t>
  </si>
  <si>
    <t>0.982 (0.732)</t>
  </si>
  <si>
    <t>0.954 (0.524)</t>
  </si>
  <si>
    <t>0.967 (0.613)</t>
  </si>
  <si>
    <t>0.968 (0.874)</t>
  </si>
  <si>
    <t>0.970 (0.560)</t>
  </si>
  <si>
    <t>0.968 (0.712)</t>
  </si>
  <si>
    <t>0.976 (0.854)</t>
  </si>
  <si>
    <t>0.966 (0.665)</t>
  </si>
  <si>
    <t>0.973 (0.714)</t>
  </si>
  <si>
    <t>0.964 (0.561)</t>
  </si>
  <si>
    <t>0.967 (0.611)</t>
  </si>
  <si>
    <t>0.954 (0.561)</t>
  </si>
  <si>
    <t>0.932 (0.599)</t>
  </si>
  <si>
    <t>G_1002165</t>
  </si>
  <si>
    <t>G_1002171</t>
  </si>
  <si>
    <t>G_1002183</t>
  </si>
  <si>
    <t>5RS7</t>
  </si>
  <si>
    <t>5RS8</t>
  </si>
  <si>
    <t>5RS9</t>
  </si>
  <si>
    <t>5RSB</t>
  </si>
  <si>
    <t>5RSC</t>
  </si>
  <si>
    <t>5RSD</t>
  </si>
  <si>
    <t>5RSE</t>
  </si>
  <si>
    <t>5RSF</t>
  </si>
  <si>
    <t>5RSG</t>
  </si>
  <si>
    <t>5RSH</t>
  </si>
  <si>
    <t>5RSI</t>
  </si>
  <si>
    <t>5RSJ</t>
  </si>
  <si>
    <t>5RSK</t>
  </si>
  <si>
    <t>5RSL</t>
  </si>
  <si>
    <t>5RSM</t>
  </si>
  <si>
    <t>5RSN</t>
  </si>
  <si>
    <t>5RSO</t>
  </si>
  <si>
    <t>5RSP</t>
  </si>
  <si>
    <t>5RSQ</t>
  </si>
  <si>
    <t>5RSR</t>
  </si>
  <si>
    <t>5RSS</t>
  </si>
  <si>
    <t>5RST</t>
  </si>
  <si>
    <t>5RSU</t>
  </si>
  <si>
    <t>5RSV</t>
  </si>
  <si>
    <t>5RSW</t>
  </si>
  <si>
    <t>5RSX</t>
  </si>
  <si>
    <t>5RSY</t>
  </si>
  <si>
    <t>5RSZ</t>
  </si>
  <si>
    <t>5RT0</t>
  </si>
  <si>
    <t>5RT1</t>
  </si>
  <si>
    <t>5RT2</t>
  </si>
  <si>
    <t>5RT3</t>
  </si>
  <si>
    <t>5RT4</t>
  </si>
  <si>
    <t>5RT5</t>
  </si>
  <si>
    <t>5RT6</t>
  </si>
  <si>
    <t>5RT7</t>
  </si>
  <si>
    <t>5RT8</t>
  </si>
  <si>
    <t>5RT9</t>
  </si>
  <si>
    <t>5RTA</t>
  </si>
  <si>
    <t>5RTB</t>
  </si>
  <si>
    <t>5RTC</t>
  </si>
  <si>
    <t>5RTD</t>
  </si>
  <si>
    <t>5RTE</t>
  </si>
  <si>
    <t>5RTF</t>
  </si>
  <si>
    <t>5RTG</t>
  </si>
  <si>
    <t>5RTH</t>
  </si>
  <si>
    <t>5RTI</t>
  </si>
  <si>
    <t>5RTJ</t>
  </si>
  <si>
    <t>5RTK</t>
  </si>
  <si>
    <t>5RTL</t>
  </si>
  <si>
    <t>5RTM</t>
  </si>
  <si>
    <t>5RTN</t>
  </si>
  <si>
    <t>5RTO</t>
  </si>
  <si>
    <t>5RTP</t>
  </si>
  <si>
    <t>5RTQ</t>
  </si>
  <si>
    <t>5RTR</t>
  </si>
  <si>
    <t>5RTS</t>
  </si>
  <si>
    <t>5RTT</t>
  </si>
  <si>
    <t>5RTU</t>
  </si>
  <si>
    <t>5RTV</t>
  </si>
  <si>
    <t>5RTW</t>
  </si>
  <si>
    <t>5RTX</t>
  </si>
  <si>
    <t>5RTY</t>
  </si>
  <si>
    <t>5RTZ</t>
  </si>
  <si>
    <t>5RU0</t>
  </si>
  <si>
    <t>5RU1</t>
  </si>
  <si>
    <t>5RU2</t>
  </si>
  <si>
    <t>5RU3</t>
  </si>
  <si>
    <t>5RU4</t>
  </si>
  <si>
    <t>5RU5</t>
  </si>
  <si>
    <t>5RU6</t>
  </si>
  <si>
    <t>5RU7</t>
  </si>
  <si>
    <t>5RU8</t>
  </si>
  <si>
    <t>5RU9</t>
  </si>
  <si>
    <t>5RUA</t>
  </si>
  <si>
    <t>5RUC</t>
  </si>
  <si>
    <t>5RUD</t>
  </si>
  <si>
    <t>5RUE</t>
  </si>
  <si>
    <t>5RUF</t>
  </si>
  <si>
    <t>5RUG</t>
  </si>
  <si>
    <t>5RUH</t>
  </si>
  <si>
    <t>5RUI</t>
  </si>
  <si>
    <t>5RUJ</t>
  </si>
  <si>
    <t>5RUK</t>
  </si>
  <si>
    <t>5RUL</t>
  </si>
  <si>
    <t>5RUM</t>
  </si>
  <si>
    <t>5RUN</t>
  </si>
  <si>
    <t>5RUO</t>
  </si>
  <si>
    <t>5RUP</t>
  </si>
  <si>
    <t>5RUQ</t>
  </si>
  <si>
    <t>5RUR</t>
  </si>
  <si>
    <t>5RUS</t>
  </si>
  <si>
    <t>5RUT</t>
  </si>
  <si>
    <t>5RUU</t>
  </si>
  <si>
    <t>5RUV</t>
  </si>
  <si>
    <t>5RUW</t>
  </si>
  <si>
    <t>5RUX</t>
  </si>
  <si>
    <t>5RUY</t>
  </si>
  <si>
    <t>5RUZ</t>
  </si>
  <si>
    <t>5RV0</t>
  </si>
  <si>
    <t>5RV1</t>
  </si>
  <si>
    <t>5RV2</t>
  </si>
  <si>
    <t>5RV3</t>
  </si>
  <si>
    <t>5RV4</t>
  </si>
  <si>
    <t>5RV5</t>
  </si>
  <si>
    <t>5RV6</t>
  </si>
  <si>
    <t>5RV7</t>
  </si>
  <si>
    <t>5RV8</t>
  </si>
  <si>
    <t>5RV9</t>
  </si>
  <si>
    <t>5RVA</t>
  </si>
  <si>
    <t>5RVB</t>
  </si>
  <si>
    <t>5RVC</t>
  </si>
  <si>
    <t>5RVD</t>
  </si>
  <si>
    <t>5RVE</t>
  </si>
  <si>
    <t>5RVF</t>
  </si>
  <si>
    <t>5RVG</t>
  </si>
  <si>
    <t>5RVH</t>
  </si>
  <si>
    <t>5RVI</t>
  </si>
  <si>
    <t>5S6W</t>
  </si>
  <si>
    <t>ZINC_ID</t>
  </si>
  <si>
    <t>ZINC000034618676</t>
  </si>
  <si>
    <t>ZINC000000001601</t>
  </si>
  <si>
    <t>ZINC000007636250</t>
  </si>
  <si>
    <t>ZINC000001674697</t>
  </si>
  <si>
    <t>ZINC000003888754</t>
  </si>
  <si>
    <t>ZINC000000331945</t>
  </si>
  <si>
    <t>ZINC000336438345</t>
  </si>
  <si>
    <t>ZINC000026180281</t>
  </si>
  <si>
    <t>ZINC000263392672</t>
  </si>
  <si>
    <t>ZINC000274438208</t>
  </si>
  <si>
    <t>ZINC000374420934</t>
  </si>
  <si>
    <t>ZINC000089254160_N3</t>
  </si>
  <si>
    <t>ZINC000901381520_N3</t>
  </si>
  <si>
    <t>ZINC000365052868</t>
  </si>
  <si>
    <t>ZINC000000001099</t>
  </si>
  <si>
    <t>ZINC000000064576</t>
  </si>
  <si>
    <t>ZINC000000000226</t>
  </si>
  <si>
    <t>ZINC000002560357</t>
  </si>
  <si>
    <t>ZINC000000158490</t>
  </si>
  <si>
    <t>ZINC000000158650</t>
  </si>
  <si>
    <t>ZINC000006691828</t>
  </si>
  <si>
    <t>ZINC000000332673</t>
  </si>
  <si>
    <t>ZINC000000002055</t>
  </si>
  <si>
    <t>ZINC000000340465</t>
  </si>
  <si>
    <t>ZINC000000337835</t>
  </si>
  <si>
    <t>ZINC000000388262</t>
  </si>
  <si>
    <t>ZINC000004787230</t>
  </si>
  <si>
    <t>ZINC000004218283</t>
  </si>
  <si>
    <t>ZINC000000039810</t>
  </si>
  <si>
    <t>ZINC000008652361</t>
  </si>
  <si>
    <t>ZINC000039281982</t>
  </si>
  <si>
    <t>ZINC000000051581</t>
  </si>
  <si>
    <t>ZINC000000058111</t>
  </si>
  <si>
    <t>ZINC000000156509</t>
  </si>
  <si>
    <t>ZINC000015442276</t>
  </si>
  <si>
    <t>ZINC000000161908</t>
  </si>
  <si>
    <t>ZINC000000388280</t>
  </si>
  <si>
    <t>ZINC000000332540</t>
  </si>
  <si>
    <t>ZINC000006534965</t>
  </si>
  <si>
    <t>ZINC000006490906</t>
  </si>
  <si>
    <t>ZINC000000157108</t>
  </si>
  <si>
    <t>ZINC000013283576</t>
  </si>
  <si>
    <t>ZINC000002047514</t>
  </si>
  <si>
    <t>ZINC000000395673</t>
  </si>
  <si>
    <t>ZINC000000156863</t>
  </si>
  <si>
    <t>ZINC000004219237</t>
  </si>
  <si>
    <t>ZINC000000332752</t>
  </si>
  <si>
    <t>ZINC000000164504</t>
  </si>
  <si>
    <t>ZINC000000388056</t>
  </si>
  <si>
    <t>ZINC000000002005</t>
  </si>
  <si>
    <t>ZINC000000388302</t>
  </si>
  <si>
    <t>ZINC000001679336</t>
  </si>
  <si>
    <t>ZINC000019015078</t>
  </si>
  <si>
    <t>ZINC000018169763</t>
  </si>
  <si>
    <t>ZINC000000873830</t>
  </si>
  <si>
    <t>ZINC000000159056</t>
  </si>
  <si>
    <t>ZINC000001698894</t>
  </si>
  <si>
    <t>ZINC000000164777</t>
  </si>
  <si>
    <t>ZINC000000090873</t>
  </si>
  <si>
    <t>ZINC000000404062</t>
  </si>
  <si>
    <t>ZINC000000388514</t>
  </si>
  <si>
    <t>ZINC000000034687</t>
  </si>
  <si>
    <t>ZINC000000331715</t>
  </si>
  <si>
    <t>ZINC000000161696</t>
  </si>
  <si>
    <t>ZINC000001688638</t>
  </si>
  <si>
    <t>ZINC000098208711</t>
  </si>
  <si>
    <t>ZINC000001442764</t>
  </si>
  <si>
    <t>ZINC000003591110</t>
  </si>
  <si>
    <t>ZINC000000165882</t>
  </si>
  <si>
    <t>ZINC000033986325</t>
  </si>
  <si>
    <t>ZINC000000005878</t>
  </si>
  <si>
    <t>ZINC000008615114</t>
  </si>
  <si>
    <t>ZINC000000000922</t>
  </si>
  <si>
    <t>ZINC000016989831</t>
  </si>
  <si>
    <t>ZINC000000038389</t>
  </si>
  <si>
    <t>ZINC000000123600</t>
  </si>
  <si>
    <t>ZINC000000332651</t>
  </si>
  <si>
    <t>ZINC000000404314</t>
  </si>
  <si>
    <t>ZINC000000161692</t>
  </si>
  <si>
    <t>ZINC000000163774</t>
  </si>
  <si>
    <t>ZINC000008861082</t>
  </si>
  <si>
    <t>ZINC000000194295</t>
  </si>
  <si>
    <t>ZINC000001683100</t>
  </si>
  <si>
    <t>ZINC000004976927</t>
  </si>
  <si>
    <t>ZINC000032199226</t>
  </si>
  <si>
    <t>ZINC000017744334</t>
  </si>
  <si>
    <t>ZINC388081</t>
  </si>
  <si>
    <t>ZINC000000161958</t>
  </si>
  <si>
    <t>ZINC000000438614</t>
  </si>
  <si>
    <t>ZINC000019015194</t>
  </si>
  <si>
    <t>ZINC000045014941</t>
  </si>
  <si>
    <t>ZINC000002020050</t>
  </si>
  <si>
    <t>ZINC000013517187</t>
  </si>
  <si>
    <t>ZINC000019685960</t>
  </si>
  <si>
    <t>ZINC000000039994</t>
  </si>
  <si>
    <t>ZINC000000251609</t>
  </si>
  <si>
    <t>ZINC000000311783</t>
  </si>
  <si>
    <t>ZINC000000057162</t>
  </si>
  <si>
    <t>ZINC000000039224</t>
  </si>
  <si>
    <t>ZINC000008578948</t>
  </si>
  <si>
    <t>ZINC000000158540</t>
  </si>
  <si>
    <t>ZINC000003954002</t>
  </si>
  <si>
    <t>ZINC000000039575</t>
  </si>
  <si>
    <t>ZINC000000388150</t>
  </si>
  <si>
    <t>ZINC000016343276</t>
  </si>
  <si>
    <t>ZINC000014419577</t>
  </si>
  <si>
    <t>ZINC000933940912</t>
  </si>
  <si>
    <t>ZINC000263980802</t>
  </si>
  <si>
    <t>ZINC000736709772</t>
  </si>
  <si>
    <t>ZINC000082473428_N3</t>
  </si>
  <si>
    <t>ZINC000400552187_N3</t>
  </si>
  <si>
    <t>ZINC000000265642</t>
  </si>
  <si>
    <t>ZINC000084843283</t>
  </si>
  <si>
    <t>ZINC000901381520</t>
  </si>
  <si>
    <t>UCSF-P0115</t>
  </si>
  <si>
    <t>UCSF-P0116</t>
  </si>
  <si>
    <t>UCSF-P0123</t>
  </si>
  <si>
    <t>UCSF-P0124</t>
  </si>
  <si>
    <t>UCSF-P0131</t>
  </si>
  <si>
    <t>UCSF-P0132</t>
  </si>
  <si>
    <t>UCSF-P0137</t>
  </si>
  <si>
    <t>UCSF-P0138</t>
  </si>
  <si>
    <t>UCSF-P0139</t>
  </si>
  <si>
    <t>UCSF-P0142</t>
  </si>
  <si>
    <t>UCSF-P0148</t>
  </si>
  <si>
    <t>UCSF-P0159</t>
  </si>
  <si>
    <t>UCSF-P0161</t>
  </si>
  <si>
    <t>UCSF-P0163</t>
  </si>
  <si>
    <t>UCSF-P0178</t>
  </si>
  <si>
    <t>UCSF-P0179</t>
  </si>
  <si>
    <t>UCSF-P0180</t>
  </si>
  <si>
    <t>UCSF-P0182</t>
  </si>
  <si>
    <t>UCSF-P0188</t>
  </si>
  <si>
    <t>UCSF-P0190</t>
  </si>
  <si>
    <t>UCSF-P0193</t>
  </si>
  <si>
    <t>UCSF-P0204</t>
  </si>
  <si>
    <t>UCSF-P0206</t>
  </si>
  <si>
    <t>UCSF-P0212</t>
  </si>
  <si>
    <t>UCSF-P0213</t>
  </si>
  <si>
    <t>UCSF-P0223</t>
  </si>
  <si>
    <t>UCSF-P0224</t>
  </si>
  <si>
    <t>UCSF-P0226</t>
  </si>
  <si>
    <t>UCSF-P0227</t>
  </si>
  <si>
    <t>UCSF-P0228</t>
  </si>
  <si>
    <t>UCSF-P0231</t>
  </si>
  <si>
    <t>UCSF-P0255</t>
  </si>
  <si>
    <t>UCSF-P0263</t>
  </si>
  <si>
    <t>UCSF-P0271</t>
  </si>
  <si>
    <t>UCSF-P0277</t>
  </si>
  <si>
    <t>UCSF-P0282</t>
  </si>
  <si>
    <t>UCSF-P0283</t>
  </si>
  <si>
    <t>UCSF-P0284</t>
  </si>
  <si>
    <t>UCSF-P0301</t>
  </si>
  <si>
    <t>UCSF-P0302</t>
  </si>
  <si>
    <t>UCSF-P0303</t>
  </si>
  <si>
    <t>UCSF-P0305</t>
  </si>
  <si>
    <t>UCSF-P0306</t>
  </si>
  <si>
    <t>UCSF-P0309</t>
  </si>
  <si>
    <t>UCSF-P0319</t>
  </si>
  <si>
    <t>UCSF-P0321</t>
  </si>
  <si>
    <t>UCSF-P0326</t>
  </si>
  <si>
    <t>UCSF-P0328</t>
  </si>
  <si>
    <t>UCSF-P0333</t>
  </si>
  <si>
    <t>UCSF-P0337</t>
  </si>
  <si>
    <t>UCSF-P0338</t>
  </si>
  <si>
    <t>UCSF-P0341</t>
  </si>
  <si>
    <t>UCSF-P0343</t>
  </si>
  <si>
    <t>UCSF-P0344</t>
  </si>
  <si>
    <t>UCSF-P0345</t>
  </si>
  <si>
    <t>UCSF-P0346</t>
  </si>
  <si>
    <t>UCSF-P0347</t>
  </si>
  <si>
    <t>UCSF-P0348</t>
  </si>
  <si>
    <t>UCSF-P0354</t>
  </si>
  <si>
    <t>UCSF-P0357</t>
  </si>
  <si>
    <t>UCSF-P0358</t>
  </si>
  <si>
    <t>UCSF-P0360</t>
  </si>
  <si>
    <t>UCSF-P0361</t>
  </si>
  <si>
    <t>UCSF-P0365</t>
  </si>
  <si>
    <t>UCSF-P0371</t>
  </si>
  <si>
    <t>UCSF-P0373</t>
  </si>
  <si>
    <t>UCSF-P0375</t>
  </si>
  <si>
    <t>UCSF-P0378</t>
  </si>
  <si>
    <t>UCSF-P0379</t>
  </si>
  <si>
    <t>UCSF-P0380</t>
  </si>
  <si>
    <t>UCSF-P0381</t>
  </si>
  <si>
    <t>UCSF-P0385</t>
  </si>
  <si>
    <t>UCSF-P0387</t>
  </si>
  <si>
    <t>UCSF-P0392</t>
  </si>
  <si>
    <t>UCSF-P0394</t>
  </si>
  <si>
    <t>UCSF-P0396</t>
  </si>
  <si>
    <t>UCSF-P0397</t>
  </si>
  <si>
    <t>UCSF-P0398</t>
  </si>
  <si>
    <t>UCSF-P0402</t>
  </si>
  <si>
    <t>UCSF-P0404</t>
  </si>
  <si>
    <t>UCSF-P0411</t>
  </si>
  <si>
    <t>UCSF-P0412</t>
  </si>
  <si>
    <t>UCSF-P0415</t>
  </si>
  <si>
    <t>UCSF-P0417</t>
  </si>
  <si>
    <t>UCSF-P0433</t>
  </si>
  <si>
    <t>UCSF-P0436</t>
  </si>
  <si>
    <t>UCSF-P0437</t>
  </si>
  <si>
    <t>UCSF-P0439</t>
  </si>
  <si>
    <t>UCSF-P0441</t>
  </si>
  <si>
    <t>UCSF-P0444</t>
  </si>
  <si>
    <t>UCSF-P0451</t>
  </si>
  <si>
    <t>UCSF-P0453</t>
  </si>
  <si>
    <t>UCSF-P0455</t>
  </si>
  <si>
    <t>UCSF-P0472</t>
  </si>
  <si>
    <t>UCSF-P0482</t>
  </si>
  <si>
    <t>UCSF-P0496</t>
  </si>
  <si>
    <t>UCSF-P0509</t>
  </si>
  <si>
    <t>UCSF-P0510</t>
  </si>
  <si>
    <t>UCSF-P0511</t>
  </si>
  <si>
    <t>UCSF-P0522</t>
  </si>
  <si>
    <t>UCSF-P0524</t>
  </si>
  <si>
    <t>UCSF-P0527</t>
  </si>
  <si>
    <t>UCSF-P0546</t>
  </si>
  <si>
    <t>UCSF-P0555</t>
  </si>
  <si>
    <t>UCSF-P0564</t>
  </si>
  <si>
    <t>UCSF-P0565</t>
  </si>
  <si>
    <t>UCSF-P0567</t>
  </si>
  <si>
    <t>UCSF-P0568</t>
  </si>
  <si>
    <t>UCSF-P0570</t>
  </si>
  <si>
    <t>UCSF-P0572</t>
  </si>
  <si>
    <t>UCSF-P0576</t>
  </si>
  <si>
    <t>UCSF-P0582</t>
  </si>
  <si>
    <t>UCSF-P0584</t>
  </si>
  <si>
    <t>UCSF-P0587</t>
  </si>
  <si>
    <t>UCSF-P0588</t>
  </si>
  <si>
    <t>UCSF-P0590</t>
  </si>
  <si>
    <t>UCSF-P1493</t>
  </si>
  <si>
    <t>UCSF-P1494</t>
  </si>
  <si>
    <t>UCSF-P1444</t>
  </si>
  <si>
    <t>39.67  - 1.001 (1.037  - 1.001)</t>
  </si>
  <si>
    <t>44.41  - 1.011 (1.048  - 1.011)</t>
  </si>
  <si>
    <t>36.14  - 1.0 (1.036  - 1.0)</t>
  </si>
  <si>
    <t>39.7  - 1.001 (1.037  - 1.001)</t>
  </si>
  <si>
    <t>44.37  - 1.011 (1.047  - 1.011)</t>
  </si>
  <si>
    <t>39.71  - 1.0 (1.036  - 1.0)</t>
  </si>
  <si>
    <t>39.71  - 1.001 (1.037  - 1.001)</t>
  </si>
  <si>
    <t>44.32  - 1.0 (1.036  - 1.0)</t>
  </si>
  <si>
    <t>36.21  - 1.001 (1.036  - 1.001)</t>
  </si>
  <si>
    <t>44.38  - 1.011 (1.047  - 1.011)</t>
  </si>
  <si>
    <t>35.94  - 1.001 (1.036  - 1.001)</t>
  </si>
  <si>
    <t>39.65  - 1.001 (1.036  - 1.001)</t>
  </si>
  <si>
    <t>39.68  - 1.001 (1.037  - 1.001)</t>
  </si>
  <si>
    <t>44.28  - 1.022 (1.059  - 1.022)</t>
  </si>
  <si>
    <t>39.64  - 1.003 (1.039  - 1.003)</t>
  </si>
  <si>
    <t>39.61  - 1.033 (1.07  - 1.033)</t>
  </si>
  <si>
    <t>39.69  - 1.024 (1.06  - 1.024)</t>
  </si>
  <si>
    <t>44.31  - 1.003 (1.039  - 1.003)</t>
  </si>
  <si>
    <t>39.62  - 1.003 (1.039  - 1.003)</t>
  </si>
  <si>
    <t>44.32  - 1.003 (1.038  - 1.003)</t>
  </si>
  <si>
    <t>44.34  - 1.003 (1.039  - 1.003)</t>
  </si>
  <si>
    <t>33.39  - 1.003 (1.039  - 1.003)</t>
  </si>
  <si>
    <t>39.59  - 1.032 (1.069  - 1.032)</t>
  </si>
  <si>
    <t>36.05  - 1.003 (1.039  - 1.003)</t>
  </si>
  <si>
    <t>39.6  - 1.002 (1.038  - 1.002)</t>
  </si>
  <si>
    <t>39.58  - 1.042 (1.079  - 1.042)</t>
  </si>
  <si>
    <t>44.35  - 1.023 (1.06  - 1.023)</t>
  </si>
  <si>
    <t>39.66  - 1.003 (1.039  - 1.003)</t>
  </si>
  <si>
    <t>44.35  - 1.003 (1.039  - 1.003)</t>
  </si>
  <si>
    <t>39.6  - 1.054 (1.092  - 1.054)</t>
  </si>
  <si>
    <t>36.03  - 1.024 (1.061  - 1.024)</t>
  </si>
  <si>
    <t>36.04  - 1.004 (1.039  - 1.004)</t>
  </si>
  <si>
    <t>35.91  - 1.003 (1.039  - 1.003)</t>
  </si>
  <si>
    <t>39.6  - 1.003 (1.038  - 1.003)</t>
  </si>
  <si>
    <t>33.41  - 1.003 (1.039  - 1.003)</t>
  </si>
  <si>
    <t>39.69  - 1.013 (1.05  - 1.013)</t>
  </si>
  <si>
    <t>35.79  - 1.043 (1.081  - 1.043)</t>
  </si>
  <si>
    <t>44.25  - 1.063 (1.101  - 1.063)</t>
  </si>
  <si>
    <t>44.37  - 1.044 (1.081  - 1.044)</t>
  </si>
  <si>
    <t>36.01  - 1.001 (1.036  - 1.001)</t>
  </si>
  <si>
    <t>33.51  - 1.001 (1.037  - 1.001)</t>
  </si>
  <si>
    <t>39.67  - 1.01 (1.046  - 1.01)</t>
  </si>
  <si>
    <t>44.38  - 1.001 (1.036  - 1.001)</t>
  </si>
  <si>
    <t>44.37  - 1.01 (1.047  - 1.01)</t>
  </si>
  <si>
    <t>36.1  - 1.001 (1.037  - 1.001)</t>
  </si>
  <si>
    <t>44.35  - 1.0 (1.036  - 1.0)</t>
  </si>
  <si>
    <t>39.69  - 1.0 (1.036  - 1.0)</t>
  </si>
  <si>
    <t>36.1  - 1.001 (1.036  - 1.001)</t>
  </si>
  <si>
    <t>44.34  - 1.001 (1.036  - 1.001)</t>
  </si>
  <si>
    <t>39.7  - 1.0 (1.036  - 1.0)</t>
  </si>
  <si>
    <t>36.15  - 1.001 (1.036  - 1.001)</t>
  </si>
  <si>
    <t>44.34  - 1.0 (1.036  - 1.0)</t>
  </si>
  <si>
    <t>44.38  - 1.0 (1.036  - 1.0)</t>
  </si>
  <si>
    <t>39.67  - 1.0 (1.036  - 1.0)</t>
  </si>
  <si>
    <t>36.18  - 1.001 (1.036  - 1.001)</t>
  </si>
  <si>
    <t>39.72  - 1.001 (1.037  - 1.001)</t>
  </si>
  <si>
    <t>36.07  - 1.001 (1.037  - 1.001)</t>
  </si>
  <si>
    <t>44.43  - 1.001 (1.037  - 1.001)</t>
  </si>
  <si>
    <t>36.09  - 1.0 (1.036  - 1.0)</t>
  </si>
  <si>
    <t>39.71  - 1.001 (1.036  - 1.001)</t>
  </si>
  <si>
    <t>36.16  - 1.0 (1.036  - 1.0)</t>
  </si>
  <si>
    <t>39.64  - 1.0 (1.036  - 1.0)</t>
  </si>
  <si>
    <t>44.36  - 1.0 (1.036  - 1.0)</t>
  </si>
  <si>
    <t>39.69  - 1.001 (1.036  - 1.001)</t>
  </si>
  <si>
    <t>44.3  - 1.0 (1.036  - 1.0)</t>
  </si>
  <si>
    <t>36.04  - 1.0 (1.036  - 1.0)</t>
  </si>
  <si>
    <t>44.35  - 1.021 (1.057  - 1.021)</t>
  </si>
  <si>
    <t>36.02  - 1.0 (1.036  - 1.0)</t>
  </si>
  <si>
    <t>44.4  - 1.001 (1.036  - 1.001)</t>
  </si>
  <si>
    <t>36.07  - 1.0 (1.036  - 1.0)</t>
  </si>
  <si>
    <t>36.12  - 1.012 (1.048  - 1.012)</t>
  </si>
  <si>
    <t>44.47  - 1.051 (1.089  - 1.051)</t>
  </si>
  <si>
    <t>39.7  - 1.001 (1.036  - 1.001)</t>
  </si>
  <si>
    <t>44.33  - 1.001 (1.036  - 1.001)</t>
  </si>
  <si>
    <t>35.98  - 1.0 (1.036  - 1.0)</t>
  </si>
  <si>
    <t>39.68  - 1.001 (1.036  - 1.001)</t>
  </si>
  <si>
    <t>39.63  - 1.01 (1.046  - 1.01)</t>
  </si>
  <si>
    <t>36.14  - 1.001 (1.037  - 1.001)</t>
  </si>
  <si>
    <t>39.68  - 1.0 (1.036  - 1.0)</t>
  </si>
  <si>
    <t>39.73  - 1.001 (1.036  - 1.001)</t>
  </si>
  <si>
    <t>35.94  - 1.0 (1.036  - 1.0)</t>
  </si>
  <si>
    <t>39.7  - 1.014 (1.05  - 1.014)</t>
  </si>
  <si>
    <t>44.45  - 1.021 (1.058  - 1.021)</t>
  </si>
  <si>
    <t>44.39  - 1.001 (1.037  - 1.001)</t>
  </si>
  <si>
    <t>36.15  - 1.0 (1.036  - 1.0)</t>
  </si>
  <si>
    <t>36.06  - 1.001 (1.037  - 1.001)</t>
  </si>
  <si>
    <t>39.65  - 1.0 (1.036  - 1.0)</t>
  </si>
  <si>
    <t>36.1  - 1.0 (1.036  - 1.0)</t>
  </si>
  <si>
    <t>36.13  - 1.001 (1.037  - 1.001)</t>
  </si>
  <si>
    <t>44.35  - 1.001 (1.037  - 1.001)</t>
  </si>
  <si>
    <t>29.58  - 0.98 (1.015  - 0.98)</t>
  </si>
  <si>
    <t>36.22  - 0.94 (0.9736  - 0.94)</t>
  </si>
  <si>
    <t>29.5  - 1.04 (1.077  - 1.04)</t>
  </si>
  <si>
    <t>88.701 88.701 39.494 90 90 90</t>
  </si>
  <si>
    <t>88.816 88.816 39.476 90 90 90</t>
  </si>
  <si>
    <t>88.734 88.734 39.568 90 90 90</t>
  </si>
  <si>
    <t>88.761 88.761 39.528 90 90 90</t>
  </si>
  <si>
    <t>88.736 88.736 39.211 90 90 90</t>
  </si>
  <si>
    <t>88.767 88.767 39.582 90 90 90</t>
  </si>
  <si>
    <t>88.789 88.789 39.45 90 90 90</t>
  </si>
  <si>
    <t>88.784 88.784 39.643 90 90 90</t>
  </si>
  <si>
    <t>88.633 88.633 39.428 90 90 90</t>
  </si>
  <si>
    <t>88.803 88.803 39.653 90 90 90</t>
  </si>
  <si>
    <t>88.756 88.756 39.315 90 90 90</t>
  </si>
  <si>
    <t>88.71 88.71 39.314 90 90 90</t>
  </si>
  <si>
    <t>88.649 88.649 39.456 90 90 90</t>
  </si>
  <si>
    <t>88.718 88.718 39.597 90 90 90</t>
  </si>
  <si>
    <t>88.56 88.56 39.461 90 90 90</t>
  </si>
  <si>
    <t>88.63 88.63 39.218 90 90 90</t>
  </si>
  <si>
    <t>88.58 88.58 39.177 90 90 90</t>
  </si>
  <si>
    <t>88.747 88.747 39.314 90 90 90</t>
  </si>
  <si>
    <t>88.617 88.617 39.4 90 90 90</t>
  </si>
  <si>
    <t>88.586 88.586 39.213 90 90 90</t>
  </si>
  <si>
    <t>88.632 88.632 39.251 90 90 90</t>
  </si>
  <si>
    <t>88.671 88.671 39.45 90 90 90</t>
  </si>
  <si>
    <t>88.684 88.684 39.439 90 90 90</t>
  </si>
  <si>
    <t>88.521 88.521 39.225 90 90 90</t>
  </si>
  <si>
    <t>88.663 88.663 39.455 90 90 90</t>
  </si>
  <si>
    <t>88.541 88.541 39.444 90 90 90</t>
  </si>
  <si>
    <t>88.502 88.502 39.186 90 90 90</t>
  </si>
  <si>
    <t>88.7 88.7 39.302 90 90 90</t>
  </si>
  <si>
    <t>88.677 88.677 39.573 90 90 90</t>
  </si>
  <si>
    <t>88.672 88.672 39.545 90 90 90</t>
  </si>
  <si>
    <t>88.69 88.69 39.53 90 90 90</t>
  </si>
  <si>
    <t>88.546 88.546 39.052 90 90 90</t>
  </si>
  <si>
    <t>88.802 88.802 39.416 90 90 90</t>
  </si>
  <si>
    <t>88.707 88.707 39.436 90 90 90</t>
  </si>
  <si>
    <t>88.554 88.554 39.286 90 90 90</t>
  </si>
  <si>
    <t>88.541 88.541 39.413 90 90 90</t>
  </si>
  <si>
    <t>88.706 88.706 39.484 90 90 90</t>
  </si>
  <si>
    <t>88.742 88.742 39.392 90 90 90</t>
  </si>
  <si>
    <t>88.677 88.677 39.437 90 90 90</t>
  </si>
  <si>
    <t>88.644 88.644 39.122 90 90 90</t>
  </si>
  <si>
    <t>88.494 88.494 38.875 90 90 90</t>
  </si>
  <si>
    <t>88.73 88.73 39.559 90 90 90</t>
  </si>
  <si>
    <t>88.825 88.825 39.393 90 90 90</t>
  </si>
  <si>
    <t>88.725 88.725 39.642 90 90 90</t>
  </si>
  <si>
    <t>88.701 88.701 39.31 90 90 90</t>
  </si>
  <si>
    <t>88.755 88.755 39.501 90 90 90</t>
  </si>
  <si>
    <t>88.732 88.732 39.23 90 90 90</t>
  </si>
  <si>
    <t>88.796 88.796 39.518 90 90 90</t>
  </si>
  <si>
    <t>88.693 88.693 39.457 90 90 90</t>
  </si>
  <si>
    <t>88.743 88.743 39.545 90 90 90</t>
  </si>
  <si>
    <t>88.706 88.706 39.518 90 90 90</t>
  </si>
  <si>
    <t>88.676 88.676 39.288 90 90 90</t>
  </si>
  <si>
    <t>88.767 88.767 39.496 90 90 90</t>
  </si>
  <si>
    <t>88.848 88.848 39.572 90 90 90</t>
  </si>
  <si>
    <t>88.679 88.679 39.512 90 90 90</t>
  </si>
  <si>
    <t>88.756 88.756 39.498 90 90 90</t>
  </si>
  <si>
    <t>88.701 88.701 39.618 90 90 90</t>
  </si>
  <si>
    <t>88.728 88.728 39.623 90 90 90</t>
  </si>
  <si>
    <t>88.806 88.806 39.558 90 90 90</t>
  </si>
  <si>
    <t>88.668 88.668 39.522 90 90 90</t>
  </si>
  <si>
    <t>88.733 88.733 39.476 90 90 90</t>
  </si>
  <si>
    <t>88.746 88.746 39.639 90 90 90</t>
  </si>
  <si>
    <t>88.8 88.8 39.378 90 90 90</t>
  </si>
  <si>
    <t>88.858 88.858 39.55 90 90 90</t>
  </si>
  <si>
    <t>88.685 88.685 39.515 90 90 90</t>
  </si>
  <si>
    <t>88.786 88.786 39.448 90 90 90</t>
  </si>
  <si>
    <t>88.744 88.744 39.433 90 90 90</t>
  </si>
  <si>
    <t>88.67 88.67 39.517 90 90 90</t>
  </si>
  <si>
    <t>88.684 88.684 39.599 90 90 90</t>
  </si>
  <si>
    <t>88.783 88.783 39.622 90 90 90</t>
  </si>
  <si>
    <t>88.629 88.629 39.38 90 90 90</t>
  </si>
  <si>
    <t>88.714 88.714 39.601 90 90 90</t>
  </si>
  <si>
    <t>88.636 88.636 39.587 90 90 90</t>
  </si>
  <si>
    <t>88.743 88.743 39.479 90 90 90</t>
  </si>
  <si>
    <t>88.6 88.6 39.34 90 90 90</t>
  </si>
  <si>
    <t>88.707 88.707 39.439 90 90 90</t>
  </si>
  <si>
    <t>88.784 88.784 39.513 90 90 90</t>
  </si>
  <si>
    <t>88.693 88.693 39.453 90 90 90</t>
  </si>
  <si>
    <t>88.709 88.709 39.416 90 90 90</t>
  </si>
  <si>
    <t>88.793 88.793 39.42 90 90 90</t>
  </si>
  <si>
    <t>88.629 88.629 39.394 90 90 90</t>
  </si>
  <si>
    <t>88.708 88.708 39.485 90 90 90</t>
  </si>
  <si>
    <t>88.781 88.781 39.544 90 90 90</t>
  </si>
  <si>
    <t>88.937 88.937 39.321 90 90 90</t>
  </si>
  <si>
    <t>88.769 88.769 39.473 90 90 90</t>
  </si>
  <si>
    <t>88.676 88.676 39.379 90 90 90</t>
  </si>
  <si>
    <t>88.718 88.718 39.466 90 90 90</t>
  </si>
  <si>
    <t>88.658 88.658 39.538 90 90 90</t>
  </si>
  <si>
    <t>88.669 88.669 39.362 90 90 90</t>
  </si>
  <si>
    <t>88.718 88.718 39.473 90 90 90</t>
  </si>
  <si>
    <t>88.719 88.719 39.428 90 90 90</t>
  </si>
  <si>
    <t>88.673 88.673 39.473 90 90 90</t>
  </si>
  <si>
    <t>88.724 88.724 39.478 90 90 90</t>
  </si>
  <si>
    <t>88.609 88.609 39.409 90 90 90</t>
  </si>
  <si>
    <t>88.805 88.805 39.561 90 90 90</t>
  </si>
  <si>
    <t>88.763 88.763 39.415 90 90 90</t>
  </si>
  <si>
    <t>88.723 88.723 39.478 90 90 90</t>
  </si>
  <si>
    <t>88.677 88.677 39.313 90 90 90</t>
  </si>
  <si>
    <t>88.673 88.673 39.39 90 90 90</t>
  </si>
  <si>
    <t>88.828 88.828 39.564 90 90 90</t>
  </si>
  <si>
    <t>88.624 88.624 39.312 90 90 90</t>
  </si>
  <si>
    <t>88.761 88.761 39.35 90 90 90</t>
  </si>
  <si>
    <t>88.892 88.892 39.504 90 90 90</t>
  </si>
  <si>
    <t>88.785 88.785 39.59 90 90 90</t>
  </si>
  <si>
    <t>88.774 88.774 39.486 90 90 90</t>
  </si>
  <si>
    <t>88.719 88.719 39.592 90 90 90</t>
  </si>
  <si>
    <t>88.705 88.705 39.588 90 90 90</t>
  </si>
  <si>
    <t>88.78 88.78 39.46 90 90 90</t>
  </si>
  <si>
    <t>88.66 88.66 39.425 90 90 90</t>
  </si>
  <si>
    <t>88.709 88.709 39.526 90 90 90</t>
  </si>
  <si>
    <t>88.817 88.817 39.548 90 90 90</t>
  </si>
  <si>
    <t>88.669 88.669 39.491 90 90 90</t>
  </si>
  <si>
    <t>88.629 88.629 39.243 90 90 90</t>
  </si>
  <si>
    <t>88.728 88.728 39.585 90 90 90</t>
  </si>
  <si>
    <t>88.69 88.69 39.541 90 90 90</t>
  </si>
  <si>
    <t>88.784 88.784 39.481 90 90 90</t>
  </si>
  <si>
    <t>88.753 88.753 39.561 90 90 90</t>
  </si>
  <si>
    <t>88.782 88.782 39.665 90 90 90</t>
  </si>
  <si>
    <t>88.486 88.486 39.336 90 90 90</t>
  </si>
  <si>
    <t>1044775 (79979)</t>
  </si>
  <si>
    <t>1014087 (85087)</t>
  </si>
  <si>
    <t>1056500 (81163)</t>
  </si>
  <si>
    <t>1056289 (80556)</t>
  </si>
  <si>
    <t>1024336 (87619)</t>
  </si>
  <si>
    <t>1049241 (78425)</t>
  </si>
  <si>
    <t>1057893 (80569)</t>
  </si>
  <si>
    <t>1051023 (79077)</t>
  </si>
  <si>
    <t>1053385 (79832)</t>
  </si>
  <si>
    <t>1057390 (80729)</t>
  </si>
  <si>
    <t>1015367 (86897)</t>
  </si>
  <si>
    <t>1034186 (79235)</t>
  </si>
  <si>
    <t>1046686 (80059)</t>
  </si>
  <si>
    <t>1043709 (79974)</t>
  </si>
  <si>
    <t>1000041 (84538)</t>
  </si>
  <si>
    <t>1029916 (65534)</t>
  </si>
  <si>
    <t>966325 (88703)</t>
  </si>
  <si>
    <t>997834 (82529)</t>
  </si>
  <si>
    <t>1048126 (66957)</t>
  </si>
  <si>
    <t>1027318 (65871)</t>
  </si>
  <si>
    <t>1031795 (65567)</t>
  </si>
  <si>
    <t>1042391 (68196)</t>
  </si>
  <si>
    <t>1041875 (67002)</t>
  </si>
  <si>
    <t>972333 (89527)</t>
  </si>
  <si>
    <t>1037590 (67446)</t>
  </si>
  <si>
    <t>1041962 (66873)</t>
  </si>
  <si>
    <t>941569 (89248)</t>
  </si>
  <si>
    <t>1011482 (82746)</t>
  </si>
  <si>
    <t>1039957 (67856)</t>
  </si>
  <si>
    <t>1041872 (66773)</t>
  </si>
  <si>
    <t>1048646 (67512)</t>
  </si>
  <si>
    <t>909404 (87765)</t>
  </si>
  <si>
    <t>978640 (82921)</t>
  </si>
  <si>
    <t>1038423 (66890)</t>
  </si>
  <si>
    <t>1043942 (66743)</t>
  </si>
  <si>
    <t>1034722 (67294)</t>
  </si>
  <si>
    <t>1044509 (66304)</t>
  </si>
  <si>
    <t>1027089 (75236)</t>
  </si>
  <si>
    <t>1040501 (67119)</t>
  </si>
  <si>
    <t>946219 (88081)</t>
  </si>
  <si>
    <t>883493 (84013)</t>
  </si>
  <si>
    <t>952888 (88544)</t>
  </si>
  <si>
    <t>1043616 (79973)</t>
  </si>
  <si>
    <t>1045506 (80040)</t>
  </si>
  <si>
    <t>1010124 (84672)</t>
  </si>
  <si>
    <t>1041980 (78407)</t>
  </si>
  <si>
    <t>1007139 (84751)</t>
  </si>
  <si>
    <t>1042219 (78819)</t>
  </si>
  <si>
    <t>1041443 (79322)</t>
  </si>
  <si>
    <t>1040035 (78908)</t>
  </si>
  <si>
    <t>1053436 (80203)</t>
  </si>
  <si>
    <t>1033557 (79001)</t>
  </si>
  <si>
    <t>1036779 (77720)</t>
  </si>
  <si>
    <t>1036665 (78071)</t>
  </si>
  <si>
    <t>1045657 (80592)</t>
  </si>
  <si>
    <t>1042130 (80482)</t>
  </si>
  <si>
    <t>1055158 (81106)</t>
  </si>
  <si>
    <t>1045304 (80132)</t>
  </si>
  <si>
    <t>1035105 (77625)</t>
  </si>
  <si>
    <t>1044156 (80084)</t>
  </si>
  <si>
    <t>1037272 (78621)</t>
  </si>
  <si>
    <t>1044084 (79742)</t>
  </si>
  <si>
    <t>1043583 (78719)</t>
  </si>
  <si>
    <t>1035138 (77418)</t>
  </si>
  <si>
    <t>1036894 (78205)</t>
  </si>
  <si>
    <t>1042334 (78623)</t>
  </si>
  <si>
    <t>1047643 (80310)</t>
  </si>
  <si>
    <t>1040042 (79622)</t>
  </si>
  <si>
    <t>1049534 (80898)</t>
  </si>
  <si>
    <t>1039682 (78023)</t>
  </si>
  <si>
    <t>1034511 (79436)</t>
  </si>
  <si>
    <t>1048054 (81085)</t>
  </si>
  <si>
    <t>1058041 (82105)</t>
  </si>
  <si>
    <t>1037303 (78024)</t>
  </si>
  <si>
    <t>1034922 (78221)</t>
  </si>
  <si>
    <t>1002274 (73068)</t>
  </si>
  <si>
    <t>1038186 (79080)</t>
  </si>
  <si>
    <t>991765 (91637)</t>
  </si>
  <si>
    <t>1034185 (78415)</t>
  </si>
  <si>
    <t>1046536 (79057)</t>
  </si>
  <si>
    <t>1040366 (79795)</t>
  </si>
  <si>
    <t>1042154 (79506)</t>
  </si>
  <si>
    <t>1016238 (86018)</t>
  </si>
  <si>
    <t>900032 (85366)</t>
  </si>
  <si>
    <t>1039569 (78331)</t>
  </si>
  <si>
    <t>1036905 (77476)</t>
  </si>
  <si>
    <t>1039616 (78660)</t>
  </si>
  <si>
    <t>1039300 (79979)</t>
  </si>
  <si>
    <t>1041025 (79937)</t>
  </si>
  <si>
    <t>1043973 (79991)</t>
  </si>
  <si>
    <t>1039726 (78683)</t>
  </si>
  <si>
    <t>1038688 (79821)</t>
  </si>
  <si>
    <t>1038368 (79077)</t>
  </si>
  <si>
    <t>1020148 (87998)</t>
  </si>
  <si>
    <t>1050737 (80092)</t>
  </si>
  <si>
    <t>1045396 (79374)</t>
  </si>
  <si>
    <t>1044223 (80812)</t>
  </si>
  <si>
    <t>1047462 (80025)</t>
  </si>
  <si>
    <t>1029121 (80308)</t>
  </si>
  <si>
    <t>1028533 (78129)</t>
  </si>
  <si>
    <t>1031656 (78927)</t>
  </si>
  <si>
    <t>1006164 (91984)</t>
  </si>
  <si>
    <t>995104 (90350)</t>
  </si>
  <si>
    <t>1031299 (78234)</t>
  </si>
  <si>
    <t>1042292 (80085)</t>
  </si>
  <si>
    <t>1051070 (80513)</t>
  </si>
  <si>
    <t>1043895 (79486)</t>
  </si>
  <si>
    <t>1043185 (79856)</t>
  </si>
  <si>
    <t>1042817 (78727)</t>
  </si>
  <si>
    <t>1037219 (77968)</t>
  </si>
  <si>
    <t>1042728 (78606)</t>
  </si>
  <si>
    <t>1051265 (80842)</t>
  </si>
  <si>
    <t>1033227 (79327)</t>
  </si>
  <si>
    <t>1058035 (81391)</t>
  </si>
  <si>
    <t>1050576 (80734)</t>
  </si>
  <si>
    <t>1059444 (80741)</t>
  </si>
  <si>
    <t>1191898 (117324)</t>
  </si>
  <si>
    <t>1345779 (131888)</t>
  </si>
  <si>
    <t>999432 (100047)</t>
  </si>
  <si>
    <t>165157 (16333)</t>
  </si>
  <si>
    <t>159662 (15076)</t>
  </si>
  <si>
    <t>164956 (15537)</t>
  </si>
  <si>
    <t>164951 (15745)</t>
  </si>
  <si>
    <t>159012 (15418)</t>
  </si>
  <si>
    <t>164090 (14942)</t>
  </si>
  <si>
    <t>165635 (16344)</t>
  </si>
  <si>
    <t>165275 (15552)</t>
  </si>
  <si>
    <t>164317 (15600)</t>
  </si>
  <si>
    <t>165360 (15536)</t>
  </si>
  <si>
    <t>159317 (15218)</t>
  </si>
  <si>
    <t>163491 (15183)</t>
  </si>
  <si>
    <t>164962 (16284)</t>
  </si>
  <si>
    <t>165012 (15681)</t>
  </si>
  <si>
    <t>154373 (15282)</t>
  </si>
  <si>
    <t>160896 (14340)</t>
  </si>
  <si>
    <t>148617 (14658)</t>
  </si>
  <si>
    <t>153656 (14956)</t>
  </si>
  <si>
    <t>161086 (14108)</t>
  </si>
  <si>
    <t>157784 (12552)</t>
  </si>
  <si>
    <t>157508 (12217)</t>
  </si>
  <si>
    <t>162872 (15319)</t>
  </si>
  <si>
    <t>161437 (14296)</t>
  </si>
  <si>
    <t>149282 (14730)</t>
  </si>
  <si>
    <t>162466 (15043)</t>
  </si>
  <si>
    <t>159031 (12729)</t>
  </si>
  <si>
    <t>143853 (14209)</t>
  </si>
  <si>
    <t>152369 (14338)</t>
  </si>
  <si>
    <t>158528 (12388)</t>
  </si>
  <si>
    <t>159842 (12827)</t>
  </si>
  <si>
    <t>159907 (12881)</t>
  </si>
  <si>
    <t>139503 (13740)</t>
  </si>
  <si>
    <t>151342 (13943)</t>
  </si>
  <si>
    <t>158639 (12508)</t>
  </si>
  <si>
    <t>159089 (13189)</t>
  </si>
  <si>
    <t>158872 (12783)</t>
  </si>
  <si>
    <t>159935 (13110)</t>
  </si>
  <si>
    <t>156465 (13935)</t>
  </si>
  <si>
    <t>160610 (13741)</t>
  </si>
  <si>
    <t>143438 (14035)</t>
  </si>
  <si>
    <t>135199 (13261)</t>
  </si>
  <si>
    <t>145283 (14066)</t>
  </si>
  <si>
    <t>164513 (15516)</t>
  </si>
  <si>
    <t>164805 (15449)</t>
  </si>
  <si>
    <t>159559 (15348)</t>
  </si>
  <si>
    <t>164694 (15495)</t>
  </si>
  <si>
    <t>159289 (15332)</t>
  </si>
  <si>
    <t>164279 (15151)</t>
  </si>
  <si>
    <t>164152 (15293)</t>
  </si>
  <si>
    <t>165619 (16228)</t>
  </si>
  <si>
    <t>164284 (15317)</t>
  </si>
  <si>
    <t>163268 (15113)</t>
  </si>
  <si>
    <t>165030 (15688)</t>
  </si>
  <si>
    <t>164690 (14881)</t>
  </si>
  <si>
    <t>165063 (15967)</t>
  </si>
  <si>
    <t>164442 (15269)</t>
  </si>
  <si>
    <t>165196 (15575)</t>
  </si>
  <si>
    <t>164763 (15287)</t>
  </si>
  <si>
    <t>163646 (14425)</t>
  </si>
  <si>
    <t>163734 (14937)</t>
  </si>
  <si>
    <t>163482 (14663)</t>
  </si>
  <si>
    <t>165346 (15569)</t>
  </si>
  <si>
    <t>163963 (15194)</t>
  </si>
  <si>
    <t>164396 (14931)</t>
  </si>
  <si>
    <t>164083 (14971)</t>
  </si>
  <si>
    <t>164222 (15156)</t>
  </si>
  <si>
    <t>164850 (15687)</t>
  </si>
  <si>
    <t>164203 (14980)</t>
  </si>
  <si>
    <t>164333 (14901)</t>
  </si>
  <si>
    <t>164593 (14861)</t>
  </si>
  <si>
    <t>163672 (15089)</t>
  </si>
  <si>
    <t>165281 (15571)</t>
  </si>
  <si>
    <t>164303 (14969)</t>
  </si>
  <si>
    <t>164800 (15685)</t>
  </si>
  <si>
    <t>163144 (14822)</t>
  </si>
  <si>
    <t>164858 (15800)</t>
  </si>
  <si>
    <t>165169 (15769)</t>
  </si>
  <si>
    <t>155357 (15180)</t>
  </si>
  <si>
    <t>164540 (15541)</t>
  </si>
  <si>
    <t>163826 (14852)</t>
  </si>
  <si>
    <t>163086 (14595)</t>
  </si>
  <si>
    <t>163735 (14650)</t>
  </si>
  <si>
    <t>159496 (14989)</t>
  </si>
  <si>
    <t>142842 (14109)</t>
  </si>
  <si>
    <t>164889 (15735)</t>
  </si>
  <si>
    <t>163894 (15248)</t>
  </si>
  <si>
    <t>164262 (15170)</t>
  </si>
  <si>
    <t>165169 (16128)</t>
  </si>
  <si>
    <t>163749 (15195)</t>
  </si>
  <si>
    <t>164940 (16010)</t>
  </si>
  <si>
    <t>164071 (15217)</t>
  </si>
  <si>
    <t>163812 (15037)</t>
  </si>
  <si>
    <t>164873 (15910)</t>
  </si>
  <si>
    <t>159692 (15453)</t>
  </si>
  <si>
    <t>164895 (15545)</t>
  </si>
  <si>
    <t>164625 (15772)</t>
  </si>
  <si>
    <t>164997 (15928)</t>
  </si>
  <si>
    <t>162867 (14576)</t>
  </si>
  <si>
    <t>164716 (15930)</t>
  </si>
  <si>
    <t>165569 (15925)</t>
  </si>
  <si>
    <t>162963 (14808)</t>
  </si>
  <si>
    <t>158326 (15375)</t>
  </si>
  <si>
    <t>155912 (15084)</t>
  </si>
  <si>
    <t>165917 (16183)</t>
  </si>
  <si>
    <t>165092 (16078)</t>
  </si>
  <si>
    <t>164859 (15455)</t>
  </si>
  <si>
    <t>165180 (15660)</t>
  </si>
  <si>
    <t>164864 (15973)</t>
  </si>
  <si>
    <t>164521 (15666)</t>
  </si>
  <si>
    <t>163626 (14459)</t>
  </si>
  <si>
    <t>164811 (15392)</t>
  </si>
  <si>
    <t>164132 (15160)</t>
  </si>
  <si>
    <t>162765 (14768)</t>
  </si>
  <si>
    <t>165536 (16093)</t>
  </si>
  <si>
    <t>163863 (15010)</t>
  </si>
  <si>
    <t>165065 (15789)</t>
  </si>
  <si>
    <t>176555 (17589)</t>
  </si>
  <si>
    <t>200593 (19966)</t>
  </si>
  <si>
    <t>146104 (14498)</t>
  </si>
  <si>
    <t>6.3 (4.9)</t>
  </si>
  <si>
    <t>6.4 (5.6)</t>
  </si>
  <si>
    <t>6.4 (5.2)</t>
  </si>
  <si>
    <t>6.4 (5.1)</t>
  </si>
  <si>
    <t>6.4 (5.7)</t>
  </si>
  <si>
    <t>6.4 (5.3)</t>
  </si>
  <si>
    <t>6.4 (4.9)</t>
  </si>
  <si>
    <t>6.3 (5.2)</t>
  </si>
  <si>
    <t>6.3 (5.1)</t>
  </si>
  <si>
    <t>6.5 (5.5)</t>
  </si>
  <si>
    <t>6.5 (6.1)</t>
  </si>
  <si>
    <t>6.5 (4.7)</t>
  </si>
  <si>
    <t>6.5 (5.2)</t>
  </si>
  <si>
    <t>6.6 (5.4)</t>
  </si>
  <si>
    <t>6.4 (4.5)</t>
  </si>
  <si>
    <t>6.6 (5.3)</t>
  </si>
  <si>
    <t>6.5 (6.3)</t>
  </si>
  <si>
    <t>6.6 (5.8)</t>
  </si>
  <si>
    <t>6.6 (5.5)</t>
  </si>
  <si>
    <t>6.6 (5.2)</t>
  </si>
  <si>
    <t>6.5 (6.4)</t>
  </si>
  <si>
    <t>6.5 (5.9)</t>
  </si>
  <si>
    <t>6.5 (5.3)</t>
  </si>
  <si>
    <t>6.6 (5.1)</t>
  </si>
  <si>
    <t>6.5 (5.1)</t>
  </si>
  <si>
    <t>6.5 (4.9)</t>
  </si>
  <si>
    <t>6.6 (6.3)</t>
  </si>
  <si>
    <t>6.3 (5.5)</t>
  </si>
  <si>
    <t>6.3 (5.0)</t>
  </si>
  <si>
    <t>6.3 (5.3)</t>
  </si>
  <si>
    <t>6.3 (5.4)</t>
  </si>
  <si>
    <t>6.4 (5.4)</t>
  </si>
  <si>
    <t>6.4 (5.5)</t>
  </si>
  <si>
    <t>6.1 (4.6)</t>
  </si>
  <si>
    <t>6.4 (6.0)</t>
  </si>
  <si>
    <t>6.3 (6.0)</t>
  </si>
  <si>
    <t>6.4 (5.0)</t>
  </si>
  <si>
    <t>6.2 (5.0)</t>
  </si>
  <si>
    <t>6.2 (4.9)</t>
  </si>
  <si>
    <t>6.2 (4.8)</t>
  </si>
  <si>
    <t>6.8 (6.7)</t>
  </si>
  <si>
    <t>6.7 (6.6)</t>
  </si>
  <si>
    <t>6.8 (6.9)</t>
  </si>
  <si>
    <t>99.81 (98.57)</t>
  </si>
  <si>
    <t>99.05 (91.10)</t>
  </si>
  <si>
    <t>99.19 (93.33)</t>
  </si>
  <si>
    <t>99.39 (94.56)</t>
  </si>
  <si>
    <t>98.63 (87.30)</t>
  </si>
  <si>
    <t>98.71 (87.68)</t>
  </si>
  <si>
    <t>99.76 (98.05)</t>
  </si>
  <si>
    <t>99.29 (93.67)</t>
  </si>
  <si>
    <t>99.40 (94.35)</t>
  </si>
  <si>
    <t>99.28 (93.55)</t>
  </si>
  <si>
    <t>98.67 (87.16)</t>
  </si>
  <si>
    <t>98.69 (87.48)</t>
  </si>
  <si>
    <t>99.87 (98.99)</t>
  </si>
  <si>
    <t>99.44 (94.75)</t>
  </si>
  <si>
    <t>99.67 (97.96)</t>
  </si>
  <si>
    <t>98.45 (86.10)</t>
  </si>
  <si>
    <t>99.70 (98.03)</t>
  </si>
  <si>
    <t>99.54 (96.45)</t>
  </si>
  <si>
    <t>98.38 (86.35)</t>
  </si>
  <si>
    <t>96.85 (75.87)</t>
  </si>
  <si>
    <t>96.39 (75.10)</t>
  </si>
  <si>
    <t>99.24 (93.38)</t>
  </si>
  <si>
    <t>98.50 (87.41)</t>
  </si>
  <si>
    <t>99.82 (99.14)</t>
  </si>
  <si>
    <t>99.05 (91.86)</t>
  </si>
  <si>
    <t>97.05 (77.98)</t>
  </si>
  <si>
    <t>99.08 (97.85)</t>
  </si>
  <si>
    <t>98.77 (92.61)</t>
  </si>
  <si>
    <t>96.33 (75.65)</t>
  </si>
  <si>
    <t>97.11 (78.10)</t>
  </si>
  <si>
    <t>97.13 (78.34)</t>
  </si>
  <si>
    <t>99.72 (98.01)</t>
  </si>
  <si>
    <t>97.85 (90.44)</t>
  </si>
  <si>
    <t>96.78 (76.45)</t>
  </si>
  <si>
    <t>97.56 (81.41)</t>
  </si>
  <si>
    <t>96.54 (73.18)</t>
  </si>
  <si>
    <t>97.42 (79.96)</t>
  </si>
  <si>
    <t>98.18 (86.99)</t>
  </si>
  <si>
    <t>98.01 (84.10)</t>
  </si>
  <si>
    <t>99.14 (96.96)</t>
  </si>
  <si>
    <t>99.49 (95.61)</t>
  </si>
  <si>
    <t>99.34 (96.90)</t>
  </si>
  <si>
    <t>99.30 (93.63)</t>
  </si>
  <si>
    <t>99.24 (93.24)</t>
  </si>
  <si>
    <t>99.09 (91.11)</t>
  </si>
  <si>
    <t>99.33 (93.68)</t>
  </si>
  <si>
    <t>99.22 (92.30)</t>
  </si>
  <si>
    <t>99.08 (91.68)</t>
  </si>
  <si>
    <t>99.21 (92.47)</t>
  </si>
  <si>
    <t>99.78 (98.05)</t>
  </si>
  <si>
    <t>99.07 (91.70)</t>
  </si>
  <si>
    <t>99.03 (90.71)</t>
  </si>
  <si>
    <t>99.45 (94.79)</t>
  </si>
  <si>
    <t>98.94 (89.81)</t>
  </si>
  <si>
    <t>99.64 (96.70)</t>
  </si>
  <si>
    <t>99.16 (92.43)</t>
  </si>
  <si>
    <t>99.31 (93.96)</t>
  </si>
  <si>
    <t>99.07 (91.67)</t>
  </si>
  <si>
    <t>98.58 (87.02)</t>
  </si>
  <si>
    <t>98.93 (90.53)</t>
  </si>
  <si>
    <t>98.71 (88.14)</t>
  </si>
  <si>
    <t>99.32 (93.90)</t>
  </si>
  <si>
    <t>99.08 (91.69)</t>
  </si>
  <si>
    <t>98.89 (89.61)</t>
  </si>
  <si>
    <t>98.89 (89.48)</t>
  </si>
  <si>
    <t>99.07 (91.32)</t>
  </si>
  <si>
    <t>99.33 (94.46)</t>
  </si>
  <si>
    <t>99.04 (90.72)</t>
  </si>
  <si>
    <t>98.94 (90.03)</t>
  </si>
  <si>
    <t>98.91 (89.70)</t>
  </si>
  <si>
    <t>99.13 (91.77)</t>
  </si>
  <si>
    <t>99.38 (94.05)</t>
  </si>
  <si>
    <t>98.99 (90.42)</t>
  </si>
  <si>
    <t>99.40 (94.21)</t>
  </si>
  <si>
    <t>98.97 (90.29)</t>
  </si>
  <si>
    <t>99.50 (95.62)</t>
  </si>
  <si>
    <t>99.49 (95.12)</t>
  </si>
  <si>
    <t>99.71 (97.75)</t>
  </si>
  <si>
    <t>99.33 (93.63)</t>
  </si>
  <si>
    <t>98.79 (88.81)</t>
  </si>
  <si>
    <t>98.75 (88.73)</t>
  </si>
  <si>
    <t>98.74 (88.74)</t>
  </si>
  <si>
    <t>98.89 (89.73)</t>
  </si>
  <si>
    <t>99.81 (98.99)</t>
  </si>
  <si>
    <t>99.49 (95.14)</t>
  </si>
  <si>
    <t>99.19 (92.21)</t>
  </si>
  <si>
    <t>99.14 (91.71)</t>
  </si>
  <si>
    <t>99.72 (97.52)</t>
  </si>
  <si>
    <t>99.19 (92.44)</t>
  </si>
  <si>
    <t>99.67 (97.04)</t>
  </si>
  <si>
    <t>99.06 (91.10)</t>
  </si>
  <si>
    <t>99.04 (91.14)</t>
  </si>
  <si>
    <t>99.54 (95.69)</t>
  </si>
  <si>
    <t>98.74 (87.74)</t>
  </si>
  <si>
    <t>99.28 (93.67)</t>
  </si>
  <si>
    <t>99.60 (96.41)</t>
  </si>
  <si>
    <t>98.59 (87.89)</t>
  </si>
  <si>
    <t>99.61 (96.32)</t>
  </si>
  <si>
    <t>99.55 (96.07)</t>
  </si>
  <si>
    <t>98.88 (89.57)</t>
  </si>
  <si>
    <t>99.04 (90.94)</t>
  </si>
  <si>
    <t>99.43 (94.78)</t>
  </si>
  <si>
    <t>99.52 (95.44)</t>
  </si>
  <si>
    <t>99.62 (96.62)</t>
  </si>
  <si>
    <t>99.19 (93.04)</t>
  </si>
  <si>
    <t>99.39 (94.33)</t>
  </si>
  <si>
    <t>99.45 (94.97)</t>
  </si>
  <si>
    <t>99.43 (94.76)</t>
  </si>
  <si>
    <t>98.62 (87.33)</t>
  </si>
  <si>
    <t>99.11 (91.64)</t>
  </si>
  <si>
    <t>99.05 (91.73)</t>
  </si>
  <si>
    <t>98.92 (90.10)</t>
  </si>
  <si>
    <t>99.68 (97.11)</t>
  </si>
  <si>
    <t>98.93 (90.80)</t>
  </si>
  <si>
    <t>99.45 (95.11)</t>
  </si>
  <si>
    <t>99.86 (99.11)</t>
  </si>
  <si>
    <t>99.90 (99.40)</t>
  </si>
  <si>
    <t>99.71 (98.56)</t>
  </si>
  <si>
    <t>16.50 (0.84)</t>
  </si>
  <si>
    <t>8.75 (0.58)</t>
  </si>
  <si>
    <t>20.26 (1.12)</t>
  </si>
  <si>
    <t>18.76 (0.97)</t>
  </si>
  <si>
    <t>15.69 (0.67)</t>
  </si>
  <si>
    <t>13.13 (0.60)</t>
  </si>
  <si>
    <t>19.30 (0.88)</t>
  </si>
  <si>
    <t>17.95 (1.06)</t>
  </si>
  <si>
    <t>17.75 (0.88)</t>
  </si>
  <si>
    <t>18.71 (1.48)</t>
  </si>
  <si>
    <t>9.11 (0.53)</t>
  </si>
  <si>
    <t>8.00 (0.49)</t>
  </si>
  <si>
    <t>19.07 (1.79)</t>
  </si>
  <si>
    <t>14.16 (1.28)</t>
  </si>
  <si>
    <t>9.08 (0.81)</t>
  </si>
  <si>
    <t>7.44 (0.42)</t>
  </si>
  <si>
    <t>9.94 (0.63)</t>
  </si>
  <si>
    <t>9.84 (0.57)</t>
  </si>
  <si>
    <t>14.24 (0.71)</t>
  </si>
  <si>
    <t>8.82 (0.41)</t>
  </si>
  <si>
    <t>9.15 (0.52)</t>
  </si>
  <si>
    <t>12.64 (0.93)</t>
  </si>
  <si>
    <t>9.83 (0.58)</t>
  </si>
  <si>
    <t>12.33 (0.76)</t>
  </si>
  <si>
    <t>12.23 (0.67)</t>
  </si>
  <si>
    <t>13.55 (0.90)</t>
  </si>
  <si>
    <t>6.44 (0.38)</t>
  </si>
  <si>
    <t>12.52 (0.72)</t>
  </si>
  <si>
    <t>13.99 (1.36)</t>
  </si>
  <si>
    <t>14.89 (0.75)</t>
  </si>
  <si>
    <t>13.90 (0.63)</t>
  </si>
  <si>
    <t>6.59 (0.50)</t>
  </si>
  <si>
    <t>8.57 (0.66)</t>
  </si>
  <si>
    <t>10.01 (0.57)</t>
  </si>
  <si>
    <t>14.58 (1.35)</t>
  </si>
  <si>
    <t>6.61 (0.33)</t>
  </si>
  <si>
    <t>12.35 (0.86)</t>
  </si>
  <si>
    <t>11.84 (0.59)</t>
  </si>
  <si>
    <t>11.72 (0.82)</t>
  </si>
  <si>
    <t>6.92 (0.48)</t>
  </si>
  <si>
    <t>6.57 (0.48)</t>
  </si>
  <si>
    <t>8.28 (0.53)</t>
  </si>
  <si>
    <t>13.00 (0.95)</t>
  </si>
  <si>
    <t>18.08 (1.33)</t>
  </si>
  <si>
    <t>8.19 (0.50)</t>
  </si>
  <si>
    <t>9.32 (0.78)</t>
  </si>
  <si>
    <t>7.78 (0.51)</t>
  </si>
  <si>
    <t>15.78 (1.25)</t>
  </si>
  <si>
    <t>18.70 (1.24)</t>
  </si>
  <si>
    <t>13.59 (1.35)</t>
  </si>
  <si>
    <t>18.10 (0.74)</t>
  </si>
  <si>
    <t>10.89 (0.62)</t>
  </si>
  <si>
    <t>11.43 (1.07)</t>
  </si>
  <si>
    <t>12.92 (0.95)</t>
  </si>
  <si>
    <t>15.78 (1.24)</t>
  </si>
  <si>
    <t>13.74 (1.21)</t>
  </si>
  <si>
    <t>22.65 (2.24)</t>
  </si>
  <si>
    <t>14.35 (0.81)</t>
  </si>
  <si>
    <t>14.57 (0.94)</t>
  </si>
  <si>
    <t>14.29 (1.07)</t>
  </si>
  <si>
    <t>9.79 (0.60)</t>
  </si>
  <si>
    <t>14.72 (1.05)</t>
  </si>
  <si>
    <t>12.64 (0.79)</t>
  </si>
  <si>
    <t>10.88 (0.65)</t>
  </si>
  <si>
    <t>12.25 (0.63)</t>
  </si>
  <si>
    <t>13.40 (0.88)</t>
  </si>
  <si>
    <t>21.29 (1.19)</t>
  </si>
  <si>
    <t>10.93 (1.32)</t>
  </si>
  <si>
    <t>21.55 (2.14)</t>
  </si>
  <si>
    <t>12.17 (1.35)</t>
  </si>
  <si>
    <t>9.16 (0.91)</t>
  </si>
  <si>
    <t>17.49 (1.70)</t>
  </si>
  <si>
    <t>23.56 (2.21)</t>
  </si>
  <si>
    <t>8.38 (0.76)</t>
  </si>
  <si>
    <t>12.79 (1.09)</t>
  </si>
  <si>
    <t>12.53 (1.04)</t>
  </si>
  <si>
    <t>11.46 (1.10)</t>
  </si>
  <si>
    <t>8.19 (0.54)</t>
  </si>
  <si>
    <t>11.04 (0.73)</t>
  </si>
  <si>
    <t>16.01 (0.86)</t>
  </si>
  <si>
    <t>11.92 (1.34)</t>
  </si>
  <si>
    <t>11.07 (1.24)</t>
  </si>
  <si>
    <t>9.80 (0.58)</t>
  </si>
  <si>
    <t>11.40 (0.74)</t>
  </si>
  <si>
    <t>11.09 (1.09)</t>
  </si>
  <si>
    <t>13.14 (0.97)</t>
  </si>
  <si>
    <t>12.04 (1.19)</t>
  </si>
  <si>
    <t>15.21 (1.14)</t>
  </si>
  <si>
    <t>15.05 (1.96)</t>
  </si>
  <si>
    <t>16.30 (1.30)</t>
  </si>
  <si>
    <t>8.73 (0.61)</t>
  </si>
  <si>
    <t>11.97 (1.38)</t>
  </si>
  <si>
    <t>9.61 (0.79)</t>
  </si>
  <si>
    <t>11.00 (0.61)</t>
  </si>
  <si>
    <t>18.39 (1.45)</t>
  </si>
  <si>
    <t>13.96 (0.72)</t>
  </si>
  <si>
    <t>16.38 (1.45)</t>
  </si>
  <si>
    <t>18.88 (0.95)</t>
  </si>
  <si>
    <t>9.04 (0.70)</t>
  </si>
  <si>
    <t>13.34 (0.97)</t>
  </si>
  <si>
    <t>8.17 (0.66)</t>
  </si>
  <si>
    <t>5.04 (0.38)</t>
  </si>
  <si>
    <t>8.16 (0.50)</t>
  </si>
  <si>
    <t>8.14 (0.61)</t>
  </si>
  <si>
    <t>16.75 (0.92)</t>
  </si>
  <si>
    <t>19.45 (1.44)</t>
  </si>
  <si>
    <t>14.75 (1.08)</t>
  </si>
  <si>
    <t>11.45 (0.65)</t>
  </si>
  <si>
    <t>18.15 (1.11)</t>
  </si>
  <si>
    <t>10.57 (1.13)</t>
  </si>
  <si>
    <t>12.33 (0.61)</t>
  </si>
  <si>
    <t>21.79 (1.91)</t>
  </si>
  <si>
    <t>16.14 (1.13)</t>
  </si>
  <si>
    <t>18.76 (1.60)</t>
  </si>
  <si>
    <t>21.88 (1.92)</t>
  </si>
  <si>
    <t>18.89 (1.02)</t>
  </si>
  <si>
    <t>10.24 (0.52)</t>
  </si>
  <si>
    <t>10.53 (0.61)</t>
  </si>
  <si>
    <t>6.88 (0.43)</t>
  </si>
  <si>
    <t>0.04178 (1.495)</t>
  </si>
  <si>
    <t>0.07284 (1.886)</t>
  </si>
  <si>
    <t>0.03404 (1.224)</t>
  </si>
  <si>
    <t>0.03676 (1.468)</t>
  </si>
  <si>
    <t>0.04431 (2.466)</t>
  </si>
  <si>
    <t>0.05196 (2.276)</t>
  </si>
  <si>
    <t>0.03395 (1.486)</t>
  </si>
  <si>
    <t>0.03898 (1.21)</t>
  </si>
  <si>
    <t>0.03815 (1.545)</t>
  </si>
  <si>
    <t>0.038 (0.8706)</t>
  </si>
  <si>
    <t>0.06706 (2.443)</t>
  </si>
  <si>
    <t>0.07901 (2.275)</t>
  </si>
  <si>
    <t>0.03858 (0.6636)</t>
  </si>
  <si>
    <t>0.0485 (0.8712)</t>
  </si>
  <si>
    <t>0.08537 (1.709)</t>
  </si>
  <si>
    <t>0.09223 (1.583)</t>
  </si>
  <si>
    <t>0.0629 (1.664)</t>
  </si>
  <si>
    <t>0.06462 (1.827)</t>
  </si>
  <si>
    <t>0.05092 (1.524)</t>
  </si>
  <si>
    <t>0.06886 (2.554)</t>
  </si>
  <si>
    <t>0.07387 (1.96)</t>
  </si>
  <si>
    <t>0.05856 (0.993)</t>
  </si>
  <si>
    <t>0.07355 (1.455)</t>
  </si>
  <si>
    <t>0.05362 (1.788)</t>
  </si>
  <si>
    <t>0.05473 (1.361)</t>
  </si>
  <si>
    <t>0.05275 (1.245)</t>
  </si>
  <si>
    <t>0.0934 (2.844)</t>
  </si>
  <si>
    <t>0.05482 (2.241)</t>
  </si>
  <si>
    <t>0.05723 (0.7957)</t>
  </si>
  <si>
    <t>0.0465 (1.594)</t>
  </si>
  <si>
    <t>0.04938 (1.857)</t>
  </si>
  <si>
    <t>0.09098 (2.201)</t>
  </si>
  <si>
    <t>0.09346 (2.442)</t>
  </si>
  <si>
    <t>0.06987 (1.746)</t>
  </si>
  <si>
    <t>0.05344 (0.984)</t>
  </si>
  <si>
    <t>0.09985 (2.327)</t>
  </si>
  <si>
    <t>0.06168 (1.208)</t>
  </si>
  <si>
    <t>0.05491 (2.284)</t>
  </si>
  <si>
    <t>0.06165 (1.31)</t>
  </si>
  <si>
    <t>0.09019 (2.259)</t>
  </si>
  <si>
    <t>0.09688 (2.069)</t>
  </si>
  <si>
    <t>0.0772 (2.368)</t>
  </si>
  <si>
    <t>0.04991 (1.228)</t>
  </si>
  <si>
    <t>0.03794 (0.9373)</t>
  </si>
  <si>
    <t>0.07696 (1.913)</t>
  </si>
  <si>
    <t>0.07367 (1.165)</t>
  </si>
  <si>
    <t>0.08266 (1.824)</t>
  </si>
  <si>
    <t>0.04293 (0.9136)</t>
  </si>
  <si>
    <t>0.03611 (1.055)</t>
  </si>
  <si>
    <t>0.05153 (0.6871)</t>
  </si>
  <si>
    <t>0.03911 (1.768)</t>
  </si>
  <si>
    <t>0.0588 (1.904)</t>
  </si>
  <si>
    <t>0.06274 (0.843)</t>
  </si>
  <si>
    <t>0.0516 (1.078)</t>
  </si>
  <si>
    <t>0.04259 (0.9014)</t>
  </si>
  <si>
    <t>0.05019 (0.9048)</t>
  </si>
  <si>
    <t>0.0331 (0.5344)</t>
  </si>
  <si>
    <t>0.0447 (1.521)</t>
  </si>
  <si>
    <t>0.04681 (1.236)</t>
  </si>
  <si>
    <t>0.04758 (1.194)</t>
  </si>
  <si>
    <t>0.0666 (1.627)</t>
  </si>
  <si>
    <t>0.04787 (1.056)</t>
  </si>
  <si>
    <t>0.05151 (1.592)</t>
  </si>
  <si>
    <t>0.06046 (1.607)</t>
  </si>
  <si>
    <t>0.0549 (1.698)</t>
  </si>
  <si>
    <t>0.04885 (1.326)</t>
  </si>
  <si>
    <t>0.03219 (1.244)</t>
  </si>
  <si>
    <t>0.06565 (0.7247)</t>
  </si>
  <si>
    <t>0.03334 (0.5956)</t>
  </si>
  <si>
    <t>0.05901 (0.6672)</t>
  </si>
  <si>
    <t>0.07447 (0.977)</t>
  </si>
  <si>
    <t>0.04072 (0.675)</t>
  </si>
  <si>
    <t>0.03049 (0.656)</t>
  </si>
  <si>
    <t>0.0804 (1.294)</t>
  </si>
  <si>
    <t>0.05264 (1.067)</t>
  </si>
  <si>
    <t>0.05378 (0.9732)</t>
  </si>
  <si>
    <t>0.06115 (0.9176)</t>
  </si>
  <si>
    <t>0.07742 (2.198)</t>
  </si>
  <si>
    <t>0.05896 (1.355)</t>
  </si>
  <si>
    <t>0.04136 (1.604)</t>
  </si>
  <si>
    <t>0.05891 (0.8145)</t>
  </si>
  <si>
    <t>0.06423 (0.8006)</t>
  </si>
  <si>
    <t>0.0651 (2.049)</t>
  </si>
  <si>
    <t>0.06111 (2.023)</t>
  </si>
  <si>
    <t>0.06341 (0.9289)</t>
  </si>
  <si>
    <t>0.05143 (1.155)</t>
  </si>
  <si>
    <t>0.05872 (0.8731)</t>
  </si>
  <si>
    <t>0.04388 (1.033)</t>
  </si>
  <si>
    <t>0.04927 (0.5652)</t>
  </si>
  <si>
    <t>0.04248 (0.8759)</t>
  </si>
  <si>
    <t>0.07504 (1.695)</t>
  </si>
  <si>
    <t>0.0612 (0.7619)</t>
  </si>
  <si>
    <t>0.0701 (1.212)</t>
  </si>
  <si>
    <t>0.05894 (2.225)</t>
  </si>
  <si>
    <t>0.03848 (0.8476)</t>
  </si>
  <si>
    <t>0.04637 (1.717)</t>
  </si>
  <si>
    <t>0.04286 (0.7834)</t>
  </si>
  <si>
    <t>0.03542 (1.662)</t>
  </si>
  <si>
    <t>0.07279 (1.21)</t>
  </si>
  <si>
    <t>0.05162 (1.026)</t>
  </si>
  <si>
    <t>0.07979 (1.418)</t>
  </si>
  <si>
    <t>0.1217 (2.301)</t>
  </si>
  <si>
    <t>0.07744 (2.203)</t>
  </si>
  <si>
    <t>0.08009 (1.275)</t>
  </si>
  <si>
    <t>0.03949 (1.288)</t>
  </si>
  <si>
    <t>0.03656 (0.8462)</t>
  </si>
  <si>
    <t>0.0474 (1.033)</t>
  </si>
  <si>
    <t>0.05736 (1.884)</t>
  </si>
  <si>
    <t>0.03767 (1.186)</t>
  </si>
  <si>
    <t>0.06625 (0.8385)</t>
  </si>
  <si>
    <t>0.05356 (1.853)</t>
  </si>
  <si>
    <t>0.03293 (0.6822)</t>
  </si>
  <si>
    <t>0.04107 (1.113)</t>
  </si>
  <si>
    <t>0.03858 (0.7612)</t>
  </si>
  <si>
    <t>0.03299 (0.7011)</t>
  </si>
  <si>
    <t>0.03596 (1.372)</t>
  </si>
  <si>
    <t>0.06767 (3.118)</t>
  </si>
  <si>
    <t>0.06913 (2.258)</t>
  </si>
  <si>
    <t>0.1029 (3.005)</t>
  </si>
  <si>
    <t>0.04555 (1.675)</t>
  </si>
  <si>
    <t>0.07933 (2.077)</t>
  </si>
  <si>
    <t>0.03707 (1.359)</t>
  </si>
  <si>
    <t>0.04005 (1.635)</t>
  </si>
  <si>
    <t>0.04826 (2.714)</t>
  </si>
  <si>
    <t>0.05658 (2.526)</t>
  </si>
  <si>
    <t>0.03697 (1.662)</t>
  </si>
  <si>
    <t>0.04249 (1.349)</t>
  </si>
  <si>
    <t>0.04152 (1.72)</t>
  </si>
  <si>
    <t>0.04137 (0.968)</t>
  </si>
  <si>
    <t>0.073 (2.687)</t>
  </si>
  <si>
    <t>0.0861 (2.527)</t>
  </si>
  <si>
    <t>0.04201 (0.7427)</t>
  </si>
  <si>
    <t>0.05283 (0.9708)</t>
  </si>
  <si>
    <t>0.09283 (1.892)</t>
  </si>
  <si>
    <t>0.1001 (1.79)</t>
  </si>
  <si>
    <t>0.06824 (1.82)</t>
  </si>
  <si>
    <t>0.07013 (2.018)</t>
  </si>
  <si>
    <t>0.05529 (1.714)</t>
  </si>
  <si>
    <t>0.07461 (2.837)</t>
  </si>
  <si>
    <t>0.08001 (2.167)</t>
  </si>
  <si>
    <t>0.06367 (1.127)</t>
  </si>
  <si>
    <t>0.07981 (1.636)</t>
  </si>
  <si>
    <t>0.0582 (1.956)</t>
  </si>
  <si>
    <t>0.0595 (1.545)</t>
  </si>
  <si>
    <t>0.05716 (1.382)</t>
  </si>
  <si>
    <t>0.1013 (3.1)</t>
  </si>
  <si>
    <t>0.05953 (2.462)</t>
  </si>
  <si>
    <t>0.06219 (0.878)</t>
  </si>
  <si>
    <t>0.05049 (1.772)</t>
  </si>
  <si>
    <t>0.0535 (2.063)</t>
  </si>
  <si>
    <t>0.0987 (2.396)</t>
  </si>
  <si>
    <t>0.1031 (2.674)</t>
  </si>
  <si>
    <t>0.07574 (1.935)</t>
  </si>
  <si>
    <t>0.05811 (1.097)</t>
  </si>
  <si>
    <t>0.1082 (2.581)</t>
  </si>
  <si>
    <t>0.06691 (1.344)</t>
  </si>
  <si>
    <t>0.05958 (2.525)</t>
  </si>
  <si>
    <t>0.06696 (1.464)</t>
  </si>
  <si>
    <t>0.09778 (2.463)</t>
  </si>
  <si>
    <t>0.1051 (2.253)</t>
  </si>
  <si>
    <t>0.0838 (2.581)</t>
  </si>
  <si>
    <t>0.05435 (1.365)</t>
  </si>
  <si>
    <t>0.04135 (1.042)</t>
  </si>
  <si>
    <t>0.08376 (2.11)</t>
  </si>
  <si>
    <t>0.08016 (1.298)</t>
  </si>
  <si>
    <t>0.08998 (2.013)</t>
  </si>
  <si>
    <t>0.04677 (1.014)</t>
  </si>
  <si>
    <t>0.03934 (1.17)</t>
  </si>
  <si>
    <t>0.05607 (0.77)</t>
  </si>
  <si>
    <t>0.04258 (1.962)</t>
  </si>
  <si>
    <t>0.06403 (2.114)</t>
  </si>
  <si>
    <t>0.06833 (0.9412)</t>
  </si>
  <si>
    <t>0.05623 (1.196)</t>
  </si>
  <si>
    <t>0.04638 (1.006)</t>
  </si>
  <si>
    <t>0.05468 (1.003)</t>
  </si>
  <si>
    <t>0.03605 (0.5935)</t>
  </si>
  <si>
    <t>0.0487 (1.688)</t>
  </si>
  <si>
    <t>0.05102 (1.369)</t>
  </si>
  <si>
    <t>0.05182 (1.322)</t>
  </si>
  <si>
    <t>0.07252 (1.802)</t>
  </si>
  <si>
    <t>0.05218 (1.175)</t>
  </si>
  <si>
    <t>0.0561 (1.768)</t>
  </si>
  <si>
    <t>0.0659 (1.785)</t>
  </si>
  <si>
    <t>0.05981 (1.885)</t>
  </si>
  <si>
    <t>0.05319 (1.473)</t>
  </si>
  <si>
    <t>0.03506 (1.386)</t>
  </si>
  <si>
    <t>0.07138 (0.8033)</t>
  </si>
  <si>
    <t>0.03627 (0.6591)</t>
  </si>
  <si>
    <t>0.06422 (0.7407)</t>
  </si>
  <si>
    <t>0.08102 (1.084)</t>
  </si>
  <si>
    <t>0.04432 (0.7494)</t>
  </si>
  <si>
    <t>0.03315 (0.7246)</t>
  </si>
  <si>
    <t>0.08751 (1.446)</t>
  </si>
  <si>
    <t>0.0573 (1.184)</t>
  </si>
  <si>
    <t>0.05856 (1.095)</t>
  </si>
  <si>
    <t>0.06656 (1.024)</t>
  </si>
  <si>
    <t>0.08431 (2.403)</t>
  </si>
  <si>
    <t>0.06424 (1.511)</t>
  </si>
  <si>
    <t>0.04501 (1.779)</t>
  </si>
  <si>
    <t>0.06404 (0.901)</t>
  </si>
  <si>
    <t>0.06983 (0.8861)</t>
  </si>
  <si>
    <t>0.07089 (2.252)</t>
  </si>
  <si>
    <t>0.06671 (2.215)</t>
  </si>
  <si>
    <t>0.06899 (1.037)</t>
  </si>
  <si>
    <t>0.05597 (1.285)</t>
  </si>
  <si>
    <t>0.06385 (0.9698)</t>
  </si>
  <si>
    <t>0.04779 (1.156)</t>
  </si>
  <si>
    <t>0.05359 (0.6274)</t>
  </si>
  <si>
    <t>0.04625 (0.9777)</t>
  </si>
  <si>
    <t>0.08167 (1.883)</t>
  </si>
  <si>
    <t>0.06666 (0.8447)</t>
  </si>
  <si>
    <t>0.07631 (1.355)</t>
  </si>
  <si>
    <t>0.06415 (2.449)</t>
  </si>
  <si>
    <t>0.04193 (0.9437)</t>
  </si>
  <si>
    <t>0.05048 (1.916)</t>
  </si>
  <si>
    <t>0.04669 (0.8738)</t>
  </si>
  <si>
    <t>0.03855 (1.838)</t>
  </si>
  <si>
    <t>0.07934 (1.35)</t>
  </si>
  <si>
    <t>0.05633 (1.148)</t>
  </si>
  <si>
    <t>0.08683 (1.572)</t>
  </si>
  <si>
    <t>0.1325 (2.519)</t>
  </si>
  <si>
    <t>0.08435 (2.411)</t>
  </si>
  <si>
    <t>0.08722 (1.43)</t>
  </si>
  <si>
    <t>0.04303 (1.44)</t>
  </si>
  <si>
    <t>0.03982 (0.9397)</t>
  </si>
  <si>
    <t>0.05163 (1.151)</t>
  </si>
  <si>
    <t>0.06248 (2.104)</t>
  </si>
  <si>
    <t>0.04099 (1.324)</t>
  </si>
  <si>
    <t>0.07208 (0.9284)</t>
  </si>
  <si>
    <t>0.05836 (2.062)</t>
  </si>
  <si>
    <t>0.03586 (0.7556)</t>
  </si>
  <si>
    <t>0.04472 (1.232)</t>
  </si>
  <si>
    <t>0.04198 (0.849)</t>
  </si>
  <si>
    <t>0.03593 (0.7763)</t>
  </si>
  <si>
    <t>0.03914 (1.528)</t>
  </si>
  <si>
    <t>0.07327 (3.383)</t>
  </si>
  <si>
    <t>0.07494 (2.453)</t>
  </si>
  <si>
    <t>0.1114 (3.251)</t>
  </si>
  <si>
    <t>0.01794 (0.7356)</t>
  </si>
  <si>
    <t>0.03112 (0.8525)</t>
  </si>
  <si>
    <t>0.01452 (0.5751)</t>
  </si>
  <si>
    <t>0.01572 (0.7048)</t>
  </si>
  <si>
    <t>0.01893 (1.115)</t>
  </si>
  <si>
    <t>0.02213 (1.07)</t>
  </si>
  <si>
    <t>0.01449 (0.7274)</t>
  </si>
  <si>
    <t>0.01671 (0.5831)</t>
  </si>
  <si>
    <t>0.01622 (0.7404)</t>
  </si>
  <si>
    <t>0.01618 (0.4133)</t>
  </si>
  <si>
    <t>0.02853 (1.096)</t>
  </si>
  <si>
    <t>0.03386 (1.074)</t>
  </si>
  <si>
    <t>0.01646 (0.3253)</t>
  </si>
  <si>
    <t>0.02073 (0.4187)</t>
  </si>
  <si>
    <t>0.03602 (0.7956)</t>
  </si>
  <si>
    <t>0.03852 (0.8137)</t>
  </si>
  <si>
    <t>0.02617 (0.7284)</t>
  </si>
  <si>
    <t>0.02695 (0.8425)</t>
  </si>
  <si>
    <t>0.02125 (0.764)</t>
  </si>
  <si>
    <t>0.02838 (1.203)</t>
  </si>
  <si>
    <t>0.03035 (0.9032)</t>
  </si>
  <si>
    <t>0.02467 (0.5183)</t>
  </si>
  <si>
    <t>0.03064 (0.7288)</t>
  </si>
  <si>
    <t>0.02241 (0.7864)</t>
  </si>
  <si>
    <t>0.02307 (0.7116)</t>
  </si>
  <si>
    <t>0.02173 (0.5853)</t>
  </si>
  <si>
    <t>0.0388 (1.216)</t>
  </si>
  <si>
    <t>0.02287 (1.001)</t>
  </si>
  <si>
    <t>0.02393 (0.3631)</t>
  </si>
  <si>
    <t>0.0194 (0.7531)</t>
  </si>
  <si>
    <t>0.02034 (0.8763)</t>
  </si>
  <si>
    <t>0.03789 (0.9392)</t>
  </si>
  <si>
    <t>0.04241 (1.07)</t>
  </si>
  <si>
    <t>0.02884 (0.8151)</t>
  </si>
  <si>
    <t>0.02248 (0.4704)</t>
  </si>
  <si>
    <t>0.04113 (1.088)</t>
  </si>
  <si>
    <t>0.02559 (0.5741)</t>
  </si>
  <si>
    <t>0.02282 (1.052)</t>
  </si>
  <si>
    <t>0.02579 (0.6347)</t>
  </si>
  <si>
    <t>0.03734 (0.9676)</t>
  </si>
  <si>
    <t>0.04024 (0.8827)</t>
  </si>
  <si>
    <t>0.03223 (1.013)</t>
  </si>
  <si>
    <t>0.0213 (0.5826)</t>
  </si>
  <si>
    <t>0.01626 (0.4448)</t>
  </si>
  <si>
    <t>0.03278 (0.8739)</t>
  </si>
  <si>
    <t>0.03131 (0.5596)</t>
  </si>
  <si>
    <t>0.03526 (0.8367)</t>
  </si>
  <si>
    <t>0.01836 (0.4301)</t>
  </si>
  <si>
    <t>0.01544 (0.4962)</t>
  </si>
  <si>
    <t>0.02191 (0.3409)</t>
  </si>
  <si>
    <t>0.01666 (0.8312)</t>
  </si>
  <si>
    <t>0.02508 (0.8968)</t>
  </si>
  <si>
    <t>0.02682 (0.4101)</t>
  </si>
  <si>
    <t>0.02208 (0.5058)</t>
  </si>
  <si>
    <t>0.01818 (0.4374)</t>
  </si>
  <si>
    <t>0.02146 (0.4239)</t>
  </si>
  <si>
    <t>0.01413 (0.2522)</t>
  </si>
  <si>
    <t>0.01911 (0.714)</t>
  </si>
  <si>
    <t>0.02002 (0.5733)</t>
  </si>
  <si>
    <t>0.02026 (0.5534)</t>
  </si>
  <si>
    <t>0.02834 (0.7543)</t>
  </si>
  <si>
    <t>0.02055 (0.5042)</t>
  </si>
  <si>
    <t>0.02198 (0.752)</t>
  </si>
  <si>
    <t>0.02593 (0.7587)</t>
  </si>
  <si>
    <t>0.02349 (0.7995)</t>
  </si>
  <si>
    <t>0.02084 (0.6266)</t>
  </si>
  <si>
    <t>0.01375 (0.596)</t>
  </si>
  <si>
    <t>0.02776 (0.3382)</t>
  </si>
  <si>
    <t>0.01411 (0.2754)</t>
  </si>
  <si>
    <t>0.02508 (0.3137)</t>
  </si>
  <si>
    <t>0.03162 (0.4587)</t>
  </si>
  <si>
    <t>0.01734 (0.318)</t>
  </si>
  <si>
    <t>0.01286 (0.3008)</t>
  </si>
  <si>
    <t>0.03428 (0.6308)</t>
  </si>
  <si>
    <t>0.02238 (0.5004)</t>
  </si>
  <si>
    <t>0.02297 (0.4918)</t>
  </si>
  <si>
    <t>0.02607 (0.4442)</t>
  </si>
  <si>
    <t>0.03305 (0.9572)</t>
  </si>
  <si>
    <t>0.02526 (0.6535)</t>
  </si>
  <si>
    <t>0.01755 (0.7496)</t>
  </si>
  <si>
    <t>0.02481 (0.375)</t>
  </si>
  <si>
    <t>0.02709 (0.3698)</t>
  </si>
  <si>
    <t>0.02776 (0.9167)</t>
  </si>
  <si>
    <t>0.02648 (0.8932)</t>
  </si>
  <si>
    <t>0.02695 (0.4515)</t>
  </si>
  <si>
    <t>0.02188 (0.5516)</t>
  </si>
  <si>
    <t>0.02484 (0.4125)</t>
  </si>
  <si>
    <t>0.01875 (0.5062)</t>
  </si>
  <si>
    <t>0.02089 (0.2658)</t>
  </si>
  <si>
    <t>0.01812 (0.4257)</t>
  </si>
  <si>
    <t>0.03193 (0.8023)</t>
  </si>
  <si>
    <t>0.02613 (0.356)</t>
  </si>
  <si>
    <t>0.02988 (0.5923)</t>
  </si>
  <si>
    <t>0.02509 (1.005)</t>
  </si>
  <si>
    <t>0.01648 (0.4054)</t>
  </si>
  <si>
    <t>0.01977 (0.832)</t>
  </si>
  <si>
    <t>0.01833 (0.3787)</t>
  </si>
  <si>
    <t>0.015 (0.7653)</t>
  </si>
  <si>
    <t>0.03128 (0.5864)</t>
  </si>
  <si>
    <t>0.02231 (0.5044)</t>
  </si>
  <si>
    <t>0.03387 (0.6606)</t>
  </si>
  <si>
    <t>0.05196 (1.008)</t>
  </si>
  <si>
    <t>0.03311 (0.9637)</t>
  </si>
  <si>
    <t>0.03424 (0.6309)</t>
  </si>
  <si>
    <t>0.01693 (0.6303)</t>
  </si>
  <si>
    <t>0.01561 (0.3991)</t>
  </si>
  <si>
    <t>0.02026 (0.4978)</t>
  </si>
  <si>
    <t>0.02453 (0.9171)</t>
  </si>
  <si>
    <t>0.01602 (0.5748)</t>
  </si>
  <si>
    <t>0.02806 (0.3882)</t>
  </si>
  <si>
    <t>0.02293 (0.884)</t>
  </si>
  <si>
    <t>0.01401 (0.3172)</t>
  </si>
  <si>
    <t>0.01747 (0.5155)</t>
  </si>
  <si>
    <t>0.01639 (0.3683)</t>
  </si>
  <si>
    <t>0.01406 (0.3253)</t>
  </si>
  <si>
    <t>0.01531 (0.6582)</t>
  </si>
  <si>
    <t>0.02785 (1.3)</t>
  </si>
  <si>
    <t>0.02869 (0.9506)</t>
  </si>
  <si>
    <t>0.04253 (1.229)</t>
  </si>
  <si>
    <t>1 (0.512)</t>
  </si>
  <si>
    <t>0.999 (0.498)</t>
  </si>
  <si>
    <t>1 (0.664)</t>
  </si>
  <si>
    <t>1 (0.615)</t>
  </si>
  <si>
    <t>1 (0.491)</t>
  </si>
  <si>
    <t>1 (0.422)</t>
  </si>
  <si>
    <t>1 (0.549)</t>
  </si>
  <si>
    <t>1 (0.632)</t>
  </si>
  <si>
    <t>1 (0.569)</t>
  </si>
  <si>
    <t>0.999 (0.477)</t>
  </si>
  <si>
    <t>0.999 (0.476)</t>
  </si>
  <si>
    <t>1 (0.825)</t>
  </si>
  <si>
    <t>0.999 (0.801)</t>
  </si>
  <si>
    <t>0.996 (0.561)</t>
  </si>
  <si>
    <t>0.995 (0.515)</t>
  </si>
  <si>
    <t>0.999 (0.556)</t>
  </si>
  <si>
    <t>0.998 (0.498)</t>
  </si>
  <si>
    <t>0.999 (0.623)</t>
  </si>
  <si>
    <t>0.998 (0.468)</t>
  </si>
  <si>
    <t>0.998 (0.521)</t>
  </si>
  <si>
    <t>0.998 (0.686)</t>
  </si>
  <si>
    <t>0.997 (0.608)</t>
  </si>
  <si>
    <t>0.999 (0.575)</t>
  </si>
  <si>
    <t>0.998 (0.557)</t>
  </si>
  <si>
    <t>0.999 (0.751)</t>
  </si>
  <si>
    <t>0.998 (0.491)</t>
  </si>
  <si>
    <t>0.999 (0.568)</t>
  </si>
  <si>
    <t>0.998 (0.866)</t>
  </si>
  <si>
    <t>0.999 (0.554)</t>
  </si>
  <si>
    <t>0.999 (0.504)</t>
  </si>
  <si>
    <t>0.998 (0.495)</t>
  </si>
  <si>
    <t>0.994 (0.526)</t>
  </si>
  <si>
    <t>0.998 (0.591)</t>
  </si>
  <si>
    <t>0.998 (0.845)</t>
  </si>
  <si>
    <t>0.996 (0.439)</t>
  </si>
  <si>
    <t>0.998 (0.683)</t>
  </si>
  <si>
    <t>0.998 (0.724)</t>
  </si>
  <si>
    <t>0.998 (0.528)</t>
  </si>
  <si>
    <t>0.997 (0.456)</t>
  </si>
  <si>
    <t>0.998 (0.575)</t>
  </si>
  <si>
    <t>0.999 (0.705)</t>
  </si>
  <si>
    <t>1 (0.745)</t>
  </si>
  <si>
    <t>0.998 (0.652)</t>
  </si>
  <si>
    <t>0.999 (0.791)</t>
  </si>
  <si>
    <t>1 (0.761)</t>
  </si>
  <si>
    <t>0.999 (0.827)</t>
  </si>
  <si>
    <t>1 (0.463)</t>
  </si>
  <si>
    <t>0.999 (0.465)</t>
  </si>
  <si>
    <t>0.999 (0.756)</t>
  </si>
  <si>
    <t>0.999 (0.787)</t>
  </si>
  <si>
    <t>1 (0.89)</t>
  </si>
  <si>
    <t>1 (0.619)</t>
  </si>
  <si>
    <t>0.999 (0.622)</t>
  </si>
  <si>
    <t>0.999 (0.693)</t>
  </si>
  <si>
    <t>0.999 (0.524)</t>
  </si>
  <si>
    <t>0.999 (0.678)</t>
  </si>
  <si>
    <t>0.999 (0.615)</t>
  </si>
  <si>
    <t>0.999 (0.481)</t>
  </si>
  <si>
    <t>0.999 (0.447)</t>
  </si>
  <si>
    <t>0.999 (0.643)</t>
  </si>
  <si>
    <t>1 (0.719)</t>
  </si>
  <si>
    <t>0.999 (0.844)</t>
  </si>
  <si>
    <t>1 (0.894)</t>
  </si>
  <si>
    <t>0.999 (0.848)</t>
  </si>
  <si>
    <t>0.999 (0.759)</t>
  </si>
  <si>
    <t>1 (0.856)</t>
  </si>
  <si>
    <t>1 (0.889)</t>
  </si>
  <si>
    <t>0.998 (0.617)</t>
  </si>
  <si>
    <t>0.999 (0.748)</t>
  </si>
  <si>
    <t>0.999 (0.724)</t>
  </si>
  <si>
    <t>0.999 (0.754)</t>
  </si>
  <si>
    <t>0.999 (0.469)</t>
  </si>
  <si>
    <t>0.999 (0.564)</t>
  </si>
  <si>
    <t>1 (0.641)</t>
  </si>
  <si>
    <t>0.999 (0.842)</t>
  </si>
  <si>
    <t>0.999 (0.817)</t>
  </si>
  <si>
    <t>0.999 (0.497)</t>
  </si>
  <si>
    <t>0.999 (0.434)</t>
  </si>
  <si>
    <t>0.999 (0.744)</t>
  </si>
  <si>
    <t>0.999 (0.688)</t>
  </si>
  <si>
    <t>0.999 (0.785)</t>
  </si>
  <si>
    <t>1 (0.698)</t>
  </si>
  <si>
    <t>0.999 (0.902)</t>
  </si>
  <si>
    <t>1 (0.759)</t>
  </si>
  <si>
    <t>0.999 (0.492)</t>
  </si>
  <si>
    <t>0.999 (0.618)</t>
  </si>
  <si>
    <t>0.999 (0.5)</t>
  </si>
  <si>
    <t>1 (0.813)</t>
  </si>
  <si>
    <t>1 (0.496)</t>
  </si>
  <si>
    <t>1 (0.807)</t>
  </si>
  <si>
    <t>1 (0.673)</t>
  </si>
  <si>
    <t>0.999 (0.629)</t>
  </si>
  <si>
    <t>0.999 (0.658)</t>
  </si>
  <si>
    <t>0.998 (0.648)</t>
  </si>
  <si>
    <t>0.996 (0.519)</t>
  </si>
  <si>
    <t>0.998 (0.427)</t>
  </si>
  <si>
    <t>0.998 (0.586)</t>
  </si>
  <si>
    <t>1 (0.588)</t>
  </si>
  <si>
    <t>1 (0.776)</t>
  </si>
  <si>
    <t>0.999 (0.698)</t>
  </si>
  <si>
    <t>0.999 (0.456)</t>
  </si>
  <si>
    <t>1 (0.689)</t>
  </si>
  <si>
    <t>0.999 (0.809)</t>
  </si>
  <si>
    <t>0.999 (0.435)</t>
  </si>
  <si>
    <t>1 (0.873)</t>
  </si>
  <si>
    <t>1 (0.746)</t>
  </si>
  <si>
    <t>1 (0.804)</t>
  </si>
  <si>
    <t>1 (0.868)</t>
  </si>
  <si>
    <t>1 (0.666)</t>
  </si>
  <si>
    <t>0.998 (0.414)</t>
  </si>
  <si>
    <t>0.998 (0.452)</t>
  </si>
  <si>
    <t>0.997 (0.341)</t>
  </si>
  <si>
    <t>1 (0.823)</t>
  </si>
  <si>
    <t>1 (0.815)</t>
  </si>
  <si>
    <t>1 (0.893)</t>
  </si>
  <si>
    <t>1 (0.811)</t>
  </si>
  <si>
    <t>1 (0.771)</t>
  </si>
  <si>
    <t>1 (0.842)</t>
  </si>
  <si>
    <t>1 (0.88)</t>
  </si>
  <si>
    <t>1 (0.852)</t>
  </si>
  <si>
    <t>1 (0.943)</t>
  </si>
  <si>
    <t>1 (0.803)</t>
  </si>
  <si>
    <t>1 (0.951)</t>
  </si>
  <si>
    <t>0.999 (0.825)</t>
  </si>
  <si>
    <t>1 (0.845)</t>
  </si>
  <si>
    <t>1 (0.876)</t>
  </si>
  <si>
    <t>1 (0.799)</t>
  </si>
  <si>
    <t>0.999 (0.828)</t>
  </si>
  <si>
    <t>0.999 (0.869)</t>
  </si>
  <si>
    <t>1 (0.854)</t>
  </si>
  <si>
    <t>1 (0.846)</t>
  </si>
  <si>
    <t>1 (0.926)</t>
  </si>
  <si>
    <t>0.999 (0.812)</t>
  </si>
  <si>
    <t>1 (0.851)</t>
  </si>
  <si>
    <t>0.999 (0.964)</t>
  </si>
  <si>
    <t>1 (0.844)</t>
  </si>
  <si>
    <t>1 (0.819)</t>
  </si>
  <si>
    <t>0.999 (0.814)</t>
  </si>
  <si>
    <t>0.998 (0.83)</t>
  </si>
  <si>
    <t>0.999 (0.862)</t>
  </si>
  <si>
    <t>1 (0.957)</t>
  </si>
  <si>
    <t>0.999 (0.781)</t>
  </si>
  <si>
    <t>0.999 (0.901)</t>
  </si>
  <si>
    <t>0.999 (0.916)</t>
  </si>
  <si>
    <t>0.999 (0.831)</t>
  </si>
  <si>
    <t>1 (0.909)</t>
  </si>
  <si>
    <t>1 (0.924)</t>
  </si>
  <si>
    <t>1 (0.888)</t>
  </si>
  <si>
    <t>1 (0.814)</t>
  </si>
  <si>
    <t>1 (0.94)</t>
  </si>
  <si>
    <t>1 (0.93)</t>
  </si>
  <si>
    <t>1 (0.795)</t>
  </si>
  <si>
    <t>1 (0.797)</t>
  </si>
  <si>
    <t>1 (0.928)</t>
  </si>
  <si>
    <t>1 (0.901)</t>
  </si>
  <si>
    <t>1 (0.939)</t>
  </si>
  <si>
    <t>1 (0.97)</t>
  </si>
  <si>
    <t>1 (0.874)</t>
  </si>
  <si>
    <t>1 (0.829)</t>
  </si>
  <si>
    <t>1 (0.899)</t>
  </si>
  <si>
    <t>1 (0.806)</t>
  </si>
  <si>
    <t>1 (0.786)</t>
  </si>
  <si>
    <t>1 (0.885)</t>
  </si>
  <si>
    <t>1 (0.915)</t>
  </si>
  <si>
    <t>1 (0.972)</t>
  </si>
  <si>
    <t>1 (0.958)</t>
  </si>
  <si>
    <t>1 (0.929)</t>
  </si>
  <si>
    <t>1 (0.96)</t>
  </si>
  <si>
    <t>1 (0.925)</t>
  </si>
  <si>
    <t>1 (0.916)</t>
  </si>
  <si>
    <t>1 (0.927)</t>
  </si>
  <si>
    <t>1 (0.849)</t>
  </si>
  <si>
    <t>1 (0.884)</t>
  </si>
  <si>
    <t>1 (0.956)</t>
  </si>
  <si>
    <t>1 (0.948)</t>
  </si>
  <si>
    <t>1 (0.778)</t>
  </si>
  <si>
    <t>1 (0.903)</t>
  </si>
  <si>
    <t>1 (0.938)</t>
  </si>
  <si>
    <t>1 (0.907)</t>
  </si>
  <si>
    <t>1 (0.974)</t>
  </si>
  <si>
    <t>1 (0.812)</t>
  </si>
  <si>
    <t>1 (0.816)</t>
  </si>
  <si>
    <t>1 (0.947)</t>
  </si>
  <si>
    <t>1 (0.945)</t>
  </si>
  <si>
    <t>1 (0.897)</t>
  </si>
  <si>
    <t>1 (0.879)</t>
  </si>
  <si>
    <t>1 (0.891)</t>
  </si>
  <si>
    <t>1 (0.887)</t>
  </si>
  <si>
    <t>1 (0.774)</t>
  </si>
  <si>
    <t>1 (0.86)</t>
  </si>
  <si>
    <t>1 (0.935)</t>
  </si>
  <si>
    <t>1 (0.792)</t>
  </si>
  <si>
    <t>1 (0.946)</t>
  </si>
  <si>
    <t>1 (0.966)</t>
  </si>
  <si>
    <t>1 (0.944)</t>
  </si>
  <si>
    <t>1 (0.964)</t>
  </si>
  <si>
    <t>1 (0.765)</t>
  </si>
  <si>
    <t>0.999 (0.789)</t>
  </si>
  <si>
    <t>0.999 (0.713)</t>
  </si>
  <si>
    <t>165005 (16214)</t>
  </si>
  <si>
    <t>159069 (14520)</t>
  </si>
  <si>
    <t>164854 (15465)</t>
  </si>
  <si>
    <t>164789 (15623)</t>
  </si>
  <si>
    <t>157303 (13779)</t>
  </si>
  <si>
    <t>163601 (14494)</t>
  </si>
  <si>
    <t>165426 (16180)</t>
  </si>
  <si>
    <t>165184 (15491)</t>
  </si>
  <si>
    <t>164200 (15506)</t>
  </si>
  <si>
    <t>165302 (15511)</t>
  </si>
  <si>
    <t>157843 (13791)</t>
  </si>
  <si>
    <t>162610 (14352)</t>
  </si>
  <si>
    <t>164926 (16265)</t>
  </si>
  <si>
    <t>164957 (15656)</t>
  </si>
  <si>
    <t>154065 (15074)</t>
  </si>
  <si>
    <t>160398 (13920)</t>
  </si>
  <si>
    <t>148369 (14482)</t>
  </si>
  <si>
    <t>153455 (14815)</t>
  </si>
  <si>
    <t>160978 (14052)</t>
  </si>
  <si>
    <t>157398 (12249)</t>
  </si>
  <si>
    <t>157402 (12165)</t>
  </si>
  <si>
    <t>162809 (15299)</t>
  </si>
  <si>
    <t>161335 (14255)</t>
  </si>
  <si>
    <t>149168 (14676)</t>
  </si>
  <si>
    <t>162356 (14995)</t>
  </si>
  <si>
    <t>158970 (12711)</t>
  </si>
  <si>
    <t>143677 (14097)</t>
  </si>
  <si>
    <t>152146 (14214)</t>
  </si>
  <si>
    <t>158476 (12381)</t>
  </si>
  <si>
    <t>159767 (12791)</t>
  </si>
  <si>
    <t>159798 (12812)</t>
  </si>
  <si>
    <t>139306 (13583)</t>
  </si>
  <si>
    <t>151218 (13902)</t>
  </si>
  <si>
    <t>158546 (12469)</t>
  </si>
  <si>
    <t>158961 (13162)</t>
  </si>
  <si>
    <t>157967 (11919)</t>
  </si>
  <si>
    <t>159882 (13095)</t>
  </si>
  <si>
    <t>156144 (13723)</t>
  </si>
  <si>
    <t>160522 (13714)</t>
  </si>
  <si>
    <t>143280 (13910)</t>
  </si>
  <si>
    <t>134822 (12914)</t>
  </si>
  <si>
    <t>145227 (14052)</t>
  </si>
  <si>
    <t>164424 (15465)</t>
  </si>
  <si>
    <t>164741 (15413)</t>
  </si>
  <si>
    <t>158609 (14419)</t>
  </si>
  <si>
    <t>164641 (15463)</t>
  </si>
  <si>
    <t>158524 (14586)</t>
  </si>
  <si>
    <t>164216 (15127)</t>
  </si>
  <si>
    <t>164067 (15240)</t>
  </si>
  <si>
    <t>165583 (16220)</t>
  </si>
  <si>
    <t>164052 (15122)</t>
  </si>
  <si>
    <t>162926 (14801)</t>
  </si>
  <si>
    <t>164998 (15680)</t>
  </si>
  <si>
    <t>164643 (14867)</t>
  </si>
  <si>
    <t>165021 (15954)</t>
  </si>
  <si>
    <t>164407 (15259)</t>
  </si>
  <si>
    <t>165172 (15566)</t>
  </si>
  <si>
    <t>164620 (15188)</t>
  </si>
  <si>
    <t>163575 (14383)</t>
  </si>
  <si>
    <t>163677 (14913)</t>
  </si>
  <si>
    <t>163341 (14550)</t>
  </si>
  <si>
    <t>165292 (15542)</t>
  </si>
  <si>
    <t>163815 (15101)</t>
  </si>
  <si>
    <t>164274 (14841)</t>
  </si>
  <si>
    <t>163857 (14764)</t>
  </si>
  <si>
    <t>164121 (15092)</t>
  </si>
  <si>
    <t>164635 (15603)</t>
  </si>
  <si>
    <t>164178 (14972)</t>
  </si>
  <si>
    <t>164290 (14884)</t>
  </si>
  <si>
    <t>164555 (14847)</t>
  </si>
  <si>
    <t>163631 (15067)</t>
  </si>
  <si>
    <t>165241 (15553)</t>
  </si>
  <si>
    <t>164258 (14944)</t>
  </si>
  <si>
    <t>164654 (15563)</t>
  </si>
  <si>
    <t>163050 (14773)</t>
  </si>
  <si>
    <t>164779 (15772)</t>
  </si>
  <si>
    <t>165116 (15740)</t>
  </si>
  <si>
    <t>155256 (15107)</t>
  </si>
  <si>
    <t>164419 (15446)</t>
  </si>
  <si>
    <t>163575 (14662)</t>
  </si>
  <si>
    <t>163045 (14572)</t>
  </si>
  <si>
    <t>163707 (14644)</t>
  </si>
  <si>
    <t>158738 (14266)</t>
  </si>
  <si>
    <t>142773 (14089)</t>
  </si>
  <si>
    <t>164835 (15708)</t>
  </si>
  <si>
    <t>163760 (15139)</t>
  </si>
  <si>
    <t>164216 (15146)</t>
  </si>
  <si>
    <t>165065 (16066)</t>
  </si>
  <si>
    <t>163716 (15181)</t>
  </si>
  <si>
    <t>164885 (15984)</t>
  </si>
  <si>
    <t>163841 (15020)</t>
  </si>
  <si>
    <t>163771 (15013)</t>
  </si>
  <si>
    <t>164726 (15790)</t>
  </si>
  <si>
    <t>158085 (13881)</t>
  </si>
  <si>
    <t>164823 (15509)</t>
  </si>
  <si>
    <t>164419 (15609)</t>
  </si>
  <si>
    <t>164957 (15916)</t>
  </si>
  <si>
    <t>162616 (14412)</t>
  </si>
  <si>
    <t>164612 (15849)</t>
  </si>
  <si>
    <t>165532 (15919)</t>
  </si>
  <si>
    <t>162779 (14652)</t>
  </si>
  <si>
    <t>157237 (14317)</t>
  </si>
  <si>
    <t>155560 (14757)</t>
  </si>
  <si>
    <t>165509 (15815)</t>
  </si>
  <si>
    <t>164932 (15948)</t>
  </si>
  <si>
    <t>164782 (15400)</t>
  </si>
  <si>
    <t>165109 (15614)</t>
  </si>
  <si>
    <t>164474 (15640)</t>
  </si>
  <si>
    <t>164424 (15608)</t>
  </si>
  <si>
    <t>163577 (14434)</t>
  </si>
  <si>
    <t>164546 (15166)</t>
  </si>
  <si>
    <t>164087 (15133)</t>
  </si>
  <si>
    <t>162673 (14702)</t>
  </si>
  <si>
    <t>165500 (16076)</t>
  </si>
  <si>
    <t>163809 (14976)</t>
  </si>
  <si>
    <t>164941 (15712)</t>
  </si>
  <si>
    <t>176344 (17435)</t>
  </si>
  <si>
    <t>200407 (19847)</t>
  </si>
  <si>
    <t>145743 (14292)</t>
  </si>
  <si>
    <t>7957 (759)</t>
  </si>
  <si>
    <t>7670 (673)</t>
  </si>
  <si>
    <t>7957 (725)</t>
  </si>
  <si>
    <t>7960 (735)</t>
  </si>
  <si>
    <t>7581 (639)</t>
  </si>
  <si>
    <t>7901 (688)</t>
  </si>
  <si>
    <t>7971 (738)</t>
  </si>
  <si>
    <t>7972 (730)</t>
  </si>
  <si>
    <t>7926 (730)</t>
  </si>
  <si>
    <t>7981 (733)</t>
  </si>
  <si>
    <t>7612 (643)</t>
  </si>
  <si>
    <t>7835 (662)</t>
  </si>
  <si>
    <t>7954 (756)</t>
  </si>
  <si>
    <t>7965 (739)</t>
  </si>
  <si>
    <t>7457 (779)</t>
  </si>
  <si>
    <t>7743 (676)</t>
  </si>
  <si>
    <t>7179 (753)</t>
  </si>
  <si>
    <t>7424 (776)</t>
  </si>
  <si>
    <t>7744 (654)</t>
  </si>
  <si>
    <t>7586 (581)</t>
  </si>
  <si>
    <t>7597 (580)</t>
  </si>
  <si>
    <t>7840 (713)</t>
  </si>
  <si>
    <t>7789 (688)</t>
  </si>
  <si>
    <t>7233 (782)</t>
  </si>
  <si>
    <t>7821 (708)</t>
  </si>
  <si>
    <t>7626 (576)</t>
  </si>
  <si>
    <t>6955 (748)</t>
  </si>
  <si>
    <t>7360 (752)</t>
  </si>
  <si>
    <t>7654 (581)</t>
  </si>
  <si>
    <t>7677 (569)</t>
  </si>
  <si>
    <t>7677 (573)</t>
  </si>
  <si>
    <t>6681 (633)</t>
  </si>
  <si>
    <t>7306 (716)</t>
  </si>
  <si>
    <t>7633 (589)</t>
  </si>
  <si>
    <t>7639 (602)</t>
  </si>
  <si>
    <t>7598 (551)</t>
  </si>
  <si>
    <t>7710 (607)</t>
  </si>
  <si>
    <t>7543 (651)</t>
  </si>
  <si>
    <t>7736 (653)</t>
  </si>
  <si>
    <t>6937 (722)</t>
  </si>
  <si>
    <t>6460 (599)</t>
  </si>
  <si>
    <t>7014 (722)</t>
  </si>
  <si>
    <t>7944 (729)</t>
  </si>
  <si>
    <t>7951 (729)</t>
  </si>
  <si>
    <t>7645 (666)</t>
  </si>
  <si>
    <t>7937 (719)</t>
  </si>
  <si>
    <t>7650 (687)</t>
  </si>
  <si>
    <t>7941 (726)</t>
  </si>
  <si>
    <t>7909 (710)</t>
  </si>
  <si>
    <t>7992 (757)</t>
  </si>
  <si>
    <t>7896 (694)</t>
  </si>
  <si>
    <t>7863 (695)</t>
  </si>
  <si>
    <t>7960 (726)</t>
  </si>
  <si>
    <t>7947 (683)</t>
  </si>
  <si>
    <t>7952 (743)</t>
  </si>
  <si>
    <t>7939 (715)</t>
  </si>
  <si>
    <t>7971 (727)</t>
  </si>
  <si>
    <t>7932 (704)</t>
  </si>
  <si>
    <t>7903 (676)</t>
  </si>
  <si>
    <t>7887 (694)</t>
  </si>
  <si>
    <t>7862 (663)</t>
  </si>
  <si>
    <t>7968 (722)</t>
  </si>
  <si>
    <t>7905 (706)</t>
  </si>
  <si>
    <t>7945 (703)</t>
  </si>
  <si>
    <t>7912 (703)</t>
  </si>
  <si>
    <t>7921 (707)</t>
  </si>
  <si>
    <t>7929 (712)</t>
  </si>
  <si>
    <t>7905 (688)</t>
  </si>
  <si>
    <t>7912 (684)</t>
  </si>
  <si>
    <t>7942 (692)</t>
  </si>
  <si>
    <t>7893 (699)</t>
  </si>
  <si>
    <t>7978 (734)</t>
  </si>
  <si>
    <t>7915 (692)</t>
  </si>
  <si>
    <t>7934 (714)</t>
  </si>
  <si>
    <t>7860 (681)</t>
  </si>
  <si>
    <t>7948 (740)</t>
  </si>
  <si>
    <t>7983 (744)</t>
  </si>
  <si>
    <t>7497 (766)</t>
  </si>
  <si>
    <t>7922 (716)</t>
  </si>
  <si>
    <t>7889 (681)</t>
  </si>
  <si>
    <t>7854 (668)</t>
  </si>
  <si>
    <t>7882 (668)</t>
  </si>
  <si>
    <t>7656 (669)</t>
  </si>
  <si>
    <t>6908 (718)</t>
  </si>
  <si>
    <t>7953 (736)</t>
  </si>
  <si>
    <t>7903 (711)</t>
  </si>
  <si>
    <t>7917 (698)</t>
  </si>
  <si>
    <t>7945 (736)</t>
  </si>
  <si>
    <t>7895 (706)</t>
  </si>
  <si>
    <t>7946 (744)</t>
  </si>
  <si>
    <t>7903 (702)</t>
  </si>
  <si>
    <t>7882 (681)</t>
  </si>
  <si>
    <t>7933 (725)</t>
  </si>
  <si>
    <t>7618 (645)</t>
  </si>
  <si>
    <t>7957 (727)</t>
  </si>
  <si>
    <t>7925 (718)</t>
  </si>
  <si>
    <t>7953 (743)</t>
  </si>
  <si>
    <t>7834 (664)</t>
  </si>
  <si>
    <t>7943 (745)</t>
  </si>
  <si>
    <t>7990 (737)</t>
  </si>
  <si>
    <t>7842 (676)</t>
  </si>
  <si>
    <t>7583 (674)</t>
  </si>
  <si>
    <t>7508 (733)</t>
  </si>
  <si>
    <t>7986 (738)</t>
  </si>
  <si>
    <t>7946 (746)</t>
  </si>
  <si>
    <t>7949 (716)</t>
  </si>
  <si>
    <t>7965 (732)</t>
  </si>
  <si>
    <t>7936 (737)</t>
  </si>
  <si>
    <t>7924 (724)</t>
  </si>
  <si>
    <t>7891 (669)</t>
  </si>
  <si>
    <t>7930 (696)</t>
  </si>
  <si>
    <t>7899 (694)</t>
  </si>
  <si>
    <t>7845 (681)</t>
  </si>
  <si>
    <t>7993 (763)</t>
  </si>
  <si>
    <t>7945 (718)</t>
  </si>
  <si>
    <t>8549 (898)</t>
  </si>
  <si>
    <t>9669 (976)</t>
  </si>
  <si>
    <t>7040 (734)</t>
  </si>
  <si>
    <t>0.1801 (0.3698)</t>
  </si>
  <si>
    <t>0.1635 (0.4105)</t>
  </si>
  <si>
    <t>0.1638 (0.3290)</t>
  </si>
  <si>
    <t>0.1669 (0.3759)</t>
  </si>
  <si>
    <t>0.1853 (0.4682)</t>
  </si>
  <si>
    <t>0.1703 (0.4274)</t>
  </si>
  <si>
    <t>0.1913 (0.4336)</t>
  </si>
  <si>
    <t>0.1589 (0.3356)</t>
  </si>
  <si>
    <t>0.1678 (0.3719)</t>
  </si>
  <si>
    <t>0.1653 (0.3048)</t>
  </si>
  <si>
    <t>0.1984 (0.4518)</t>
  </si>
  <si>
    <t>0.1798 (0.4703)</t>
  </si>
  <si>
    <t>0.1536 (0.2669)</t>
  </si>
  <si>
    <t>0.1714 (0.3259)</t>
  </si>
  <si>
    <t>0.1697 (0.4064)</t>
  </si>
  <si>
    <t>0.1664 (0.5264)</t>
  </si>
  <si>
    <t>0.1696 (0.4522)</t>
  </si>
  <si>
    <t>0.1586 (0.4361)</t>
  </si>
  <si>
    <t>0.1567 (0.4072)</t>
  </si>
  <si>
    <t>0.1726 (0.5451)</t>
  </si>
  <si>
    <t>0.1530 (0.4125)</t>
  </si>
  <si>
    <t>0.1535 (0.3956)</t>
  </si>
  <si>
    <t>0.1497 (0.4027)</t>
  </si>
  <si>
    <t>0.1626 (0.3947)</t>
  </si>
  <si>
    <t>0.1625 (0.3816)</t>
  </si>
  <si>
    <t>0.1606 (0.3445)</t>
  </si>
  <si>
    <t>0.1720 (0.4251)</t>
  </si>
  <si>
    <t>0.1655 (0.4491)</t>
  </si>
  <si>
    <t>0.1438 (0.2586)</t>
  </si>
  <si>
    <t>0.1492 (0.3931)</t>
  </si>
  <si>
    <t>0.1573 (0.3806)</t>
  </si>
  <si>
    <t>0.1955 (0.4358)</t>
  </si>
  <si>
    <t>0.1600 (0.3862)</t>
  </si>
  <si>
    <t>0.1535 (0.4145)</t>
  </si>
  <si>
    <t>0.1672 (0.3678)</t>
  </si>
  <si>
    <t>0.1589 (0.4928)</t>
  </si>
  <si>
    <t>0.1476 (0.3175)</t>
  </si>
  <si>
    <t>0.1705 (0.4824)</t>
  </si>
  <si>
    <t>0.1507 (0.3736)</t>
  </si>
  <si>
    <t>0.1690 (0.4511)</t>
  </si>
  <si>
    <t>0.1748 (0.4178)</t>
  </si>
  <si>
    <t>0.1586 (0.4300)</t>
  </si>
  <si>
    <t>0.1761 (0.3922)</t>
  </si>
  <si>
    <t>0.1510 (0.2872)</t>
  </si>
  <si>
    <t>0.1641 (0.4108)</t>
  </si>
  <si>
    <t>0.1571 (0.3494)</t>
  </si>
  <si>
    <t>0.1687 (0.3901)</t>
  </si>
  <si>
    <t>0.1621 (0.3315)</t>
  </si>
  <si>
    <t>0.1481 (0.3182)</t>
  </si>
  <si>
    <t>0.1505 (0.2947)</t>
  </si>
  <si>
    <t>0.1532 (0.3782)</t>
  </si>
  <si>
    <t>0.1584 (0.4338)</t>
  </si>
  <si>
    <t>0.1447 (0.3105)</t>
  </si>
  <si>
    <t>0.1537 (0.3589)</t>
  </si>
  <si>
    <t>0.1575 (0.3138)</t>
  </si>
  <si>
    <t>0.1557 (0.3052)</t>
  </si>
  <si>
    <t>0.1516 (0.2259)</t>
  </si>
  <si>
    <t>0.1677 (0.3891)</t>
  </si>
  <si>
    <t>0.1463 (0.3278)</t>
  </si>
  <si>
    <t>0.1614 (0.3353)</t>
  </si>
  <si>
    <t>0.1601 (0.3762)</t>
  </si>
  <si>
    <t>0.1460 (0.2927)</t>
  </si>
  <si>
    <t>0.1638 (0.4085)</t>
  </si>
  <si>
    <t>0.1603 (0.4029)</t>
  </si>
  <si>
    <t>0.1553 (0.3763)</t>
  </si>
  <si>
    <t>0.1652 (0.3884)</t>
  </si>
  <si>
    <t>0.1785 (0.3751)</t>
  </si>
  <si>
    <t>0.1467 (0.2851)</t>
  </si>
  <si>
    <t>0.1532 (0.2382)</t>
  </si>
  <si>
    <t>0.1463 (0.2820)</t>
  </si>
  <si>
    <t>0.1476 (0.3372)</t>
  </si>
  <si>
    <t>0.1472 (0.2505)</t>
  </si>
  <si>
    <t>0.1422 (0.2325)</t>
  </si>
  <si>
    <t>0.1719 (0.3843)</t>
  </si>
  <si>
    <t>0.1608 (0.3397)</t>
  </si>
  <si>
    <t>0.1565 (0.3323)</t>
  </si>
  <si>
    <t>0.1556 (0.3281)</t>
  </si>
  <si>
    <t>0.1644 (0.4245)</t>
  </si>
  <si>
    <t>0.1514 (0.3897)</t>
  </si>
  <si>
    <t>0.1731 (0.3957)</t>
  </si>
  <si>
    <t>0.1544 (0.2937)</t>
  </si>
  <si>
    <t>0.1513 (0.2982)</t>
  </si>
  <si>
    <t>0.1714 (0.4369)</t>
  </si>
  <si>
    <t>0.1642 (0.4169)</t>
  </si>
  <si>
    <t>0.1567 (0.3206)</t>
  </si>
  <si>
    <t>0.1615 (0.3464)</t>
  </si>
  <si>
    <t>0.1588 (0.3071)</t>
  </si>
  <si>
    <t>0.1641 (0.3320)</t>
  </si>
  <si>
    <t>0.1593 (0.2560)</t>
  </si>
  <si>
    <t>0.1463 (0.2839)</t>
  </si>
  <si>
    <t>0.1530 (0.3808)</t>
  </si>
  <si>
    <t>0.1489 (0.2758)</t>
  </si>
  <si>
    <t>0.1661 (0.3790)</t>
  </si>
  <si>
    <t>0.1762 (0.4149)</t>
  </si>
  <si>
    <t>0.1494 (0.2970)</t>
  </si>
  <si>
    <t>0.1569 (0.3895)</t>
  </si>
  <si>
    <t>0.1493 (0.2879)</t>
  </si>
  <si>
    <t>0.1726 (0.4082)</t>
  </si>
  <si>
    <t>0.1499 (0.3530)</t>
  </si>
  <si>
    <t>0.1459 (0.3199)</t>
  </si>
  <si>
    <t>0.1659 (0.4058)</t>
  </si>
  <si>
    <t>0.1807 (0.4546)</t>
  </si>
  <si>
    <t>0.1717 (0.4425)</t>
  </si>
  <si>
    <t>0.1619 (0.4043)</t>
  </si>
  <si>
    <t>0.1673 (0.3439)</t>
  </si>
  <si>
    <t>0.1452 (0.2690)</t>
  </si>
  <si>
    <t>0.1470 (0.3056)</t>
  </si>
  <si>
    <t>0.1612 (0.4382)</t>
  </si>
  <si>
    <t>0.1689 (0.3415)</t>
  </si>
  <si>
    <t>0.1512 (0.3089)</t>
  </si>
  <si>
    <t>0.1497 (0.3880)</t>
  </si>
  <si>
    <t>0.1423 (0.2463)</t>
  </si>
  <si>
    <t>0.1843 (0.3396)</t>
  </si>
  <si>
    <t>0.1580 (0.2730)</t>
  </si>
  <si>
    <t>0.1623 (0.2614)</t>
  </si>
  <si>
    <t>0.1649 (0.3681)</t>
  </si>
  <si>
    <t>0.1665 (0.4312)</t>
  </si>
  <si>
    <t>0.1649 (0.4161)</t>
  </si>
  <si>
    <t>0.1756 (0.4179)</t>
  </si>
  <si>
    <t>0.1900 (0.3621)</t>
  </si>
  <si>
    <t>0.1789 (0.4004)</t>
  </si>
  <si>
    <t>0.1782 (0.3391)</t>
  </si>
  <si>
    <t>0.1839 (0.3583)</t>
  </si>
  <si>
    <t>0.2013 (0.4610)</t>
  </si>
  <si>
    <t>0.1887 (0.4053)</t>
  </si>
  <si>
    <t>0.2084 (0.4411)</t>
  </si>
  <si>
    <t>0.1735 (0.3329)</t>
  </si>
  <si>
    <t>0.1826 (0.3688)</t>
  </si>
  <si>
    <t>0.1792 (0.3062)</t>
  </si>
  <si>
    <t>0.2169 (0.4633)</t>
  </si>
  <si>
    <t>0.1927 (0.4595)</t>
  </si>
  <si>
    <t>0.1640 (0.2614)</t>
  </si>
  <si>
    <t>0.1889 (0.3187)</t>
  </si>
  <si>
    <t>0.1847 (0.4144)</t>
  </si>
  <si>
    <t>0.1807 (0.5309)</t>
  </si>
  <si>
    <t>0.1866 (0.4659)</t>
  </si>
  <si>
    <t>0.1739 (0.4447)</t>
  </si>
  <si>
    <t>0.1699 (0.4175)</t>
  </si>
  <si>
    <t>0.1913 (0.5440)</t>
  </si>
  <si>
    <t>0.1666 (0.3972)</t>
  </si>
  <si>
    <t>0.1694 (0.3931)</t>
  </si>
  <si>
    <t>0.1633 (0.3891)</t>
  </si>
  <si>
    <t>0.1795 (0.3842)</t>
  </si>
  <si>
    <t>0.1771 (0.3988)</t>
  </si>
  <si>
    <t>0.1760 (0.3710)</t>
  </si>
  <si>
    <t>0.1916 (0.4404)</t>
  </si>
  <si>
    <t>0.1816 (0.4278)</t>
  </si>
  <si>
    <t>0.1567 (0.2609)</t>
  </si>
  <si>
    <t>0.1628 (0.4083)</t>
  </si>
  <si>
    <t>0.1745 (0.3814)</t>
  </si>
  <si>
    <t>0.2187 (0.4508)</t>
  </si>
  <si>
    <t>0.1752 (0.3881)</t>
  </si>
  <si>
    <t>0.1710 (0.4173)</t>
  </si>
  <si>
    <t>0.1815 (0.3671)</t>
  </si>
  <si>
    <t>0.1735 (0.5117)</t>
  </si>
  <si>
    <t>0.1599 (0.3244)</t>
  </si>
  <si>
    <t>0.1852 (0.4751)</t>
  </si>
  <si>
    <t>0.1628 (0.3791)</t>
  </si>
  <si>
    <t>0.1858 (0.4767)</t>
  </si>
  <si>
    <t>0.2008 (0.4297)</t>
  </si>
  <si>
    <t>0.1781 (0.4401)</t>
  </si>
  <si>
    <t>0.1920 (0.3706)</t>
  </si>
  <si>
    <t>0.1660 (0.2935)</t>
  </si>
  <si>
    <t>0.1800 (0.4191)</t>
  </si>
  <si>
    <t>0.1721 (0.3467)</t>
  </si>
  <si>
    <t>0.1849 (0.3956)</t>
  </si>
  <si>
    <t>0.1769 (0.3324)</t>
  </si>
  <si>
    <t>0.1640 (0.3184)</t>
  </si>
  <si>
    <t>0.1645 (0.2868)</t>
  </si>
  <si>
    <t>0.1685 (0.3689)</t>
  </si>
  <si>
    <t>0.1738 (0.4433)</t>
  </si>
  <si>
    <t>0.1584 (0.3095)</t>
  </si>
  <si>
    <t>0.1688 (0.3476)</t>
  </si>
  <si>
    <t>0.1715 (0.3029)</t>
  </si>
  <si>
    <t>0.1682 (0.3046)</t>
  </si>
  <si>
    <t>0.1654 (0.2274)</t>
  </si>
  <si>
    <t>0.1822 (0.3922)</t>
  </si>
  <si>
    <t>0.1627 (0.3360)</t>
  </si>
  <si>
    <t>0.1722 (0.3371)</t>
  </si>
  <si>
    <t>0.1748 (0.3741)</t>
  </si>
  <si>
    <t>0.1605 (0.2803)</t>
  </si>
  <si>
    <t>0.1804 (0.3860)</t>
  </si>
  <si>
    <t>0.1782 (0.3893)</t>
  </si>
  <si>
    <t>0.1670 (0.3760)</t>
  </si>
  <si>
    <t>0.1804 (0.3792)</t>
  </si>
  <si>
    <t>0.1941 (0.3707)</t>
  </si>
  <si>
    <t>0.1602 (0.2858)</t>
  </si>
  <si>
    <t>0.1686 (0.2385)</t>
  </si>
  <si>
    <t>0.1599 (0.2816)</t>
  </si>
  <si>
    <t>0.1645 (0.3279)</t>
  </si>
  <si>
    <t>0.1619 (0.2576)</t>
  </si>
  <si>
    <t>0.1559 (0.2282)</t>
  </si>
  <si>
    <t>0.1890 (0.3681)</t>
  </si>
  <si>
    <t>0.1745 (0.3322)</t>
  </si>
  <si>
    <t>0.1703 (0.3371)</t>
  </si>
  <si>
    <t>0.1712 (0.3318)</t>
  </si>
  <si>
    <t>0.1830 (0.4275)</t>
  </si>
  <si>
    <t>0.1668 (0.3746)</t>
  </si>
  <si>
    <t>0.1892 (0.3798)</t>
  </si>
  <si>
    <t>0.1715 (0.2911)</t>
  </si>
  <si>
    <t>0.1654 (0.2986)</t>
  </si>
  <si>
    <t>0.1851 (0.4285)</t>
  </si>
  <si>
    <t>0.1826 (0.4340)</t>
  </si>
  <si>
    <t>0.1715 (0.3016)</t>
  </si>
  <si>
    <t>0.1758 (0.3366)</t>
  </si>
  <si>
    <t>0.1711 (0.3119)</t>
  </si>
  <si>
    <t>0.1786 (0.3357)</t>
  </si>
  <si>
    <t>0.1734 (0.2542)</t>
  </si>
  <si>
    <t>0.1592 (0.2817)</t>
  </si>
  <si>
    <t>0.1680 (0.3725)</t>
  </si>
  <si>
    <t>0.1608 (0.2705)</t>
  </si>
  <si>
    <t>0.1783 (0.3623)</t>
  </si>
  <si>
    <t>0.1908 (0.4215)</t>
  </si>
  <si>
    <t>0.1620 (0.2938)</t>
  </si>
  <si>
    <t>0.1713 (0.3730)</t>
  </si>
  <si>
    <t>0.1630 (0.2865)</t>
  </si>
  <si>
    <t>0.1893 (0.4025)</t>
  </si>
  <si>
    <t>0.1666 (0.3558)</t>
  </si>
  <si>
    <t>0.1593 (0.3081)</t>
  </si>
  <si>
    <t>0.1797 (0.3929)</t>
  </si>
  <si>
    <t>0.1975 (0.4491)</t>
  </si>
  <si>
    <t>0.1895 (0.4344)</t>
  </si>
  <si>
    <t>0.1765 (0.3967)</t>
  </si>
  <si>
    <t>0.1825 (0.3433)</t>
  </si>
  <si>
    <t>0.1595 (0.2646)</t>
  </si>
  <si>
    <t>0.1602 (0.2986)</t>
  </si>
  <si>
    <t>0.1772 (0.4441)</t>
  </si>
  <si>
    <t>0.1823 (0.3511)</t>
  </si>
  <si>
    <t>0.1657 (0.3104)</t>
  </si>
  <si>
    <t>0.1648 (0.3806)</t>
  </si>
  <si>
    <t>0.1552 (0.2560)</t>
  </si>
  <si>
    <t>0.1981 (0.3400)</t>
  </si>
  <si>
    <t>0.1701 (0.2700)</t>
  </si>
  <si>
    <t>0.1734 (0.2627)</t>
  </si>
  <si>
    <t>0.1794 (0.3551)</t>
  </si>
  <si>
    <t>0.1839 (0.4262)</t>
  </si>
  <si>
    <t>0.1804 (0.4057)</t>
  </si>
  <si>
    <t>0.1937 (0.4260)</t>
  </si>
  <si>
    <t>0.965 (0.767)</t>
  </si>
  <si>
    <t>0.971 (0.799)</t>
  </si>
  <si>
    <t>0.967 (0.832)</t>
  </si>
  <si>
    <t>0.968 (0.817)</t>
  </si>
  <si>
    <t>0.968 (0.779)</t>
  </si>
  <si>
    <t>0.970 (0.717)</t>
  </si>
  <si>
    <t>0.963 (0.778)</t>
  </si>
  <si>
    <t>0.969 (0.829)</t>
  </si>
  <si>
    <t>0.967 (0.797)</t>
  </si>
  <si>
    <t>0.967 (0.898)</t>
  </si>
  <si>
    <t>0.962 (0.773)</t>
  </si>
  <si>
    <t>0.969 (0.764)</t>
  </si>
  <si>
    <t>0.970 (0.908)</t>
  </si>
  <si>
    <t>0.966 (0.886)</t>
  </si>
  <si>
    <t>0.962 (0.839)</t>
  </si>
  <si>
    <t>0.962 (0.789)</t>
  </si>
  <si>
    <t>0.967 (0.794)</t>
  </si>
  <si>
    <t>0.968 (0.793)</t>
  </si>
  <si>
    <t>0.963 (0.829)</t>
  </si>
  <si>
    <t>0.968 (0.751)</t>
  </si>
  <si>
    <t>0.967 (0.808)</t>
  </si>
  <si>
    <t>0.960 (0.860)</t>
  </si>
  <si>
    <t>0.968 (0.819)</t>
  </si>
  <si>
    <t>0.968 (0.823)</t>
  </si>
  <si>
    <t>0.961 (0.808)</t>
  </si>
  <si>
    <t>0.967 (0.862)</t>
  </si>
  <si>
    <t>0.969 (0.752)</t>
  </si>
  <si>
    <t>0.956 (0.919)</t>
  </si>
  <si>
    <t>0.970 (0.798)</t>
  </si>
  <si>
    <t>0.970 (0.776)</t>
  </si>
  <si>
    <t>0.965 (0.749)</t>
  </si>
  <si>
    <t>0.958 (0.825)</t>
  </si>
  <si>
    <t>0.968 (0.806)</t>
  </si>
  <si>
    <t>0.954 (0.901)</t>
  </si>
  <si>
    <t>0.970 (0.743)</t>
  </si>
  <si>
    <t>0.967 (0.861)</t>
  </si>
  <si>
    <t>0.962 (0.793)</t>
  </si>
  <si>
    <t>0.961 (0.875)</t>
  </si>
  <si>
    <t>0.970 (0.780)</t>
  </si>
  <si>
    <t>0.970 (0.751)</t>
  </si>
  <si>
    <t>0.970 (0.811)</t>
  </si>
  <si>
    <t>0.966 (0.850)</t>
  </si>
  <si>
    <t>0.969 (0.888)</t>
  </si>
  <si>
    <t>0.971 (0.772)</t>
  </si>
  <si>
    <t>0.969 (0.841)</t>
  </si>
  <si>
    <t>0.969 (0.785)</t>
  </si>
  <si>
    <t>0.971 (0.882)</t>
  </si>
  <si>
    <t>0.970 (0.919)</t>
  </si>
  <si>
    <t>0.971 (0.748)</t>
  </si>
  <si>
    <t>0.970 (0.758)</t>
  </si>
  <si>
    <t>0.972 (0.884)</t>
  </si>
  <si>
    <t>0.969 (0.853)</t>
  </si>
  <si>
    <t>0.969 (0.886)</t>
  </si>
  <si>
    <t>0.969 (0.894)</t>
  </si>
  <si>
    <t>0.969 (0.928)</t>
  </si>
  <si>
    <t>0.970 (0.820)</t>
  </si>
  <si>
    <t>0.972 (0.833)</t>
  </si>
  <si>
    <t>0.970 (0.851)</t>
  </si>
  <si>
    <t>0.969 (0.768)</t>
  </si>
  <si>
    <t>0.970 (0.864)</t>
  </si>
  <si>
    <t>0.970 (0.814)</t>
  </si>
  <si>
    <t>0.970 (0.740)</t>
  </si>
  <si>
    <t>0.969 (0.726)</t>
  </si>
  <si>
    <t>0.968 (0.815)</t>
  </si>
  <si>
    <t>0.967 (0.849)</t>
  </si>
  <si>
    <t>0.969 (0.919)</t>
  </si>
  <si>
    <t>0.968 (0.931)</t>
  </si>
  <si>
    <t>0.971 (0.921)</t>
  </si>
  <si>
    <t>0.971 (0.884)</t>
  </si>
  <si>
    <t>0.970 (0.921)</t>
  </si>
  <si>
    <t>0.971 (0.939)</t>
  </si>
  <si>
    <t>0.967 (0.826)</t>
  </si>
  <si>
    <t>0.968 (0.869)</t>
  </si>
  <si>
    <t>0.969 (0.864)</t>
  </si>
  <si>
    <t>0.970 (0.884)</t>
  </si>
  <si>
    <t>0.970 (0.765)</t>
  </si>
  <si>
    <t>0.972 (0.816)</t>
  </si>
  <si>
    <t>0.968 (0.803)</t>
  </si>
  <si>
    <t>0.970 (0.910)</t>
  </si>
  <si>
    <t>0.970 (0.904)</t>
  </si>
  <si>
    <t>0.967 (0.793)</t>
  </si>
  <si>
    <t>0.970 (0.699)</t>
  </si>
  <si>
    <t>0.969 (0.879)</t>
  </si>
  <si>
    <t>0.968 (0.845)</t>
  </si>
  <si>
    <t>0.968 (0.883)</t>
  </si>
  <si>
    <t>0.968 (0.866)</t>
  </si>
  <si>
    <t>0.967 (0.932)</t>
  </si>
  <si>
    <t>0.970 (0.895)</t>
  </si>
  <si>
    <t>0.971 (0.779)</t>
  </si>
  <si>
    <t>0.968 (0.822)</t>
  </si>
  <si>
    <t>0.967 (0.787)</t>
  </si>
  <si>
    <t>0.970 (0.906)</t>
  </si>
  <si>
    <t>0.970 (0.774)</t>
  </si>
  <si>
    <t>0.972 (0.845)</t>
  </si>
  <si>
    <t>0.971 (0.860)</t>
  </si>
  <si>
    <t>0.968 (0.831)</t>
  </si>
  <si>
    <t>0.969 (0.791)</t>
  </si>
  <si>
    <t>0.969 (0.731)</t>
  </si>
  <si>
    <t>0.969 (0.812)</t>
  </si>
  <si>
    <t>0.966 (0.809)</t>
  </si>
  <si>
    <t>0.971 (0.892)</t>
  </si>
  <si>
    <t>0.970 (0.871)</t>
  </si>
  <si>
    <t>0.970 (0.759)</t>
  </si>
  <si>
    <t>0.966 (0.845)</t>
  </si>
  <si>
    <t>0.970 (0.889)</t>
  </si>
  <si>
    <t>0.972 (0.743)</t>
  </si>
  <si>
    <t>0.970 (0.928)</t>
  </si>
  <si>
    <t>0.962 (0.835)</t>
  </si>
  <si>
    <t>0.969 (0.900)</t>
  </si>
  <si>
    <t>0.968 (0.913)</t>
  </si>
  <si>
    <t>0.968 (0.844)</t>
  </si>
  <si>
    <t>0.970 (0.736)</t>
  </si>
  <si>
    <t>0.965 (0.751)</t>
  </si>
  <si>
    <t>0.967 (0.692)</t>
  </si>
  <si>
    <t>0.962 (0.761)</t>
  </si>
  <si>
    <t>0.965 (0.786)</t>
  </si>
  <si>
    <t>0.960 (0.830)</t>
  </si>
  <si>
    <t>0.960 (0.849)</t>
  </si>
  <si>
    <t>0.960 (0.764)</t>
  </si>
  <si>
    <t>0.962 (0.720)</t>
  </si>
  <si>
    <t>0.951 (0.782)</t>
  </si>
  <si>
    <t>0.962 (0.824)</t>
  </si>
  <si>
    <t>0.965 (0.828)</t>
  </si>
  <si>
    <t>0.959 (0.903)</t>
  </si>
  <si>
    <t>0.954 (0.760)</t>
  </si>
  <si>
    <t>0.960 (0.774)</t>
  </si>
  <si>
    <t>0.967 (0.916)</t>
  </si>
  <si>
    <t>0.958 (0.889)</t>
  </si>
  <si>
    <t>0.959 (0.848)</t>
  </si>
  <si>
    <t>0.965 (0.755)</t>
  </si>
  <si>
    <t>0.964 (0.785)</t>
  </si>
  <si>
    <t>0.968 (0.802)</t>
  </si>
  <si>
    <t>0.965 (0.849)</t>
  </si>
  <si>
    <t>0.960 (0.723)</t>
  </si>
  <si>
    <t>0.964 (0.786)</t>
  </si>
  <si>
    <t>0.958 (0.864)</t>
  </si>
  <si>
    <t>0.963 (0.860)</t>
  </si>
  <si>
    <t>0.963 (0.833)</t>
  </si>
  <si>
    <t>0.942 (0.812)</t>
  </si>
  <si>
    <t>0.959 (0.837)</t>
  </si>
  <si>
    <t>0.962 (0.722)</t>
  </si>
  <si>
    <t>0.962 (0.825)</t>
  </si>
  <si>
    <t>0.953 (0.937)</t>
  </si>
  <si>
    <t>0.969 (0.794)</t>
  </si>
  <si>
    <t>0.964 (0.784)</t>
  </si>
  <si>
    <t>0.961 (0.689)</t>
  </si>
  <si>
    <t>0.959 (0.843)</t>
  </si>
  <si>
    <t>0.964 (0.827)</t>
  </si>
  <si>
    <t>0.939 (0.873)</t>
  </si>
  <si>
    <t>0.967 (0.707)</t>
  </si>
  <si>
    <t>0.969 (0.852)</t>
  </si>
  <si>
    <t>0.955 (0.792)</t>
  </si>
  <si>
    <t>0.964 (0.883)</t>
  </si>
  <si>
    <t>0.964 (0.732)</t>
  </si>
  <si>
    <t>0.962 (0.672)</t>
  </si>
  <si>
    <t>0.966 (0.794)</t>
  </si>
  <si>
    <t>0.957 (0.878)</t>
  </si>
  <si>
    <t>0.959 (0.880)</t>
  </si>
  <si>
    <t>0.967 (0.731)</t>
  </si>
  <si>
    <t>0.964 (0.863)</t>
  </si>
  <si>
    <t>0.962 (0.890)</t>
  </si>
  <si>
    <t>0.966 (0.901)</t>
  </si>
  <si>
    <t>0.966 (0.920)</t>
  </si>
  <si>
    <t>0.966 (0.787)</t>
  </si>
  <si>
    <t>0.967 (0.733)</t>
  </si>
  <si>
    <t>0.965 (0.896)</t>
  </si>
  <si>
    <t>0.963 (0.865)</t>
  </si>
  <si>
    <t>0.958 (0.893)</t>
  </si>
  <si>
    <t>0.965 (0.904)</t>
  </si>
  <si>
    <t>0.960 (0.929)</t>
  </si>
  <si>
    <t>0.964 (0.848)</t>
  </si>
  <si>
    <t>0.965 (0.847)</t>
  </si>
  <si>
    <t>0.965 (0.857)</t>
  </si>
  <si>
    <t>0.963 (0.797)</t>
  </si>
  <si>
    <t>0.964 (0.886)</t>
  </si>
  <si>
    <t>0.964 (0.840)</t>
  </si>
  <si>
    <t>0.965 (0.754)</t>
  </si>
  <si>
    <t>0.963 (0.747)</t>
  </si>
  <si>
    <t>0.963 (0.835)</t>
  </si>
  <si>
    <t>0.962 (0.850)</t>
  </si>
  <si>
    <t>0.965 (0.929)</t>
  </si>
  <si>
    <t>0.959 (0.942)</t>
  </si>
  <si>
    <t>0.964 (0.927)</t>
  </si>
  <si>
    <t>0.965 (0.897)</t>
  </si>
  <si>
    <t>0.961 (0.919)</t>
  </si>
  <si>
    <t>0.963 (0.948)</t>
  </si>
  <si>
    <t>0.958 (0.847)</t>
  </si>
  <si>
    <t>0.959 (0.863)</t>
  </si>
  <si>
    <t>0.964 (0.872)</t>
  </si>
  <si>
    <t>0.964 (0.747)</t>
  </si>
  <si>
    <t>0.962 (0.812)</t>
  </si>
  <si>
    <t>0.961 (0.797)</t>
  </si>
  <si>
    <t>0.963 (0.913)</t>
  </si>
  <si>
    <t>0.965 (0.906)</t>
  </si>
  <si>
    <t>0.965 (0.804)</t>
  </si>
  <si>
    <t>0.960 (0.674)</t>
  </si>
  <si>
    <t>0.962 (0.899)</t>
  </si>
  <si>
    <t>0.964 (0.837)</t>
  </si>
  <si>
    <t>0.961 (0.897)</t>
  </si>
  <si>
    <t>0.962 (0.861)</t>
  </si>
  <si>
    <t>0.958 (0.928)</t>
  </si>
  <si>
    <t>0.964 (0.915)</t>
  </si>
  <si>
    <t>0.966 (0.926)</t>
  </si>
  <si>
    <t>0.964 (0.834)</t>
  </si>
  <si>
    <t>0.957 (0.764)</t>
  </si>
  <si>
    <t>0.964 (0.917)</t>
  </si>
  <si>
    <t>0.963 (0.809)</t>
  </si>
  <si>
    <t>0.967 (0.922)</t>
  </si>
  <si>
    <t>0.961 (0.804)</t>
  </si>
  <si>
    <t>0.965 (0.868)</t>
  </si>
  <si>
    <t>0.964 (0.877)</t>
  </si>
  <si>
    <t>0.963 (0.780)</t>
  </si>
  <si>
    <t>0.963 (0.779)</t>
  </si>
  <si>
    <t>0.965 (0.739)</t>
  </si>
  <si>
    <t>0.960 (0.832)</t>
  </si>
  <si>
    <t>0.955 (0.832)</t>
  </si>
  <si>
    <t>0.963 (0.907)</t>
  </si>
  <si>
    <t>0.966 (0.881)</t>
  </si>
  <si>
    <t>0.962 (0.774)</t>
  </si>
  <si>
    <t>0.960 (0.842)</t>
  </si>
  <si>
    <t>0.967 (0.910)</t>
  </si>
  <si>
    <t>0.968 (0.763)</t>
  </si>
  <si>
    <t>0.966 (0.936)</t>
  </si>
  <si>
    <t>0.953 (0.820)</t>
  </si>
  <si>
    <t>0.964 (0.912)</t>
  </si>
  <si>
    <t>0.962 (0.915)</t>
  </si>
  <si>
    <t>0.964 (0.857)</t>
  </si>
  <si>
    <t>0.964 (0.756)</t>
  </si>
  <si>
    <t>0.962 (0.779)</t>
  </si>
  <si>
    <t>0.964 (0.693)</t>
  </si>
  <si>
    <t>DSIpoised_DMSO</t>
  </si>
  <si>
    <t>York 3D</t>
  </si>
  <si>
    <t>Newcastle FragLite</t>
  </si>
  <si>
    <t>G_1002176</t>
  </si>
  <si>
    <t>G_1002175</t>
  </si>
  <si>
    <t>5S18</t>
  </si>
  <si>
    <t>5S1A</t>
  </si>
  <si>
    <t>5S1C</t>
  </si>
  <si>
    <t>5S1E</t>
  </si>
  <si>
    <t>5S1G</t>
  </si>
  <si>
    <t>5S1I</t>
  </si>
  <si>
    <t>5S1K</t>
  </si>
  <si>
    <t>5S1M</t>
  </si>
  <si>
    <t>5S1O</t>
  </si>
  <si>
    <t>5S1Q</t>
  </si>
  <si>
    <t>5S1S</t>
  </si>
  <si>
    <t>5S1U</t>
  </si>
  <si>
    <t>5S1W</t>
  </si>
  <si>
    <t>5S1Y</t>
  </si>
  <si>
    <t>5S20</t>
  </si>
  <si>
    <t>5S22</t>
  </si>
  <si>
    <t>5S24</t>
  </si>
  <si>
    <t>5S26</t>
  </si>
  <si>
    <t>5S27</t>
  </si>
  <si>
    <t>5S28</t>
  </si>
  <si>
    <t>5S29</t>
  </si>
  <si>
    <t>5S2A</t>
  </si>
  <si>
    <t>5S2B</t>
  </si>
  <si>
    <t>5S2C</t>
  </si>
  <si>
    <t>5S2D</t>
  </si>
  <si>
    <t>5S2E</t>
  </si>
  <si>
    <t>5S2F</t>
  </si>
  <si>
    <t>5S2G</t>
  </si>
  <si>
    <t>5S2H</t>
  </si>
  <si>
    <t>5S2I</t>
  </si>
  <si>
    <t>5S2J</t>
  </si>
  <si>
    <t>5S2K</t>
  </si>
  <si>
    <t>5S2L</t>
  </si>
  <si>
    <t>5S2M</t>
  </si>
  <si>
    <t>5S2N</t>
  </si>
  <si>
    <t>5S2O</t>
  </si>
  <si>
    <t>5S2P</t>
  </si>
  <si>
    <t>5S2Q</t>
  </si>
  <si>
    <t>5S2R</t>
  </si>
  <si>
    <t>5S2S</t>
  </si>
  <si>
    <t>5S2T</t>
  </si>
  <si>
    <t>5S2U</t>
  </si>
  <si>
    <t>5S2V</t>
  </si>
  <si>
    <t>5S2W</t>
  </si>
  <si>
    <t>5S2X</t>
  </si>
  <si>
    <t>5S2Y</t>
  </si>
  <si>
    <t>5S2Z</t>
  </si>
  <si>
    <t>5S30</t>
  </si>
  <si>
    <t>5S31</t>
  </si>
  <si>
    <t>5S32</t>
  </si>
  <si>
    <t>5S33</t>
  </si>
  <si>
    <t>5S34</t>
  </si>
  <si>
    <t>5S35</t>
  </si>
  <si>
    <t>5S36</t>
  </si>
  <si>
    <t>5S37</t>
  </si>
  <si>
    <t>5S38</t>
  </si>
  <si>
    <t>5S39</t>
  </si>
  <si>
    <t>5S3A</t>
  </si>
  <si>
    <t>5S3B</t>
  </si>
  <si>
    <t>5S3C</t>
  </si>
  <si>
    <t>5S3D</t>
  </si>
  <si>
    <t>5S3E</t>
  </si>
  <si>
    <t>5S3F</t>
  </si>
  <si>
    <t>5S3G</t>
  </si>
  <si>
    <t>5S3H</t>
  </si>
  <si>
    <t>5S3I</t>
  </si>
  <si>
    <t>5S3J</t>
  </si>
  <si>
    <t>5S3K</t>
  </si>
  <si>
    <t>5S3L</t>
  </si>
  <si>
    <t>5S3M</t>
  </si>
  <si>
    <t>5S3N</t>
  </si>
  <si>
    <t>5S3O</t>
  </si>
  <si>
    <t>5S3P</t>
  </si>
  <si>
    <t>5S3Q</t>
  </si>
  <si>
    <t>5S3R</t>
  </si>
  <si>
    <t>5S3S</t>
  </si>
  <si>
    <t>5S3T</t>
  </si>
  <si>
    <t>5S3U</t>
  </si>
  <si>
    <t>5S3V</t>
  </si>
  <si>
    <t>5S3W</t>
  </si>
  <si>
    <t>5S3X</t>
  </si>
  <si>
    <t>5S3Y</t>
  </si>
  <si>
    <t>5S3Z</t>
  </si>
  <si>
    <t>5S40</t>
  </si>
  <si>
    <t>5S41</t>
  </si>
  <si>
    <t>5S42</t>
  </si>
  <si>
    <t>5S43</t>
  </si>
  <si>
    <t>5S44</t>
  </si>
  <si>
    <t>5S45</t>
  </si>
  <si>
    <t>5S46</t>
  </si>
  <si>
    <t>5S47</t>
  </si>
  <si>
    <t>5S48</t>
  </si>
  <si>
    <t>5S49</t>
  </si>
  <si>
    <t>5S4A</t>
  </si>
  <si>
    <t>5S4B</t>
  </si>
  <si>
    <t>5S4C</t>
  </si>
  <si>
    <t>5S4D</t>
  </si>
  <si>
    <t>5S4E</t>
  </si>
  <si>
    <t>5S4F</t>
  </si>
  <si>
    <t>5S4G</t>
  </si>
  <si>
    <t>5S4H</t>
  </si>
  <si>
    <t>5S4I</t>
  </si>
  <si>
    <t>5S4J</t>
  </si>
  <si>
    <t>5S4K</t>
  </si>
  <si>
    <t>EN300-321461</t>
  </si>
  <si>
    <t>EN300-43406</t>
  </si>
  <si>
    <t>Z3034471507</t>
  </si>
  <si>
    <t>AB-601_30915014</t>
  </si>
  <si>
    <t>EN300-108952</t>
  </si>
  <si>
    <t>EN300-301084</t>
  </si>
  <si>
    <t>EN300-105873</t>
  </si>
  <si>
    <t>STK497968</t>
  </si>
  <si>
    <t>STL414928</t>
  </si>
  <si>
    <t>EN300-17035</t>
  </si>
  <si>
    <t>Z1613477500</t>
  </si>
  <si>
    <t>EN300-52144</t>
  </si>
  <si>
    <t>Z838838708</t>
  </si>
  <si>
    <t>STK346965</t>
  </si>
  <si>
    <t>PB1827975385</t>
  </si>
  <si>
    <t>Z145120524</t>
  </si>
  <si>
    <t>EN300-697611</t>
  </si>
  <si>
    <t>Z605596346</t>
  </si>
  <si>
    <t>Z1262398530</t>
  </si>
  <si>
    <t>Z409974522</t>
  </si>
  <si>
    <t>Z199959602</t>
  </si>
  <si>
    <t>Z1263529624</t>
  </si>
  <si>
    <t>Z373769142</t>
  </si>
  <si>
    <t>Z45612755</t>
  </si>
  <si>
    <t>Z369936976</t>
  </si>
  <si>
    <t>Z1152242726</t>
  </si>
  <si>
    <t>Z44592329</t>
  </si>
  <si>
    <t>Z321318226</t>
  </si>
  <si>
    <t>Z2856434920</t>
  </si>
  <si>
    <t>Z57299529</t>
  </si>
  <si>
    <t>Z509756472</t>
  </si>
  <si>
    <t>Z445856640</t>
  </si>
  <si>
    <t>Z2234920345</t>
  </si>
  <si>
    <t>Z56827661</t>
  </si>
  <si>
    <t>Z1787627869</t>
  </si>
  <si>
    <t>Z645232558</t>
  </si>
  <si>
    <t>Z927746322</t>
  </si>
  <si>
    <t>Z26781952</t>
  </si>
  <si>
    <t>Z57292369</t>
  </si>
  <si>
    <t>Z2856434894</t>
  </si>
  <si>
    <t>Z26781964</t>
  </si>
  <si>
    <t>Z85956652</t>
  </si>
  <si>
    <t>Z1186029914</t>
  </si>
  <si>
    <t>Z1407672867</t>
  </si>
  <si>
    <t>Z1139246057</t>
  </si>
  <si>
    <t>Z19727416</t>
  </si>
  <si>
    <t>Z126932614</t>
  </si>
  <si>
    <t>Z65532537</t>
  </si>
  <si>
    <t>Z1741959530</t>
  </si>
  <si>
    <t>Z26781943</t>
  </si>
  <si>
    <t>Z906021418</t>
  </si>
  <si>
    <t>Z2856434941</t>
  </si>
  <si>
    <t>Z68404778</t>
  </si>
  <si>
    <t>Z2856434938</t>
  </si>
  <si>
    <t>Z1954800564</t>
  </si>
  <si>
    <t>Z1745658474</t>
  </si>
  <si>
    <t>Z165170770</t>
  </si>
  <si>
    <t>Z1562205518</t>
  </si>
  <si>
    <t>Z1741966151</t>
  </si>
  <si>
    <t>Z2856434937</t>
  </si>
  <si>
    <t>Z30820160</t>
  </si>
  <si>
    <t>Z274553586</t>
  </si>
  <si>
    <t>Z57446103</t>
  </si>
  <si>
    <t>Z384468096</t>
  </si>
  <si>
    <t>Z2856434892</t>
  </si>
  <si>
    <t>Z50145861</t>
  </si>
  <si>
    <t>Z1324853681</t>
  </si>
  <si>
    <t>Z219104216</t>
  </si>
  <si>
    <t>Z54628578</t>
  </si>
  <si>
    <t>Z45656995</t>
  </si>
  <si>
    <t>Z287484230</t>
  </si>
  <si>
    <t>Z102768020</t>
  </si>
  <si>
    <t>Z1238477790</t>
  </si>
  <si>
    <t>POB0013</t>
  </si>
  <si>
    <t>POB0014</t>
  </si>
  <si>
    <t>POB0103</t>
  </si>
  <si>
    <t>POB0128</t>
  </si>
  <si>
    <t>POB0041</t>
  </si>
  <si>
    <t>POB0120</t>
  </si>
  <si>
    <t>POB0135</t>
  </si>
  <si>
    <t>POB0136</t>
  </si>
  <si>
    <t>POB0012</t>
  </si>
  <si>
    <t>POB0140</t>
  </si>
  <si>
    <t>NCL-00023824</t>
  </si>
  <si>
    <t>NCL-00023825</t>
  </si>
  <si>
    <t>NCL-00023833</t>
  </si>
  <si>
    <t>NCL-00024661</t>
  </si>
  <si>
    <t>NCL-00024890</t>
  </si>
  <si>
    <t>NCL-00024773</t>
  </si>
  <si>
    <t>Z57131035</t>
  </si>
  <si>
    <t>Z940713508</t>
  </si>
  <si>
    <t>Z1741982125</t>
  </si>
  <si>
    <t>Z56866006</t>
  </si>
  <si>
    <t>Z955123498</t>
  </si>
  <si>
    <t>Z3219959731</t>
  </si>
  <si>
    <t>Z1954800348</t>
  </si>
  <si>
    <t>Z1741982441</t>
  </si>
  <si>
    <t>Z2301685688</t>
  </si>
  <si>
    <t>SF003</t>
  </si>
  <si>
    <t>SF005</t>
  </si>
  <si>
    <t>SF048</t>
  </si>
  <si>
    <t>SF051</t>
  </si>
  <si>
    <t>SF054</t>
  </si>
  <si>
    <t>FMOOA000509a</t>
  </si>
  <si>
    <t>DLS-EU0034</t>
  </si>
  <si>
    <t>DLS-EU0046</t>
  </si>
  <si>
    <t>DLS-EU0056</t>
  </si>
  <si>
    <t>DLS-EU0087</t>
  </si>
  <si>
    <t>DLS-EU0123</t>
  </si>
  <si>
    <t>DLS-EU0144</t>
  </si>
  <si>
    <t>DLS-EU0172</t>
  </si>
  <si>
    <t>DLS-EU0238</t>
  </si>
  <si>
    <t>DLS-EU0241</t>
  </si>
  <si>
    <t>DLS-EU0291</t>
  </si>
  <si>
    <t>DLS-EU0293</t>
  </si>
  <si>
    <t>DLS-EU0342</t>
  </si>
  <si>
    <t>DLS-EU0424</t>
  </si>
  <si>
    <t>DLS-EU0481</t>
  </si>
  <si>
    <t>DLS-EU0526</t>
  </si>
  <si>
    <t>DLS-EU0569</t>
  </si>
  <si>
    <t>DLS-EU0704</t>
  </si>
  <si>
    <t>DLS-EU0716</t>
  </si>
  <si>
    <t>DLS-EU0744</t>
  </si>
  <si>
    <t>DLS-EU0815</t>
  </si>
  <si>
    <t>DLS-EU0844</t>
  </si>
  <si>
    <t>DLS-EU0860</t>
  </si>
  <si>
    <t>DLS-EU0906</t>
  </si>
  <si>
    <t>DLS-EU0960</t>
  </si>
  <si>
    <t>DLS-X0091</t>
  </si>
  <si>
    <t>DLS-X0104</t>
  </si>
  <si>
    <t>DLS-X0128</t>
  </si>
  <si>
    <t>DLS-X0142</t>
  </si>
  <si>
    <t>DLS-X0158</t>
  </si>
  <si>
    <t>DLS-X0159</t>
  </si>
  <si>
    <t>DLS-X0173</t>
  </si>
  <si>
    <t>DLS-X0216</t>
  </si>
  <si>
    <t>DLS-X0228</t>
  </si>
  <si>
    <t>DLS-X0253</t>
  </si>
  <si>
    <t>DLS-X0259</t>
  </si>
  <si>
    <t>DLS-X0282</t>
  </si>
  <si>
    <t>DLS-X0290</t>
  </si>
  <si>
    <t>DLS-X0299</t>
  </si>
  <si>
    <t>DLS-X0301</t>
  </si>
  <si>
    <t>DLS-X0334</t>
  </si>
  <si>
    <t>DLS-X0371</t>
  </si>
  <si>
    <t>DLS-X0380</t>
  </si>
  <si>
    <t>DLS-X0417</t>
  </si>
  <si>
    <t>DLS-X0421</t>
  </si>
  <si>
    <t>DLS-X0423</t>
  </si>
  <si>
    <t>DLS-X0436</t>
  </si>
  <si>
    <t>DLS-X0438</t>
  </si>
  <si>
    <t>DLS-X0465</t>
  </si>
  <si>
    <t>DLS-X0469</t>
  </si>
  <si>
    <t>DLS-X0471</t>
  </si>
  <si>
    <t>DLS-X0496</t>
  </si>
  <si>
    <t>DLS-X0516</t>
  </si>
  <si>
    <t>DLS-X0524</t>
  </si>
  <si>
    <t>DLS-X0548</t>
  </si>
  <si>
    <t>DLS-X0574</t>
  </si>
  <si>
    <t>DLS-X0587</t>
  </si>
  <si>
    <t>DLS-X0591</t>
  </si>
  <si>
    <t>DLS-X0592</t>
  </si>
  <si>
    <t>DLS-X0598</t>
  </si>
  <si>
    <t>DLS-X0600</t>
  </si>
  <si>
    <t>DLS-X0626</t>
  </si>
  <si>
    <t>DLS-X0628</t>
  </si>
  <si>
    <t>DLS-X0631</t>
  </si>
  <si>
    <t>DLS-X0655</t>
  </si>
  <si>
    <t>DLS-X0662</t>
  </si>
  <si>
    <t>DLS-X0676</t>
  </si>
  <si>
    <t>DLS-X0681</t>
  </si>
  <si>
    <t>DLS-X0685</t>
  </si>
  <si>
    <t>DLS-X0689</t>
  </si>
  <si>
    <t>DLS-X0711</t>
  </si>
  <si>
    <t>DLS-X0722</t>
  </si>
  <si>
    <t>DLS-X0724</t>
  </si>
  <si>
    <t>DLS-X0727</t>
  </si>
  <si>
    <t>DLS-X0729</t>
  </si>
  <si>
    <t>DLS-X0737</t>
  </si>
  <si>
    <t>DLS-X0742</t>
  </si>
  <si>
    <t>DLS-X0766</t>
  </si>
  <si>
    <t>DLS-X0792</t>
  </si>
  <si>
    <t>DLS-X0796</t>
  </si>
  <si>
    <t>DLS-X0797</t>
  </si>
  <si>
    <t>DLS-X0805</t>
  </si>
  <si>
    <t>DLS-X0814</t>
  </si>
  <si>
    <t>DLS-X0822</t>
  </si>
  <si>
    <t>DLS-X0837</t>
  </si>
  <si>
    <t>DLS-X0844</t>
  </si>
  <si>
    <t>DLS-X0849</t>
  </si>
  <si>
    <t>DLS-X0852</t>
  </si>
  <si>
    <t>DLS-X0855</t>
  </si>
  <si>
    <t>DLS-X0864</t>
  </si>
  <si>
    <t>DLS-X0895</t>
  </si>
  <si>
    <t>DLS-X0900</t>
  </si>
  <si>
    <t>DLS-X0905</t>
  </si>
  <si>
    <t>DLS-X0910</t>
  </si>
  <si>
    <t>DLS-X0918</t>
  </si>
  <si>
    <t>DLS-X0926</t>
  </si>
  <si>
    <t>DLS-X0933</t>
  </si>
  <si>
    <t>DLS-X0950</t>
  </si>
  <si>
    <t>DLS-X0962</t>
  </si>
  <si>
    <t>DLS-X0967</t>
  </si>
  <si>
    <t>DLS-X0969</t>
  </si>
  <si>
    <t>DLS-X1012</t>
  </si>
  <si>
    <t>DLS-X1015</t>
  </si>
  <si>
    <t>DLS-X1018</t>
  </si>
  <si>
    <t>DLS-X1092</t>
  </si>
  <si>
    <t>62.4  - 1.13 (1.17  - 1.13)</t>
  </si>
  <si>
    <t>62.45  - 1.079 (1.118  - 1.079)</t>
  </si>
  <si>
    <t>88.36  - 1.174 (1.216  - 1.174)</t>
  </si>
  <si>
    <t>88.21  - 1.175 (1.217  - 1.175)</t>
  </si>
  <si>
    <t>88.38  - 1.114 (1.154  - 1.114)</t>
  </si>
  <si>
    <t>88.28  - 1.069 (1.107  - 1.069)</t>
  </si>
  <si>
    <t>88.24  - 1.076 (1.115  - 1.076)</t>
  </si>
  <si>
    <t>88.45  - 1.184 (1.226  - 1.184)</t>
  </si>
  <si>
    <t>88.27  - 1.09 (1.129  - 1.09)</t>
  </si>
  <si>
    <t>88.22  - 1.129 (1.169  - 1.129)</t>
  </si>
  <si>
    <t>62.47  - 1.16 (1.202  - 1.16)</t>
  </si>
  <si>
    <t>62.43  - 1.08 (1.119  - 1.08)</t>
  </si>
  <si>
    <t>62.45  - 1.135 (1.176  - 1.135)</t>
  </si>
  <si>
    <t>88.49  - 1.092 (1.131  - 1.092)</t>
  </si>
  <si>
    <t>62.37  - 1.037 (1.074  - 1.037)</t>
  </si>
  <si>
    <t>62.44  - 1.176 (1.218  - 1.176)</t>
  </si>
  <si>
    <t>88.3  - 1.146 (1.186  - 1.146)</t>
  </si>
  <si>
    <t>88.24  - 1.125 (1.166  - 1.125)</t>
  </si>
  <si>
    <t>88.38  - 1.126 (1.167  - 1.126)</t>
  </si>
  <si>
    <t>62.42  - 1.092 (1.131  - 1.092)</t>
  </si>
  <si>
    <t>88.4  - 1.3 (1.347  - 1.3)</t>
  </si>
  <si>
    <t>62.38  - 1.08 (1.119  - 1.08)</t>
  </si>
  <si>
    <t>87.92  - 1.11 (1.15  - 1.11)</t>
  </si>
  <si>
    <t>88.25  - 1.092 (1.131  - 1.092)</t>
  </si>
  <si>
    <t>88.26  - 1.06 (1.098  - 1.06)</t>
  </si>
  <si>
    <t>44.04  - 1.116 (1.156  - 1.116)</t>
  </si>
  <si>
    <t>62.21  - 1.186 (1.229  - 1.186)</t>
  </si>
  <si>
    <t>44.19  - 1.19 (1.233  - 1.19)</t>
  </si>
  <si>
    <t>62.31  - 1.068 (1.106  - 1.068)</t>
  </si>
  <si>
    <t>88.15  - 1.085 (1.124  - 1.085)</t>
  </si>
  <si>
    <t>88.15  - 1.111 (1.151  - 1.111)</t>
  </si>
  <si>
    <t>62.49  - 1.097 (1.137  - 1.097)</t>
  </si>
  <si>
    <t>62.3  - 1.085 (1.124  - 1.085)</t>
  </si>
  <si>
    <t>62.33  - 1.139 (1.18  - 1.139)</t>
  </si>
  <si>
    <t>62.19  - 1.133 (1.174  - 1.133)</t>
  </si>
  <si>
    <t>62.44  - 1.091 (1.13  - 1.091)</t>
  </si>
  <si>
    <t>62.38  - 1.033 (1.07  - 1.033)</t>
  </si>
  <si>
    <t>62.41  - 1.28 (1.326  - 1.28)</t>
  </si>
  <si>
    <t>62.27  - 1.132 (1.172  - 1.132)</t>
  </si>
  <si>
    <t>62.41  - 1.104 (1.144  - 1.104)</t>
  </si>
  <si>
    <t>62.33  - 1.108 (1.148  - 1.108)</t>
  </si>
  <si>
    <t>62.29  - 1.034 (1.071  - 1.034)</t>
  </si>
  <si>
    <t>62.37  - 1.096 (1.135  - 1.096)</t>
  </si>
  <si>
    <t>62.29  - 1.084 (1.123  - 1.084)</t>
  </si>
  <si>
    <t>88.19  - 1.06 (1.098  - 1.06)</t>
  </si>
  <si>
    <t>88.1  - 1.052 (1.09  - 1.052)</t>
  </si>
  <si>
    <t>44.09  - 1.07 (1.109  - 1.07)</t>
  </si>
  <si>
    <t>62.48  - 1.19 (1.233  - 1.19)</t>
  </si>
  <si>
    <t>39.46  - 1.145 (1.186  - 1.145)</t>
  </si>
  <si>
    <t>88.12  - 1.166 (1.208  - 1.166)</t>
  </si>
  <si>
    <t>62.4  - 1.06 (1.098  - 1.06)</t>
  </si>
  <si>
    <t>62.4  - 1.057 (1.095  - 1.057)</t>
  </si>
  <si>
    <t>88.15  - 1.099 (1.138  - 1.099)</t>
  </si>
  <si>
    <t>44.08  - 1.058 (1.096  - 1.058)</t>
  </si>
  <si>
    <t>62.33  - 1.22 (1.264  - 1.22)</t>
  </si>
  <si>
    <t>62.44  - 1.074 (1.113  - 1.074)</t>
  </si>
  <si>
    <t>62.41  - 1.164 (1.206  - 1.164)</t>
  </si>
  <si>
    <t>62.44  - 1.18 (1.222  - 1.18)</t>
  </si>
  <si>
    <t>62.32  - 1.091 (1.13  - 1.091)</t>
  </si>
  <si>
    <t>62.25  - 1.185 (1.228  - 1.185)</t>
  </si>
  <si>
    <t>62.25  - 1.187 (1.23  - 1.187)</t>
  </si>
  <si>
    <t>88.16  - 1.05 (1.088  - 1.05)</t>
  </si>
  <si>
    <t>44.1  - 1.16 (1.201  - 1.16)</t>
  </si>
  <si>
    <t>62.45  - 1.14 (1.181  - 1.14)</t>
  </si>
  <si>
    <t>62.36  - 1.192 (1.234  - 1.192)</t>
  </si>
  <si>
    <t>88.21  - 1.17 (1.212  - 1.17)</t>
  </si>
  <si>
    <t>62.27  - 1.09 (1.129  - 1.09)</t>
  </si>
  <si>
    <t>62.37  - 1.17 (1.212  - 1.17)</t>
  </si>
  <si>
    <t>62.32  - 1.118 (1.158  - 1.118)</t>
  </si>
  <si>
    <t>88.79  - 1.26 (1.305  - 1.26)</t>
  </si>
  <si>
    <t>88.31  - 1.188 (1.23  - 1.188)</t>
  </si>
  <si>
    <t>88.33  - 1.188 (1.23  - 1.188)</t>
  </si>
  <si>
    <t>62.43  - 1.1 (1.139  - 1.1)</t>
  </si>
  <si>
    <t>62.41  - 1.09 (1.129  - 1.09)</t>
  </si>
  <si>
    <t>88.27  - 1.038 (1.076  - 1.038)</t>
  </si>
  <si>
    <t>62.38  - 1.036 (1.073  - 1.036)</t>
  </si>
  <si>
    <t>62.11  - 1.085 (1.124  - 1.085)</t>
  </si>
  <si>
    <t>44.06  - 1.078 (1.117  - 1.078)</t>
  </si>
  <si>
    <t>62.33  - 1.119 (1.159  - 1.119)</t>
  </si>
  <si>
    <t>87.93  - 0.987 (1.023  - 0.987)</t>
  </si>
  <si>
    <t>39.43  - 1.13 (1.17  - 1.13)</t>
  </si>
  <si>
    <t>88.3  - 1.113 (1.153  - 1.113)</t>
  </si>
  <si>
    <t>44.05  - 1.31 (1.357  - 1.31)</t>
  </si>
  <si>
    <t>88.23  - 1.187 (1.23  - 1.187)</t>
  </si>
  <si>
    <t>62.43  - 1.186 (1.229  - 1.186)</t>
  </si>
  <si>
    <t>88.32  - 1.09 (1.129  - 1.09)</t>
  </si>
  <si>
    <t>39.44  - 1.11 (1.15  - 1.11)</t>
  </si>
  <si>
    <t>44.13  - 1.06 (1.098  - 1.06)</t>
  </si>
  <si>
    <t>44.07  - 1.16 (1.202  - 1.16)</t>
  </si>
  <si>
    <t>88.36  - 1.191 (1.234  - 1.191)</t>
  </si>
  <si>
    <t>44.1  - 1.09 (1.129  - 1.09)</t>
  </si>
  <si>
    <t>44.05  - 1.074 (1.112  - 1.074)</t>
  </si>
  <si>
    <t>62.19  - 1.03 (1.067  - 1.03)</t>
  </si>
  <si>
    <t>62.39  - 1.083 (1.121  - 1.083)</t>
  </si>
  <si>
    <t>62.22  - 1.186 (1.229  - 1.186)</t>
  </si>
  <si>
    <t>62.24  - 1.01 (1.046  - 1.01)</t>
  </si>
  <si>
    <t>62.45  - 1.22 (1.264  - 1.22)</t>
  </si>
  <si>
    <t>62.21  - 1.07 (1.108  - 1.07)</t>
  </si>
  <si>
    <t>88.26  - 1.131 (1.172  - 1.131)</t>
  </si>
  <si>
    <t>62.42  - 1.172 (1.214  - 1.172)</t>
  </si>
  <si>
    <t>44.1  - 1.175 (1.217  - 1.175)</t>
  </si>
  <si>
    <t>44.07  - 1.131 (1.172  - 1.131)</t>
  </si>
  <si>
    <t>88.13  - 1.133 (1.173  - 1.133)</t>
  </si>
  <si>
    <t>62.37  - 1.076 (1.115  - 1.076)</t>
  </si>
  <si>
    <t>88.2421 88.2421 39.0356 90 90 90</t>
  </si>
  <si>
    <t>88.3222 88.3222 39.0265 90 90 90</t>
  </si>
  <si>
    <t>88.3596 88.3596 39.1532 90 90 90</t>
  </si>
  <si>
    <t>88.2095 88.2095 38.9383 90 90 90</t>
  </si>
  <si>
    <t>88.3753 88.3753 39.2737 90 90 90</t>
  </si>
  <si>
    <t>88.28 88.28 39.1677 90 90 90</t>
  </si>
  <si>
    <t>88.239 88.239 39.0687 90 90 90</t>
  </si>
  <si>
    <t>88.4467 88.4467 39.268 90 90 90</t>
  </si>
  <si>
    <t>88.268 88.268 38.9973 90 90 90</t>
  </si>
  <si>
    <t>88.2197 88.2197 39.0695 90 90 90</t>
  </si>
  <si>
    <t>88.3514 88.3514 39.0076 90 90 90</t>
  </si>
  <si>
    <t>88.2853 88.2853 38.9189 90 90 90</t>
  </si>
  <si>
    <t>88.3153 88.3153 39.0943 90 90 90</t>
  </si>
  <si>
    <t>88.4868 88.4868 39.1528 90 90 90</t>
  </si>
  <si>
    <t>88.2045 88.2045 39.062 90 90 90</t>
  </si>
  <si>
    <t>88.31 88.31 38.9849 90 90 90</t>
  </si>
  <si>
    <t>88.2952 88.2952 38.9745 90 90 90</t>
  </si>
  <si>
    <t>88.239 88.239 39.0679 90 90 90</t>
  </si>
  <si>
    <t>88.3772 88.3772 39.0822 90 90 90</t>
  </si>
  <si>
    <t>88.2743 88.2743 39.0633 90 90 90</t>
  </si>
  <si>
    <t>88.405 88.405 39.1765 90 90 90</t>
  </si>
  <si>
    <t>88.2168 88.2168 39.0793 90 90 90</t>
  </si>
  <si>
    <t>87.9181 87.9181 39.0067 90 90 90</t>
  </si>
  <si>
    <t>88.2453 88.2453 38.8662 90 90 90</t>
  </si>
  <si>
    <t>88.2555 88.2555 39.2537 90 90 90</t>
  </si>
  <si>
    <t>88.0806 88.0806 38.962 90 90 90</t>
  </si>
  <si>
    <t>87.9746 87.9746 38.8824 90 90 90</t>
  </si>
  <si>
    <t>88.38 88.38 38.93 90 90 90</t>
  </si>
  <si>
    <t>88.118 88.118 39.057 90 90 90</t>
  </si>
  <si>
    <t>88.149 88.149 39.021 90 90 90</t>
  </si>
  <si>
    <t>88.1496 88.1496 39.0229 90 90 90</t>
  </si>
  <si>
    <t>88.3718 88.3718 39.205 90 90 90</t>
  </si>
  <si>
    <t>88.105 88.105 39.214 90 90 90</t>
  </si>
  <si>
    <t>88.1453 88.1453 39.3026 90 90 90</t>
  </si>
  <si>
    <t>87.9538 87.9538 39.1715 90 90 90</t>
  </si>
  <si>
    <t>88.301 88.301 39.201 90 90 90</t>
  </si>
  <si>
    <t>88.2221 88.2221 39.2969 90 90 90</t>
  </si>
  <si>
    <t>88.26 88.26 39.06 90 90 90</t>
  </si>
  <si>
    <t>88.0645 88.0645 39.1334 90 90 90</t>
  </si>
  <si>
    <t>88.2623 88.2623 39.2589 90 90 90</t>
  </si>
  <si>
    <t>88.143 88.143 38.746 90 90 90</t>
  </si>
  <si>
    <t>88.0942 88.0942 39.1459 90 90 90</t>
  </si>
  <si>
    <t>88.2031 88.2031 39.0656 90 90 90</t>
  </si>
  <si>
    <t>88.0929 88.0929 39.0158 90 90 90</t>
  </si>
  <si>
    <t>88.1871 88.1871 39.126 90 90 90</t>
  </si>
  <si>
    <t>88.097 88.097 38.9721 90 90 90</t>
  </si>
  <si>
    <t>88.1798 88.1798 38.8304 90 90 90</t>
  </si>
  <si>
    <t>88.3634 88.3634 39.0955 90 90 90</t>
  </si>
  <si>
    <t>88.242 88.242 39.04 90 90 90</t>
  </si>
  <si>
    <t>88.118 88.118 39.078 90 90 90</t>
  </si>
  <si>
    <t>88.2427 88.2427 39.1141 90 90 90</t>
  </si>
  <si>
    <t>88.2441 88.2441 39.1958 90 90 90</t>
  </si>
  <si>
    <t>88.155 88.155 39.154 90 90 90</t>
  </si>
  <si>
    <t>88.15 88.15 39.124 90 90 90</t>
  </si>
  <si>
    <t>88.1543 88.1543 39.1168 90 90 90</t>
  </si>
  <si>
    <t>88.297 88.297 39.0935 90 90 90</t>
  </si>
  <si>
    <t>88.261 88.261 39.0276 90 90 90</t>
  </si>
  <si>
    <t>88.2974 88.2974 39.1087 90 90 90</t>
  </si>
  <si>
    <t>88.1301 88.1301 39.0593 90 90 90</t>
  </si>
  <si>
    <t>88.0327 88.0327 38.7363 90 90 90</t>
  </si>
  <si>
    <t>88.0294 88.0294 38.546 90 90 90</t>
  </si>
  <si>
    <t>88.1647 88.1647 39.0785 90 90 90</t>
  </si>
  <si>
    <t>88.2 88.2 39.06 90 90 90</t>
  </si>
  <si>
    <t>88.3211 88.3211 39.0126 90 90 90</t>
  </si>
  <si>
    <t>88.19 88.19 39.3829 90 90 90</t>
  </si>
  <si>
    <t>88.2077 88.2077 39.1482 90 90 90</t>
  </si>
  <si>
    <t>88.0629 88.0629 39.245 90 90 90</t>
  </si>
  <si>
    <t>88.2052 88.2052 39.2953 90 90 90</t>
  </si>
  <si>
    <t>88.1302 88.1302 39.2139 90 90 90</t>
  </si>
  <si>
    <t>88.7886 88.7886 39.375 90 90 90</t>
  </si>
  <si>
    <t>88.3087 88.3087 39.0757 90 90 90</t>
  </si>
  <si>
    <t>88.328 88.328 39.142 90 90 90</t>
  </si>
  <si>
    <t>88.294 88.294 39.244 90 90 90</t>
  </si>
  <si>
    <t>88.2637 88.2637 39.2282 90 90 90</t>
  </si>
  <si>
    <t>88.2651 88.2651 39.0802 90 90 90</t>
  </si>
  <si>
    <t>88.2251 88.2251 39.2803 90 90 90</t>
  </si>
  <si>
    <t>87.8323 87.8323 39.2755 90 90 90</t>
  </si>
  <si>
    <t>88.127 88.127 39.152 90 90 90</t>
  </si>
  <si>
    <t>88.153 88.153 38.9298 90 90 90</t>
  </si>
  <si>
    <t>87.9289 87.9289 39.3747 90 90 90</t>
  </si>
  <si>
    <t>88.16 88.16 39.37 90 90 90</t>
  </si>
  <si>
    <t>88.2984 88.2984 38.9492 90 90 90</t>
  </si>
  <si>
    <t>88.097 88.097 39.3999 90 90 90</t>
  </si>
  <si>
    <t>88.2257 88.2257 39.1807 90 90 90</t>
  </si>
  <si>
    <t>88.2901 88.2901 39.1517 90 90 90</t>
  </si>
  <si>
    <t>88.3181 88.3181 39.0843 90 90 90</t>
  </si>
  <si>
    <t>88.19 88.19 39.366 90 90 90</t>
  </si>
  <si>
    <t>88.2654 88.2654 39.1463 90 90 90</t>
  </si>
  <si>
    <t>88.1404 88.1404 38.8976 90 90 90</t>
  </si>
  <si>
    <t>88.3587 88.3587 39.2538 90 90 90</t>
  </si>
  <si>
    <t>88.1932 88.1932 39.142 90 90 90</t>
  </si>
  <si>
    <t>88.107 88.107 38.772 90 90 90</t>
  </si>
  <si>
    <t>87.9479 87.9479 38.5976 90 90 90</t>
  </si>
  <si>
    <t>88.2317 88.2317 38.7768 90 90 90</t>
  </si>
  <si>
    <t>87.9927 87.9927 38.568 90 90 90</t>
  </si>
  <si>
    <t>88.0217 88.0217 38.9484 90 90 90</t>
  </si>
  <si>
    <t>88.313 88.313 39.1902 90 90 90</t>
  </si>
  <si>
    <t>87.975 87.975 39.141 90 90 90</t>
  </si>
  <si>
    <t>88.2573 88.2573 38.9 90 90 90</t>
  </si>
  <si>
    <t>88.2741 88.2741 38.7514 90 90 90</t>
  </si>
  <si>
    <t>88.191 88.191 39.212 90 90 90</t>
  </si>
  <si>
    <t>88.134 88.134 39.167 90 90 90</t>
  </si>
  <si>
    <t>88.1293 88.1293 38.9569 90 90 90</t>
  </si>
  <si>
    <t>88.199 88.199 39.147 90 90 90</t>
  </si>
  <si>
    <t>651546 (42928)</t>
  </si>
  <si>
    <t>597305 (46765)</t>
  </si>
  <si>
    <t>591484 (46100)</t>
  </si>
  <si>
    <t>666447 (43508)</t>
  </si>
  <si>
    <t>720794 (41477)</t>
  </si>
  <si>
    <t>584253 (46219)</t>
  </si>
  <si>
    <t>689261 (43079)</t>
  </si>
  <si>
    <t>642297 (41744)</t>
  </si>
  <si>
    <t>602542 (43864)</t>
  </si>
  <si>
    <t>694955 (42444)</t>
  </si>
  <si>
    <t>638587 (42177)</t>
  </si>
  <si>
    <t>685531 (42713)</t>
  </si>
  <si>
    <t>742151 (27529)</t>
  </si>
  <si>
    <t>589137 (45824)</t>
  </si>
  <si>
    <t>618353 (42398)</t>
  </si>
  <si>
    <t>650041 (42644)</t>
  </si>
  <si>
    <t>639982 (41330)</t>
  </si>
  <si>
    <t>690126 (43368)</t>
  </si>
  <si>
    <t>453048 (43317)</t>
  </si>
  <si>
    <t>710534 (43851)</t>
  </si>
  <si>
    <t>664569 (43415)</t>
  </si>
  <si>
    <t>675197 (42299)</t>
  </si>
  <si>
    <t>749609 (40171)</t>
  </si>
  <si>
    <t>678936 (44656)</t>
  </si>
  <si>
    <t>569479 (44465)</t>
  </si>
  <si>
    <t>609565 (49263)</t>
  </si>
  <si>
    <t>734278 (42485)</t>
  </si>
  <si>
    <t>709571 (43785)</t>
  </si>
  <si>
    <t>668154 (42610)</t>
  </si>
  <si>
    <t>711722 (43986)</t>
  </si>
  <si>
    <t>640096 (42675)</t>
  </si>
  <si>
    <t>637981 (41184)</t>
  </si>
  <si>
    <t>716528 (44730)</t>
  </si>
  <si>
    <t>764261 (26396)</t>
  </si>
  <si>
    <t>510328 (48998)</t>
  </si>
  <si>
    <t>649915 (42294)</t>
  </si>
  <si>
    <t>683098 (43057)</t>
  </si>
  <si>
    <t>680406 (44046)</t>
  </si>
  <si>
    <t>757621 (27027)</t>
  </si>
  <si>
    <t>702017 (44602)</t>
  </si>
  <si>
    <t>696734 (42375)</t>
  </si>
  <si>
    <t>745606 (39658)</t>
  </si>
  <si>
    <t>745197 (35989)</t>
  </si>
  <si>
    <t>715162 (41073)</t>
  </si>
  <si>
    <t>569672 (44393)</t>
  </si>
  <si>
    <t>179007 (13365)</t>
  </si>
  <si>
    <t>635788 (50326)</t>
  </si>
  <si>
    <t>736190 (38380)</t>
  </si>
  <si>
    <t>742713 (37710)</t>
  </si>
  <si>
    <t>703454 (45013)</t>
  </si>
  <si>
    <t>254293 (19555)</t>
  </si>
  <si>
    <t>563672 (46653)</t>
  </si>
  <si>
    <t>725499 (43370)</t>
  </si>
  <si>
    <t>613181 (46138)</t>
  </si>
  <si>
    <t>603569 (47662)</t>
  </si>
  <si>
    <t>688254 (42439)</t>
  </si>
  <si>
    <t>575098 (45217)</t>
  </si>
  <si>
    <t>562010 (44450)</t>
  </si>
  <si>
    <t>752440 (35627)</t>
  </si>
  <si>
    <t>639097 (48973)</t>
  </si>
  <si>
    <t>637708 (42419)</t>
  </si>
  <si>
    <t>578253 (45642)</t>
  </si>
  <si>
    <t>615404 (47691)</t>
  </si>
  <si>
    <t>697013 (43134)</t>
  </si>
  <si>
    <t>620737 (48006)</t>
  </si>
  <si>
    <t>512126 (43227)</t>
  </si>
  <si>
    <t>576688 (45132)</t>
  </si>
  <si>
    <t>189308 (15478)</t>
  </si>
  <si>
    <t>699676 (44213)</t>
  </si>
  <si>
    <t>718103 (44873)</t>
  </si>
  <si>
    <t>760292 (29025)</t>
  </si>
  <si>
    <t>752929 (26983)</t>
  </si>
  <si>
    <t>692914 (42338)</t>
  </si>
  <si>
    <t>712732 (43142)</t>
  </si>
  <si>
    <t>643959 (40672)</t>
  </si>
  <si>
    <t>767656 (11629)</t>
  </si>
  <si>
    <t>683638 (46586)</t>
  </si>
  <si>
    <t>659854 (41897)</t>
  </si>
  <si>
    <t>474370 (47939)</t>
  </si>
  <si>
    <t>568826 (44451)</t>
  </si>
  <si>
    <t>581755 (45787)</t>
  </si>
  <si>
    <t>695679 (42708)</t>
  </si>
  <si>
    <t>682195 (44118)</t>
  </si>
  <si>
    <t>624480 (46024)</t>
  </si>
  <si>
    <t>571321 (44702)</t>
  </si>
  <si>
    <t>705171 (43707)</t>
  </si>
  <si>
    <t>691559 (39950)</t>
  </si>
  <si>
    <t>748314 (25132)</t>
  </si>
  <si>
    <t>684399 (41281)</t>
  </si>
  <si>
    <t>571315 (45103)</t>
  </si>
  <si>
    <t>560173 (46137)</t>
  </si>
  <si>
    <t>731735 (42832)</t>
  </si>
  <si>
    <t>588807 (45374)</t>
  </si>
  <si>
    <t>177752 (16138)</t>
  </si>
  <si>
    <t>652357 (42317)</t>
  </si>
  <si>
    <t>647443 (42085)</t>
  </si>
  <si>
    <t>246546 (15697)</t>
  </si>
  <si>
    <t>112676 (4755)</t>
  </si>
  <si>
    <t>96702 (3)</t>
  </si>
  <si>
    <t>100709 (220)</t>
  </si>
  <si>
    <t>100065 (395)</t>
  </si>
  <si>
    <t>118387 (87)</t>
  </si>
  <si>
    <t>132753 (870)</t>
  </si>
  <si>
    <t>100193 (5)</t>
  </si>
  <si>
    <t>99077 (239)</t>
  </si>
  <si>
    <t>124666 (38)</t>
  </si>
  <si>
    <t>113072 (66)</t>
  </si>
  <si>
    <t>104127 (314)</t>
  </si>
  <si>
    <t>128590 (800)</t>
  </si>
  <si>
    <t>111493 (31)</t>
  </si>
  <si>
    <t>125263 (278)</t>
  </si>
  <si>
    <t>141573 (1527)</t>
  </si>
  <si>
    <t>100190 (141)</t>
  </si>
  <si>
    <t>108039 (134)</t>
  </si>
  <si>
    <t>114135 (165)</t>
  </si>
  <si>
    <t>113810 (170)</t>
  </si>
  <si>
    <t>124519 (96)</t>
  </si>
  <si>
    <t>74593 (31)</t>
  </si>
  <si>
    <t>128724 (1326)</t>
  </si>
  <si>
    <t>117851 (94)</t>
  </si>
  <si>
    <t>123811 (88)</t>
  </si>
  <si>
    <t>135810 (2088)</t>
  </si>
  <si>
    <t>115891 (71)</t>
  </si>
  <si>
    <t>96535 (342)</t>
  </si>
  <si>
    <t>96610 (9514)</t>
  </si>
  <si>
    <t>132762 (11690)</t>
  </si>
  <si>
    <t>126794 (9177)</t>
  </si>
  <si>
    <t>118044 (121)</t>
  </si>
  <si>
    <t>99092 (23)</t>
  </si>
  <si>
    <t>124616 (10329)</t>
  </si>
  <si>
    <t>110535 (134)</t>
  </si>
  <si>
    <t>111111 (89)</t>
  </si>
  <si>
    <t>125439 (9894)</t>
  </si>
  <si>
    <t>145866 (764)</t>
  </si>
  <si>
    <t>77743 (7693)</t>
  </si>
  <si>
    <t>111858 (89)</t>
  </si>
  <si>
    <t>121377 (757)</t>
  </si>
  <si>
    <t>117112 (9023)</t>
  </si>
  <si>
    <t>144122 (730)</t>
  </si>
  <si>
    <t>123548 (126)</t>
  </si>
  <si>
    <t>126978 (135)</t>
  </si>
  <si>
    <t>135998 (1870)</t>
  </si>
  <si>
    <t>137267 (2175)</t>
  </si>
  <si>
    <t>131355 (757)</t>
  </si>
  <si>
    <t>96841 (151)</t>
  </si>
  <si>
    <t>91845 (7763)</t>
  </si>
  <si>
    <t>100777 (2997)</t>
  </si>
  <si>
    <t>136056 (155)</t>
  </si>
  <si>
    <t>137298 (916)</t>
  </si>
  <si>
    <t>121722 (10047)</t>
  </si>
  <si>
    <t>134419 (11495)</t>
  </si>
  <si>
    <t>89671 (2771)</t>
  </si>
  <si>
    <t>131008 (128)</t>
  </si>
  <si>
    <t>103159 (1218)</t>
  </si>
  <si>
    <t>99281 (1019)</t>
  </si>
  <si>
    <t>123689 (676)</t>
  </si>
  <si>
    <t>96393 (95)</t>
  </si>
  <si>
    <t>95523 (234)</t>
  </si>
  <si>
    <t>138482 (369)</t>
  </si>
  <si>
    <t>103695 (10129)</t>
  </si>
  <si>
    <t>104852 (102)</t>
  </si>
  <si>
    <t>96888 (122)</t>
  </si>
  <si>
    <t>101798 (2355)</t>
  </si>
  <si>
    <t>125374 (59)</t>
  </si>
  <si>
    <t>102170 (3197)</t>
  </si>
  <si>
    <t>94339 (22)</t>
  </si>
  <si>
    <t>83164 (203)</t>
  </si>
  <si>
    <t>97376 (694)</t>
  </si>
  <si>
    <t>95816 (8443)</t>
  </si>
  <si>
    <t>122844 (8166)</t>
  </si>
  <si>
    <t>126033 (2196)</t>
  </si>
  <si>
    <t>143390 (1326)</t>
  </si>
  <si>
    <t>143942 (1548)</t>
  </si>
  <si>
    <t>124321 (101)</t>
  </si>
  <si>
    <t>129308 (12364)</t>
  </si>
  <si>
    <t>115016 (67)</t>
  </si>
  <si>
    <t>156576 (27)</t>
  </si>
  <si>
    <t>113070 (10815)</t>
  </si>
  <si>
    <t>116024 (194)</t>
  </si>
  <si>
    <t>71437 (6977)</t>
  </si>
  <si>
    <t>96941 (116)</t>
  </si>
  <si>
    <t>97915 (155)</t>
  </si>
  <si>
    <t>125131 (31)</t>
  </si>
  <si>
    <t>118706 (9423)</t>
  </si>
  <si>
    <t>114823 (895)</t>
  </si>
  <si>
    <t>103174 (1507)</t>
  </si>
  <si>
    <t>97071 (148)</t>
  </si>
  <si>
    <t>123532 (253)</t>
  </si>
  <si>
    <t>128647 (7641)</t>
  </si>
  <si>
    <t>137619 (2627)</t>
  </si>
  <si>
    <t>126800 (170)</t>
  </si>
  <si>
    <t>95621 (361)</t>
  </si>
  <si>
    <t>136190 (1108)</t>
  </si>
  <si>
    <t>90178 (214)</t>
  </si>
  <si>
    <t>131413 (628)</t>
  </si>
  <si>
    <t>86464 (31)</t>
  </si>
  <si>
    <t>100340 (705)</t>
  </si>
  <si>
    <t>89365 (8113)</t>
  </si>
  <si>
    <t>111963 (7979)</t>
  </si>
  <si>
    <t>111228 (624)</t>
  </si>
  <si>
    <t>124247 (7981)</t>
  </si>
  <si>
    <t>5.8 (3.8)</t>
  </si>
  <si>
    <t>5.9 (4.7)</t>
  </si>
  <si>
    <t>5.9 (4.6)</t>
  </si>
  <si>
    <t>5.6 (3.7)</t>
  </si>
  <si>
    <t>5.4 (3.2)</t>
  </si>
  <si>
    <t>5.5 (3.5)</t>
  </si>
  <si>
    <t>5.7 (3.7)</t>
  </si>
  <si>
    <t>5.8 (4.3)</t>
  </si>
  <si>
    <t>5.4 (3.3)</t>
  </si>
  <si>
    <t>5.7 (3.8)</t>
  </si>
  <si>
    <t>5.5 (3.4)</t>
  </si>
  <si>
    <t>5.2 (2.4)</t>
  </si>
  <si>
    <t>5.7 (4.0)</t>
  </si>
  <si>
    <t>5.5 (3.6)</t>
  </si>
  <si>
    <t>6.1 (5.9)</t>
  </si>
  <si>
    <t>5.5 (3.1)</t>
  </si>
  <si>
    <t>5.9 (3.9)</t>
  </si>
  <si>
    <t>5.5 (3.3)</t>
  </si>
  <si>
    <t>5.6 (3.5)</t>
  </si>
  <si>
    <t>5.8 (3.9)</t>
  </si>
  <si>
    <t>5.7 (3.6)</t>
  </si>
  <si>
    <t>5.2 (2.1)</t>
  </si>
  <si>
    <t>5.6 (3.6)</t>
  </si>
  <si>
    <t>5.3 (2.2)</t>
  </si>
  <si>
    <t>5.5 (3.0)</t>
  </si>
  <si>
    <t>5.4 (2.8)</t>
  </si>
  <si>
    <t>1.9 (1.7)</t>
  </si>
  <si>
    <t>5.4 (2.9)</t>
  </si>
  <si>
    <t>5.9 (4.5)</t>
  </si>
  <si>
    <t>6.1 (4.8)</t>
  </si>
  <si>
    <t>6.0 (4.7)</t>
  </si>
  <si>
    <t>6.0 (4.8)</t>
  </si>
  <si>
    <t>6.1 (4.7)</t>
  </si>
  <si>
    <t>6.2 (5.2)</t>
  </si>
  <si>
    <t>2.0 (1.8)</t>
  </si>
  <si>
    <t>5.2 (2.2)</t>
  </si>
  <si>
    <t>4.9 (1.3)</t>
  </si>
  <si>
    <t>6.0 (4.2)</t>
  </si>
  <si>
    <t>6.6 (6.8)</t>
  </si>
  <si>
    <t>5.4 (2.5)</t>
  </si>
  <si>
    <t>5.1 (1.6)</t>
  </si>
  <si>
    <t>6.2 (5.1)</t>
  </si>
  <si>
    <t>5.6 (3.3)</t>
  </si>
  <si>
    <t>2.0 (2.0)</t>
  </si>
  <si>
    <t>93.36 (42.50)</t>
  </si>
  <si>
    <t>74.68 (0.02)</t>
  </si>
  <si>
    <t>78.03 (2.18)</t>
  </si>
  <si>
    <t>79.01 (3.95)</t>
  </si>
  <si>
    <t>80.89 (0.74)</t>
  </si>
  <si>
    <t>85.47 (6.57)</t>
  </si>
  <si>
    <t>76.77 (0.04)</t>
  </si>
  <si>
    <t>81.53 (2.42)</t>
  </si>
  <si>
    <t>77.89 (0.31)</t>
  </si>
  <si>
    <t>81.77 (0.59)</t>
  </si>
  <si>
    <t>79.86 (3.03)</t>
  </si>
  <si>
    <t>86.07 (6.27)</t>
  </si>
  <si>
    <t>81.65 (0.28)</t>
  </si>
  <si>
    <t>75.55 (2.23)</t>
  </si>
  <si>
    <t>87.53 (10.59)</t>
  </si>
  <si>
    <t>76.92 (1.42)</t>
  </si>
  <si>
    <t>78.88 (1.25)</t>
  </si>
  <si>
    <t>82.37 (1.45)</t>
  </si>
  <si>
    <t>80.98 (1.50)</t>
  </si>
  <si>
    <t>83.18 (0.77)</t>
  </si>
  <si>
    <t>61.93 (0.41)</t>
  </si>
  <si>
    <t>87.02 (10.33)</t>
  </si>
  <si>
    <t>81.42 (0.81)</t>
  </si>
  <si>
    <t>79.97 (0.71)</t>
  </si>
  <si>
    <t>88.39 (15.38)</t>
  </si>
  <si>
    <t>79.54 (0.62)</t>
  </si>
  <si>
    <t>75.74 (3.58)</t>
  </si>
  <si>
    <t>99.90 (99.65)</t>
  </si>
  <si>
    <t>98.70 (88.38)</t>
  </si>
  <si>
    <t>97.02 (72.77)</t>
  </si>
  <si>
    <t>82.06 (1.03)</t>
  </si>
  <si>
    <t>79.99 (0.19)</t>
  </si>
  <si>
    <t>96.86 (81.59)</t>
  </si>
  <si>
    <t>82.68 (1.23)</t>
  </si>
  <si>
    <t>78.02 (0.81)</t>
  </si>
  <si>
    <t>97.70 (79.44)</t>
  </si>
  <si>
    <t>86.54 (5.21)</t>
  </si>
  <si>
    <t>99.80 (99.32)</t>
  </si>
  <si>
    <t>79.75 (0.80)</t>
  </si>
  <si>
    <t>87.64 (6.29)</t>
  </si>
  <si>
    <t>96.93 (76.56)</t>
  </si>
  <si>
    <t>86.18 (5.01)</t>
  </si>
  <si>
    <t>78.62 (1.02)</t>
  </si>
  <si>
    <t>78.88 (1.07)</t>
  </si>
  <si>
    <t>87.51 (13.77)</t>
  </si>
  <si>
    <t>88.00 (15.78)</t>
  </si>
  <si>
    <t>84.38 (5.79)</t>
  </si>
  <si>
    <t>71.15 (1.58)</t>
  </si>
  <si>
    <t>84.66 (72.29)</t>
  </si>
  <si>
    <t>86.67 (29.48)</t>
  </si>
  <si>
    <t>80.26 (1.15)</t>
  </si>
  <si>
    <t>86.95 (6.71)</t>
  </si>
  <si>
    <t>97.92 (82.81)</t>
  </si>
  <si>
    <t>97.97 (84.66)</t>
  </si>
  <si>
    <t>87.86 (31.19)</t>
  </si>
  <si>
    <t>82.92 (0.98)</t>
  </si>
  <si>
    <t>87.63 (11.88)</t>
  </si>
  <si>
    <t>77.98 (10.32)</t>
  </si>
  <si>
    <t>82.21 (5.46)</t>
  </si>
  <si>
    <t>60.57 (1.00)</t>
  </si>
  <si>
    <t>68.52 (2.46)</t>
  </si>
  <si>
    <t>83.87 (2.65)</t>
  </si>
  <si>
    <t>99.42 (97.83)</t>
  </si>
  <si>
    <t>80.77 (0.93)</t>
  </si>
  <si>
    <t>68.97 (1.27)</t>
  </si>
  <si>
    <t>86.90 (23.24)</t>
  </si>
  <si>
    <t>78.76 (0.47)</t>
  </si>
  <si>
    <t>88.64 (31.51)</t>
  </si>
  <si>
    <t>80.95 (0.19)</t>
  </si>
  <si>
    <t>70.64 (2.45)</t>
  </si>
  <si>
    <t>82.22 (7.21)</t>
  </si>
  <si>
    <t>98.21 (87.21)</t>
  </si>
  <si>
    <t>96.12 (67.11)</t>
  </si>
  <si>
    <t>88.37 (17.60)</t>
  </si>
  <si>
    <t>88.03 (9.18)</t>
  </si>
  <si>
    <t>89.61 (10.60)</t>
  </si>
  <si>
    <t>80.13 (0.80)</t>
  </si>
  <si>
    <t>99.38 (95.54)</t>
  </si>
  <si>
    <t>82.29 (0.60)</t>
  </si>
  <si>
    <t>81.85 (0.16)</t>
  </si>
  <si>
    <t>99.46 (96.08)</t>
  </si>
  <si>
    <t>82.18 (1.66)</t>
  </si>
  <si>
    <t>97.79 (95.85)</t>
  </si>
  <si>
    <t>62.45 (1.20)</t>
  </si>
  <si>
    <t>69.21 (1.59)</t>
  </si>
  <si>
    <t>78.43 (0.26)</t>
  </si>
  <si>
    <t>97.14 (79.25)</t>
  </si>
  <si>
    <t>83.95 (6.60)</t>
  </si>
  <si>
    <t>85.51 (14.65)</t>
  </si>
  <si>
    <t>66.10 (1.55)</t>
  </si>
  <si>
    <t>82.62 (2.03)</t>
  </si>
  <si>
    <t>93.30 (59.39)</t>
  </si>
  <si>
    <t>88.15 (18.10)</t>
  </si>
  <si>
    <t>82.01 (1.34)</t>
  </si>
  <si>
    <t>74.15 (3.80)</t>
  </si>
  <si>
    <t>87.14 (7.11)</t>
  </si>
  <si>
    <t>71.75 (2.40)</t>
  </si>
  <si>
    <t>82.73 (4.80)</t>
  </si>
  <si>
    <t>77.17 (0.28)</t>
  </si>
  <si>
    <t>82.65 (7.03)</t>
  </si>
  <si>
    <t>88.67 (80.94)</t>
  </si>
  <si>
    <t>96.30 (71.48)</t>
  </si>
  <si>
    <t>88.14 (5.67)</t>
  </si>
  <si>
    <t>95.15 (61.50)</t>
  </si>
  <si>
    <t>5.70 (0.23)</t>
  </si>
  <si>
    <t>4.86 (0.13)</t>
  </si>
  <si>
    <t>3.93 (0.15)</t>
  </si>
  <si>
    <t>5.00 (0.11)</t>
  </si>
  <si>
    <t>5.81 (0.12)</t>
  </si>
  <si>
    <t>4.77 (0.14)</t>
  </si>
  <si>
    <t>4.79 (0.10)</t>
  </si>
  <si>
    <t>4.85 (0.12)</t>
  </si>
  <si>
    <t>4.70 (0.14)</t>
  </si>
  <si>
    <t>5.66 (0.16)</t>
  </si>
  <si>
    <t>4.90 (0.11)</t>
  </si>
  <si>
    <t>4.01 (0.07)</t>
  </si>
  <si>
    <t>6.86 (0.14)</t>
  </si>
  <si>
    <t>3.25 (0.12)</t>
  </si>
  <si>
    <t>4.57 (0.12)</t>
  </si>
  <si>
    <t>5.05 (0.14)</t>
  </si>
  <si>
    <t>4.59 (0.10)</t>
  </si>
  <si>
    <t>6.18 (0.14)</t>
  </si>
  <si>
    <t>3.02 (0.07)</t>
  </si>
  <si>
    <t>6.23 (0.16)</t>
  </si>
  <si>
    <t>4.61 (0.11)</t>
  </si>
  <si>
    <t>4.95 (0.13)</t>
  </si>
  <si>
    <t>6.44 (0.18)</t>
  </si>
  <si>
    <t>4.31 (0.10)</t>
  </si>
  <si>
    <t>3.88 (0.12)</t>
  </si>
  <si>
    <t>4.74 (0.54)</t>
  </si>
  <si>
    <t>7.33 (0.25)</t>
  </si>
  <si>
    <t>6.82 (0.23)</t>
  </si>
  <si>
    <t>5.47 (0.13)</t>
  </si>
  <si>
    <t>7.63 (0.32)</t>
  </si>
  <si>
    <t>5.21 (0.14)</t>
  </si>
  <si>
    <t>5.05 (0.12)</t>
  </si>
  <si>
    <t>10.66 (0.37)</t>
  </si>
  <si>
    <t>6.92 (0.14)</t>
  </si>
  <si>
    <t>7.19 (0.80)</t>
  </si>
  <si>
    <t>5.24 (0.13)</t>
  </si>
  <si>
    <t>6.08 (0.16)</t>
  </si>
  <si>
    <t>5.99 (0.18)</t>
  </si>
  <si>
    <t>7.77 (0.14)</t>
  </si>
  <si>
    <t>5.08 (0.12)</t>
  </si>
  <si>
    <t>5.65 (0.13)</t>
  </si>
  <si>
    <t>6.42 (0.17)</t>
  </si>
  <si>
    <t>6.54 (0.14)</t>
  </si>
  <si>
    <t>5.79 (0.16)</t>
  </si>
  <si>
    <t>4.54 (0.09)</t>
  </si>
  <si>
    <t>8.24 (0.71)</t>
  </si>
  <si>
    <t>3.38 (0.28)</t>
  </si>
  <si>
    <t>6.42 (0.12)</t>
  </si>
  <si>
    <t>6.61 (0.16)</t>
  </si>
  <si>
    <t>5.43 (0.15)</t>
  </si>
  <si>
    <t>8.28 (0.58)</t>
  </si>
  <si>
    <t>5.40 (0.22)</t>
  </si>
  <si>
    <t>6.74 (0.10)</t>
  </si>
  <si>
    <t>5.20 (0.15)</t>
  </si>
  <si>
    <t>4.14 (0.12)</t>
  </si>
  <si>
    <t>5.73 (0.12)</t>
  </si>
  <si>
    <t>3.52 (0.08)</t>
  </si>
  <si>
    <t>4.05 (0.09)</t>
  </si>
  <si>
    <t>7.35 (0.13)</t>
  </si>
  <si>
    <t>4.22 (0.46)</t>
  </si>
  <si>
    <t>5.49 (0.13)</t>
  </si>
  <si>
    <t>3.55 (0.07)</t>
  </si>
  <si>
    <t>5.16 (0.21)</t>
  </si>
  <si>
    <t>5.11 (0.12)</t>
  </si>
  <si>
    <t>4.93 (0.19)</t>
  </si>
  <si>
    <t>3.66 (0.10)</t>
  </si>
  <si>
    <t>5.32 (0.15)</t>
  </si>
  <si>
    <t>5.88 (0.81)</t>
  </si>
  <si>
    <t>7.78 (0.26)</t>
  </si>
  <si>
    <t>5.79 (0.18)</t>
  </si>
  <si>
    <t>8.14 (0.17)</t>
  </si>
  <si>
    <t>4.47 (0.14)</t>
  </si>
  <si>
    <t>5.24 (0.16)</t>
  </si>
  <si>
    <t>4.35 (0.13)</t>
  </si>
  <si>
    <t>6.93 (0.11)</t>
  </si>
  <si>
    <t>7.60 (0.62)</t>
  </si>
  <si>
    <t>4.80 (0.12)</t>
  </si>
  <si>
    <t>5.80 (0.73)</t>
  </si>
  <si>
    <t>3.05 (0.06)</t>
  </si>
  <si>
    <t>3.50 (0.10)</t>
  </si>
  <si>
    <t>5.55 (0.10)</t>
  </si>
  <si>
    <t>5.58 (0.10)</t>
  </si>
  <si>
    <t>7.44 (0.18)</t>
  </si>
  <si>
    <t>3.92 (0.08)</t>
  </si>
  <si>
    <t>5.29 (0.14)</t>
  </si>
  <si>
    <t>4.05 (0.07)</t>
  </si>
  <si>
    <t>5.33 (0.17)</t>
  </si>
  <si>
    <t>5.86 (0.14)</t>
  </si>
  <si>
    <t>3.94 (0.12)</t>
  </si>
  <si>
    <t>4.16 (0.10)</t>
  </si>
  <si>
    <t>5.06 (0.15)</t>
  </si>
  <si>
    <t>3.77 (0.15)</t>
  </si>
  <si>
    <t>8.98 (0.74)</t>
  </si>
  <si>
    <t>7.56 (0.17)</t>
  </si>
  <si>
    <t>6.18 (0.15)</t>
  </si>
  <si>
    <t>7.30 (0.65)</t>
  </si>
  <si>
    <t>0.1051 (1.896)</t>
  </si>
  <si>
    <t>0.08899 (1.13)</t>
  </si>
  <si>
    <t>0.1254 (1.773)</t>
  </si>
  <si>
    <t>0.1059 (1.047)</t>
  </si>
  <si>
    <t>0.08793 (1.216)</t>
  </si>
  <si>
    <t>0.1112 (1.04)</t>
  </si>
  <si>
    <t>0.0969 (2.369)</t>
  </si>
  <si>
    <t>0.09996 (1.231)</t>
  </si>
  <si>
    <t>0.1177 (0.9648)</t>
  </si>
  <si>
    <t>0.09038 (0.8603)</t>
  </si>
  <si>
    <t>0.09366 (1.329)</t>
  </si>
  <si>
    <t>0.1458 (1.474)</t>
  </si>
  <si>
    <t>0.07712 (1.439)</t>
  </si>
  <si>
    <t>0.1395 (1.623)</t>
  </si>
  <si>
    <t>0.09927 (1.254)</t>
  </si>
  <si>
    <t>0.09383 (0.9817)</t>
  </si>
  <si>
    <t>0.1157 (1.129)</t>
  </si>
  <si>
    <t>0.07792 (1.337)</t>
  </si>
  <si>
    <t>0.1874 (2.746)</t>
  </si>
  <si>
    <t>0.08741 (2.059)</t>
  </si>
  <si>
    <t>0.1169 (1.323)</t>
  </si>
  <si>
    <t>0.09434 (1.16)</t>
  </si>
  <si>
    <t>0.08157 (1.383)</t>
  </si>
  <si>
    <t>0.1165 (2.094)</t>
  </si>
  <si>
    <t>0.1127 (1.029)</t>
  </si>
  <si>
    <t>0.1473 (2.365)</t>
  </si>
  <si>
    <t>0.08167 (0.9798)</t>
  </si>
  <si>
    <t>0.08069 (1.132)</t>
  </si>
  <si>
    <t>0.08959 (0.9383)</t>
  </si>
  <si>
    <t>0.08014 (1.11)</t>
  </si>
  <si>
    <t>0.09531 (0.844)</t>
  </si>
  <si>
    <t>0.09671 (0.9942)</t>
  </si>
  <si>
    <t>0.05794 (1.156)</t>
  </si>
  <si>
    <t>0.07889 (1.187)</t>
  </si>
  <si>
    <t>0.1305 (2.597)</t>
  </si>
  <si>
    <t>0.09112 (1.397)</t>
  </si>
  <si>
    <t>0.09128 (0.9576)</t>
  </si>
  <si>
    <t>0.09212 (1.329)</t>
  </si>
  <si>
    <t>0.06764 (1.26)</t>
  </si>
  <si>
    <t>0.0946 (1.286)</t>
  </si>
  <si>
    <t>0.08026 (1.238)</t>
  </si>
  <si>
    <t>0.08396 (1.47)</t>
  </si>
  <si>
    <t>0.08585 (1.708)</t>
  </si>
  <si>
    <t>0.08714 (1.307)</t>
  </si>
  <si>
    <t>0.1033 (1.5)</t>
  </si>
  <si>
    <t>0.02871 (0.5648)</t>
  </si>
  <si>
    <t>0.5281 (18.4)</t>
  </si>
  <si>
    <t>0.07541 (1.642)</t>
  </si>
  <si>
    <t>0.07699 (0.9395)</t>
  </si>
  <si>
    <t>0.09776 (1.59)</t>
  </si>
  <si>
    <t>0.03411 (0.6725)</t>
  </si>
  <si>
    <t>0.1174 (1.532)</t>
  </si>
  <si>
    <t>0.07769 (2.198)</t>
  </si>
  <si>
    <t>0.1008 (0.9444)</t>
  </si>
  <si>
    <t>0.123 (1.537)</t>
  </si>
  <si>
    <t>0.08603 (1.171)</t>
  </si>
  <si>
    <t>0.1184 (1.92)</t>
  </si>
  <si>
    <t>0.1196 (1.226)</t>
  </si>
  <si>
    <t>0.06965 (2.024)</t>
  </si>
  <si>
    <t>0.1665 (2.461)</t>
  </si>
  <si>
    <t>0.08888 (1.427)</t>
  </si>
  <si>
    <t>0.1344 (1.251)</t>
  </si>
  <si>
    <t>0.1226 (1.513)</t>
  </si>
  <si>
    <t>0.09391 (0.9136)</t>
  </si>
  <si>
    <t>0.1179 (1.752)</t>
  </si>
  <si>
    <t>0.1669 (2.882)</t>
  </si>
  <si>
    <t>0.1101 (0.7647)</t>
  </si>
  <si>
    <t>0.04949 (0.6401)</t>
  </si>
  <si>
    <t>0.07667 (1.75)</t>
  </si>
  <si>
    <t>0.0971 (1.518)</t>
  </si>
  <si>
    <t>0.08735 (0.9979)</t>
  </si>
  <si>
    <t>0.06423 (0.9368)</t>
  </si>
  <si>
    <t>0.1239 (0.7765)</t>
  </si>
  <si>
    <t>0.1138 (0.9878)</t>
  </si>
  <si>
    <t>0.1132 (1.101)</t>
  </si>
  <si>
    <t>0.0765 (0.7887)</t>
  </si>
  <si>
    <t>0.09961 (2.377)</t>
  </si>
  <si>
    <t>0.1184 (0.7643)</t>
  </si>
  <si>
    <t>0.6305 (8.661)</t>
  </si>
  <si>
    <t>0.1531 (2.085)</t>
  </si>
  <si>
    <t>0.1701 (2.195)</t>
  </si>
  <si>
    <t>0.088 (1.572)</t>
  </si>
  <si>
    <t>0.07895 (1.315)</t>
  </si>
  <si>
    <t>0.07746 (1.992)</t>
  </si>
  <si>
    <t>0.1345 (1.285)</t>
  </si>
  <si>
    <t>0.09647 (1.712)</t>
  </si>
  <si>
    <t>0.1489 (1.208)</t>
  </si>
  <si>
    <t>0.1097 (0.8929)</t>
  </si>
  <si>
    <t>0.08639 (0.7802)</t>
  </si>
  <si>
    <t>0.1312 (1.06)</t>
  </si>
  <si>
    <t>0.1115 (2.352)</t>
  </si>
  <si>
    <t>0.09852 (1.7)</t>
  </si>
  <si>
    <t>0.1171 (0.8557)</t>
  </si>
  <si>
    <t>0.02615 (0.7305)</t>
  </si>
  <si>
    <t>0.0706 (1.357)</t>
  </si>
  <si>
    <t>0.08435 (1.026)</t>
  </si>
  <si>
    <t>0.04142 (0.7168)</t>
  </si>
  <si>
    <t>0.115 (2.204)</t>
  </si>
  <si>
    <t>0.09748 (1.279)</t>
  </si>
  <si>
    <t>0.137 (1.999)</t>
  </si>
  <si>
    <t>0.1158 (1.221)</t>
  </si>
  <si>
    <t>0.09628 (1.455)</t>
  </si>
  <si>
    <t>0.1214 (1.171)</t>
  </si>
  <si>
    <t>0.1061 (2.777)</t>
  </si>
  <si>
    <t>0.1094 (1.436)</t>
  </si>
  <si>
    <t>0.1286 (1.099)</t>
  </si>
  <si>
    <t>0.09902 (1.023)</t>
  </si>
  <si>
    <t>0.1024 (1.544)</t>
  </si>
  <si>
    <t>0.1599 (1.74)</t>
  </si>
  <si>
    <t>0.08459 (1.79)</t>
  </si>
  <si>
    <t>0.1524 (1.834)</t>
  </si>
  <si>
    <t>0.1087 (1.444)</t>
  </si>
  <si>
    <t>0.1026 (1.142)</t>
  </si>
  <si>
    <t>0.1266 (1.313)</t>
  </si>
  <si>
    <t>0.08542 (1.573)</t>
  </si>
  <si>
    <t>0.2052 (3.02)</t>
  </si>
  <si>
    <t>0.09569 (2.428)</t>
  </si>
  <si>
    <t>0.1278 (1.543)</t>
  </si>
  <si>
    <t>0.1034 (1.368)</t>
  </si>
  <si>
    <t>0.08925 (1.664)</t>
  </si>
  <si>
    <t>0.1274 (2.422)</t>
  </si>
  <si>
    <t>0.1231 (1.162)</t>
  </si>
  <si>
    <t>0.1603 (2.637)</t>
  </si>
  <si>
    <t>0.0895 (1.17)</t>
  </si>
  <si>
    <t>0.08834 (1.338)</t>
  </si>
  <si>
    <t>0.09799 (1.098)</t>
  </si>
  <si>
    <t>0.08756 (1.288)</t>
  </si>
  <si>
    <t>0.1041 (0.9779)</t>
  </si>
  <si>
    <t>0.1057 (1.152)</t>
  </si>
  <si>
    <t>0.0633 (1.35)</t>
  </si>
  <si>
    <t>0.08628 (1.523)</t>
  </si>
  <si>
    <t>0.1421 (2.836)</t>
  </si>
  <si>
    <t>0.09952 (1.619)</t>
  </si>
  <si>
    <t>0.09971 (1.123)</t>
  </si>
  <si>
    <t>0.1007 (1.538)</t>
  </si>
  <si>
    <t>0.07422 (1.615)</t>
  </si>
  <si>
    <t>0.1035 (1.508)</t>
  </si>
  <si>
    <t>0.08788 (1.469)</t>
  </si>
  <si>
    <t>0.09186 (1.786)</t>
  </si>
  <si>
    <t>0.09407 (2.082)</t>
  </si>
  <si>
    <t>0.09537 (1.567)</t>
  </si>
  <si>
    <t>0.1129 (1.695)</t>
  </si>
  <si>
    <t>0.04061 (0.7988)</t>
  </si>
  <si>
    <t>0.5771 (20.58)</t>
  </si>
  <si>
    <t>0.0827 (2)</t>
  </si>
  <si>
    <t>0.08427 (1.147)</t>
  </si>
  <si>
    <t>0.1069 (1.843)</t>
  </si>
  <si>
    <t>0.04824 (0.9511)</t>
  </si>
  <si>
    <t>0.1279 (1.702)</t>
  </si>
  <si>
    <t>0.08514 (2.613)</t>
  </si>
  <si>
    <t>0.11 (1.073)</t>
  </si>
  <si>
    <t>0.1345 (1.731)</t>
  </si>
  <si>
    <t>0.09416 (1.375)</t>
  </si>
  <si>
    <t>0.1297 (2.161)</t>
  </si>
  <si>
    <t>0.1309 (1.384)</t>
  </si>
  <si>
    <t>0.07632 (2.459)</t>
  </si>
  <si>
    <t>0.1813 (2.774)</t>
  </si>
  <si>
    <t>0.09694 (1.609)</t>
  </si>
  <si>
    <t>0.1466 (1.408)</t>
  </si>
  <si>
    <t>0.1338 (1.707)</t>
  </si>
  <si>
    <t>0.1027 (1.075)</t>
  </si>
  <si>
    <t>0.1286 (1.973)</t>
  </si>
  <si>
    <t>0.1819 (3.2)</t>
  </si>
  <si>
    <t>0.1201 (0.8628)</t>
  </si>
  <si>
    <t>0.06998 (0.9052)</t>
  </si>
  <si>
    <t>0.08398 (2.053)</t>
  </si>
  <si>
    <t>0.1062 (1.788)</t>
  </si>
  <si>
    <t>0.09555 (1.287)</t>
  </si>
  <si>
    <t>0.07042 (1.189)</t>
  </si>
  <si>
    <t>0.1352 (0.9087)</t>
  </si>
  <si>
    <t>0.1245 (1.172)</t>
  </si>
  <si>
    <t>0.124 (1.289)</t>
  </si>
  <si>
    <t>0.08378 (1.106)</t>
  </si>
  <si>
    <t>0.1087 (2.709)</t>
  </si>
  <si>
    <t>0.1295 (0.8914)</t>
  </si>
  <si>
    <t>0.6846 (9.376)</t>
  </si>
  <si>
    <t>0.1675 (2.352)</t>
  </si>
  <si>
    <t>0.1859 (2.47)</t>
  </si>
  <si>
    <t>0.09627 (1.845)</t>
  </si>
  <si>
    <t>0.08625 (1.518)</t>
  </si>
  <si>
    <t>0.08451 (2.245)</t>
  </si>
  <si>
    <t>0.1468 (1.449)</t>
  </si>
  <si>
    <t>0.1054 (1.992)</t>
  </si>
  <si>
    <t>0.1629 (1.445)</t>
  </si>
  <si>
    <t>0.1199 (1.109)</t>
  </si>
  <si>
    <t>0.09457 (0.9288)</t>
  </si>
  <si>
    <t>0.1431 (1.193)</t>
  </si>
  <si>
    <t>0.1215 (2.622)</t>
  </si>
  <si>
    <t>0.1078 (2.017)</t>
  </si>
  <si>
    <t>0.1279 (0.9719)</t>
  </si>
  <si>
    <t>0.03698 (1.033)</t>
  </si>
  <si>
    <t>0.07721 (1.566)</t>
  </si>
  <si>
    <t>0.09219 (1.193)</t>
  </si>
  <si>
    <t>0.05857 (1.014)</t>
  </si>
  <si>
    <t>0.04601 (1.101)</t>
  </si>
  <si>
    <t>0.03906 (0.5842)</t>
  </si>
  <si>
    <t>0.05468 (0.9105)</t>
  </si>
  <si>
    <t>0.04637 (0.6139)</t>
  </si>
  <si>
    <t>0.03864 (0.7775)</t>
  </si>
  <si>
    <t>0.04819 (0.5326)</t>
  </si>
  <si>
    <t>0.04246 (1.411)</t>
  </si>
  <si>
    <t>0.04388 (0.7276)</t>
  </si>
  <si>
    <t>0.0514 (0.5172)</t>
  </si>
  <si>
    <t>0.03991 (0.5435)</t>
  </si>
  <si>
    <t>0.04088 (0.7745)</t>
  </si>
  <si>
    <t>0.06465 (0.9007)</t>
  </si>
  <si>
    <t>0.03413 (1.037)</t>
  </si>
  <si>
    <t>0.06065 (0.8459)</t>
  </si>
  <si>
    <t>0.04378 (0.7007)</t>
  </si>
  <si>
    <t>0.04094 (0.5703)</t>
  </si>
  <si>
    <t>0.05092 (0.6523)</t>
  </si>
  <si>
    <t>0.03451 (0.8155)</t>
  </si>
  <si>
    <t>0.08242 (1.237)</t>
  </si>
  <si>
    <t>0.03841 (1.259)</t>
  </si>
  <si>
    <t>0.05088 (0.7796)</t>
  </si>
  <si>
    <t>0.04171 (0.7135)</t>
  </si>
  <si>
    <t>0.03573 (0.9082)</t>
  </si>
  <si>
    <t>0.05082 (1.187)</t>
  </si>
  <si>
    <t>0.04893 (0.534)</t>
  </si>
  <si>
    <t>0.06268 (1.159)</t>
  </si>
  <si>
    <t>0.0361 (0.6279)</t>
  </si>
  <si>
    <t>0.03548 (0.7001)</t>
  </si>
  <si>
    <t>0.0392 (0.5597)</t>
  </si>
  <si>
    <t>0.03479 (0.6455)</t>
  </si>
  <si>
    <t>0.04145 (0.4851)</t>
  </si>
  <si>
    <t>0.04216 (0.5703)</t>
  </si>
  <si>
    <t>0.02516 (0.6811)</t>
  </si>
  <si>
    <t>0.03443 (0.9323)</t>
  </si>
  <si>
    <t>0.0555 (1.116)</t>
  </si>
  <si>
    <t>0.03955 (0.8019)</t>
  </si>
  <si>
    <t>0.03966 (0.5762)</t>
  </si>
  <si>
    <t>0.04011 (0.7615)</t>
  </si>
  <si>
    <t>0.03004 (0.9896)</t>
  </si>
  <si>
    <t>0.04137 (0.7742)</t>
  </si>
  <si>
    <t>0.03532 (0.7771)</t>
  </si>
  <si>
    <t>0.03674 (0.9935)</t>
  </si>
  <si>
    <t>0.03787 (1.159)</t>
  </si>
  <si>
    <t>0.03824 (0.8481)</t>
  </si>
  <si>
    <t>0.04515 (0.7782)</t>
  </si>
  <si>
    <t>0.2289 (9.006)</t>
  </si>
  <si>
    <t>0.0334 (1.116)</t>
  </si>
  <si>
    <t>0.03378 (0.6424)</t>
  </si>
  <si>
    <t>0.04273 (0.9208)</t>
  </si>
  <si>
    <t>0.05043 (0.7329)</t>
  </si>
  <si>
    <t>0.03431 (1.378)</t>
  </si>
  <si>
    <t>0.04371 (0.5026)</t>
  </si>
  <si>
    <t>0.05357 (0.7868)</t>
  </si>
  <si>
    <t>0.03764 (0.6964)</t>
  </si>
  <si>
    <t>0.05219 (0.9733)</t>
  </si>
  <si>
    <t>0.05265 (0.6325)</t>
  </si>
  <si>
    <t>0.03071 (1.363)</t>
  </si>
  <si>
    <t>0.07115 (1.256)</t>
  </si>
  <si>
    <t>0.03804 (0.7256)</t>
  </si>
  <si>
    <t>0.05816 (0.6394)</t>
  </si>
  <si>
    <t>0.05301 (0.7787)</t>
  </si>
  <si>
    <t>0.04117 (0.5538)</t>
  </si>
  <si>
    <t>0.0509 (0.9004)</t>
  </si>
  <si>
    <t>0.07163 (1.372)</t>
  </si>
  <si>
    <t>0.04752 (0.3954)</t>
  </si>
  <si>
    <t>0.03379 (1.055)</t>
  </si>
  <si>
    <t>0.04249 (0.9283)</t>
  </si>
  <si>
    <t>0.03818 (0.7992)</t>
  </si>
  <si>
    <t>0.02842 (0.7151)</t>
  </si>
  <si>
    <t>0.05362 (0.4655)</t>
  </si>
  <si>
    <t>0.04983 (0.6162)</t>
  </si>
  <si>
    <t>0.04987 (0.6602)</t>
  </si>
  <si>
    <t>0.03364 (0.7734)</t>
  </si>
  <si>
    <t>0.04288 (1.264)</t>
  </si>
  <si>
    <t>0.05151 (0.4408)</t>
  </si>
  <si>
    <t>0.264 (3.565)</t>
  </si>
  <si>
    <t>0.06702 (1.064)</t>
  </si>
  <si>
    <t>0.07425 (1.117)</t>
  </si>
  <si>
    <t>0.03847 (0.9416)</t>
  </si>
  <si>
    <t>0.03422 (0.7353)</t>
  </si>
  <si>
    <t>0.03331 (1.013)</t>
  </si>
  <si>
    <t>0.05825 (0.6621)</t>
  </si>
  <si>
    <t>0.04183 (1.005)</t>
  </si>
  <si>
    <t>0.06508 (0.7687)</t>
  </si>
  <si>
    <t>0.04771 (0.6439)</t>
  </si>
  <si>
    <t>0.03798 (0.4938)</t>
  </si>
  <si>
    <t>0.0565 (0.5388)</t>
  </si>
  <si>
    <t>0.04789 (1.145)</t>
  </si>
  <si>
    <t>0.04303 (1.058)</t>
  </si>
  <si>
    <t>0.05083 (0.4535)</t>
  </si>
  <si>
    <t>0.03085 (0.762)</t>
  </si>
  <si>
    <t>0.03673 (0.5996)</t>
  </si>
  <si>
    <t>0.998 (0.38)</t>
  </si>
  <si>
    <t>0.997 (0.516)</t>
  </si>
  <si>
    <t>0.997 (0.404)</t>
  </si>
  <si>
    <t>0.997 (0.6)</t>
  </si>
  <si>
    <t>0.997 (0.614)</t>
  </si>
  <si>
    <t>0.996 (0.512)</t>
  </si>
  <si>
    <t>0.995 (0.56)</t>
  </si>
  <si>
    <t>0.997 (0.551)</t>
  </si>
  <si>
    <t>0.997 (0.689)</t>
  </si>
  <si>
    <t>0.997 (0.511)</t>
  </si>
  <si>
    <t>0.994 (0.525)</t>
  </si>
  <si>
    <t>0.997 (0.487)</t>
  </si>
  <si>
    <t>0.996 (0.431)</t>
  </si>
  <si>
    <t>0.997 (0.576)</t>
  </si>
  <si>
    <t>0.997 (0.706)</t>
  </si>
  <si>
    <t>0.997 (0.599)</t>
  </si>
  <si>
    <t>0.997 (0.567)</t>
  </si>
  <si>
    <t>0.992 (0.469)</t>
  </si>
  <si>
    <t>0.998 (0.428)</t>
  </si>
  <si>
    <t>0.996 (0.501)</t>
  </si>
  <si>
    <t>0.996 (0.469)</t>
  </si>
  <si>
    <t>0.996 (0.411)</t>
  </si>
  <si>
    <t>0.995 (0.38)</t>
  </si>
  <si>
    <t>0.997 (0.755)</t>
  </si>
  <si>
    <t>0.994 (0.393)</t>
  </si>
  <si>
    <t>0.994 (0.569)</t>
  </si>
  <si>
    <t>0.997 (0.542)</t>
  </si>
  <si>
    <t>0.997 (0.656)</t>
  </si>
  <si>
    <t>0.997 (0.544)</t>
  </si>
  <si>
    <t>0.997 (0.716)</t>
  </si>
  <si>
    <t>0.999 (0.584)</t>
  </si>
  <si>
    <t>0.996 (0.402)</t>
  </si>
  <si>
    <t>0.995 (0.407)</t>
  </si>
  <si>
    <t>0.998 (0.474)</t>
  </si>
  <si>
    <t>0.995 (0.566)</t>
  </si>
  <si>
    <t>0.996 (0.548)</t>
  </si>
  <si>
    <t>0.995 (0.397)</t>
  </si>
  <si>
    <t>0.996 (0.502)</t>
  </si>
  <si>
    <t>0.998 (0.568)</t>
  </si>
  <si>
    <t>0.997 (0.4)</t>
  </si>
  <si>
    <t>0.996 (0.42)</t>
  </si>
  <si>
    <t>0.997 (0.434)</t>
  </si>
  <si>
    <t>0.998 (0.537)</t>
  </si>
  <si>
    <t>0.999 (0.627)</t>
  </si>
  <si>
    <t>0.971 (0.365)</t>
  </si>
  <si>
    <t>0.997 (0.394)</t>
  </si>
  <si>
    <t>0.996 (0.607)</t>
  </si>
  <si>
    <t>0.995 (0.473)</t>
  </si>
  <si>
    <t>0.997 (0.561)</t>
  </si>
  <si>
    <t>0.995 (0.636)</t>
  </si>
  <si>
    <t>0.997 (0.361)</t>
  </si>
  <si>
    <t>0.996 (0.801)</t>
  </si>
  <si>
    <t>0.993 (0.612)</t>
  </si>
  <si>
    <t>0.997 (0.686)</t>
  </si>
  <si>
    <t>0.997 (0.495)</t>
  </si>
  <si>
    <t>0.997 (0.38)</t>
  </si>
  <si>
    <t>0.993 (0.389)</t>
  </si>
  <si>
    <t>0.996 (0.574)</t>
  </si>
  <si>
    <t>0.995 (0.598)</t>
  </si>
  <si>
    <t>0.995 (0.532)</t>
  </si>
  <si>
    <t>0.997 (0.652)</t>
  </si>
  <si>
    <t>0.996 (0.47)</t>
  </si>
  <si>
    <t>0.993 (0.367)</t>
  </si>
  <si>
    <t>0.997 (0.78)</t>
  </si>
  <si>
    <t>0.997 (0.528)</t>
  </si>
  <si>
    <t>0.999 (0.364)</t>
  </si>
  <si>
    <t>0.996 (0.458)</t>
  </si>
  <si>
    <t>0.995 (0.343)</t>
  </si>
  <si>
    <t>0.998 (0.554)</t>
  </si>
  <si>
    <t>0.995 (0.592)</t>
  </si>
  <si>
    <t>0.994 (0.553)</t>
  </si>
  <si>
    <t>0.997 (0.486)</t>
  </si>
  <si>
    <t>0.997 (0.443)</t>
  </si>
  <si>
    <t>0.996 (0.364)</t>
  </si>
  <si>
    <t>0.994 (0.421)</t>
  </si>
  <si>
    <t>0.994 (0.357)</t>
  </si>
  <si>
    <t>0.998 (0.457)</t>
  </si>
  <si>
    <t>0.998 (0.613)</t>
  </si>
  <si>
    <t>0.999 (0.373)</t>
  </si>
  <si>
    <t>0.995 (0.641)</t>
  </si>
  <si>
    <t>0.996 (0.398)</t>
  </si>
  <si>
    <t>0.995 (0.559)</t>
  </si>
  <si>
    <t>0.994 (0.509)</t>
  </si>
  <si>
    <t>0.998 (0.582)</t>
  </si>
  <si>
    <t>0.996 (0.639)</t>
  </si>
  <si>
    <t>0.997 (0.0904)</t>
  </si>
  <si>
    <t>0.997 (0.758)</t>
  </si>
  <si>
    <t>0.999 (0.577)</t>
  </si>
  <si>
    <t>0.998 (0.508)</t>
  </si>
  <si>
    <t>0.997 (0.709)</t>
  </si>
  <si>
    <t>0.997 (0.573)</t>
  </si>
  <si>
    <t>0.999 (0.742)</t>
  </si>
  <si>
    <t>0.999 (0.758)</t>
  </si>
  <si>
    <t>0.999 (0.866)</t>
  </si>
  <si>
    <t>0.999 (0.872)</t>
  </si>
  <si>
    <t>0.999 (0.823)</t>
  </si>
  <si>
    <t>0.999 (0.847)</t>
  </si>
  <si>
    <t>0.999 (0.843)</t>
  </si>
  <si>
    <t>0.999 (0.903)</t>
  </si>
  <si>
    <t>0.999 (0.776)</t>
  </si>
  <si>
    <t>0.999 (0.855)</t>
  </si>
  <si>
    <t>0.999 (0.91)</t>
  </si>
  <si>
    <t>0.999 (0.865)</t>
  </si>
  <si>
    <t>0.999 (0.851)</t>
  </si>
  <si>
    <t>0.998 (0.799)</t>
  </si>
  <si>
    <t>0.999 (0.775)</t>
  </si>
  <si>
    <t>0.999 (0.799)</t>
  </si>
  <si>
    <t>0.999 (0.764)</t>
  </si>
  <si>
    <t>0.999 (0.928)</t>
  </si>
  <si>
    <t>0.998 (0.751)</t>
  </si>
  <si>
    <t>0.999 (0.852)</t>
  </si>
  <si>
    <t>0.999 (0.838)</t>
  </si>
  <si>
    <t>0.999 (0.89)</t>
  </si>
  <si>
    <t>0.999 (0.84)</t>
  </si>
  <si>
    <t>0.999 (0.914)</t>
  </si>
  <si>
    <t>0.999 (0.888)</t>
  </si>
  <si>
    <t>1 (0.859)</t>
  </si>
  <si>
    <t>0.999 (0.757)</t>
  </si>
  <si>
    <t>0.999 (0.76)</t>
  </si>
  <si>
    <t>0.999 (0.802)</t>
  </si>
  <si>
    <t>0.999 (0.85)</t>
  </si>
  <si>
    <t>0.999 (0.841)</t>
  </si>
  <si>
    <t>0.999 (0.818)</t>
  </si>
  <si>
    <t>0.999 (0.769)</t>
  </si>
  <si>
    <t>0.999 (0.778)</t>
  </si>
  <si>
    <t>0.999 (0.836)</t>
  </si>
  <si>
    <t>1 (0.878)</t>
  </si>
  <si>
    <t>0.993 (0.732)</t>
  </si>
  <si>
    <t>0.999 (0.752)</t>
  </si>
  <si>
    <t>0.999 (0.882)</t>
  </si>
  <si>
    <t>0.999 (0.728)</t>
  </si>
  <si>
    <t>0.999 (0.943)</t>
  </si>
  <si>
    <t>0.998 (0.871)</t>
  </si>
  <si>
    <t>0.998 (0.749)</t>
  </si>
  <si>
    <t>0.999 (0.854)</t>
  </si>
  <si>
    <t>0.999 (0.833)</t>
  </si>
  <si>
    <t>0.999 (0.8)</t>
  </si>
  <si>
    <t>0.998 (0.733)</t>
  </si>
  <si>
    <t>0.999 (0.936)</t>
  </si>
  <si>
    <t>1 (0.73)</t>
  </si>
  <si>
    <t>0.999 (0.793)</t>
  </si>
  <si>
    <t>0.999 (0.715)</t>
  </si>
  <si>
    <t>0.998 (0.844)</t>
  </si>
  <si>
    <t>0.999 (0.784)</t>
  </si>
  <si>
    <t>0.999 (0.731)</t>
  </si>
  <si>
    <t>0.992 (0.305)</t>
  </si>
  <si>
    <t>0.998 (0.77)</t>
  </si>
  <si>
    <t>0.998 (0.726)</t>
  </si>
  <si>
    <t>0.999 (0.792)</t>
  </si>
  <si>
    <t>1 (0.872)</t>
  </si>
  <si>
    <t>1 (0.737)</t>
  </si>
  <si>
    <t>0.999 (0.884)</t>
  </si>
  <si>
    <t>0.999 (0.755)</t>
  </si>
  <si>
    <t>0.998 (0.822)</t>
  </si>
  <si>
    <t>0.999 (0.858)</t>
  </si>
  <si>
    <t>0.999 (0.883)</t>
  </si>
  <si>
    <t>0.999 (0.407)</t>
  </si>
  <si>
    <t>0.999 (0.929)</t>
  </si>
  <si>
    <t>1 (0.855)</t>
  </si>
  <si>
    <t>1 (0.821)</t>
  </si>
  <si>
    <t>0.999 (0.911)</t>
  </si>
  <si>
    <t>105286 (4755)</t>
  </si>
  <si>
    <t>78876 (219)</t>
  </si>
  <si>
    <t>79117 (392)</t>
  </si>
  <si>
    <t>95912 (87)</t>
  </si>
  <si>
    <t>114091 (870)</t>
  </si>
  <si>
    <t>80811 (239)</t>
  </si>
  <si>
    <t>97678 (38)</t>
  </si>
  <si>
    <t>92548 (66)</t>
  </si>
  <si>
    <t>83390 (314)</t>
  </si>
  <si>
    <t>110777 (801)</t>
  </si>
  <si>
    <t>91095 (31)</t>
  </si>
  <si>
    <t>95017 (278)</t>
  </si>
  <si>
    <t>127278 (1527)</t>
  </si>
  <si>
    <t>77119 (141)</t>
  </si>
  <si>
    <t>85369 (134)</t>
  </si>
  <si>
    <t>94107 (165)</t>
  </si>
  <si>
    <t>92559 (171)</t>
  </si>
  <si>
    <t>103908 (96)</t>
  </si>
  <si>
    <t>46312 (30)</t>
  </si>
  <si>
    <t>112371 (1326)</t>
  </si>
  <si>
    <t>96001 (95)</t>
  </si>
  <si>
    <t>99292 (88)</t>
  </si>
  <si>
    <t>121106 (2088)</t>
  </si>
  <si>
    <t>92441 (72)</t>
  </si>
  <si>
    <t>73152 (342)</t>
  </si>
  <si>
    <t>96576 (9513)</t>
  </si>
  <si>
    <t>131378 (11689)</t>
  </si>
  <si>
    <t>123184 (9176)</t>
  </si>
  <si>
    <t>96941 (121)</t>
  </si>
  <si>
    <t>123270 (10329)</t>
  </si>
  <si>
    <t>91445 (135)</t>
  </si>
  <si>
    <t>86912 (89)</t>
  </si>
  <si>
    <t>122953 (9889)</t>
  </si>
  <si>
    <t>128106 (765)</t>
  </si>
  <si>
    <t>77703 (7685)</t>
  </si>
  <si>
    <t>89281 (89)</t>
  </si>
  <si>
    <t>106463 (758)</t>
  </si>
  <si>
    <t>114779 (9021)</t>
  </si>
  <si>
    <t>126345 (730)</t>
  </si>
  <si>
    <t>97178 (126)</t>
  </si>
  <si>
    <t>100268 (135)</t>
  </si>
  <si>
    <t>119471 (1870)</t>
  </si>
  <si>
    <t>122108 (2175)</t>
  </si>
  <si>
    <t>111025 (758)</t>
  </si>
  <si>
    <t>68928 (151)</t>
  </si>
  <si>
    <t>91845 (7760)</t>
  </si>
  <si>
    <t>88766 (2997)</t>
  </si>
  <si>
    <t>109655 (156)</t>
  </si>
  <si>
    <t>119895 (916)</t>
  </si>
  <si>
    <t>120041 (10048)</t>
  </si>
  <si>
    <t>134419 (11492)</t>
  </si>
  <si>
    <t>78813 (2771)</t>
  </si>
  <si>
    <t>109078 (128)</t>
  </si>
  <si>
    <t>90442 (1219)</t>
  </si>
  <si>
    <t>77447 (1019)</t>
  </si>
  <si>
    <t>102692 (676)</t>
  </si>
  <si>
    <t>58503 (95)</t>
  </si>
  <si>
    <t>65487 (234)</t>
  </si>
  <si>
    <t>117474 (369)</t>
  </si>
  <si>
    <t>103657 (10129)</t>
  </si>
  <si>
    <t>88796 (102)</t>
  </si>
  <si>
    <t>66846 (122)</t>
  </si>
  <si>
    <t>88489 (2355)</t>
  </si>
  <si>
    <t>99001 (59)</t>
  </si>
  <si>
    <t>90585 (3197)</t>
  </si>
  <si>
    <t>58758 (203)</t>
  </si>
  <si>
    <t>80077 (695)</t>
  </si>
  <si>
    <t>118142 (8166)</t>
  </si>
  <si>
    <t>111420 (2196)</t>
  </si>
  <si>
    <t>127860 (1326)</t>
  </si>
  <si>
    <t>131612 (1548)</t>
  </si>
  <si>
    <t>101591 (101)</t>
  </si>
  <si>
    <t>128971 (12362)</t>
  </si>
  <si>
    <t>94915 (68)</t>
  </si>
  <si>
    <t>138088 (27)</t>
  </si>
  <si>
    <t>112890 (10808)</t>
  </si>
  <si>
    <t>96730 (194)</t>
  </si>
  <si>
    <t>71397 (6976)</t>
  </si>
  <si>
    <t>60947 (116)</t>
  </si>
  <si>
    <t>67785 (155)</t>
  </si>
  <si>
    <t>98705 (32)</t>
  </si>
  <si>
    <t>116276 (9421)</t>
  </si>
  <si>
    <t>88640 (1508)</t>
  </si>
  <si>
    <t>64183 (149)</t>
  </si>
  <si>
    <t>103765 (253)</t>
  </si>
  <si>
    <t>121154 (7640)</t>
  </si>
  <si>
    <t>128527 (2627)</t>
  </si>
  <si>
    <t>104290 (170)</t>
  </si>
  <si>
    <t>71064 (362)</t>
  </si>
  <si>
    <t>64721 (215)</t>
  </si>
  <si>
    <t>109297 (628)</t>
  </si>
  <si>
    <t>83048 (705)</t>
  </si>
  <si>
    <t>89365 (8110)</t>
  </si>
  <si>
    <t>108307 (7975)</t>
  </si>
  <si>
    <t>98152 (625)</t>
  </si>
  <si>
    <t>124250 (7975)</t>
  </si>
  <si>
    <t>5314 (223)</t>
  </si>
  <si>
    <t>4883 (0)</t>
  </si>
  <si>
    <t>4034 (11)</t>
  </si>
  <si>
    <t>4039 (14)</t>
  </si>
  <si>
    <t>4891 (7)</t>
  </si>
  <si>
    <t>5751 (36)</t>
  </si>
  <si>
    <t>5044 (0)</t>
  </si>
  <si>
    <t>4121 (12)</t>
  </si>
  <si>
    <t>4948 (4)</t>
  </si>
  <si>
    <t>4676 (2)</t>
  </si>
  <si>
    <t>4257 (16)</t>
  </si>
  <si>
    <t>5585 (37)</t>
  </si>
  <si>
    <t>4612 (1)</t>
  </si>
  <si>
    <t>4853 (11)</t>
  </si>
  <si>
    <t>6380 (53)</t>
  </si>
  <si>
    <t>3946 (5)</t>
  </si>
  <si>
    <t>4314 (6)</t>
  </si>
  <si>
    <t>4761 (8)</t>
  </si>
  <si>
    <t>4709 (13)</t>
  </si>
  <si>
    <t>5234 (8)</t>
  </si>
  <si>
    <t>2383 (3)</t>
  </si>
  <si>
    <t>5660 (75)</t>
  </si>
  <si>
    <t>4900 (5)</t>
  </si>
  <si>
    <t>5029 (10)</t>
  </si>
  <si>
    <t>5837 (99)</t>
  </si>
  <si>
    <t>4466 (7)</t>
  </si>
  <si>
    <t>3541 (21)</t>
  </si>
  <si>
    <t>4888 (467)</t>
  </si>
  <si>
    <t>6597 (525)</t>
  </si>
  <si>
    <t>6237 (470)</t>
  </si>
  <si>
    <t>4888 (9)</t>
  </si>
  <si>
    <t>4784 (0)</t>
  </si>
  <si>
    <t>6206 (499)</t>
  </si>
  <si>
    <t>4428 (4)</t>
  </si>
  <si>
    <t>4170 (5)</t>
  </si>
  <si>
    <t>6216 (504)</t>
  </si>
  <si>
    <t>6470 (31)</t>
  </si>
  <si>
    <t>3759 (391)</t>
  </si>
  <si>
    <t>4280 (2)</t>
  </si>
  <si>
    <t>5152 (45)</t>
  </si>
  <si>
    <t>5823 (496)</t>
  </si>
  <si>
    <t>6073 (28)</t>
  </si>
  <si>
    <t>4659 (8)</t>
  </si>
  <si>
    <t>4809 (12)</t>
  </si>
  <si>
    <t>5748 (94)</t>
  </si>
  <si>
    <t>6130 (104)</t>
  </si>
  <si>
    <t>5361 (38)</t>
  </si>
  <si>
    <t>3314 (12)</t>
  </si>
  <si>
    <t>4691 (378)</t>
  </si>
  <si>
    <t>4499 (135)</t>
  </si>
  <si>
    <t>5282 (8)</t>
  </si>
  <si>
    <t>6057 (47)</t>
  </si>
  <si>
    <t>6056 (496)</t>
  </si>
  <si>
    <t>6728 (521)</t>
  </si>
  <si>
    <t>3790 (128)</t>
  </si>
  <si>
    <t>5284 (6)</t>
  </si>
  <si>
    <t>4367 (66)</t>
  </si>
  <si>
    <t>3741 (46)</t>
  </si>
  <si>
    <t>5206 (32)</t>
  </si>
  <si>
    <t>2811 (3)</t>
  </si>
  <si>
    <t>3147 (6)</t>
  </si>
  <si>
    <t>5655 (21)</t>
  </si>
  <si>
    <t>5001 (507)</t>
  </si>
  <si>
    <t>4250 (2)</t>
  </si>
  <si>
    <t>3227 (5)</t>
  </si>
  <si>
    <t>4268 (111)</t>
  </si>
  <si>
    <t>5045 (1)</t>
  </si>
  <si>
    <t>4392 (168)</t>
  </si>
  <si>
    <t>4561 (0)</t>
  </si>
  <si>
    <t>2816 (8)</t>
  </si>
  <si>
    <t>3874 (31)</t>
  </si>
  <si>
    <t>4619 (388)</t>
  </si>
  <si>
    <t>5667 (366)</t>
  </si>
  <si>
    <t>5345 (95)</t>
  </si>
  <si>
    <t>6427 (56)</t>
  </si>
  <si>
    <t>6569 (64)</t>
  </si>
  <si>
    <t>4909 (10)</t>
  </si>
  <si>
    <t>6484 (589)</t>
  </si>
  <si>
    <t>4583 (2)</t>
  </si>
  <si>
    <t>6711 (4)</t>
  </si>
  <si>
    <t>5444 (513)</t>
  </si>
  <si>
    <t>4879 (10)</t>
  </si>
  <si>
    <t>3667 (340)</t>
  </si>
  <si>
    <t>2922 (4)</t>
  </si>
  <si>
    <t>3267 (6)</t>
  </si>
  <si>
    <t>4780 (2)</t>
  </si>
  <si>
    <t>5890 (505)</t>
  </si>
  <si>
    <t>4297 (89)</t>
  </si>
  <si>
    <t>3082 (11)</t>
  </si>
  <si>
    <t>5042 (18)</t>
  </si>
  <si>
    <t>6124 (377)</t>
  </si>
  <si>
    <t>6422 (96)</t>
  </si>
  <si>
    <t>5043 (7)</t>
  </si>
  <si>
    <t>3419 (19)</t>
  </si>
  <si>
    <t>3156 (14)</t>
  </si>
  <si>
    <t>5538 (43)</t>
  </si>
  <si>
    <t>4388 (0)</t>
  </si>
  <si>
    <t>4237 (38)</t>
  </si>
  <si>
    <t>4573 (402)</t>
  </si>
  <si>
    <t>5476 (404)</t>
  </si>
  <si>
    <t>4749 (33)</t>
  </si>
  <si>
    <t>6251 (376)</t>
  </si>
  <si>
    <t>0.1753 (0.5270)</t>
  </si>
  <si>
    <t>0.1655 (0.5215)</t>
  </si>
  <si>
    <t>0.1739 (0.5050)</t>
  </si>
  <si>
    <t>0.1641 (0.7131)</t>
  </si>
  <si>
    <t>0.1647 (0.5405)</t>
  </si>
  <si>
    <t>0.1685 (0.6005)</t>
  </si>
  <si>
    <t>0.1765 (0.9670)</t>
  </si>
  <si>
    <t>0.1743 (0.9955)</t>
  </si>
  <si>
    <t>0.1702 (0.6748)</t>
  </si>
  <si>
    <t>0.1653 (0.5856)</t>
  </si>
  <si>
    <t>0.1678 (0.8559)</t>
  </si>
  <si>
    <t>0.1692 (0.6328)</t>
  </si>
  <si>
    <t>0.1664 (0.4985)</t>
  </si>
  <si>
    <t>0.1829 (0.6877)</t>
  </si>
  <si>
    <t>0.1847 (0.7364)</t>
  </si>
  <si>
    <t>0.1734 (0.8874)</t>
  </si>
  <si>
    <t>0.1793 (0.7253)</t>
  </si>
  <si>
    <t>0.1810 (1.0275)</t>
  </si>
  <si>
    <t>0.1776 (0.4728)</t>
  </si>
  <si>
    <t>0.1749 (0.5889)</t>
  </si>
  <si>
    <t>0.1701 (0.7483)</t>
  </si>
  <si>
    <t>0.1728 (0.7892)</t>
  </si>
  <si>
    <t>0.1649 (0.4898)</t>
  </si>
  <si>
    <t>0.1697 (0.6755)</t>
  </si>
  <si>
    <t>0.1700 (0.5500)</t>
  </si>
  <si>
    <t>0.1725 (0.4947)</t>
  </si>
  <si>
    <t>0.1739 (0.4819)</t>
  </si>
  <si>
    <t>0.1740 (0.5006)</t>
  </si>
  <si>
    <t>0.1647 (0.7075)</t>
  </si>
  <si>
    <t>0.1665 (0.3971)</t>
  </si>
  <si>
    <t>0.1654 (0.6469)</t>
  </si>
  <si>
    <t>0.1653 (0.7787)</t>
  </si>
  <si>
    <t>0.1609 (0.4773)</t>
  </si>
  <si>
    <t>0.1592 (0.6717)</t>
  </si>
  <si>
    <t>0.1632 (0.3825)</t>
  </si>
  <si>
    <t>0.1632 (0.8487)</t>
  </si>
  <si>
    <t>0.1666 (0.5075)</t>
  </si>
  <si>
    <t>0.1784 (0.4934)</t>
  </si>
  <si>
    <t>0.1639 (0.5937)</t>
  </si>
  <si>
    <t>0.1657 (0.7028)</t>
  </si>
  <si>
    <t>0.1680 (0.9320)</t>
  </si>
  <si>
    <t>0.1634 (0.5277)</t>
  </si>
  <si>
    <t>0.1694 (0.5756)</t>
  </si>
  <si>
    <t>0.1682 (0.4909)</t>
  </si>
  <si>
    <t>0.1653 (0.4717)</t>
  </si>
  <si>
    <t>0.1806 (0.4958)</t>
  </si>
  <si>
    <t>0.2013 (0.4719)</t>
  </si>
  <si>
    <t>0.1743 (1.0831)</t>
  </si>
  <si>
    <t>0.1578 (0.6468)</t>
  </si>
  <si>
    <t>0.1851 (0.4651)</t>
  </si>
  <si>
    <t>0.1731 (0.5292)</t>
  </si>
  <si>
    <t>0.1672 (0.4040)</t>
  </si>
  <si>
    <t>0.1732 (0.9545)</t>
  </si>
  <si>
    <t>0.1725 (0.6403)</t>
  </si>
  <si>
    <t>0.1672 (0.5703)</t>
  </si>
  <si>
    <t>0.1616 (0.5258)</t>
  </si>
  <si>
    <t>0.1799 (0.5122)</t>
  </si>
  <si>
    <t>0.1689 (0.4066)</t>
  </si>
  <si>
    <t>0.1732 (0.5982)</t>
  </si>
  <si>
    <t>0.1653 (0.4646)</t>
  </si>
  <si>
    <t>0.1608 (0.7453)</t>
  </si>
  <si>
    <t>0.1661 (0.4419)</t>
  </si>
  <si>
    <t>0.1672 (0.4169)</t>
  </si>
  <si>
    <t>0.1642 (0.7040)</t>
  </si>
  <si>
    <t>0.1592 (0.4183)</t>
  </si>
  <si>
    <t>0.1658 (0.3991)</t>
  </si>
  <si>
    <t>0.1634 (0.5706)</t>
  </si>
  <si>
    <t>0.1670 (0.3818)</t>
  </si>
  <si>
    <t>0.1616 (0.4601)</t>
  </si>
  <si>
    <t>0.1647 (0.5545)</t>
  </si>
  <si>
    <t>0.1700 (0.4698)</t>
  </si>
  <si>
    <t>0.1575 (0.4401)</t>
  </si>
  <si>
    <t>0.1603 (0.6499)</t>
  </si>
  <si>
    <t>0.1655 (0.3958)</t>
  </si>
  <si>
    <t>0.1590 (0.5079)</t>
  </si>
  <si>
    <t>0.1573 (0.3462)</t>
  </si>
  <si>
    <t>0.1669 (0.4552)</t>
  </si>
  <si>
    <t>0.1602 (0.5145)</t>
  </si>
  <si>
    <t>0.1530 (0.3051)</t>
  </si>
  <si>
    <t>0.1668 (0.5343)</t>
  </si>
  <si>
    <t>0.1674 (0.5803)</t>
  </si>
  <si>
    <t>0.1654 (1.1379)</t>
  </si>
  <si>
    <t>0.1667 (0.5072)</t>
  </si>
  <si>
    <t>0.1705 (0.3761)</t>
  </si>
  <si>
    <t>0.1616 (0.4681)</t>
  </si>
  <si>
    <t>0.1665 (0.6704)</t>
  </si>
  <si>
    <t>0.1659 (0.5072)</t>
  </si>
  <si>
    <t>0.1690 (0.3968)</t>
  </si>
  <si>
    <t>0.1642 (0.3964)</t>
  </si>
  <si>
    <t>0.1668 (0.4600)</t>
  </si>
  <si>
    <t>0.1648 (0.4922)</t>
  </si>
  <si>
    <t>0.1638 (0.4798)</t>
  </si>
  <si>
    <t>0.1853 (0.5873)</t>
  </si>
  <si>
    <t>0.1789 (0.4624)</t>
  </si>
  <si>
    <t>0.1664 (0.4436)</t>
  </si>
  <si>
    <t>0.1710 (0.6348)</t>
  </si>
  <si>
    <t>0.1762 (0.5113)</t>
  </si>
  <si>
    <t>0.2114 (0.5385)</t>
  </si>
  <si>
    <t>0.2016 (0.5848)</t>
  </si>
  <si>
    <t>0.2151 (0.4279)</t>
  </si>
  <si>
    <t>0.1965 (1.0918)</t>
  </si>
  <si>
    <t>0.1940 (0.5183)</t>
  </si>
  <si>
    <t>0.2045 (0.6285)</t>
  </si>
  <si>
    <t>0.2087 (0.6970)</t>
  </si>
  <si>
    <t>0.2099 (0.3574)</t>
  </si>
  <si>
    <t>0.2018 (0.6577)</t>
  </si>
  <si>
    <t>0.1967 (0.5929)</t>
  </si>
  <si>
    <t>0.2039 (0.3824)</t>
  </si>
  <si>
    <t>0.2003 (0.6345)</t>
  </si>
  <si>
    <t>0.1961 (0.4929)</t>
  </si>
  <si>
    <t>0.2177 (0.6683)</t>
  </si>
  <si>
    <t>0.2221 (1.0586)</t>
  </si>
  <si>
    <t>0.2083 (1.1492)</t>
  </si>
  <si>
    <t>0.2166 (0.8346)</t>
  </si>
  <si>
    <t>0.2146 (0.9098)</t>
  </si>
  <si>
    <t>0.2221 (0.1580)</t>
  </si>
  <si>
    <t>0.2106 (0.6301)</t>
  </si>
  <si>
    <t>0.2082 (1.3039)</t>
  </si>
  <si>
    <t>0.2073 (1.1009)</t>
  </si>
  <si>
    <t>0.1931 (0.4664)</t>
  </si>
  <si>
    <t>0.2091 (0.7399)</t>
  </si>
  <si>
    <t>0.2146 (0.5137)</t>
  </si>
  <si>
    <t>0.2122 (0.5004)</t>
  </si>
  <si>
    <t>0.2058 (0.4965)</t>
  </si>
  <si>
    <t>0.2078 (0.5010)</t>
  </si>
  <si>
    <t>0.2049 (0.9959)</t>
  </si>
  <si>
    <t>0.1980 (0.3967)</t>
  </si>
  <si>
    <t>0.1967 (0.5615)</t>
  </si>
  <si>
    <t>0.2039 (0.7529)</t>
  </si>
  <si>
    <t>0.1954 (0.4666)</t>
  </si>
  <si>
    <t>0.1923 (0.6863)</t>
  </si>
  <si>
    <t>0.1948 (0.4194)</t>
  </si>
  <si>
    <t>0.2019 (0.2090)</t>
  </si>
  <si>
    <t>0.1943 (0.5171)</t>
  </si>
  <si>
    <t>0.2130 (0.5020)</t>
  </si>
  <si>
    <t>0.1927 (0.5969)</t>
  </si>
  <si>
    <t>0.1961 (0.4662)</t>
  </si>
  <si>
    <t>0.2014 (0.9927)</t>
  </si>
  <si>
    <t>0.1925 (0.5035)</t>
  </si>
  <si>
    <t>0.2030 (0.5755)</t>
  </si>
  <si>
    <t>0.2005 (0.4701)</t>
  </si>
  <si>
    <t>0.2074 (0.5182)</t>
  </si>
  <si>
    <t>0.2219 (0.5167)</t>
  </si>
  <si>
    <t>0.2364 (0.5439)</t>
  </si>
  <si>
    <t>0.2057 (1.0677)</t>
  </si>
  <si>
    <t>0.1935 (0.5408)</t>
  </si>
  <si>
    <t>0.2132 (0.4741)</t>
  </si>
  <si>
    <t>0.2093 (0.5188)</t>
  </si>
  <si>
    <t>0.2053 (0.4581)</t>
  </si>
  <si>
    <t>0.2026 (0.5826)</t>
  </si>
  <si>
    <t>0.2062 (0.6962)</t>
  </si>
  <si>
    <t>0.2088 (0.6187)</t>
  </si>
  <si>
    <t>0.1933 (0.5819)</t>
  </si>
  <si>
    <t>0.2267 (0.4150)</t>
  </si>
  <si>
    <t>0.2127 (0.6978)</t>
  </si>
  <si>
    <t>0.2073 (0.5595)</t>
  </si>
  <si>
    <t>0.1943 (0.4847)</t>
  </si>
  <si>
    <t>0.1967 (0.8852)</t>
  </si>
  <si>
    <t>0.2104 (0.5606)</t>
  </si>
  <si>
    <t>0.2007 (0.4217)</t>
  </si>
  <si>
    <t>0.1967 (0.7646)</t>
  </si>
  <si>
    <t>0.1962 (0.4103)</t>
  </si>
  <si>
    <t>0.2069 (0.8469)</t>
  </si>
  <si>
    <t>0.2002 (0.6050)</t>
  </si>
  <si>
    <t>0.1955 (0.4003)</t>
  </si>
  <si>
    <t>0.1937 (0.4819)</t>
  </si>
  <si>
    <t>0.1957 (0.5728)</t>
  </si>
  <si>
    <t>0.2014 (0.4387)</t>
  </si>
  <si>
    <t>0.1889 (0.4142)</t>
  </si>
  <si>
    <t>0.1882 (0.7265)</t>
  </si>
  <si>
    <t>0.1926 (0.3914)</t>
  </si>
  <si>
    <t>0.1947 (0.2327)</t>
  </si>
  <si>
    <t>0.1861 (0.3096)</t>
  </si>
  <si>
    <t>0.1970 (0.4949)</t>
  </si>
  <si>
    <t>0.1975 (0.8296)</t>
  </si>
  <si>
    <t>0.1858 (0.3183)</t>
  </si>
  <si>
    <t>0.2043 (0.5795)</t>
  </si>
  <si>
    <t>0.2126 (0.6608)</t>
  </si>
  <si>
    <t>0.1954 (1.0801)</t>
  </si>
  <si>
    <t>0.2010 (0.5330)</t>
  </si>
  <si>
    <t>0.2083 (0.3899)</t>
  </si>
  <si>
    <t>0.2055 (0.5349)</t>
  </si>
  <si>
    <t>0.1965 (0.5853)</t>
  </si>
  <si>
    <t>0.1992 (0.5116)</t>
  </si>
  <si>
    <t>0.1974 (0.3680)</t>
  </si>
  <si>
    <t>0.1922 (0.6992)</t>
  </si>
  <si>
    <t>0.2078 (0.3175)</t>
  </si>
  <si>
    <t>0.2055 (0.4796)</t>
  </si>
  <si>
    <t>0.1955 (0.4258)</t>
  </si>
  <si>
    <t>0.2238 (0.5396)</t>
  </si>
  <si>
    <t>0.2226 (0.4921)</t>
  </si>
  <si>
    <t>0.2037 (0.4295)</t>
  </si>
  <si>
    <t>0.2020 (0.4576)</t>
  </si>
  <si>
    <t>0.2093 (0.4887)</t>
  </si>
  <si>
    <t>0.972 (0.780)</t>
  </si>
  <si>
    <t>0.970 (0.277)</t>
  </si>
  <si>
    <t>0.970 (0.470)</t>
  </si>
  <si>
    <t>0.972 (0.869)</t>
  </si>
  <si>
    <t>0.506 (0.403)</t>
  </si>
  <si>
    <t>0.488 (0.076)</t>
  </si>
  <si>
    <t>0.503 (-0.152)</t>
  </si>
  <si>
    <t>0.966 (0.836)</t>
  </si>
  <si>
    <t>0.496 (0.031)</t>
  </si>
  <si>
    <t>0.971 (0.897)</t>
  </si>
  <si>
    <t>0.968 (0.368)</t>
  </si>
  <si>
    <t>0.968 (0.223)</t>
  </si>
  <si>
    <t>0.971 (0.844)</t>
  </si>
  <si>
    <t>0.964 (-0.041)</t>
  </si>
  <si>
    <t>0.500 (-0.074)</t>
  </si>
  <si>
    <t>0.969 (0.866)</t>
  </si>
  <si>
    <t>0.965 (0.941)</t>
  </si>
  <si>
    <t>0.963 (0.746)</t>
  </si>
  <si>
    <t>0.963 (-0.085)</t>
  </si>
  <si>
    <t>0.972 (0.813)</t>
  </si>
  <si>
    <t>0.969 (0.936)</t>
  </si>
  <si>
    <t>0.502 (-0.060)</t>
  </si>
  <si>
    <t>0.510 (0.171)</t>
  </si>
  <si>
    <t>0.493 (0.100)</t>
  </si>
  <si>
    <t>0.971 (0.837)</t>
  </si>
  <si>
    <t>0.503 (0.266)</t>
  </si>
  <si>
    <t>0.511 (0.254)</t>
  </si>
  <si>
    <t>0.969 (0.799)</t>
  </si>
  <si>
    <t>0.974 (0.850)</t>
  </si>
  <si>
    <t>0.971 (0.786)</t>
  </si>
  <si>
    <t>0.490 (0.078)</t>
  </si>
  <si>
    <t>0.484 (0.125)</t>
  </si>
  <si>
    <t>0.504 (0.230)</t>
  </si>
  <si>
    <t>0.509 (0.113)</t>
  </si>
  <si>
    <t>0.491 (0.192)</t>
  </si>
  <si>
    <t>0.493 (-0.082)</t>
  </si>
  <si>
    <t>0.491 (0.204)</t>
  </si>
  <si>
    <t>0.513 (0.254)</t>
  </si>
  <si>
    <t>0.973 (0.860)</t>
  </si>
  <si>
    <t>0.497 (0.034)</t>
  </si>
  <si>
    <t>0.974 (0.855)</t>
  </si>
  <si>
    <t>0.508 (0.155)</t>
  </si>
  <si>
    <t>0.970 (0.800)</t>
  </si>
  <si>
    <t>0.969 (0.807)</t>
  </si>
  <si>
    <t>0.489 (0.084)</t>
  </si>
  <si>
    <t>0.971 (0.744)</t>
  </si>
  <si>
    <t>0.461 (0.087)</t>
  </si>
  <si>
    <t>0.508 (0.067)</t>
  </si>
  <si>
    <t>0.506 (0.155)</t>
  </si>
  <si>
    <t>0.520 (0.242)</t>
  </si>
  <si>
    <t>0.970 (0.735)</t>
  </si>
  <si>
    <t>0.501 (0.127)</t>
  </si>
  <si>
    <t>0.969 (0.898)</t>
  </si>
  <si>
    <t>0.968 (0.890)</t>
  </si>
  <si>
    <t>0.491 (0.360)</t>
  </si>
  <si>
    <t>0.499 (0.310)</t>
  </si>
  <si>
    <t>0.460 (0.117)</t>
  </si>
  <si>
    <t>0.968 (0.436)</t>
  </si>
  <si>
    <t>0.969 (0.859)</t>
  </si>
  <si>
    <t>0.972 (0.738)</t>
  </si>
  <si>
    <t>0.973 (0.853)</t>
  </si>
  <si>
    <t>0.474 (0.151)</t>
  </si>
  <si>
    <t>0.969 (0.837)</t>
  </si>
  <si>
    <t>0.974 (0.889)</t>
  </si>
  <si>
    <t>0.492 (0.181)</t>
  </si>
  <si>
    <t>0.478 (0.020)</t>
  </si>
  <si>
    <t>0.489 (0.314)</t>
  </si>
  <si>
    <t>0.487 (0.216)</t>
  </si>
  <si>
    <t>0.976 (0.775)</t>
  </si>
  <si>
    <t>0.972 (0.875)</t>
  </si>
  <si>
    <t>0.968 (0.814)</t>
  </si>
  <si>
    <t>0.508 (0.167)</t>
  </si>
  <si>
    <t>0.489 (0.256)</t>
  </si>
  <si>
    <t>0.504 (0.223)</t>
  </si>
  <si>
    <t>0.493 (-0.121)</t>
  </si>
  <si>
    <t>0.493 (0.064)</t>
  </si>
  <si>
    <t>0.975 (0.715)</t>
  </si>
  <si>
    <t>0.973 (0.863)</t>
  </si>
  <si>
    <t>0.966 (0.914)</t>
  </si>
  <si>
    <t>0.968 (0.404)</t>
  </si>
  <si>
    <t>0.972 (0.740)</t>
  </si>
  <si>
    <t>0.491 (0.435)</t>
  </si>
  <si>
    <t>0.497 (0.253)</t>
  </si>
  <si>
    <t>0.496 (0.098)</t>
  </si>
  <si>
    <t>0.485 (0.269)</t>
  </si>
  <si>
    <t>0.495 (0.161)</t>
  </si>
  <si>
    <t>0.970 (0.829)</t>
  </si>
  <si>
    <t>0.963 (0.826)</t>
  </si>
  <si>
    <t>0.485 (-0.013)</t>
  </si>
  <si>
    <t>0.970 (0.691)</t>
  </si>
  <si>
    <t>0.486 (0.077)</t>
  </si>
  <si>
    <t>0.488 (0.047)</t>
  </si>
  <si>
    <t>0.490 (0.593)</t>
  </si>
  <si>
    <t>0.971 (0.778)</t>
  </si>
  <si>
    <t>0.499 (0.243)</t>
  </si>
  <si>
    <t>0.511 (0.262)</t>
  </si>
  <si>
    <t>0.515 (0.319)</t>
  </si>
  <si>
    <t>0.959 (0.782)</t>
  </si>
  <si>
    <t>0.932 (-0.241)</t>
  </si>
  <si>
    <t>0.957 (0.487)</t>
  </si>
  <si>
    <t>0.933 (0.954)</t>
  </si>
  <si>
    <t>0.453 (0.003)</t>
  </si>
  <si>
    <t>0.450 (0.427)</t>
  </si>
  <si>
    <t>0.404 (-0.233)</t>
  </si>
  <si>
    <t>0.943 (-1.000)</t>
  </si>
  <si>
    <t>0.458 (-0.058)</t>
  </si>
  <si>
    <t>0.910 (0.969)</t>
  </si>
  <si>
    <t>0.925 (0.000)</t>
  </si>
  <si>
    <t>0.947 (0.109)</t>
  </si>
  <si>
    <t>0.931 (0.884)</t>
  </si>
  <si>
    <t>0.946 (0.778)</t>
  </si>
  <si>
    <t>0.408 (-0.566)</t>
  </si>
  <si>
    <t>0.924 (0.894)</t>
  </si>
  <si>
    <t>0.896 (0.992)</t>
  </si>
  <si>
    <t>0.935 (0.849)</t>
  </si>
  <si>
    <t>0.955 (0.642)</t>
  </si>
  <si>
    <t>0.942 (0.845)</t>
  </si>
  <si>
    <t>0.942 (0.982)</t>
  </si>
  <si>
    <t>0.415 (0.238)</t>
  </si>
  <si>
    <t>0.489 (0.177)</t>
  </si>
  <si>
    <t>0.472 (0.796)</t>
  </si>
  <si>
    <t>0.936 (-0.022)</t>
  </si>
  <si>
    <t>0.396 (0.235)</t>
  </si>
  <si>
    <t>0.458 (0.166)</t>
  </si>
  <si>
    <t>0.949 (0.827)</t>
  </si>
  <si>
    <t>0.940 (0.857)</t>
  </si>
  <si>
    <t>0.927 (0.790)</t>
  </si>
  <si>
    <t>0.451 (-0.289)</t>
  </si>
  <si>
    <t>0.447 (0.422)</t>
  </si>
  <si>
    <t>0.363 (0.356)</t>
  </si>
  <si>
    <t>0.451 (0.043)</t>
  </si>
  <si>
    <t>0.460 (0.270)</t>
  </si>
  <si>
    <t>0.456 (-1.000)</t>
  </si>
  <si>
    <t>0.470 (0.337)</t>
  </si>
  <si>
    <t>0.457 (0.241)</t>
  </si>
  <si>
    <t>0.958 (0.730)</t>
  </si>
  <si>
    <t>0.470 (-0.164)</t>
  </si>
  <si>
    <t>0.953 (0.649)</t>
  </si>
  <si>
    <t>0.472 (0.075)</t>
  </si>
  <si>
    <t>0.944 (0.751)</t>
  </si>
  <si>
    <t>0.944 (0.844)</t>
  </si>
  <si>
    <t>0.460 (0.335)</t>
  </si>
  <si>
    <t>0.943 (0.769)</t>
  </si>
  <si>
    <t>0.380 (-0.051)</t>
  </si>
  <si>
    <t>0.490 (-0.085)</t>
  </si>
  <si>
    <t>0.443 (0.022)</t>
  </si>
  <si>
    <t>0.470 (0.227)</t>
  </si>
  <si>
    <t>0.915 (0.707)</t>
  </si>
  <si>
    <t>0.476 (-0.000)</t>
  </si>
  <si>
    <t>0.956 (0.924)</t>
  </si>
  <si>
    <t>0.944 (0.959)</t>
  </si>
  <si>
    <t>0.491 (0.303)</t>
  </si>
  <si>
    <t>0.408 (0.542)</t>
  </si>
  <si>
    <t>0.428 (-0.268)</t>
  </si>
  <si>
    <t>0.943 (0.370)</t>
  </si>
  <si>
    <t>0.932 (0.469)</t>
  </si>
  <si>
    <t>0.958 (0.669)</t>
  </si>
  <si>
    <t>0.955 (-1.000)</t>
  </si>
  <si>
    <t>0.446 (-0.615)</t>
  </si>
  <si>
    <t>0.948 (0.785)</t>
  </si>
  <si>
    <t>0.952 (0.000)</t>
  </si>
  <si>
    <t>0.463 (-0.025)</t>
  </si>
  <si>
    <t>0.453 (0.092)</t>
  </si>
  <si>
    <t>0.454 (0.276)</t>
  </si>
  <si>
    <t>0.465 (0.205)</t>
  </si>
  <si>
    <t>0.952 (0.722)</t>
  </si>
  <si>
    <t>0.955 (0.822)</t>
  </si>
  <si>
    <t>0.950 (0.741)</t>
  </si>
  <si>
    <t>0.404 (0.083)</t>
  </si>
  <si>
    <t>0.434 (-0.202)</t>
  </si>
  <si>
    <t>0.445 (0.120)</t>
  </si>
  <si>
    <t>0.466 (1.000)</t>
  </si>
  <si>
    <t>0.549 (0.990)</t>
  </si>
  <si>
    <t>0.952 (0.640)</t>
  </si>
  <si>
    <t>0.944 (0.985)</t>
  </si>
  <si>
    <t>0.920 (0.906)</t>
  </si>
  <si>
    <t>0.936 (-0.641)</t>
  </si>
  <si>
    <t>0.946 (0.804)</t>
  </si>
  <si>
    <t>0.468 (-1.000)</t>
  </si>
  <si>
    <t>0.446 (0.281)</t>
  </si>
  <si>
    <t>0.461 (-0.093)</t>
  </si>
  <si>
    <t>0.445 (0.142)</t>
  </si>
  <si>
    <t>0.455 (-0.148)</t>
  </si>
  <si>
    <t>0.946 (0.819)</t>
  </si>
  <si>
    <t>0.916 (0.821)</t>
  </si>
  <si>
    <t>0.465 (-0.712)</t>
  </si>
  <si>
    <t>0.935 (0.210)</t>
  </si>
  <si>
    <t>0.458 (0.182)</t>
  </si>
  <si>
    <t>0.409 (0.107)</t>
  </si>
  <si>
    <t>0.423 (0.007)</t>
  </si>
  <si>
    <t>0.943 (0.774)</t>
  </si>
  <si>
    <t>0.469 (0.184)</t>
  </si>
  <si>
    <t>0.469 (0.433)</t>
  </si>
  <si>
    <t>0.457 (0.485)</t>
  </si>
  <si>
    <t>Dataset_ID</t>
  </si>
  <si>
    <t>Where?</t>
  </si>
  <si>
    <t>Smiles</t>
  </si>
  <si>
    <t>Soak_time_hrs</t>
  </si>
  <si>
    <t>Resolution</t>
  </si>
  <si>
    <t>Dimple rfree</t>
  </si>
  <si>
    <t>PanDDA?</t>
  </si>
  <si>
    <t>Fragment?</t>
  </si>
  <si>
    <t>General_binding_1</t>
  </si>
  <si>
    <t>General_binding_2</t>
  </si>
  <si>
    <t>General_binding_3</t>
  </si>
  <si>
    <t>General_binding_4</t>
  </si>
  <si>
    <t>UCSF</t>
  </si>
  <si>
    <t>ALS BEAMLINE 8.3.1</t>
  </si>
  <si>
    <t>NC(=O)C=1C=NC=CN1</t>
  </si>
  <si>
    <t>Adenosine</t>
  </si>
  <si>
    <t>CC(C)OCCN1C2=C(C(=O)NC1=S)NC=C2</t>
  </si>
  <si>
    <t>c1coc(CNc2ncnc3[nH]cnc23)c1</t>
  </si>
  <si>
    <t>NC1=C2CCCC2=NC3=NC=NN13</t>
  </si>
  <si>
    <t>CN1C=CC=2C(N)=NC=NC12</t>
  </si>
  <si>
    <t>CC1=C(C)C=2C(N)=NC=NC2N1CC3=CC=CO3</t>
  </si>
  <si>
    <t>NC=1N=CN=C2C=CC=CC12</t>
  </si>
  <si>
    <t>FC1CCCN(C1)C=2N=CN=C3NC=CC23</t>
  </si>
  <si>
    <t>CN1C=NC=2C(N)=NC(N)=NC12</t>
  </si>
  <si>
    <t>CN(CCC(=O)O)C=1N=CN=C2NC=CC12</t>
  </si>
  <si>
    <t>C1CC12CCCN(C2)C=3N=CN=C4NC=CC34</t>
  </si>
  <si>
    <t>C1OC[C@@H]2[C@H]1CCCN2C=3N=CN=C4NC=CC34</t>
  </si>
  <si>
    <t>NC1=C2N=CN=C2N(CC3=CSC(C)=N3)C=N1</t>
  </si>
  <si>
    <t>NC1=C2N=CN=C2N(CC3=CC(OC)=NO3)C=N1</t>
  </si>
  <si>
    <t>NC=1N=CN=C(N2CC3CCC2CC3)C1Cl</t>
  </si>
  <si>
    <t>SSRL BEAMLINE BL12-1</t>
  </si>
  <si>
    <t>CC(=O)NC=1C=CC(=CC1)C(=O)O</t>
  </si>
  <si>
    <t>OCC1=NC=2C=CC=CC2N1</t>
  </si>
  <si>
    <t>NC(=O)C=1C=CC=CC1O</t>
  </si>
  <si>
    <t>CS(=O)(=O)NC=1C=CC(=CC1)C(=O)O</t>
  </si>
  <si>
    <t>CSC=1C=CC(O)=C(C1)C(=O)O</t>
  </si>
  <si>
    <t>OC(=O)C=1C=CC=2OCCC2C1</t>
  </si>
  <si>
    <t>XCHEM</t>
  </si>
  <si>
    <t>Diamond BEAMLINE I04-1</t>
  </si>
  <si>
    <t>C1c2cncnc2NC1</t>
  </si>
  <si>
    <t>Cc1n[nH]c(N)c1C#N</t>
  </si>
  <si>
    <t>Surface</t>
  </si>
  <si>
    <t>NCc1cc(Br)cnc1</t>
  </si>
  <si>
    <t>CC(Nc1nccs1)=O</t>
  </si>
  <si>
    <t>Cc1c(CO)cncc1</t>
  </si>
  <si>
    <t>Cc1nc(C#N)c(N)o1</t>
  </si>
  <si>
    <t>NCCN(C=CC=C1)C1=O</t>
  </si>
  <si>
    <t>NCC(Nc1nccs1)=O</t>
  </si>
  <si>
    <t>Nc1cnc2[nH]ncc2c1</t>
  </si>
  <si>
    <t>O=C1NC=Nc2c1cccc2</t>
  </si>
  <si>
    <t>Nc1cc(COCC2)c2nc1</t>
  </si>
  <si>
    <t>CNC(C(C=C1)=CNC1=O)=O</t>
  </si>
  <si>
    <t>NCc1cc2ccccc2nc1</t>
  </si>
  <si>
    <t>NC(C1=Cc(cccc2)c2OC1)=O</t>
  </si>
  <si>
    <t>CNC(Cn1c(cccc2)c2nc1)=O</t>
  </si>
  <si>
    <t>CCc1c(C(NC)=O)[nH]c(C)c1C(C)=O</t>
  </si>
  <si>
    <t>CC(CO)NC(Nc1cc(F)c(C)cc1)=O</t>
  </si>
  <si>
    <t>Cc(nc(cc(cc1)F)c1c1)c1C(NC)=O</t>
  </si>
  <si>
    <t>COC=1C=CC(NC(=O)NC2=CC=CS2)=CN1</t>
  </si>
  <si>
    <t>O=C(NC=1C=CC=CC1)NC=2C=CC=NC2</t>
  </si>
  <si>
    <t>COC=1C=CC(NC(=O)NC=2C=CN=CC2)=CC1</t>
  </si>
  <si>
    <t>OCC1CCN(CC1)C=2N=CC=CN2</t>
  </si>
  <si>
    <t>CNCC(=O)NC=1C=C(C)C=CN1</t>
  </si>
  <si>
    <t>CCCC(=O)NCC1=NC=2C=CC=CC2N1</t>
  </si>
  <si>
    <t>O=C(NCC1=NC=2C=CC=CC2N1)C3=CC=CO3</t>
  </si>
  <si>
    <t>NC(=O)C1=CNC(=N1)C2CC2</t>
  </si>
  <si>
    <t>CS(=O)(=O)CC1=NC=2C=CC=CC2N1</t>
  </si>
  <si>
    <t>CC(C)C(=O)NCC1=NC=2C=CC=CC2N1</t>
  </si>
  <si>
    <t>COC=1C=CC=2SC(N)=NC2C1</t>
  </si>
  <si>
    <t>NC(=O)C=1C=NC(=NC1)C(F)(F)F</t>
  </si>
  <si>
    <t>CNC(=O)C=1C=CC(=CC1)S(=O)(=O)N</t>
  </si>
  <si>
    <t>NC(=O)C=1C=NN(CCO)C1</t>
  </si>
  <si>
    <t>CCC(=O)NC1=NC(C)=CS1</t>
  </si>
  <si>
    <t>NC(=O)C1CCCN2C=CN=C12</t>
  </si>
  <si>
    <t>CCNC=1C=CC(C#N)=CN1</t>
  </si>
  <si>
    <t>CNC=1N=CC=CN1</t>
  </si>
  <si>
    <t>CS(=O)(=O)NC=1C=CC(=CC1)C(=O)N</t>
  </si>
  <si>
    <t>CC1=NN(C)C(C)=C1CC(=O)N</t>
  </si>
  <si>
    <t>CNCC=1C=NN(C1)C=2C=CC=CC2</t>
  </si>
  <si>
    <t>O=C(N1[C@H]2CC3=C(C=CC=N3)[C@@H]1CC2)C</t>
  </si>
  <si>
    <t>O=C([C@@H]1[C@H](C2=CSC=C2)CCC1)O</t>
  </si>
  <si>
    <t>Catalytic</t>
  </si>
  <si>
    <t>COC1=CC(=CC=C1)[C@H]1CCOC[C@H]1C(O)=O</t>
  </si>
  <si>
    <t>O=C1C=C(I)C=CN1</t>
  </si>
  <si>
    <t>O=C1C=C(Br)C=CN1</t>
  </si>
  <si>
    <t>BrC1=CC=NC2=NC=CC=C21</t>
  </si>
  <si>
    <t>OC1=C(C#N)C=C(Br)C=C1</t>
  </si>
  <si>
    <t>O=C1CNC(=O)N1</t>
  </si>
  <si>
    <t>O=C1CCCN1</t>
  </si>
  <si>
    <t>OC=1C=CC=CN1</t>
  </si>
  <si>
    <t>NC1=NN=CN1</t>
  </si>
  <si>
    <t>O=C1C=CC=NN1</t>
  </si>
  <si>
    <t>N#CC1=CNC=N1</t>
  </si>
  <si>
    <t>c1cnc2ncccc2c1</t>
  </si>
  <si>
    <t>Nc1nnc2ccccn12</t>
  </si>
  <si>
    <t>Clc1ccc2nnnn2n1</t>
  </si>
  <si>
    <t>CC(NC1=CC(Br)=CNC1=O)=O</t>
  </si>
  <si>
    <t>OC(=O)CCC1=NC=2C=CC=CC2N1</t>
  </si>
  <si>
    <t>OC=1C=CC=2C=CC(=O)OC2C1</t>
  </si>
  <si>
    <t>C1=CC=2C=CC=NC2N1</t>
  </si>
  <si>
    <t>NC1=NOC=2C=CC=CC12</t>
  </si>
  <si>
    <t>CC=1C=CC(O)=C(C1)C(=O)O</t>
  </si>
  <si>
    <t>OC(=O)C=1C=CC=C2OCOC21</t>
  </si>
  <si>
    <t>OC(=O)CNC(=O)C=1C=CC=C(O)C1</t>
  </si>
  <si>
    <t>NS(=O)(=O)C1=NC=2C=CC=CC2N1</t>
  </si>
  <si>
    <t>C1=CNC(=N1)C=2C=CN=CC2</t>
  </si>
  <si>
    <t>OC(=O)C=1C=CC=C(Cl)C1</t>
  </si>
  <si>
    <t>OC(=O)C=1C=CC(O)=CC1</t>
  </si>
  <si>
    <t>OC=1C=CC=2OCOC2C1</t>
  </si>
  <si>
    <t>CC=1C=CC(=CC1)S(=O)(=O)N</t>
  </si>
  <si>
    <t>NC1=NC=2C=CC=CC2C(=O)N1</t>
  </si>
  <si>
    <t>CC=1N=C(N)C=CC1Br</t>
  </si>
  <si>
    <t>ONC(=O)C=1C=CC=CC1O</t>
  </si>
  <si>
    <t>OC(=O)C=1C=NC=C(C1)C=2C=CC=CC2</t>
  </si>
  <si>
    <t>CN1N=CC(C(=O)O)=C1C=2C=CC=CC2</t>
  </si>
  <si>
    <t>NS(=O)(=O)C=1C=C(Cl)C=C(Cl)C1</t>
  </si>
  <si>
    <t>NC(=O)C=1C=CC(O)=CC1</t>
  </si>
  <si>
    <t>OC(=O)C=1C=CC(O)=C(F)C1</t>
  </si>
  <si>
    <t>CC1=NC=C(S1)C(=O)O</t>
  </si>
  <si>
    <t>OC(=O)C=1C=CC=2NC(=O)CSC2C1</t>
  </si>
  <si>
    <t>CC=1C=NC(C)=NC1N</t>
  </si>
  <si>
    <t>NC=1N=CC=C2C=CC=CC12</t>
  </si>
  <si>
    <t>NC=1C=NC=CC1C(=O)O</t>
  </si>
  <si>
    <t>NC(=O)C=1C=CC=NC1</t>
  </si>
  <si>
    <t>NC1=NC=2C(Cl)=CC=CC2S1</t>
  </si>
  <si>
    <t>NC=1C=CC(C(=O)O)=C(O)C1</t>
  </si>
  <si>
    <t>NC1=NC=2C=CC(Cl)=CC2S1</t>
  </si>
  <si>
    <t>O=C1NC=CC=2C=CC=CC12</t>
  </si>
  <si>
    <t>CC=1C=C(C)N=C(N)N1</t>
  </si>
  <si>
    <t>NC1=NC=2C=CC(F)=CC2S1</t>
  </si>
  <si>
    <t>NCCC1=CNC=N1</t>
  </si>
  <si>
    <t>ZINC000000388081</t>
  </si>
  <si>
    <t>O=c1[nH]c(=O)c2[nH]cnc2[nH]1</t>
  </si>
  <si>
    <t>O=C(NCc1ccccc1)c1cnccn1</t>
  </si>
  <si>
    <t>NC=1C=NC=2C=CC=CC2C1</t>
  </si>
  <si>
    <t>O=C1NC=NC=2C=3C=CC=CC3OC12</t>
  </si>
  <si>
    <t>OC(=O)C=1C=CC=2OCOC2C1</t>
  </si>
  <si>
    <t>NC1=NNC=2C=CC=CC12</t>
  </si>
  <si>
    <t>CC=1C=CC(=CN1)C(=O)N</t>
  </si>
  <si>
    <t>CC=1NC=2C=CC=CC2C(=O)C1O</t>
  </si>
  <si>
    <t>Nc1nc2[nH]c(=O)cnc2c(=O)[nH]1</t>
  </si>
  <si>
    <t>C1CC(C1)C2CCCN2C=3N=CN=C4NC=CC34</t>
  </si>
  <si>
    <t>CC(SCC(=O)O)C(=O)N1CCNC1=O</t>
  </si>
  <si>
    <t>NC1=C2N=CN=C2N(C[C@H]3CCCO3)C=N1</t>
  </si>
  <si>
    <t>NC1=C2N=CN=C2N(CCCC3CCOC3)C=N1</t>
  </si>
  <si>
    <t>NSLS-II BEAMLINE 17-ID-2</t>
  </si>
  <si>
    <t>OC(=O)C=1C=NC=2C=CC=CC2C1</t>
  </si>
  <si>
    <t>ClC=1C=CC=2OC(=O)NC2C1</t>
  </si>
  <si>
    <t>DLS-X0206</t>
  </si>
  <si>
    <t>CN(CC(=O)O)C(=O)C=1C=CC=CN1</t>
  </si>
  <si>
    <t>Z1171978788</t>
  </si>
  <si>
    <t>DLS-X0219</t>
  </si>
  <si>
    <t>C1CN(C1)C=2N=CN=C3N=CNC23</t>
  </si>
  <si>
    <t>Z373221060</t>
  </si>
  <si>
    <t>DLS-X0229</t>
  </si>
  <si>
    <t>CC(C)(O)CN1CC[C@H](N)C1</t>
  </si>
  <si>
    <t>Z2429435052</t>
  </si>
  <si>
    <t>DLS-X0546</t>
  </si>
  <si>
    <t>CCN1C(NC(=O)C)=NC=2C=CC=CC12</t>
  </si>
  <si>
    <t>Z68639747</t>
  </si>
  <si>
    <t>DLS-X0820</t>
  </si>
  <si>
    <t>CN(N=C1)C=C1[C@H]2[C@@H](C(OC)=O)CCC2</t>
  </si>
  <si>
    <t>POB0123</t>
  </si>
  <si>
    <t>DLS-X0894</t>
  </si>
  <si>
    <t>NC=1C=NC=NC1</t>
  </si>
  <si>
    <t>Z1741970824</t>
  </si>
  <si>
    <t>NC=1C=CN=CC1</t>
  </si>
  <si>
    <t>CC=1C(Cl)=CC=CC1NC(=O)CN</t>
  </si>
  <si>
    <t>CNC1CCN(C1=O)C=2C=CC=CC2F</t>
  </si>
  <si>
    <t>CC(OC=1C=CC(Cl)=CC1)C(=O)N</t>
  </si>
  <si>
    <t>CC(C=CC=C1)=C1[C@H]2[C@@H](C(O)=O)COC2</t>
  </si>
  <si>
    <t>N=C1NCCCN1</t>
  </si>
  <si>
    <t>COC=1C=CC(C)=CC1NC(=O)NN2C=NN=C2</t>
  </si>
  <si>
    <t>K90</t>
  </si>
  <si>
    <t>CC(C)NCC=1C=CC(=CC1)N(C)C</t>
  </si>
  <si>
    <t>C[C@H](O)CNCC=1C=CC=2OCOC2C1</t>
  </si>
  <si>
    <t>CS(=O)(=O)NCC1CCNCC1</t>
  </si>
  <si>
    <t>OC[C@H]1CNC[C@H](C)C1</t>
  </si>
  <si>
    <t>N[C@H]1COCC[C@H]1C2=CC=CC(OC)=C2</t>
  </si>
  <si>
    <t>NC1c2cccc(O)c2CCC1</t>
  </si>
  <si>
    <t>NS(=O)(=O)C=1C=CC(=CC1)C(=O)O</t>
  </si>
  <si>
    <t>OC(=O)CN1C(=O)C=2C=CC=CC2C1=O</t>
  </si>
  <si>
    <t>O=C1NS(=O)(=O)C=2C=CC=CC12</t>
  </si>
  <si>
    <t>CC=1ON=C(C1C(=O)O)C=2C=CC=CC2</t>
  </si>
  <si>
    <t>OC(=O)CNC(=O)NC1CCCCC1</t>
  </si>
  <si>
    <t>OC(=O)C=1C=NC=C(O)C1</t>
  </si>
  <si>
    <t>OC(=O)C1CC=2C=CC=CC2C1</t>
  </si>
  <si>
    <t>COC=1C=C(CC(=O)O)C=CC1O</t>
  </si>
  <si>
    <t>OC(=O)C=1C=NN(C1)C=2C=CC=CC2</t>
  </si>
  <si>
    <t>OC(=O)CC1=NNC(=O)C=2C=CC=CC12</t>
  </si>
  <si>
    <t>OC(=O)CC1=CC=2C=CC=CC2S1</t>
  </si>
  <si>
    <t>OC(=O)CC=1C=CC(Cl)=C(Cl)C1</t>
  </si>
  <si>
    <t>OC(=O)C=1N=CC=CC1O</t>
  </si>
  <si>
    <t>OC(=O)CC=1C=CC=C(O)C1</t>
  </si>
  <si>
    <t>OC(=O)CCC1=NC=2C=C(Cl)C=CC2S1</t>
  </si>
  <si>
    <t>OC(=O)C(=O)NC=1C=CC=CC1</t>
  </si>
  <si>
    <t>CN1C=C(CCC(=O)O)C=2C=CC=CC12</t>
  </si>
  <si>
    <t>CC=1C(O)=CC=CC1C(=O)O</t>
  </si>
  <si>
    <t>OC(=O)CC=1C=CC=CC1O</t>
  </si>
  <si>
    <t>OC(=O)CC=1C(Cl)=CC=CC1Cl</t>
  </si>
  <si>
    <t>OC(=O)C(C=1C=CC=CC1)C=2C=CC=CC2</t>
  </si>
  <si>
    <t>OC(=O)COC=1C=CC=CC1</t>
  </si>
  <si>
    <t>OC(=O)CC=1C=C(Cl)C=C(Cl)C1</t>
  </si>
  <si>
    <t>OC(=O)COC=1C=CC=C2C=CC=CC12</t>
  </si>
  <si>
    <t>OC(=O)COC=1C(Cl)=CC=CC1Cl</t>
  </si>
  <si>
    <t>OC(=O)CC1=CNC=2C=CC(Br)=CC12</t>
  </si>
  <si>
    <t>OC(=O)CC1=NOC=2C=CC=CC12</t>
  </si>
  <si>
    <t>OC(=O)CCC1=NC=2C=CC=CC2NC1=O</t>
  </si>
  <si>
    <t>OC(=O)CCN1C=NC=2C=CC=CC12</t>
  </si>
  <si>
    <t>OC(=O)C1=CC=2C(Cl)=CC=CC2N1</t>
  </si>
  <si>
    <t>OC(=O)CN1N=C(C=2CCCCC21)C(F)(F)F</t>
  </si>
  <si>
    <t>CC(O)(C(=O)O)C=1C=CC=CC1</t>
  </si>
  <si>
    <t>O=S(=O)(Nc1nncs1)c1ccccc1</t>
  </si>
  <si>
    <t>Cc1noc(CNC(=O)c2cccc(C(=O)O)c2)n1</t>
  </si>
  <si>
    <t>COC=1C=CC=2NC=C(CC(=O)O)C2C1</t>
  </si>
  <si>
    <t>CC=1C=CC=C(C1)C(=O)NCC(=O)O</t>
  </si>
  <si>
    <t>CC(OC=1C=CC=CC1F)C(=O)O</t>
  </si>
  <si>
    <t>CC=1N=C(C)N(CCC(=O)O)N1</t>
  </si>
  <si>
    <t>CC(NC(=O)C1CCCC1)C(=O)O</t>
  </si>
  <si>
    <t>BrC1=CN(CC(O)=O)N=C1</t>
  </si>
  <si>
    <t>O=C1N(CC(O)=O)C=CC(Br)=C1</t>
  </si>
  <si>
    <t>CC(O)C(=O)O</t>
  </si>
  <si>
    <t>NC(=O)N1CCC(CC1)C(O)=O</t>
  </si>
  <si>
    <t>CC1N(C(=O)NC1=O)c1ccc(Cl)cc1</t>
  </si>
  <si>
    <t>Cn1ncc(C(Nc(cc2)ccc2O)=O)c1</t>
  </si>
  <si>
    <t>CCn1ncc(NC(c(cc2)ccc2F)=O)c1</t>
  </si>
  <si>
    <t>CC(N(C)N(C1=O)c2ccccc2)=C1NS(C)(=O)=O</t>
  </si>
  <si>
    <t>C(CC=1C=CC=CC1)NC2=NC=3C=CC=CC3N2</t>
  </si>
  <si>
    <t>CC(=O)NC=1C=CC(NC=2C=CC=CC2)=CC1</t>
  </si>
  <si>
    <t>CCCN1N=NC(NC(=O)C2=CC=CO2)=N1</t>
  </si>
  <si>
    <t>CN1C=CC(=N1)C(=O)NC=2C=CC=C(C2)C(=O)[O-]</t>
  </si>
  <si>
    <t>CC1=NN(C(=O)C1)C=2C=CC=CC2</t>
  </si>
  <si>
    <t>CC=1C=CC=2C=C(NC2C1)C(=O)O</t>
  </si>
  <si>
    <t>O=C1NC=2C=CC=CC2C1=O</t>
  </si>
  <si>
    <t>NC(=N)C=1C=CC=2C=CC=CC2C1</t>
  </si>
  <si>
    <t>c1ccc(N2CCCNCC2)nc1</t>
  </si>
  <si>
    <t>O=C1Cc2ccccc2N1</t>
  </si>
  <si>
    <t>O=C(Nc1nccs1)c1ccccc1</t>
  </si>
  <si>
    <t>CN(C(=O)[C@@]12C[C@H]2CCC1)C=3C=NNC3</t>
  </si>
  <si>
    <t>CN(CC=1C=C(C)ON1)C(=O)NC2CC2</t>
  </si>
  <si>
    <t>CCOC(=O)CN1CCS(=O)(=O)CC1</t>
  </si>
  <si>
    <t>CNC1CCCN(C1)C=2C=CC=NN2</t>
  </si>
  <si>
    <t>COC=1C=C(CN)C=C(OC)C1OC</t>
  </si>
  <si>
    <t>COC=1C=CC=2NC=C(CN(C)C)C2C1</t>
  </si>
  <si>
    <t>CC(=O)C=1C=CC(OCC(=O)O)=CC1</t>
  </si>
  <si>
    <t>CNC(=O)[C@H]1CCCN([C@H]1C)S(C)(=O)=O</t>
  </si>
  <si>
    <t>O=C1NC2=C(C=CC=C2)CC31NCCC3</t>
  </si>
  <si>
    <t>C[C@H]1[C@H](CCCN1S(C)(=O)=O)C(N)=O</t>
  </si>
  <si>
    <t>Cn1c2[C@H]3C[C@@H](Cc2c2ccccc12)NC[C@@H]3O</t>
  </si>
  <si>
    <t>C1CCN(CC1)C2CCNCC2</t>
  </si>
  <si>
    <t>Xtal_contact</t>
  </si>
  <si>
    <t>OC=1C=CC(C#N)=C(F)C1</t>
  </si>
  <si>
    <t>NC(=O)C=1C=CC=C2NC=CC12</t>
  </si>
  <si>
    <t>c1cc(C2CCNCC2)n[nH]1</t>
  </si>
  <si>
    <t>CC(C)(C)C=1C=CC(O)=C(O)C1</t>
  </si>
  <si>
    <t>CC(C)NC(=O)N(C)C1CCS(=O)(=O)C1</t>
  </si>
  <si>
    <t>CN(CC1CCOC1)C=2N=CN=CC2Cl</t>
  </si>
  <si>
    <t>CC(C)C(=O)NC=1N=NN(C)N1</t>
  </si>
  <si>
    <t>CC(C)C=1N=CC(Cl)=C(N1)C(=O)N</t>
  </si>
  <si>
    <t>CC(=O)NCC1(CCOCC1)C=2C=CC=CC2</t>
  </si>
  <si>
    <t>NCCCN1c(cccc2)c2OCC1=O</t>
  </si>
  <si>
    <t>O=C(NCC=1C=CC(C#N)=CC1)N2CCOCC2</t>
  </si>
  <si>
    <t>C[C@H]1N(S(=O)(C)=O)CCC[C@H]1C#N</t>
  </si>
  <si>
    <t>DLS-X0998</t>
  </si>
  <si>
    <t>O=c1[nH]c2CCCc2s1</t>
  </si>
  <si>
    <t>SF034</t>
  </si>
  <si>
    <t>DLS-X1043</t>
  </si>
  <si>
    <t>O=C1CCN(CC1)c1ccncc1</t>
  </si>
  <si>
    <t>SF079</t>
  </si>
  <si>
    <t>DLS-X1044</t>
  </si>
  <si>
    <t>O=C1CCN(CC1)c1ccccn1</t>
  </si>
  <si>
    <t>SF080</t>
  </si>
  <si>
    <t>DLS-X0582</t>
  </si>
  <si>
    <t>CC1CN(CCC1N)S(=O)(=O)C</t>
  </si>
  <si>
    <t>Z1346370629</t>
  </si>
  <si>
    <t>DLS-X0109</t>
  </si>
  <si>
    <t>O=C(COC=1C=CC=CC1)N2CCNC(=O)C2</t>
  </si>
  <si>
    <t>Z31602870</t>
  </si>
  <si>
    <t>DLS-X0220</t>
  </si>
  <si>
    <t>CC1(C)CN(C(=O)NCC2CC2)C1(C)C</t>
  </si>
  <si>
    <t>Z1328078283</t>
  </si>
  <si>
    <t>DLS-X0551</t>
  </si>
  <si>
    <t>COC=1C=CC(CN)=CC1OC</t>
  </si>
  <si>
    <t>Z2856434917</t>
  </si>
  <si>
    <t>DLS-X0733</t>
  </si>
  <si>
    <t>O=C(OC)C1(C2=CC=C(F)C=C2)CNCCC1</t>
  </si>
  <si>
    <t>POB0084</t>
  </si>
  <si>
    <t>DLS-X0898</t>
  </si>
  <si>
    <t>O=C1CCC(=O)N1</t>
  </si>
  <si>
    <t>Z57127349</t>
  </si>
  <si>
    <t>DLS-X0782</t>
  </si>
  <si>
    <t>CC1(C(OC)=O)N(S(=O)(C)=O)CCC1</t>
  </si>
  <si>
    <t>POB0008</t>
  </si>
  <si>
    <t>UCSF-P0114</t>
  </si>
  <si>
    <t>Nc1nc2nccnc2c(=O)[nH]1</t>
  </si>
  <si>
    <t>ZINC000017819771</t>
  </si>
  <si>
    <t>UCSF-P0117</t>
  </si>
  <si>
    <t>Nc1nc(N)nc(-c2cc(Cl)ccc2Cl)n1</t>
  </si>
  <si>
    <t>ZINC000000002645</t>
  </si>
  <si>
    <t>UCSF-P0118</t>
  </si>
  <si>
    <t>COc1ccc(Cc2cnc(N)nc2N)cc1OC</t>
  </si>
  <si>
    <t>ZINC000000024946</t>
  </si>
  <si>
    <t>UCSF-P0119</t>
  </si>
  <si>
    <t>c1ccc(CNc2ncnc3[nH]cnc23)cc1</t>
  </si>
  <si>
    <t>ZINC000000043479</t>
  </si>
  <si>
    <t>UCSF-P0121</t>
  </si>
  <si>
    <t>Cc1cc(O)c2c(c1)C(=O)c1cccc(O)c1C2=O</t>
  </si>
  <si>
    <t>ZINC000003861630</t>
  </si>
  <si>
    <t>UCSF-P0125</t>
  </si>
  <si>
    <t>NC=1N=CN=C2SC=3CCCC3C12</t>
  </si>
  <si>
    <t>ZINC000000110227</t>
  </si>
  <si>
    <t>UCSF-P0128</t>
  </si>
  <si>
    <t>NC1=CC=C(N2CCCCC2)C3=NON=C13</t>
  </si>
  <si>
    <t>ZINC000000816583</t>
  </si>
  <si>
    <t>UCSF-P0129</t>
  </si>
  <si>
    <t>NC=1C=C(N=CN1)C2=CC=CS2</t>
  </si>
  <si>
    <t>ZINC000044119054</t>
  </si>
  <si>
    <t>UCSF-P0130</t>
  </si>
  <si>
    <t>CSC=1C=C(N)N=CN1</t>
  </si>
  <si>
    <t>ZINC000001675805</t>
  </si>
  <si>
    <t>UCSF-P0133</t>
  </si>
  <si>
    <t>OC=1C=CC=2C=CC=CC2C1C=O</t>
  </si>
  <si>
    <t>ZINC000000157162</t>
  </si>
  <si>
    <t>UCSF-P0134</t>
  </si>
  <si>
    <t>O=C(C1=NC=CN1)C=2C=CC=CN2</t>
  </si>
  <si>
    <t>ZINC000004243442</t>
  </si>
  <si>
    <t>UCSF-P0135</t>
  </si>
  <si>
    <t>O=C1NC=2CCCC2N(C3CCCCC3)C1=O</t>
  </si>
  <si>
    <t>ZINC000000249227</t>
  </si>
  <si>
    <t>UCSF-P0136</t>
  </si>
  <si>
    <t>CS(=O)(=O)CC=1C=CC(=CC1)C(=O)N</t>
  </si>
  <si>
    <t>ZINC000024044791</t>
  </si>
  <si>
    <t>UCSF-P0140</t>
  </si>
  <si>
    <t>CCOC=1C=C(NCC=2N=C(C)NC2C)N=CN1</t>
  </si>
  <si>
    <t>ZINC000724680779</t>
  </si>
  <si>
    <t>UCSF-P0141</t>
  </si>
  <si>
    <t>NC1=NN=C(O1)C=2C=CC=CN2</t>
  </si>
  <si>
    <t>ZINC000002383176</t>
  </si>
  <si>
    <t>UCSF-P0146</t>
  </si>
  <si>
    <t>OC1CN(CC21CC2)C(=O)CC=3C=NC=C(O)C3</t>
  </si>
  <si>
    <t>ZINC000573137126</t>
  </si>
  <si>
    <t>UCSF-P0147</t>
  </si>
  <si>
    <t>CN(C(=O)C1(CC1)N2C=CC=N2)C=3C=NNC3</t>
  </si>
  <si>
    <t>ZINC000933946156</t>
  </si>
  <si>
    <t>UCSF-P0150</t>
  </si>
  <si>
    <t>FC1=CCCN(C1)C=2C=C(NC3CC3)N=CN2</t>
  </si>
  <si>
    <t>ZINC000413237423</t>
  </si>
  <si>
    <t>UCSF-P0151</t>
  </si>
  <si>
    <t>OC=1C=CC=C(C1)C(=O)N2CCC(CC2)C=C</t>
  </si>
  <si>
    <t>ZINC000334169470</t>
  </si>
  <si>
    <t>UCSF-P0152</t>
  </si>
  <si>
    <t>CCC1=NOC(=N1)C2CN(C(=O)C2)C=3C=NNC3</t>
  </si>
  <si>
    <t>ZINC000364964862</t>
  </si>
  <si>
    <t>UCSF-P0153</t>
  </si>
  <si>
    <t>CNC=1C=C(N=CN1)C2=NOC(=N2)C3CC43CC4</t>
  </si>
  <si>
    <t>ZINC000904244715</t>
  </si>
  <si>
    <t>UCSF-P0154</t>
  </si>
  <si>
    <t>CC(C1=CC=CS1)C2=NC(=NO2)C3=NN=CN3</t>
  </si>
  <si>
    <t>ZINC000350384680</t>
  </si>
  <si>
    <t>UCSF-P0155</t>
  </si>
  <si>
    <t>CC=1NC=2N=CN=C(C=3C=CC(C)=CN3)C2C1C</t>
  </si>
  <si>
    <t>ZINC001242904196</t>
  </si>
  <si>
    <t>UCSF-P0156</t>
  </si>
  <si>
    <t>CO[C@@H](C)CNC=1C=NC=2NC=CC2N1</t>
  </si>
  <si>
    <t>ZINC001169776906</t>
  </si>
  <si>
    <t>UCSF-P0157</t>
  </si>
  <si>
    <t>OC=1C=CC=C(C(=O)N2CC[C@@]3(O)C[C@H]3C2)C1O</t>
  </si>
  <si>
    <t>ZINC000855844610</t>
  </si>
  <si>
    <t>UCSF-P0158</t>
  </si>
  <si>
    <t>FC1(CC1)C(=O)N2CCC=3C=CNC(=O)C3C2</t>
  </si>
  <si>
    <t>ZINC000843863563</t>
  </si>
  <si>
    <t>UCSF-P0160</t>
  </si>
  <si>
    <t>C(NC=1C=NC=2NC=CC2C1)C3=CC=CO3</t>
  </si>
  <si>
    <t>ZINC001560588744</t>
  </si>
  <si>
    <t>UCSF-P0162</t>
  </si>
  <si>
    <t>CC=1C=CC(CC(=O)N2CC=3C=NNC3C2)=CN1</t>
  </si>
  <si>
    <t>ZINC000646346791</t>
  </si>
  <si>
    <t>UCSF-P0165</t>
  </si>
  <si>
    <t>NC=1N=CN=C(N1)N2CCC=3C=CC=CC23</t>
  </si>
  <si>
    <t>ZINC000004737052</t>
  </si>
  <si>
    <t>UCSF-P0167</t>
  </si>
  <si>
    <t>OC(=O)C=1C=CC=2NC=CC2C1</t>
  </si>
  <si>
    <t>ZINC000000155656</t>
  </si>
  <si>
    <t>UCSF-P0168</t>
  </si>
  <si>
    <t>OC(=O)C=1C=CC=2C=CNC2C1</t>
  </si>
  <si>
    <t>ZINC000000058267</t>
  </si>
  <si>
    <t>UCSF-P0169</t>
  </si>
  <si>
    <t>OC(=O)CCC1CCNCC1</t>
  </si>
  <si>
    <t>ZINC000004204051</t>
  </si>
  <si>
    <t>UCSF-P0170</t>
  </si>
  <si>
    <t>CN1C2CCC1CC(=O)C2</t>
  </si>
  <si>
    <t>ZINC000012359923</t>
  </si>
  <si>
    <t>UCSF-P0172</t>
  </si>
  <si>
    <t>NS(=O)(=O)C=1C=CC=2CCCC2C1</t>
  </si>
  <si>
    <t>ZINC000000394620</t>
  </si>
  <si>
    <t>UCSF-P0173</t>
  </si>
  <si>
    <t>NC[C@H]1CC[C@@H](CC1)C(=O)O</t>
  </si>
  <si>
    <t>ZINC000100007011</t>
  </si>
  <si>
    <t>UCSF-P0174</t>
  </si>
  <si>
    <t>NNC(=O)C=1C=CN=CC1</t>
  </si>
  <si>
    <t>ZINC000000001590</t>
  </si>
  <si>
    <t>UCSF-P0175</t>
  </si>
  <si>
    <t>OC(=O)CCC1CCCCC1</t>
  </si>
  <si>
    <t>ZINC000000388386</t>
  </si>
  <si>
    <t>UCSF-P0176</t>
  </si>
  <si>
    <t>NC1=NC=2C=CC=CC2S1</t>
  </si>
  <si>
    <t>ZINC000006476824</t>
  </si>
  <si>
    <t>UCSF-P0177</t>
  </si>
  <si>
    <t>COC(=O)C=1C=CC(O)=CC1</t>
  </si>
  <si>
    <t>ZINC000000001712</t>
  </si>
  <si>
    <t>UCSF-P0181</t>
  </si>
  <si>
    <t>CC1=NC=2C=CC=CC2N1</t>
  </si>
  <si>
    <t>ZINC000000164607</t>
  </si>
  <si>
    <t>UCSF-P0183</t>
  </si>
  <si>
    <t>OC(=O)C=1C=NC=CN1</t>
  </si>
  <si>
    <t>ZINC000001081066</t>
  </si>
  <si>
    <t>UCSF-P0184</t>
  </si>
  <si>
    <t>OC(=O)C1=CC=CO1</t>
  </si>
  <si>
    <t>ZINC000000158555</t>
  </si>
  <si>
    <t>UCSF-P0185</t>
  </si>
  <si>
    <t>COC=1C=CC(=CC1OC)C(=O)O</t>
  </si>
  <si>
    <t>ZINC000000392017</t>
  </si>
  <si>
    <t>UCSF-P0187</t>
  </si>
  <si>
    <t>OC(=O)CC1=CC=CS1</t>
  </si>
  <si>
    <t>ZINC000000157069</t>
  </si>
  <si>
    <t>UCSF-P0189</t>
  </si>
  <si>
    <t>NC(=O)CN1CCCC1=O</t>
  </si>
  <si>
    <t>ZINC000003812874</t>
  </si>
  <si>
    <t>UCSF-P0191</t>
  </si>
  <si>
    <t>C1=CN(C=N1)C=2C=CC=CC2</t>
  </si>
  <si>
    <t>ZINC000000160340</t>
  </si>
  <si>
    <t>UCSF-P0192</t>
  </si>
  <si>
    <t>NC=1C=CC=2C=CS(=O)(=O)C2C1</t>
  </si>
  <si>
    <t>ZINC000000162015</t>
  </si>
  <si>
    <t>UCSF-P0194</t>
  </si>
  <si>
    <t>OC=1C=CN=C2C=CC=CC12</t>
  </si>
  <si>
    <t>ZINC000008579890</t>
  </si>
  <si>
    <t>UCSF-P0195</t>
  </si>
  <si>
    <t>OCC=1C=CC=C2OCCOC12</t>
  </si>
  <si>
    <t>ZINC000004271832</t>
  </si>
  <si>
    <t>UCSF-P0196</t>
  </si>
  <si>
    <t>CCC=1C=CC(=CC1)S(=O)(=O)N</t>
  </si>
  <si>
    <t>ZINC000000403990</t>
  </si>
  <si>
    <t>UCSF-P0197</t>
  </si>
  <si>
    <t>OC(=O)CCC=1C=CC=CC1</t>
  </si>
  <si>
    <t>ZINC000000154564</t>
  </si>
  <si>
    <t>UCSF-P0198</t>
  </si>
  <si>
    <t>CC=1C=CC=CC1C(=O)O</t>
  </si>
  <si>
    <t>ZINC000001850420</t>
  </si>
  <si>
    <t>UCSF-P0199</t>
  </si>
  <si>
    <t>O=C1C=CC=2C=CC=CC2N1</t>
  </si>
  <si>
    <t>ZINC000008579298</t>
  </si>
  <si>
    <t>UCSF-P0200</t>
  </si>
  <si>
    <t>[O-]C(=O)C1=CSC=N1</t>
  </si>
  <si>
    <t>ZINC000001494948</t>
  </si>
  <si>
    <t>UCSF-P0201</t>
  </si>
  <si>
    <t>CC=1C=C(C)C(N)=C(C1)C(=O)O</t>
  </si>
  <si>
    <t>ZINC000000154792</t>
  </si>
  <si>
    <t>UCSF-P0202</t>
  </si>
  <si>
    <t>FC(F)(F)C=1C=CC=2NCC(=O)NC2C1</t>
  </si>
  <si>
    <t>ZINC000006657973</t>
  </si>
  <si>
    <t>UCSF-P0203</t>
  </si>
  <si>
    <t>CC(C)N1C=NC=2C=C(C=CC12)C(=O)O</t>
  </si>
  <si>
    <t>ZINC000002576060</t>
  </si>
  <si>
    <t>UCSF-P0205</t>
  </si>
  <si>
    <t>NC=1C=CC=C(OC=2C=CC=CN2)C1</t>
  </si>
  <si>
    <t>ZINC000012370416</t>
  </si>
  <si>
    <t>UCSF-P0207</t>
  </si>
  <si>
    <t>OC=1C=CC=2C=NNC2C1</t>
  </si>
  <si>
    <t>ZINC000006093719</t>
  </si>
  <si>
    <t>UCSF-P0208</t>
  </si>
  <si>
    <t>NC=1C(F)=CC=CC1C(=O)O</t>
  </si>
  <si>
    <t>ZINC000002574870</t>
  </si>
  <si>
    <t>UCSF-P0209</t>
  </si>
  <si>
    <t>OCC=1C=C(ON1)C=2C=CC=CC2</t>
  </si>
  <si>
    <t>ZINC000001394131</t>
  </si>
  <si>
    <t>UCSF-P0210</t>
  </si>
  <si>
    <t>CC=1C=C(C)N=C(N)C1</t>
  </si>
  <si>
    <t>ZINC000019118456</t>
  </si>
  <si>
    <t>UCSF-P0211</t>
  </si>
  <si>
    <t>OC(=O)C1=CC=2SC=CC2S1</t>
  </si>
  <si>
    <t>ZINC000000107891</t>
  </si>
  <si>
    <t>UCSF-P0214</t>
  </si>
  <si>
    <t>NC=1C=CC=CC1CO</t>
  </si>
  <si>
    <t>ZINC000000331680</t>
  </si>
  <si>
    <t>UCSF-P0215</t>
  </si>
  <si>
    <t>OC(=O)C=1C=CC(O)=C(Cl)C1</t>
  </si>
  <si>
    <t>ZINC000000404324</t>
  </si>
  <si>
    <t>UCSF-P0216</t>
  </si>
  <si>
    <t>CC(=O)NC=1C=CC=C(N)C1</t>
  </si>
  <si>
    <t>ZINC000003874021</t>
  </si>
  <si>
    <t>UCSF-P0217</t>
  </si>
  <si>
    <t>NC1=NC=2C=CC=CC2N1</t>
  </si>
  <si>
    <t>ZINC000016889973</t>
  </si>
  <si>
    <t>UCSF-P0218</t>
  </si>
  <si>
    <t>COC=1C=CC(=CC1)C(=O)O</t>
  </si>
  <si>
    <t>UCSF-P0219</t>
  </si>
  <si>
    <t>NC(=O)C=1C=C(Cl)C=CC1N</t>
  </si>
  <si>
    <t>ZINC000000152576</t>
  </si>
  <si>
    <t>UCSF-P0220</t>
  </si>
  <si>
    <t>CC1=CC=2C=CC=CC2N1</t>
  </si>
  <si>
    <t>ZINC000001088076</t>
  </si>
  <si>
    <t>UCSF-P0221</t>
  </si>
  <si>
    <t>CC(=O)C1=CNC=2C=CC=CC12</t>
  </si>
  <si>
    <t>ZINC000000335859</t>
  </si>
  <si>
    <t>UCSF-P0222</t>
  </si>
  <si>
    <t>CC=1C=CC=2NC=CC2C1</t>
  </si>
  <si>
    <t>ZINC000001605250</t>
  </si>
  <si>
    <t>UCSF-P0225</t>
  </si>
  <si>
    <t>O=C1CCC=2C=CC=C3CCN1C32</t>
  </si>
  <si>
    <t>ZINC000000173360</t>
  </si>
  <si>
    <t>UCSF-P0229</t>
  </si>
  <si>
    <t>CC=1C=CC(F)=CC1C(=O)O</t>
  </si>
  <si>
    <t>ZINC000000167088</t>
  </si>
  <si>
    <t>UCSF-P0230</t>
  </si>
  <si>
    <t>C1CN(CCN1)C=2C=CC=C3NC=CC23</t>
  </si>
  <si>
    <t>ZINC000004639456</t>
  </si>
  <si>
    <t>UCSF-P0232</t>
  </si>
  <si>
    <t>NC=1C=CC(=CC1)S(=O)(=O)N</t>
  </si>
  <si>
    <t>ZINC000000002101</t>
  </si>
  <si>
    <t>DLS-X0964</t>
  </si>
  <si>
    <t>O=S1(=O)CCC1</t>
  </si>
  <si>
    <t>Z3234823734</t>
  </si>
  <si>
    <t>DLS-X1007</t>
  </si>
  <si>
    <t>Cc1ccc(cc1)-c1ccc(O)cc1</t>
  </si>
  <si>
    <t>SF043</t>
  </si>
  <si>
    <t>DLS-X1010</t>
  </si>
  <si>
    <t>C1CNCC(C1)c1nc2ccccc2o1</t>
  </si>
  <si>
    <t>SF046</t>
  </si>
  <si>
    <t>UCSF-P0233</t>
  </si>
  <si>
    <t>CC=1C=CC=C2NC(=CC12)C(=O)O</t>
  </si>
  <si>
    <t>ZINC000002582713</t>
  </si>
  <si>
    <t>UCSF-P0234</t>
  </si>
  <si>
    <t>COC=1C=CC=2NC(=CC2C1)C(=O)O</t>
  </si>
  <si>
    <t>ZINC000000135687</t>
  </si>
  <si>
    <t>UCSF-P0235</t>
  </si>
  <si>
    <t>FC(F)(F)C1=CN=CN1</t>
  </si>
  <si>
    <t>ZINC000008698428</t>
  </si>
  <si>
    <t>UCSF-P0236</t>
  </si>
  <si>
    <t>FC(F)(F)C=1C=CN=C(N1)C2CCCN2</t>
  </si>
  <si>
    <t>ZINC000057354336</t>
  </si>
  <si>
    <t>UCSF-P0237</t>
  </si>
  <si>
    <t>NCCC1=CNC=2C=CC(F)=CC12</t>
  </si>
  <si>
    <t>ZINC000000077278</t>
  </si>
  <si>
    <t>UCSF-P0238</t>
  </si>
  <si>
    <t>CCOC(=O)C=1C(C)=NNC1C</t>
  </si>
  <si>
    <t>ZINC000000109930</t>
  </si>
  <si>
    <t>UCSF-P0239</t>
  </si>
  <si>
    <t>NCC1(CCCC1)C=2C=CC=CC2</t>
  </si>
  <si>
    <t>ZINC000000984833</t>
  </si>
  <si>
    <t>UCSF-P0240</t>
  </si>
  <si>
    <t>C1=NOC=2C=CC=CC12</t>
  </si>
  <si>
    <t>ZINC000004521187</t>
  </si>
  <si>
    <t>UCSF-P0241</t>
  </si>
  <si>
    <t>CC=1C=CC(N)=C(C1)C(=O)O</t>
  </si>
  <si>
    <t>ZINC000000152954</t>
  </si>
  <si>
    <t>UCSF-P0242</t>
  </si>
  <si>
    <t>NC=1C=CC=C(F)C1C(=O)O</t>
  </si>
  <si>
    <t>ZINC000000153055</t>
  </si>
  <si>
    <t>UCSF-P0243</t>
  </si>
  <si>
    <t>NC=1C=CC(=CC1O)C(=O)O</t>
  </si>
  <si>
    <t>ZINC000000156556</t>
  </si>
  <si>
    <t>UCSF-P0244</t>
  </si>
  <si>
    <t>C1=NC(=CS1)C2=NC=3C=CC=CC3N2</t>
  </si>
  <si>
    <t>ZINC000000073711</t>
  </si>
  <si>
    <t>UCSF-P0245</t>
  </si>
  <si>
    <t>CC(C)C=1C=CC(N)=CC1</t>
  </si>
  <si>
    <t>ZINC000001683362</t>
  </si>
  <si>
    <t>UCSF-P0246</t>
  </si>
  <si>
    <t>CSC=1C=CC(N)=CC1</t>
  </si>
  <si>
    <t>ZINC000004244883</t>
  </si>
  <si>
    <t>UCSF-P0247</t>
  </si>
  <si>
    <t>CC1(C)CNCC=2C=CC=CC21</t>
  </si>
  <si>
    <t>ZINC000019789204</t>
  </si>
  <si>
    <t>UCSF-P0248</t>
  </si>
  <si>
    <t>NCCCN1CCC=2C=CC=CC2C1</t>
  </si>
  <si>
    <t>ZINC000004226739</t>
  </si>
  <si>
    <t>UCSF-P0249</t>
  </si>
  <si>
    <t>CCCC(=O)C=1C=CC=NC1</t>
  </si>
  <si>
    <t>ZINC000005972858</t>
  </si>
  <si>
    <t>UCSF-P0250</t>
  </si>
  <si>
    <t>CCCC=1C=CC=CC1N</t>
  </si>
  <si>
    <t>ZINC000002039219</t>
  </si>
  <si>
    <t>UCSF-P0251</t>
  </si>
  <si>
    <t>OCCC=1C=CC(F)=CC1</t>
  </si>
  <si>
    <t>ZINC000000388332</t>
  </si>
  <si>
    <t>UCSF-P0252</t>
  </si>
  <si>
    <t>CCN1CCC=2C(N)=CC=CC2C1</t>
  </si>
  <si>
    <t>ZINC000038032531</t>
  </si>
  <si>
    <t>UCSF-P0253</t>
  </si>
  <si>
    <t>C(NC1CCCC1)C=2C=CC=3OCOC3C2</t>
  </si>
  <si>
    <t>ZINC000004204868</t>
  </si>
  <si>
    <t>UCSF-P0254</t>
  </si>
  <si>
    <t>OCCN1C=CC=N1</t>
  </si>
  <si>
    <t>ZINC000001671842</t>
  </si>
  <si>
    <t>UCSF-P0256</t>
  </si>
  <si>
    <t>CC=1N=CSC1CCO</t>
  </si>
  <si>
    <t>ZINC000000160790</t>
  </si>
  <si>
    <t>UCSF-P0257</t>
  </si>
  <si>
    <t>CC1=NOC(C)=C1C=2C=CC=CC2</t>
  </si>
  <si>
    <t>ZINC000033836256</t>
  </si>
  <si>
    <t>UCSF-P0258</t>
  </si>
  <si>
    <t>CC=1C=C2C(=O)C(=O)NC2=C(Br)C1</t>
  </si>
  <si>
    <t>UCSF-P0259</t>
  </si>
  <si>
    <t>NC=1C=CC=2C=CC=CC2N1</t>
  </si>
  <si>
    <t>ZINC000019074717</t>
  </si>
  <si>
    <t>UCSF-P0260</t>
  </si>
  <si>
    <t>NC(=O)C=1C=CC=CC1N</t>
  </si>
  <si>
    <t>ZINC000000152578</t>
  </si>
  <si>
    <t>UCSF-P0261</t>
  </si>
  <si>
    <t>NNC(=O)C=1C=CC(O)=CC1</t>
  </si>
  <si>
    <t>ZINC000000122698</t>
  </si>
  <si>
    <t>UCSF-P0262</t>
  </si>
  <si>
    <t>CC1=NC(=CS1)C=2C=CC=C(N)C2</t>
  </si>
  <si>
    <t>ZINC000000158916</t>
  </si>
  <si>
    <t>UCSF-P0264</t>
  </si>
  <si>
    <t>COC(=O)C=1C=CC(Cl)=CC1N</t>
  </si>
  <si>
    <t>ZINC000000152841</t>
  </si>
  <si>
    <t>UCSF-P0266</t>
  </si>
  <si>
    <t>NC(=O)C=1C=CC=C(Cl)C1</t>
  </si>
  <si>
    <t>ZINC000000153113</t>
  </si>
  <si>
    <t>UCSF-P0267</t>
  </si>
  <si>
    <t>CCOC=1C=CC(=CC1)S(=O)(=O)N</t>
  </si>
  <si>
    <t>ZINC000003885122</t>
  </si>
  <si>
    <t>UCSF-P0268</t>
  </si>
  <si>
    <t>NC(=O)C=1C=CC=CN1</t>
  </si>
  <si>
    <t>ZINC000000388048</t>
  </si>
  <si>
    <t>UCSF-P0269</t>
  </si>
  <si>
    <t>NC=1C=CC(Br)=CC1C(=O)O</t>
  </si>
  <si>
    <t>ZINC000000152502</t>
  </si>
  <si>
    <t>UCSF-P0270</t>
  </si>
  <si>
    <t>OC1=CC(=O)OC=2C=CC=CC12</t>
  </si>
  <si>
    <t>ZINC000018154848</t>
  </si>
  <si>
    <t>UCSF-P0272</t>
  </si>
  <si>
    <t>O=C1C=CC=2C=CC=CC2O1</t>
  </si>
  <si>
    <t>ZINC000000074709</t>
  </si>
  <si>
    <t>UCSF-P0273</t>
  </si>
  <si>
    <t>NCCC=1C=CC(=CC1)S(=O)(=O)N</t>
  </si>
  <si>
    <t>ZINC000000056629</t>
  </si>
  <si>
    <t>UCSF-P0274</t>
  </si>
  <si>
    <t>NC1(CCCC1)C(=O)O</t>
  </si>
  <si>
    <t>ZINC000000001234</t>
  </si>
  <si>
    <t>UCSF-P0275</t>
  </si>
  <si>
    <t>COC=1C=CC=C(OC)C1C(=O)O</t>
  </si>
  <si>
    <t>ZINC000000388567</t>
  </si>
  <si>
    <t>UCSF-P0276</t>
  </si>
  <si>
    <t>COC=1C=CC=C(C(=O)O)C1OC</t>
  </si>
  <si>
    <t>ZINC000000388566</t>
  </si>
  <si>
    <t>UCSF-P0278</t>
  </si>
  <si>
    <t>OC(=O)CC=1C=CC=CC1C(=O)O</t>
  </si>
  <si>
    <t>ZINC000000265888</t>
  </si>
  <si>
    <t>UCSF-P0279</t>
  </si>
  <si>
    <t>OC(=O)C=1C=CC=CC1Br</t>
  </si>
  <si>
    <t>ZINC000000164706</t>
  </si>
  <si>
    <t>UCSF-P0280</t>
  </si>
  <si>
    <t>CC=1C=CSC1C(=O)O</t>
  </si>
  <si>
    <t>ZINC000000152287</t>
  </si>
  <si>
    <t>UCSF-P0281</t>
  </si>
  <si>
    <t>CN1CC=2C=CC=CC2NC1=O</t>
  </si>
  <si>
    <t>ZINC000004975882</t>
  </si>
  <si>
    <t>UCSF-P0285</t>
  </si>
  <si>
    <t>NS(=O)(=O)C=1C=CC(F)=CC1</t>
  </si>
  <si>
    <t>ZINC000002571408</t>
  </si>
  <si>
    <t>UCSF-P0286</t>
  </si>
  <si>
    <t>CC=1C=CN=C(N)C1</t>
  </si>
  <si>
    <t>UCSF-P0287</t>
  </si>
  <si>
    <t>NC=1C=CC(=CC1)C(=O)O</t>
  </si>
  <si>
    <t>ZINC000000000920</t>
  </si>
  <si>
    <t>UCSF-P0289</t>
  </si>
  <si>
    <t>CC=1C=CC(N)=CC1</t>
  </si>
  <si>
    <t>ZINC000004774057</t>
  </si>
  <si>
    <t>UCSF-P0290</t>
  </si>
  <si>
    <t>NC(=O)C1CCCCC1</t>
  </si>
  <si>
    <t>ZINC000000157404</t>
  </si>
  <si>
    <t>UCSF-P0291</t>
  </si>
  <si>
    <t>CN(C)C=1C=CC(=CN1)C(=O)O</t>
  </si>
  <si>
    <t>ZINC000001734973</t>
  </si>
  <si>
    <t>UCSF-P0292</t>
  </si>
  <si>
    <t>OC(=O)C=1C=CC=CC1C(=O)C=2C=CC(F)=CC2</t>
  </si>
  <si>
    <t>ZINC000000056439</t>
  </si>
  <si>
    <t>UCSF-P0293</t>
  </si>
  <si>
    <t>OC(=O)C=1C=CC(Br)=CC1</t>
  </si>
  <si>
    <t>ZINC000000388063</t>
  </si>
  <si>
    <t>UCSF-P0295</t>
  </si>
  <si>
    <t>CCCC=1C=CC(=CC1)S(=O)(=O)N</t>
  </si>
  <si>
    <t>ZINC000002941706</t>
  </si>
  <si>
    <t>UCSF-P0296</t>
  </si>
  <si>
    <t>NS(=O)(=O)N1CCCCC1</t>
  </si>
  <si>
    <t>ZINC000001714266</t>
  </si>
  <si>
    <t>UCSF-P0297</t>
  </si>
  <si>
    <t>NC=1C=CC=2N=CC=CC2C1</t>
  </si>
  <si>
    <t>ZINC000000163693</t>
  </si>
  <si>
    <t>UCSF-P0298</t>
  </si>
  <si>
    <t>ClC=1C=CC=2CC(=O)NC2C1</t>
  </si>
  <si>
    <t>ZINC000000157269</t>
  </si>
  <si>
    <t>UCSF-P0299</t>
  </si>
  <si>
    <t>C(C=1C=CC=CC1)N2C=CN=C2</t>
  </si>
  <si>
    <t>ZINC000000169811</t>
  </si>
  <si>
    <t>UCSF-P0300</t>
  </si>
  <si>
    <t>CC=1C=C2N=CNC2=CC1C</t>
  </si>
  <si>
    <t>ZINC000000388593</t>
  </si>
  <si>
    <t>UCSF-P0304</t>
  </si>
  <si>
    <t>COC(=O)C1=CNC=2N=CC=CC12</t>
  </si>
  <si>
    <t>ZINC000037593646</t>
  </si>
  <si>
    <t>UCSF-P0307</t>
  </si>
  <si>
    <t>OC(=O)CCC=1C=CC(O)=CC1</t>
  </si>
  <si>
    <t>ZINC000008383206</t>
  </si>
  <si>
    <t>UCSF-P0308</t>
  </si>
  <si>
    <t>COC=1C=CC(N)=CC1F</t>
  </si>
  <si>
    <t>ZINC000000389573</t>
  </si>
  <si>
    <t>UCSF-P0310</t>
  </si>
  <si>
    <t>CC(=O)C=1C=CC(O)=C(C)C1</t>
  </si>
  <si>
    <t>ZINC000000164888</t>
  </si>
  <si>
    <t>UCSF-P0311</t>
  </si>
  <si>
    <t>CC=1C=CC=2N=C(N)SC2C1</t>
  </si>
  <si>
    <t>ZINC000008581442</t>
  </si>
  <si>
    <t>UCSF-P0312</t>
  </si>
  <si>
    <t>CC(=O)C=1C=CC=C(N)C1</t>
  </si>
  <si>
    <t>ZINC000000157542</t>
  </si>
  <si>
    <t>UCSF-P0313</t>
  </si>
  <si>
    <t>COC=1C=CC(=CC1)S(=O)(=O)N</t>
  </si>
  <si>
    <t>ZINC000000270975</t>
  </si>
  <si>
    <t>UCSF-P0315</t>
  </si>
  <si>
    <t>O=C1NCCC=2C=CC=CC12</t>
  </si>
  <si>
    <t>ZINC000005603571</t>
  </si>
  <si>
    <t>UCSF-P0316</t>
  </si>
  <si>
    <t>NS(=O)(=O)C=1C=CC=CC1F</t>
  </si>
  <si>
    <t>ZINC000000155614</t>
  </si>
  <si>
    <t>UCSF-P0317</t>
  </si>
  <si>
    <t>OC(=O)C=1C=CC=CC1F</t>
  </si>
  <si>
    <t>ZINC000000164451</t>
  </si>
  <si>
    <t>UCSF-P0318</t>
  </si>
  <si>
    <t>COC=1C=CC=CC1C(=O)O</t>
  </si>
  <si>
    <t>ZINC000000388432</t>
  </si>
  <si>
    <t>UCSF-P0320</t>
  </si>
  <si>
    <t>CCC=1C=CC(=CC1)C(=O)O</t>
  </si>
  <si>
    <t>ZINC000000132913</t>
  </si>
  <si>
    <t>UCSF-P0322</t>
  </si>
  <si>
    <t>OCC=1C=CC(Cl)=CC1</t>
  </si>
  <si>
    <t>ZINC000000157482</t>
  </si>
  <si>
    <t>UCSF-P0323</t>
  </si>
  <si>
    <t>OCCOC=1C=CC=CC1</t>
  </si>
  <si>
    <t>ZINC000001577061</t>
  </si>
  <si>
    <t>UCSF-P0324</t>
  </si>
  <si>
    <t>NC=1C=CC=C2C=NNC12</t>
  </si>
  <si>
    <t>ZINC000000112557</t>
  </si>
  <si>
    <t>UCSF-P0325</t>
  </si>
  <si>
    <t>NS(=O)(=O)C=1C=CC=CC1</t>
  </si>
  <si>
    <t>ZINC000000330150</t>
  </si>
  <si>
    <t>UCSF-P0327</t>
  </si>
  <si>
    <t>OC(=O)C=1C=CC=NC1C(=O)O</t>
  </si>
  <si>
    <t>ZINC000000331671</t>
  </si>
  <si>
    <t>UCSF-P0329</t>
  </si>
  <si>
    <t>CC=1C=CC=C(N)C1C(=O)O</t>
  </si>
  <si>
    <t>ZINC000000164443</t>
  </si>
  <si>
    <t>UCSF-P0330</t>
  </si>
  <si>
    <t>CC=1C=CC(O)=C(CO)N1</t>
  </si>
  <si>
    <t>ZINC000000152878</t>
  </si>
  <si>
    <t>UCSF-P0332</t>
  </si>
  <si>
    <t>OC=1C=CC(CC#N)=CC1</t>
  </si>
  <si>
    <t>ZINC000000164447</t>
  </si>
  <si>
    <t>UCSF-P0335</t>
  </si>
  <si>
    <t>CCC=1C=CC(O)=CC1</t>
  </si>
  <si>
    <t>ZINC000001690956</t>
  </si>
  <si>
    <t>UCSF-P0336</t>
  </si>
  <si>
    <t>NS(=O)(=O)C=1C=CC=CC1Cl</t>
  </si>
  <si>
    <t>ZINC000000295271</t>
  </si>
  <si>
    <t>UCSF-P0339</t>
  </si>
  <si>
    <t>OC=1C=CC=CC1C#N</t>
  </si>
  <si>
    <t>ZINC000000388252</t>
  </si>
  <si>
    <t>UCSF-P0340</t>
  </si>
  <si>
    <t>CC=1C=CC=CC1S(=O)(=O)N</t>
  </si>
  <si>
    <t>ZINC000002567980</t>
  </si>
  <si>
    <t>UCSF-P0342</t>
  </si>
  <si>
    <t>NC1(CCCCCC1)C(=O)O</t>
  </si>
  <si>
    <t>ZINC000004202420</t>
  </si>
  <si>
    <t>UCSF-P0351</t>
  </si>
  <si>
    <t>BrC=1C=CC=2NC(=O)CNC2C1</t>
  </si>
  <si>
    <t>ZINC000076887631</t>
  </si>
  <si>
    <t>UCSF-P0353</t>
  </si>
  <si>
    <t>OC=1C=CC=2NC=CC2C1</t>
  </si>
  <si>
    <t>ZINC000000395637</t>
  </si>
  <si>
    <t>UCSF-P0355</t>
  </si>
  <si>
    <t>CN1C=CC=2C=CNC2C1=O</t>
  </si>
  <si>
    <t>ZINC000032297507</t>
  </si>
  <si>
    <t>UCSF-P0356</t>
  </si>
  <si>
    <t>OC(=O)C=1SC=CC1N2C=CC=C2</t>
  </si>
  <si>
    <t>ZINC000000158966</t>
  </si>
  <si>
    <t>UCSF-P0359</t>
  </si>
  <si>
    <t>OCC=1C=CC=CC1Br</t>
  </si>
  <si>
    <t>ZINC000001996019</t>
  </si>
  <si>
    <t>UCSF-P0362</t>
  </si>
  <si>
    <t>CCN1C(=O)NC=2C=CC=CC12</t>
  </si>
  <si>
    <t>ZINC000002564009</t>
  </si>
  <si>
    <t>UCSF-P0363</t>
  </si>
  <si>
    <t>OC(=O)CCC=1C=CC(Cl)=CC1</t>
  </si>
  <si>
    <t>ZINC000000129056</t>
  </si>
  <si>
    <t>UCSF-P0364</t>
  </si>
  <si>
    <t>OC(=O)C=1C=CN=C(C1)C(=O)O</t>
  </si>
  <si>
    <t>ZINC000000391915</t>
  </si>
  <si>
    <t>UCSF-P0366</t>
  </si>
  <si>
    <t>CC1=NC=CN1CCO</t>
  </si>
  <si>
    <t>ZINC000005836878</t>
  </si>
  <si>
    <t>UCSF-P0367</t>
  </si>
  <si>
    <t>CC(=O)N1CCN(CC1)C=2C=CC(O)=CC2</t>
  </si>
  <si>
    <t>ZINC000000105363</t>
  </si>
  <si>
    <t>UCSF-P0368</t>
  </si>
  <si>
    <t>CC1=CC=2C=CC=CC2NC1=O</t>
  </si>
  <si>
    <t>ZINC000016343284</t>
  </si>
  <si>
    <t>UCSF-P0369</t>
  </si>
  <si>
    <t>C1=NNC=2C=CC=CC12</t>
  </si>
  <si>
    <t>UCSF-P0370</t>
  </si>
  <si>
    <t>OC=1C(F)=CC=CC1F</t>
  </si>
  <si>
    <t>ZINC000000388530</t>
  </si>
  <si>
    <t>UCSF-P0372</t>
  </si>
  <si>
    <t>OC(=O)C1=CC=2C=C(F)C=CC2N1</t>
  </si>
  <si>
    <t>ZINC000000083028</t>
  </si>
  <si>
    <t>UCSF-P0374</t>
  </si>
  <si>
    <t>OC(=O)C1=CC=2C=CC=CC2O1</t>
  </si>
  <si>
    <t>ZINC000000053963</t>
  </si>
  <si>
    <t>UCSF-P0376</t>
  </si>
  <si>
    <t>O=C1NC=2C=CC=C3C=CC=C1C23</t>
  </si>
  <si>
    <t>ZINC000000162129</t>
  </si>
  <si>
    <t>UCSF-P0377</t>
  </si>
  <si>
    <t>NC=1C=CC=C2NC=NC12</t>
  </si>
  <si>
    <t>ZINC000000112552</t>
  </si>
  <si>
    <t>UCSF-P0383</t>
  </si>
  <si>
    <t>OCC=1C=CC(Br)=CC1</t>
  </si>
  <si>
    <t>ZINC000000404753</t>
  </si>
  <si>
    <t>UCSF-P0384</t>
  </si>
  <si>
    <t>OCCNC(=O)C=1C=CC(Cl)=CC1</t>
  </si>
  <si>
    <t>ZINC000001665476</t>
  </si>
  <si>
    <t>UCSF-P0386</t>
  </si>
  <si>
    <t>OC(=O)C1=COC=2CCCC(=O)C12</t>
  </si>
  <si>
    <t>ZINC000000108349</t>
  </si>
  <si>
    <t>UCSF-P0388</t>
  </si>
  <si>
    <t>BrC=1C=CC(=CC1)C2=CNC=N2</t>
  </si>
  <si>
    <t>ZINC000000459533</t>
  </si>
  <si>
    <t>UCSF-P0389</t>
  </si>
  <si>
    <t>CC=1C=CC=CC1CCC(=O)O</t>
  </si>
  <si>
    <t>ZINC000000396095</t>
  </si>
  <si>
    <t>UCSF-P0390</t>
  </si>
  <si>
    <t>COC=1C=CC=2NC=CC2C1</t>
  </si>
  <si>
    <t>ZINC000000158156</t>
  </si>
  <si>
    <t>UCSF-P0391</t>
  </si>
  <si>
    <t>CC(=O)C1=CNC=2C(C)=CC=CC12</t>
  </si>
  <si>
    <t>ZINC000021982353</t>
  </si>
  <si>
    <t>UCSF-P0393</t>
  </si>
  <si>
    <t>NS(=O)(=O)C1=CC=2C=CC=CC2O1</t>
  </si>
  <si>
    <t>ZINC000027858187</t>
  </si>
  <si>
    <t>UCSF-P0395</t>
  </si>
  <si>
    <t>CC1=CNC(=O)N=C1N</t>
  </si>
  <si>
    <t>ZINC000000394712</t>
  </si>
  <si>
    <t>UCSF-P0399</t>
  </si>
  <si>
    <t>NS(=O)(=O)C1=CC=CS1</t>
  </si>
  <si>
    <t>ZINC000001235183</t>
  </si>
  <si>
    <t>UCSF-P0400</t>
  </si>
  <si>
    <t>O=C1N(CC=2C=CC=CC2)C=3C=CC=CC3C1=O</t>
  </si>
  <si>
    <t>ZINC000001657402</t>
  </si>
  <si>
    <t>UCSF-P0401</t>
  </si>
  <si>
    <t>CN(C)C=1C=CC=C(C1)C(=O)NN</t>
  </si>
  <si>
    <t>ZINC000002561227</t>
  </si>
  <si>
    <t>UCSF-P0403</t>
  </si>
  <si>
    <t>ClC=1C=CC=2NC(=O)C(=O)C2C1</t>
  </si>
  <si>
    <t>ZINC000001722141</t>
  </si>
  <si>
    <t>UCSF-P0405</t>
  </si>
  <si>
    <t>CC1=CC=C(O1)C(=O)O</t>
  </si>
  <si>
    <t>ZINC000000062699</t>
  </si>
  <si>
    <t>UCSF-P0406</t>
  </si>
  <si>
    <t>OC(=O)C=1C=CC(=CC1)C(F)(F)F</t>
  </si>
  <si>
    <t>ZINC000006661362</t>
  </si>
  <si>
    <t>UCSF-P0407</t>
  </si>
  <si>
    <t>CC(=O)C=1C=CC=2OCCOC2C1</t>
  </si>
  <si>
    <t>ZINC000003861306</t>
  </si>
  <si>
    <t>UCSF-P0408</t>
  </si>
  <si>
    <t>CC=1C=CC=C(C)C1OCC(=O)O</t>
  </si>
  <si>
    <t>ZINC000000120508</t>
  </si>
  <si>
    <t>UCSF-P0409</t>
  </si>
  <si>
    <t>NNC(=O)C=1C=CC=CC1</t>
  </si>
  <si>
    <t>ZINC000000115752</t>
  </si>
  <si>
    <t>UCSF-P0410</t>
  </si>
  <si>
    <t>OC=1C=CC=C2C=CC=NC12</t>
  </si>
  <si>
    <t>ZINC000000008492</t>
  </si>
  <si>
    <t>UCSF-P0414</t>
  </si>
  <si>
    <t>CNC(=O)C=1C=C(Cl)C=CN1</t>
  </si>
  <si>
    <t>ZINC000001389101</t>
  </si>
  <si>
    <t>UCSF-P0419</t>
  </si>
  <si>
    <t>OC(=O)COC1CCCCC1</t>
  </si>
  <si>
    <t>ZINC000002585659</t>
  </si>
  <si>
    <t>UCSF-P0420</t>
  </si>
  <si>
    <t>CC1=NC(CC(=O)O)=C(C)S1</t>
  </si>
  <si>
    <t>ZINC000000129010</t>
  </si>
  <si>
    <t>UCSF-P0421</t>
  </si>
  <si>
    <t>CC1=C(C=NN1C=2C=CC=CC2)C(=O)O</t>
  </si>
  <si>
    <t>ZINC000000158815</t>
  </si>
  <si>
    <t>UCSF-P0422</t>
  </si>
  <si>
    <t>NC=1C=C(F)C=CC1C(=O)O</t>
  </si>
  <si>
    <t>ZINC000000389796</t>
  </si>
  <si>
    <t>UCSF-P0423</t>
  </si>
  <si>
    <t>FC=1C=CC(=CC1)C(=O)C=2C=CN=CC2</t>
  </si>
  <si>
    <t>ZINC000002583439</t>
  </si>
  <si>
    <t>UCSF-P0424</t>
  </si>
  <si>
    <t>C1=NC(=CN1)C=2C=CC=CC2</t>
  </si>
  <si>
    <t>ZINC000004692811</t>
  </si>
  <si>
    <t>UCSF-P0425</t>
  </si>
  <si>
    <t>C(C=1C=CC=CC1)C=2C=CN=CC2</t>
  </si>
  <si>
    <t>ZINC000000967336</t>
  </si>
  <si>
    <t>UCSF-P0426</t>
  </si>
  <si>
    <t>NC1=NC=C(CC=2C=CC=CC2)S1</t>
  </si>
  <si>
    <t>ZINC000000063264</t>
  </si>
  <si>
    <t>UCSF-P0427</t>
  </si>
  <si>
    <t>OC(=O)C1=CC=2C=CSC2N1</t>
  </si>
  <si>
    <t>ZINC000008981465</t>
  </si>
  <si>
    <t>UCSF-P0428</t>
  </si>
  <si>
    <t>CNCC=1C=CC(=CC1)N2CCCCC2</t>
  </si>
  <si>
    <t>ZINC000003880952</t>
  </si>
  <si>
    <t>UCSF-P0429</t>
  </si>
  <si>
    <t>OC(=O)C=1C=CC(=NC1)C=2C=CC=CC2</t>
  </si>
  <si>
    <t>UCSF-P0430</t>
  </si>
  <si>
    <t>NC(=O)CCN1C=NC=2C=CC=CC12</t>
  </si>
  <si>
    <t>ZINC000000203341</t>
  </si>
  <si>
    <t>UCSF-P0431</t>
  </si>
  <si>
    <t>NC=1C=CC(F)=CC1C(=O)O</t>
  </si>
  <si>
    <t>ZINC000000165667</t>
  </si>
  <si>
    <t>UCSF-P0432</t>
  </si>
  <si>
    <t>CC=1C=CC=C(C(=O)O)C1N</t>
  </si>
  <si>
    <t>ZINC000000404287</t>
  </si>
  <si>
    <t>UCSF-P0434</t>
  </si>
  <si>
    <t>OCN1C=NC=2C=CC=CC12</t>
  </si>
  <si>
    <t>ZINC000000043480</t>
  </si>
  <si>
    <t>UCSF-P0435</t>
  </si>
  <si>
    <t>CCOC=1C=CC=CC1O</t>
  </si>
  <si>
    <t>ZINC000000404747</t>
  </si>
  <si>
    <t>UCSF-P0438</t>
  </si>
  <si>
    <t>OC(=O)C=1C=C(Cl)C=C2C=CC=NC12</t>
  </si>
  <si>
    <t>ZINC000005162166</t>
  </si>
  <si>
    <t>UCSF-P0440</t>
  </si>
  <si>
    <t>FC=1C=CC=2NC=CC2C1</t>
  </si>
  <si>
    <t>ZINC000000388684</t>
  </si>
  <si>
    <t>UCSF-P0442</t>
  </si>
  <si>
    <t>FC=1C=C(F)C=2NC=CC2C1</t>
  </si>
  <si>
    <t>ZINC000002572575</t>
  </si>
  <si>
    <t>UCSF-P0443</t>
  </si>
  <si>
    <t>CC(C)N1C(N)=NC=2C=CC=CC12</t>
  </si>
  <si>
    <t>ZINC000020586057</t>
  </si>
  <si>
    <t>UCSF-P0445</t>
  </si>
  <si>
    <t>CC=1C=CC=2C(=CNC2C1)C(=O)O</t>
  </si>
  <si>
    <t>UCSF-P0446</t>
  </si>
  <si>
    <t>ClC=1C=CC=2NC=C(CC#N)C2C1</t>
  </si>
  <si>
    <t>ZINC000016697555</t>
  </si>
  <si>
    <t>UCSF-P0447</t>
  </si>
  <si>
    <t>CC=1C=C(CO)C=2C=CC=CC2N1</t>
  </si>
  <si>
    <t>ZINC000037405164</t>
  </si>
  <si>
    <t>UCSF-P0448</t>
  </si>
  <si>
    <t>OC(=O)C1=CNC=2C=C(Cl)C=CC12</t>
  </si>
  <si>
    <t>ZINC000020269204</t>
  </si>
  <si>
    <t>UCSF-P0449</t>
  </si>
  <si>
    <t>FC(F)(F)C=1C=CN=C(N1)N2CCNCC2</t>
  </si>
  <si>
    <t>ZINC000002557559</t>
  </si>
  <si>
    <t>UCSF-P0450</t>
  </si>
  <si>
    <t>NC1=NC=2C=CC(Br)=CC2S1</t>
  </si>
  <si>
    <t>ZINC000004774482</t>
  </si>
  <si>
    <t>UCSF-P0452</t>
  </si>
  <si>
    <t>FC(F)(F)C=1C=CC(OC2CCNCC2)=NC1</t>
  </si>
  <si>
    <t>ZINC000042783023</t>
  </si>
  <si>
    <t>UCSF-P0454</t>
  </si>
  <si>
    <t>OC=1C=CC=C(C1)C(=O)N2CCOCC2</t>
  </si>
  <si>
    <t>ZINC000016677502</t>
  </si>
  <si>
    <t>UCSF-P0456</t>
  </si>
  <si>
    <t>OCC1=CC=2C(Cl)=CC=CC2N1</t>
  </si>
  <si>
    <t>ZINC000037632805</t>
  </si>
  <si>
    <t>UCSF-P0457</t>
  </si>
  <si>
    <t>OC(=O)C1=CC=2C=CC(Cl)=CC2N1</t>
  </si>
  <si>
    <t>ZINC000002386971</t>
  </si>
  <si>
    <t>UCSF-P0458</t>
  </si>
  <si>
    <t>FC(F)(F)C=1N=CC(Br)=CN1</t>
  </si>
  <si>
    <t>ZINC000026440925</t>
  </si>
  <si>
    <t>UCSF-P0459</t>
  </si>
  <si>
    <t>CC=1C=CC=C2NC(CO)=CC12</t>
  </si>
  <si>
    <t>ZINC000072311918</t>
  </si>
  <si>
    <t>UCSF-P0461</t>
  </si>
  <si>
    <t>O=C(c1cc[nH]n1)N1CCCCC1</t>
  </si>
  <si>
    <t>ZINC000000207982</t>
  </si>
  <si>
    <t>UCSF-P0463</t>
  </si>
  <si>
    <t>O=C(c1ccn(-c2ccccc2)n1)N1CCCC1</t>
  </si>
  <si>
    <t>ZINC000070253858</t>
  </si>
  <si>
    <t>UCSF-P0464</t>
  </si>
  <si>
    <t>O=C(c1ccco1)N1CCOCC1</t>
  </si>
  <si>
    <t>ZINC000000573326</t>
  </si>
  <si>
    <t>UCSF-P0465</t>
  </si>
  <si>
    <t>O=C(NCC1CCCC1)c1cccnc1</t>
  </si>
  <si>
    <t>ZINC000036112756</t>
  </si>
  <si>
    <t>UCSF-P0466</t>
  </si>
  <si>
    <t>O=C(CCc1ccccc1)NCC1CCC1</t>
  </si>
  <si>
    <t>ZINC000048182225</t>
  </si>
  <si>
    <t>UCSF-P0468</t>
  </si>
  <si>
    <t>O=C(Cc1ccccc1)NCc1ccco1</t>
  </si>
  <si>
    <t>ZINC000000037558</t>
  </si>
  <si>
    <t>UCSF-P0469</t>
  </si>
  <si>
    <t>O=S(=O)(N1CCCCC1)N1CCCCC1</t>
  </si>
  <si>
    <t>ZINC000001729552</t>
  </si>
  <si>
    <t>UCSF-P0470</t>
  </si>
  <si>
    <t>O=C(NCc1ccccc1)C(=O)N1CCCC1</t>
  </si>
  <si>
    <t>ZINC000001800540</t>
  </si>
  <si>
    <t>UCSF-P0471</t>
  </si>
  <si>
    <t>O=C(O)c1cc(S(=O)(=O)N2CCC(O)CC2)c[nH]1</t>
  </si>
  <si>
    <t>ZINC000020213439</t>
  </si>
  <si>
    <t>UCSF-P0473</t>
  </si>
  <si>
    <t>O=C(CN1CCCNCC1)Nc1ccccc1</t>
  </si>
  <si>
    <t>ZINC000019272462</t>
  </si>
  <si>
    <t>UCSF-P0474</t>
  </si>
  <si>
    <t>O=S(=O)(Nc1ccccc1)c1ccoc1</t>
  </si>
  <si>
    <t>ZINC000039121813</t>
  </si>
  <si>
    <t>UCSF-P0475</t>
  </si>
  <si>
    <t>Cc1noc(CN2CCC(C(=O)O)CC2)n1</t>
  </si>
  <si>
    <t>ZINC000035185198</t>
  </si>
  <si>
    <t>UCSF-P0476</t>
  </si>
  <si>
    <t>O=C(NC1CCCCC1)N1CCCC1</t>
  </si>
  <si>
    <t>ZINC000001567185</t>
  </si>
  <si>
    <t>UCSF-P0477</t>
  </si>
  <si>
    <t>O=S(=O)(Cc1ccccc1)N1CCOCC1</t>
  </si>
  <si>
    <t>ZINC000000753511</t>
  </si>
  <si>
    <t>UCSF-P0478</t>
  </si>
  <si>
    <t>c1cc(N2CCC2)ncn1</t>
  </si>
  <si>
    <t>ZINC000023894533</t>
  </si>
  <si>
    <t>UCSF-P0479</t>
  </si>
  <si>
    <t>c1cncc(CNC2CCCCC2)c1</t>
  </si>
  <si>
    <t>ZINC000000215688</t>
  </si>
  <si>
    <t>UCSF-P0480</t>
  </si>
  <si>
    <t>c1coc(CNC2CCCC2)c1</t>
  </si>
  <si>
    <t>ZINC000000795093</t>
  </si>
  <si>
    <t>UCSF-P0481</t>
  </si>
  <si>
    <t>C1CCC2(CC1)CCNCC2</t>
  </si>
  <si>
    <t>ZINC000001581015</t>
  </si>
  <si>
    <t>UCSF-P0483</t>
  </si>
  <si>
    <t>c1ccc(NCC2CC2)cc1</t>
  </si>
  <si>
    <t>ZINC000019795711</t>
  </si>
  <si>
    <t>UCSF-P0484</t>
  </si>
  <si>
    <t>O=C(O)c1cc(S(=O)(=O)NCc2ccccc2F)c[nH]1</t>
  </si>
  <si>
    <t>ZINC000022158196</t>
  </si>
  <si>
    <t>UCSF-P0485</t>
  </si>
  <si>
    <t>C1CC2(CCOCC2)CN1</t>
  </si>
  <si>
    <t>ZINC000034925469</t>
  </si>
  <si>
    <t>UCSF-P0486</t>
  </si>
  <si>
    <t>c1ccc(CNC2CC2)nc1</t>
  </si>
  <si>
    <t>ZINC000000795098</t>
  </si>
  <si>
    <t>UCSF-P0490</t>
  </si>
  <si>
    <t>C1CC(CN2CCOCC2)CCN1</t>
  </si>
  <si>
    <t>ZINC000011953324</t>
  </si>
  <si>
    <t>UCSF-P0491</t>
  </si>
  <si>
    <t>c1nc(CN2CCCC2)n[nH]1</t>
  </si>
  <si>
    <t>ZINC000039080323</t>
  </si>
  <si>
    <t>UCSF-P0492</t>
  </si>
  <si>
    <t>CC(=O)c1c(C)[nH]c(C(=O)N2CCCCCC2)c1C</t>
  </si>
  <si>
    <t>ZINC000000429464</t>
  </si>
  <si>
    <t>UCSF-P0493</t>
  </si>
  <si>
    <t>C1CC(N2CCNCC2)CCN1</t>
  </si>
  <si>
    <t>ZINC000026385429</t>
  </si>
  <si>
    <t>UCSF-P0494</t>
  </si>
  <si>
    <t>O=C(CNS(=O)(=O)c1ccccc1)N1CCCC1</t>
  </si>
  <si>
    <t>ZINC000000467479</t>
  </si>
  <si>
    <t>UCSF-P0495</t>
  </si>
  <si>
    <t>Cc1noc(CCC(=O)NCc2cccc(C(=O)O)c2)n1</t>
  </si>
  <si>
    <t>ZINC000037716618</t>
  </si>
  <si>
    <t>UCSF-P0498</t>
  </si>
  <si>
    <t>O=C(COc1ccccc1)NCc1ccco1</t>
  </si>
  <si>
    <t>ZINC000000123561</t>
  </si>
  <si>
    <t>UCSF-P0499</t>
  </si>
  <si>
    <t>O=S(=O)(c1ccccc1)N1CCOCC1</t>
  </si>
  <si>
    <t>ZINC000000301001</t>
  </si>
  <si>
    <t>UCSF-P0500</t>
  </si>
  <si>
    <t>O=C(c1ccco1)N1CCCC1</t>
  </si>
  <si>
    <t>ZINC000000573320</t>
  </si>
  <si>
    <t>UCSF-P0501</t>
  </si>
  <si>
    <t>O=C(COc1ccccc1)NC1CCCC1</t>
  </si>
  <si>
    <t>ZINC000000146551</t>
  </si>
  <si>
    <t>UCSF-P0502</t>
  </si>
  <si>
    <t>O=C(c1cccnc1)N1CCc2ccccc21</t>
  </si>
  <si>
    <t>ZINC000000029580</t>
  </si>
  <si>
    <t>UCSF-P0503</t>
  </si>
  <si>
    <t>O=C(NCc1ccccc1)C1CC1</t>
  </si>
  <si>
    <t>ZINC000000142285</t>
  </si>
  <si>
    <t>UCSF-P0504</t>
  </si>
  <si>
    <t>O=C(CCc1ccccc1)N1CCOCC1</t>
  </si>
  <si>
    <t>ZINC000000493453</t>
  </si>
  <si>
    <t>UCSF-P0505</t>
  </si>
  <si>
    <t>Nc1ccn(-c2ccccc2)n1</t>
  </si>
  <si>
    <t>ZINC000000068824</t>
  </si>
  <si>
    <t>UCSF-P0506</t>
  </si>
  <si>
    <t>O=C1CNC(=O)N1c1ccccc1</t>
  </si>
  <si>
    <t>ZINC000000174344</t>
  </si>
  <si>
    <t>UCSF-P0507</t>
  </si>
  <si>
    <t>O=C(CCOc1ccccc1)N1CCCC1</t>
  </si>
  <si>
    <t>ZINC000046466495</t>
  </si>
  <si>
    <t>UCSF-P0508</t>
  </si>
  <si>
    <t>c1cnc2[nH]ncc2c1</t>
  </si>
  <si>
    <t>ZINC000003852638</t>
  </si>
  <si>
    <t>UCSF-P0512</t>
  </si>
  <si>
    <t>C1CCN(C2CCNCC2)C1</t>
  </si>
  <si>
    <t>ZINC000000135212</t>
  </si>
  <si>
    <t>UCSF-P0513</t>
  </si>
  <si>
    <t>O=C1CNCCCN1</t>
  </si>
  <si>
    <t>ZINC000020216293</t>
  </si>
  <si>
    <t>UCSF-P0514</t>
  </si>
  <si>
    <t>O=S(=O)(c1ccccc1)N1CCN(c2ccccc2)CC1</t>
  </si>
  <si>
    <t>ZINC000000102239</t>
  </si>
  <si>
    <t>UCSF-P0515</t>
  </si>
  <si>
    <t>O=C(C1CC1)N1CCNCC1</t>
  </si>
  <si>
    <t>ZINC000002586030</t>
  </si>
  <si>
    <t>UCSF-P0516</t>
  </si>
  <si>
    <t>O=S(=O)(c1ccccc1)N1CCCC1</t>
  </si>
  <si>
    <t>ZINC000001689349</t>
  </si>
  <si>
    <t>UCSF-P0517</t>
  </si>
  <si>
    <t>c1ccc(-c2nc[nH]n2)cc1</t>
  </si>
  <si>
    <t>ZINC000002027091</t>
  </si>
  <si>
    <t>UCSF-P0518</t>
  </si>
  <si>
    <t>CN(Cc1ccccc1)S(=O)(=O)c1c[nH]c(C(=O)O)c1</t>
  </si>
  <si>
    <t>ZINC000020213524</t>
  </si>
  <si>
    <t>UCSF-P0519</t>
  </si>
  <si>
    <t>O=C(O)C1CC2(CCOCC2)C1</t>
  </si>
  <si>
    <t>ZINC000076597880</t>
  </si>
  <si>
    <t>UCSF-P0520</t>
  </si>
  <si>
    <t>O=S(=O)(Nc1ccccn1)c1ccccc1</t>
  </si>
  <si>
    <t>ZINC000000050504</t>
  </si>
  <si>
    <t>UCSF-P0521</t>
  </si>
  <si>
    <t>c1cc(N2CCNCC2)ccn1</t>
  </si>
  <si>
    <t>ZINC000000155383</t>
  </si>
  <si>
    <t>UCSF-P0523</t>
  </si>
  <si>
    <t>O=C1CCc2ccccc2N1</t>
  </si>
  <si>
    <t>ZINC000000164635</t>
  </si>
  <si>
    <t>O=C(c1cccnc1)N1CCNCC1</t>
  </si>
  <si>
    <t>UCSF-P0525</t>
  </si>
  <si>
    <t>Cn1cc(S(=O)(=O)N2CCCCC2)cc1C(=O)O</t>
  </si>
  <si>
    <t>ZINC000020283605</t>
  </si>
  <si>
    <t>UCSF-P0526</t>
  </si>
  <si>
    <t>O=C(NCc1ccccc1)C1CCC1</t>
  </si>
  <si>
    <t>ZINC000000142560</t>
  </si>
  <si>
    <t>UCSF-P0528</t>
  </si>
  <si>
    <t>O=C(NCC1CC1)c1cccs1</t>
  </si>
  <si>
    <t>ZINC000000091193</t>
  </si>
  <si>
    <t>UCSF-P0529</t>
  </si>
  <si>
    <t>O=S1(=O)CCCNCC1</t>
  </si>
  <si>
    <t>ZINC000038343230</t>
  </si>
  <si>
    <t>UCSF-P0530</t>
  </si>
  <si>
    <t>CN(CCc1cccc(C(F)(F)F)c1)Cc1nncn1C</t>
  </si>
  <si>
    <t>ZINC000019112740</t>
  </si>
  <si>
    <t>UCSF-P0531</t>
  </si>
  <si>
    <t>O=C(Cn1nnc(-c2ccccc2)n1)Nc1ccccc1</t>
  </si>
  <si>
    <t>ZINC000000411451</t>
  </si>
  <si>
    <t>UCSF-P0532</t>
  </si>
  <si>
    <t>O=C(Cn1nnc(-c2ccccc2)n1)NCc1ccccc1</t>
  </si>
  <si>
    <t>ZINC000000108626</t>
  </si>
  <si>
    <t>UCSF-P0533</t>
  </si>
  <si>
    <t>O=C(CN1C(=O)c2ccccc2C1=O)N1CCCCC1</t>
  </si>
  <si>
    <t>ZINC000000127056</t>
  </si>
  <si>
    <t>UCSF-P0534</t>
  </si>
  <si>
    <t>Cn1ccc(S(=O)(=O)N2CCC(C(=O)O)CC2)c1</t>
  </si>
  <si>
    <t>ZINC000012505662</t>
  </si>
  <si>
    <t>UCSF-P0535</t>
  </si>
  <si>
    <t>O=C1NC(=O)C2(CCCC2)N1</t>
  </si>
  <si>
    <t>ZINC000000126199</t>
  </si>
  <si>
    <t>UCSF-P0536</t>
  </si>
  <si>
    <t>c1ccc2c(c1)NCCS2</t>
  </si>
  <si>
    <t>ZINC000001436106</t>
  </si>
  <si>
    <t>UCSF-P0537</t>
  </si>
  <si>
    <t>O=C1NC(=O)C2(CCCCC2)N1</t>
  </si>
  <si>
    <t>ZINC000000078235</t>
  </si>
  <si>
    <t>UCSF-P0538</t>
  </si>
  <si>
    <t>O=c1cccnn1-c1ccccc1</t>
  </si>
  <si>
    <t>ZINC000000331242</t>
  </si>
  <si>
    <t>UCSF-P0539</t>
  </si>
  <si>
    <t>C1CNCCN(C2CC2)C1</t>
  </si>
  <si>
    <t>ZINC000039947652</t>
  </si>
  <si>
    <t>UCSF-P0540</t>
  </si>
  <si>
    <t>c1nc(CN2CCNCC2)n[nH]1</t>
  </si>
  <si>
    <t>ZINC000051658946</t>
  </si>
  <si>
    <t>UCSF-P0541</t>
  </si>
  <si>
    <t>c1csc(C2CCCC2)n1</t>
  </si>
  <si>
    <t>ZINC000039134454</t>
  </si>
  <si>
    <t>UCSF-P0542</t>
  </si>
  <si>
    <t>O=C(c1ccco1)N1CCNCC1</t>
  </si>
  <si>
    <t>ZINC000000236148</t>
  </si>
  <si>
    <t>UCSF-P0543</t>
  </si>
  <si>
    <t>c1ccc2c(C3CCNCC3)c[nH]c2c1</t>
  </si>
  <si>
    <t>ZINC000000084072</t>
  </si>
  <si>
    <t>UCSF-P0544</t>
  </si>
  <si>
    <t>c1csc(N2CCNCC2)n1</t>
  </si>
  <si>
    <t>ZINC000004290090</t>
  </si>
  <si>
    <t>UCSF-P0545</t>
  </si>
  <si>
    <t>c1ccc(NC2CCC2)nc1</t>
  </si>
  <si>
    <t>ZINC000052211392</t>
  </si>
  <si>
    <t>UCSF-P0547</t>
  </si>
  <si>
    <t>NS(=O)(=O)C=1C=CC=C(F)C1</t>
  </si>
  <si>
    <t>ZINC000000404040</t>
  </si>
  <si>
    <t>UCSF-P0548</t>
  </si>
  <si>
    <t>OC(=O)C1CCNCC1</t>
  </si>
  <si>
    <t>ZINC000000156973</t>
  </si>
  <si>
    <t>UCSF-P0549</t>
  </si>
  <si>
    <t>OC(=O)CNC1CCCC1</t>
  </si>
  <si>
    <t>ZINC000001759505</t>
  </si>
  <si>
    <t>UCSF-P0550</t>
  </si>
  <si>
    <t>CC=1C=CC(=CC1)C(=O)O</t>
  </si>
  <si>
    <t>ZINC000000330134</t>
  </si>
  <si>
    <t>UCSF-P0551</t>
  </si>
  <si>
    <t>OC(=O)C1=CNC(=O)NC1=O</t>
  </si>
  <si>
    <t>ZINC000000901606</t>
  </si>
  <si>
    <t>UCSF-P0552</t>
  </si>
  <si>
    <t>CC=1C=CC=2NC(=CC2C1)C(=O)O</t>
  </si>
  <si>
    <t>UCSF-P0553</t>
  </si>
  <si>
    <t>CC1(CCCC1)C(=O)O</t>
  </si>
  <si>
    <t>ZINC000005762220</t>
  </si>
  <si>
    <t>UCSF-P0554</t>
  </si>
  <si>
    <t>CN1C=NC=2N(C)C(=O)N(C)C(=O)C12</t>
  </si>
  <si>
    <t>ZINC000000001084</t>
  </si>
  <si>
    <t>UCSF-P0556</t>
  </si>
  <si>
    <t>OCCC=1C=CC=CC1</t>
  </si>
  <si>
    <t>ZINC000000895934</t>
  </si>
  <si>
    <t>UCSF-P0557</t>
  </si>
  <si>
    <t>OC(=O)COC1CCCC1</t>
  </si>
  <si>
    <t>ZINC000019428842</t>
  </si>
  <si>
    <t>UCSF-P0558</t>
  </si>
  <si>
    <t>NC1CCN(CC1)C(=O)C2CC2</t>
  </si>
  <si>
    <t>ZINC000004502812</t>
  </si>
  <si>
    <t>UCSF-P0559</t>
  </si>
  <si>
    <t>OC(=O)CCC1CCCC1</t>
  </si>
  <si>
    <t>ZINC000000404344</t>
  </si>
  <si>
    <t>UCSF-P0560</t>
  </si>
  <si>
    <t>OC(=O)C=1C=CC(F)=CC1</t>
  </si>
  <si>
    <t>ZINC000000159828</t>
  </si>
  <si>
    <t>UCSF-P0561</t>
  </si>
  <si>
    <t>NC1=NC=2C=C(Cl)C=CC2O1</t>
  </si>
  <si>
    <t>ZINC000008614810</t>
  </si>
  <si>
    <t>UCSF-P0562</t>
  </si>
  <si>
    <t>NNC(=O)CC=1C=CC(F)=CC1</t>
  </si>
  <si>
    <t>ZINC000003888145</t>
  </si>
  <si>
    <t>UCSF-P0563</t>
  </si>
  <si>
    <t>NC(=O)C=1C=CC=C(N)C1</t>
  </si>
  <si>
    <t>ZINC000000157165</t>
  </si>
  <si>
    <t>UCSF-P0566</t>
  </si>
  <si>
    <t>OC(=O)C=1C=CC=C(N1)C(=O)O</t>
  </si>
  <si>
    <t>ZINC000000105246</t>
  </si>
  <si>
    <t>UCSF-P0569</t>
  </si>
  <si>
    <t>NC=1C=CC=2OC(=O)C=CC2C1</t>
  </si>
  <si>
    <t>UCSF-P0571</t>
  </si>
  <si>
    <t>OC(=O)C1=CC=2C=C(Cl)SC2N1</t>
  </si>
  <si>
    <t>ZINC000038866729</t>
  </si>
  <si>
    <t>UCSF-P0573</t>
  </si>
  <si>
    <t>OC=1C=CC(=CC1)N2C=CN=C2</t>
  </si>
  <si>
    <t>ZINC000000066090</t>
  </si>
  <si>
    <t>UCSF-P0574</t>
  </si>
  <si>
    <t>O=C(Cn1cncn1)NCc1ccccc1</t>
  </si>
  <si>
    <t>ZINC000001459406</t>
  </si>
  <si>
    <t>UCSF-P0575</t>
  </si>
  <si>
    <t>CC(C)(C)n1nc(-c2ccc(Cl)cc2)c2c(N)ncnc21</t>
  </si>
  <si>
    <t>ZINC000001383151</t>
  </si>
  <si>
    <t>UCSF-P0578</t>
  </si>
  <si>
    <t>CC=1C=CC=C(C1)C2(CC2)C(=O)N3CC[C@H](O)C3</t>
  </si>
  <si>
    <t>ZINC000267893655</t>
  </si>
  <si>
    <t>UCSF-P0579</t>
  </si>
  <si>
    <t>CC1=CN=C(COC(=O)CC=2C=CC=C(O)C2)O1</t>
  </si>
  <si>
    <t>ZINC000744885028</t>
  </si>
  <si>
    <t>UCSF-P0581</t>
  </si>
  <si>
    <t>CN1N=CC(=N1)C(=O)COC(=O)C=2C=CNC2</t>
  </si>
  <si>
    <t>ZINC000791993359</t>
  </si>
  <si>
    <t>UCSF-P0583</t>
  </si>
  <si>
    <t>NC=1N=CC(NC[C@@H]2CCCO2)=NC1Cl</t>
  </si>
  <si>
    <t>ZINC000891396752</t>
  </si>
  <si>
    <t>UCSF-P0585</t>
  </si>
  <si>
    <t>O=C(N1CCC=2C=NNC2C1)C34CC4CCCC3</t>
  </si>
  <si>
    <t>ZINC000866897831</t>
  </si>
  <si>
    <t>UCSF-P0586</t>
  </si>
  <si>
    <t>CC(C(=O)N1CC=CC1)N2C=NC=N2</t>
  </si>
  <si>
    <t>ZINC000910006054</t>
  </si>
  <si>
    <t>UCSF-P0589</t>
  </si>
  <si>
    <t>CC1=CC(=NO1)C2CCCN2C(=O)C3=CNN=N3</t>
  </si>
  <si>
    <t>ZINC000918320597</t>
  </si>
  <si>
    <t>UCSF-P1445</t>
  </si>
  <si>
    <t>c1ccc(-c2noc(CN3CCCC3)n2)cc1</t>
  </si>
  <si>
    <t>ZINC000048368204</t>
  </si>
  <si>
    <t>UCSF-P1446</t>
  </si>
  <si>
    <t>O=C(NCCc1ccccc1)c1cccnc1</t>
  </si>
  <si>
    <t>ZINC000000029169</t>
  </si>
  <si>
    <t>UCSF-P1447</t>
  </si>
  <si>
    <t>O=C(c1ccccc1)N1C2CCC1CC2</t>
  </si>
  <si>
    <t>ZINC000137090206</t>
  </si>
  <si>
    <t>UCSF-P1448</t>
  </si>
  <si>
    <t>O=C(CN1C(=O)c2ccccc2C1=O)NCc1ccccc1</t>
  </si>
  <si>
    <t>ZINC000001466595</t>
  </si>
  <si>
    <t>UCSF-P1449</t>
  </si>
  <si>
    <t>c1cnc(N2CCCCC2)cn1</t>
  </si>
  <si>
    <t>ZINC000001701961</t>
  </si>
  <si>
    <t>UCSF-P1450</t>
  </si>
  <si>
    <t>O=C(C1CCCCC1)N1CCOCC1</t>
  </si>
  <si>
    <t>ZINC000001481014</t>
  </si>
  <si>
    <t>UCSF-P1451</t>
  </si>
  <si>
    <t>O=C(c1cccnc1)N1CCC1</t>
  </si>
  <si>
    <t>ZINC000013021109</t>
  </si>
  <si>
    <t>UCSF-P1470</t>
  </si>
  <si>
    <t>C1CNCC2(C1)CCC2</t>
  </si>
  <si>
    <t>ZINC000047218680</t>
  </si>
  <si>
    <t>UCSF-P1472</t>
  </si>
  <si>
    <t>O=C(c1cc2ccccc2[nH]1)N1CCNCC1</t>
  </si>
  <si>
    <t>ZINC000000509902</t>
  </si>
  <si>
    <t>UCSF-P1473</t>
  </si>
  <si>
    <t>CNC1=NC=2C=CC=CC2N1</t>
  </si>
  <si>
    <t>ZINC000000039693</t>
  </si>
  <si>
    <t>UCSF-P1491</t>
  </si>
  <si>
    <t>CC=1C=CC(CCC(=O)O)=CC1</t>
  </si>
  <si>
    <t>ZINC000000135745</t>
  </si>
  <si>
    <t>UCSF-P1492</t>
  </si>
  <si>
    <t>OC(=O)C1=CNC=2C=CC=CC12</t>
  </si>
  <si>
    <t>ZINC000000158741</t>
  </si>
  <si>
    <t>UCSF-P1495</t>
  </si>
  <si>
    <t>NS(=O)(=O)C1=NC=CN1</t>
  </si>
  <si>
    <t>ZINC000039132637</t>
  </si>
  <si>
    <t>UCSF-P1496</t>
  </si>
  <si>
    <t>NCC1(CC(=O)O)CCCCC1</t>
  </si>
  <si>
    <t>ZINC000000004949</t>
  </si>
  <si>
    <t>UCSF-P1497</t>
  </si>
  <si>
    <t>OC(=O)C=1C=CC=C2OCCOC12</t>
  </si>
  <si>
    <t>ZINC000004255460</t>
  </si>
  <si>
    <t>UCSF-P1498</t>
  </si>
  <si>
    <t>CC(=O)C1=CN(C)C=2C=CC=CC12</t>
  </si>
  <si>
    <t>ZINC000001400602</t>
  </si>
  <si>
    <t>UCSF-P1499</t>
  </si>
  <si>
    <t>CC1=NN(C)C(C)=C1CCO</t>
  </si>
  <si>
    <t>ZINC000019090604</t>
  </si>
  <si>
    <t>UCSF-P1500</t>
  </si>
  <si>
    <t>OC(=O)C1=CC=2OC=CC2N1</t>
  </si>
  <si>
    <t>ZINC000004234975</t>
  </si>
  <si>
    <t>UCSF-P1501</t>
  </si>
  <si>
    <t>CC(=O)C1=CNC=2C=C(F)C=CC12</t>
  </si>
  <si>
    <t>ZINC000034977567</t>
  </si>
  <si>
    <t>UCSF-P1504</t>
  </si>
  <si>
    <t>CN(CC1CCCOC1)C=2N=CC(O)=CN2</t>
  </si>
  <si>
    <t>ZINC001337772170</t>
  </si>
  <si>
    <t>UCSF-P1505</t>
  </si>
  <si>
    <t>C1CCN(C1)C=2N=CN=C3NC=4C=CC=CC4C23</t>
  </si>
  <si>
    <t>ZINC000450207788</t>
  </si>
  <si>
    <t>UCSF-P1506</t>
  </si>
  <si>
    <t>Cn1nnc2c(C(N)=O)ncn2c1=O</t>
  </si>
  <si>
    <t>ZINC000001482184</t>
  </si>
  <si>
    <t>DLS-EU0001</t>
  </si>
  <si>
    <t>OCc(scc1)c1Cl</t>
  </si>
  <si>
    <t>EN300-187736</t>
  </si>
  <si>
    <t>DLS-EU0002</t>
  </si>
  <si>
    <t>Oc(cccc1)c1Cl</t>
  </si>
  <si>
    <t>EN300-19240</t>
  </si>
  <si>
    <t>DLS-EU0003</t>
  </si>
  <si>
    <t>Cc([nH]nc1C)c1Cl</t>
  </si>
  <si>
    <t>EN300-1301359</t>
  </si>
  <si>
    <t>DLS-EU0004</t>
  </si>
  <si>
    <t>Nc1cc(Br)cnc1</t>
  </si>
  <si>
    <t>AC-907/30003012</t>
  </si>
  <si>
    <t>DLS-EU0005</t>
  </si>
  <si>
    <t>CNCc1ccns1</t>
  </si>
  <si>
    <t>EN300-267302</t>
  </si>
  <si>
    <t>DLS-EU0006</t>
  </si>
  <si>
    <t>CCNc1nccs1</t>
  </si>
  <si>
    <t>CSC000197369</t>
  </si>
  <si>
    <t>DLS-EU0007</t>
  </si>
  <si>
    <t>CNCc1nccs1</t>
  </si>
  <si>
    <t>EN300-96866</t>
  </si>
  <si>
    <t>DLS-EU0008</t>
  </si>
  <si>
    <t>NCCc1nccs1</t>
  </si>
  <si>
    <t>EN300-60750</t>
  </si>
  <si>
    <t>DLS-EU0009</t>
  </si>
  <si>
    <t>NS(C1CNC1)(=O)=O</t>
  </si>
  <si>
    <t>EN300-252334</t>
  </si>
  <si>
    <t>DLS-EU0010</t>
  </si>
  <si>
    <t>Oc(nc1)ncc1Cl</t>
  </si>
  <si>
    <t>EN300-112895</t>
  </si>
  <si>
    <t>DLS-EU0011</t>
  </si>
  <si>
    <t>NC(C1NCSC1)=O</t>
  </si>
  <si>
    <t>PB1456279367</t>
  </si>
  <si>
    <t>DLS-EU0012</t>
  </si>
  <si>
    <t>Fc1cc(Br)cnc1</t>
  </si>
  <si>
    <t>AO-160/25072004</t>
  </si>
  <si>
    <t>DLS-EU0013</t>
  </si>
  <si>
    <t>CC1NCCSC1C</t>
  </si>
  <si>
    <t>EN300-80665</t>
  </si>
  <si>
    <t>DLS-EU0014</t>
  </si>
  <si>
    <t>C[C@H](c1cccs1)N</t>
  </si>
  <si>
    <t>EN300-89279</t>
  </si>
  <si>
    <t>DLS-EU0015</t>
  </si>
  <si>
    <t>O=S1(NCCCC1)=O</t>
  </si>
  <si>
    <t>EN300-216075</t>
  </si>
  <si>
    <t>DLS-EU0016</t>
  </si>
  <si>
    <t>Oc1cc(Br)cnc1</t>
  </si>
  <si>
    <t>EN300-75258</t>
  </si>
  <si>
    <t>DLS-EU0017</t>
  </si>
  <si>
    <t>O=C(C=C1)NC=C1Br</t>
  </si>
  <si>
    <t>EN300-34322</t>
  </si>
  <si>
    <t>DLS-EU0018</t>
  </si>
  <si>
    <t>Cc1csc(CO)n1</t>
  </si>
  <si>
    <t>EN300-93466</t>
  </si>
  <si>
    <t>DLS-EU0019</t>
  </si>
  <si>
    <t>NC(c1cccs1)=O</t>
  </si>
  <si>
    <t>EN300-49198</t>
  </si>
  <si>
    <t>DLS-EU0020</t>
  </si>
  <si>
    <t>CC(CNCC1)S1=O</t>
  </si>
  <si>
    <t>EN300-80999</t>
  </si>
  <si>
    <t>DLS-EU0021</t>
  </si>
  <si>
    <t>Cc1nnc(NC)s1</t>
  </si>
  <si>
    <t>EN300-216149</t>
  </si>
  <si>
    <t>DLS-EU0022</t>
  </si>
  <si>
    <t>NC(c1cnns1)=O</t>
  </si>
  <si>
    <t>Z752159638</t>
  </si>
  <si>
    <t>DLS-EU0023</t>
  </si>
  <si>
    <t>CSC(NN1)=NC1=O</t>
  </si>
  <si>
    <t>Z1799834383</t>
  </si>
  <si>
    <t>DLS-EU0024</t>
  </si>
  <si>
    <t>C1NCC1n1nncc1</t>
  </si>
  <si>
    <t>Z1683068197</t>
  </si>
  <si>
    <t>DLS-EU0025</t>
  </si>
  <si>
    <t>C(CC1)Cc2c1[nH]nc2</t>
  </si>
  <si>
    <t>PB432024632</t>
  </si>
  <si>
    <t>DLS-EU0026</t>
  </si>
  <si>
    <t>NC(C1CC1)C1CCC1</t>
  </si>
  <si>
    <t>EN300-247675</t>
  </si>
  <si>
    <t>DLS-EU0027</t>
  </si>
  <si>
    <t>NC(C1)C11CCCCC1</t>
  </si>
  <si>
    <t>Z1795817890</t>
  </si>
  <si>
    <t>DLS-EU0028</t>
  </si>
  <si>
    <t>C1NCc2c1cccc2</t>
  </si>
  <si>
    <t>I0958</t>
  </si>
  <si>
    <t>DLS-EU0029</t>
  </si>
  <si>
    <t>c1c[nH]c2c1cccc2</t>
  </si>
  <si>
    <t>EN300-18285</t>
  </si>
  <si>
    <t>DLS-EU0030</t>
  </si>
  <si>
    <t>C(CNC1)c2c1ccs2</t>
  </si>
  <si>
    <t>CSC015185043</t>
  </si>
  <si>
    <t>DLS-EU0031</t>
  </si>
  <si>
    <t>C1NCc2ccnn2C1</t>
  </si>
  <si>
    <t>EN300-309417</t>
  </si>
  <si>
    <t>DLS-EU0032</t>
  </si>
  <si>
    <t>C(C1)CC1c1n[nH]cn1</t>
  </si>
  <si>
    <t>EN300-1692461</t>
  </si>
  <si>
    <t>DLS-EU0033</t>
  </si>
  <si>
    <t>C1NCC1c1ncc[nH]1</t>
  </si>
  <si>
    <t>Z3271531685</t>
  </si>
  <si>
    <t>DLS-EU0035</t>
  </si>
  <si>
    <t>Cc(ccc(F)c1)c1F</t>
  </si>
  <si>
    <t>EN300-95446</t>
  </si>
  <si>
    <t>DLS-EU0036</t>
  </si>
  <si>
    <t>C=Cc(cc1)ccc1F</t>
  </si>
  <si>
    <t>EN300-60989</t>
  </si>
  <si>
    <t>DLS-EU0037</t>
  </si>
  <si>
    <t>OCc(cc1)ccc1O</t>
  </si>
  <si>
    <t>EN300-21091</t>
  </si>
  <si>
    <t>DLS-EU0038</t>
  </si>
  <si>
    <t>Cc1ccc(CCO)o1</t>
  </si>
  <si>
    <t>EN300-101016</t>
  </si>
  <si>
    <t>DLS-EU0039</t>
  </si>
  <si>
    <t>CCc(cccc1)c1O</t>
  </si>
  <si>
    <t>EN300-20199</t>
  </si>
  <si>
    <t>DLS-EU0040</t>
  </si>
  <si>
    <t>CSc(cc1)ccc1O</t>
  </si>
  <si>
    <t>EN300-21190</t>
  </si>
  <si>
    <t>DLS-EU0041</t>
  </si>
  <si>
    <t>COc(cc1)ccc1F</t>
  </si>
  <si>
    <t>EN300-16113</t>
  </si>
  <si>
    <t>DLS-EU0042</t>
  </si>
  <si>
    <t>FC(c1ccco1)(F)F</t>
  </si>
  <si>
    <t>EN300-116564</t>
  </si>
  <si>
    <t>DLS-EU0043</t>
  </si>
  <si>
    <t>CC(OC=C1O)=CC1=O</t>
  </si>
  <si>
    <t>Z1708090046</t>
  </si>
  <si>
    <t>DLS-EU0044</t>
  </si>
  <si>
    <t>CC(C)c1n[nH]c(N)n1</t>
  </si>
  <si>
    <t>BBL009430</t>
  </si>
  <si>
    <t>DLS-EU0045</t>
  </si>
  <si>
    <t>CC(C)(c1c[nH]nn1)N</t>
  </si>
  <si>
    <t>EN300-250408</t>
  </si>
  <si>
    <t>DLS-EU0047</t>
  </si>
  <si>
    <t>NCCN1CCCCC1</t>
  </si>
  <si>
    <t>EN300-21749</t>
  </si>
  <si>
    <t>DLS-EU0048</t>
  </si>
  <si>
    <t>NCc1cccc(N)c1</t>
  </si>
  <si>
    <t>A1431</t>
  </si>
  <si>
    <t>DLS-EU0049</t>
  </si>
  <si>
    <t>NCCc1ncccc1</t>
  </si>
  <si>
    <t>EN300-20439</t>
  </si>
  <si>
    <t>DLS-EU0050</t>
  </si>
  <si>
    <t>Cc1cc(N)cc(C)n1</t>
  </si>
  <si>
    <t>AC-907/34119009</t>
  </si>
  <si>
    <t>DLS-EU0051</t>
  </si>
  <si>
    <t>CC(C1)NC(C)CC1N</t>
  </si>
  <si>
    <t>EN300-115467</t>
  </si>
  <si>
    <t>DLS-EU0052</t>
  </si>
  <si>
    <t>CCn1cc(CN)cc1</t>
  </si>
  <si>
    <t>EN300-177582</t>
  </si>
  <si>
    <t>DLS-EU0053</t>
  </si>
  <si>
    <t>CN(C)C1(CN)CCC1</t>
  </si>
  <si>
    <t>EN300-157934</t>
  </si>
  <si>
    <t>DLS-EU0054</t>
  </si>
  <si>
    <t>Nc1cccc(C#N)c1</t>
  </si>
  <si>
    <t>EN300-20183</t>
  </si>
  <si>
    <t>DLS-EU0055</t>
  </si>
  <si>
    <t>NCC1(CCCCC1)N</t>
  </si>
  <si>
    <t>EN300-27093</t>
  </si>
  <si>
    <t>DLS-EU0057</t>
  </si>
  <si>
    <t>CNCc1cc(Cl)c[nH]1</t>
  </si>
  <si>
    <t>Z1436181420</t>
  </si>
  <si>
    <t>DLS-EU0058</t>
  </si>
  <si>
    <t>Nc(ccc(F)c1)c1N</t>
  </si>
  <si>
    <t>EN300-45055</t>
  </si>
  <si>
    <t>DLS-EU0059</t>
  </si>
  <si>
    <t>Cc1c(CN)sc(C)n1</t>
  </si>
  <si>
    <t>EN300-88368</t>
  </si>
  <si>
    <t>DLS-EU0060</t>
  </si>
  <si>
    <t>CSc(cc1)ncc1N</t>
  </si>
  <si>
    <t>PB1263607029</t>
  </si>
  <si>
    <t>DLS-EU0061</t>
  </si>
  <si>
    <t>CNc(scc1)c1C#N</t>
  </si>
  <si>
    <t>EN300-366557</t>
  </si>
  <si>
    <t>DLS-EU0062</t>
  </si>
  <si>
    <t>FC(c1n[nH]cc1)(F)F</t>
  </si>
  <si>
    <t>T2765</t>
  </si>
  <si>
    <t>DLS-EU0063</t>
  </si>
  <si>
    <t>Cc1nocc1C(N)=O</t>
  </si>
  <si>
    <t>EN300-1608897</t>
  </si>
  <si>
    <t>DLS-EU0064</t>
  </si>
  <si>
    <t>CCN(C(CN1)=O)C1=O</t>
  </si>
  <si>
    <t>EN300-73891</t>
  </si>
  <si>
    <t>DLS-EU0065</t>
  </si>
  <si>
    <t>CN(C(C=CN1)=O)C1=O</t>
  </si>
  <si>
    <t>EN300-297986</t>
  </si>
  <si>
    <t>DLS-EU0066</t>
  </si>
  <si>
    <t>CS(c1ncc[nH]1)(=O)=O</t>
  </si>
  <si>
    <t>Z1270640443</t>
  </si>
  <si>
    <t>DLS-EU0067</t>
  </si>
  <si>
    <t>CC(C(CC1)N)NC1=O</t>
  </si>
  <si>
    <t>Z1983079444</t>
  </si>
  <si>
    <t>DLS-EU0068</t>
  </si>
  <si>
    <t>NCc(cc1)cnc1O</t>
  </si>
  <si>
    <t>EN300-79926</t>
  </si>
  <si>
    <t>DLS-EU0069</t>
  </si>
  <si>
    <t>CCNC(C1CNC1)=O</t>
  </si>
  <si>
    <t>Z1346385267</t>
  </si>
  <si>
    <t>DLS-EU0070</t>
  </si>
  <si>
    <t>CC(N1CCNCC1)=O</t>
  </si>
  <si>
    <t>A1399</t>
  </si>
  <si>
    <t>DLS-EU0071</t>
  </si>
  <si>
    <t>NC(C1CCNCC1)=O</t>
  </si>
  <si>
    <t>STL183252</t>
  </si>
  <si>
    <t>DLS-EU0072</t>
  </si>
  <si>
    <t>Cn1c(C(N)=O)ccc1</t>
  </si>
  <si>
    <t>EN300-726556</t>
  </si>
  <si>
    <t>DLS-EU0073</t>
  </si>
  <si>
    <t>C[C@]1(C(N)=O)NCCC1</t>
  </si>
  <si>
    <t>EN300-1697763</t>
  </si>
  <si>
    <t>DLS-EU0074</t>
  </si>
  <si>
    <t>CCc1cc(O)ncn1</t>
  </si>
  <si>
    <t>EN300-53291</t>
  </si>
  <si>
    <t>DLS-EU0075</t>
  </si>
  <si>
    <t>NC(c1cnccc1)=O</t>
  </si>
  <si>
    <t>AC-907/25014114</t>
  </si>
  <si>
    <t>DLS-EU0076</t>
  </si>
  <si>
    <t>CNCC(NC1CC1)=O</t>
  </si>
  <si>
    <t>EN300-13279</t>
  </si>
  <si>
    <t>DLS-EU0077</t>
  </si>
  <si>
    <t>CC(C=C(C)N1)=NC1=O</t>
  </si>
  <si>
    <t>EN300-27685</t>
  </si>
  <si>
    <t>DLS-EU0078</t>
  </si>
  <si>
    <t>CC(C1CC1)NC(N)=O</t>
  </si>
  <si>
    <t>Z56756484</t>
  </si>
  <si>
    <t>DLS-EU0079</t>
  </si>
  <si>
    <t>CNC(C1CNCC1)=O</t>
  </si>
  <si>
    <t>CSC015608914</t>
  </si>
  <si>
    <t>DLS-EU0080</t>
  </si>
  <si>
    <t>NCC(NC=C1)=CC1=O</t>
  </si>
  <si>
    <t>EN300-254272</t>
  </si>
  <si>
    <t>DLS-EU0081</t>
  </si>
  <si>
    <t>CNC1(COCC1)C#N</t>
  </si>
  <si>
    <t>EN300-129372</t>
  </si>
  <si>
    <t>DLS-EU0082</t>
  </si>
  <si>
    <t>Cc1ncc(CO)cn1</t>
  </si>
  <si>
    <t>EN300-178403</t>
  </si>
  <si>
    <t>DLS-EU0083</t>
  </si>
  <si>
    <t>COc(cc1)ncc1N</t>
  </si>
  <si>
    <t>EN300-17185</t>
  </si>
  <si>
    <t>DLS-EU0084</t>
  </si>
  <si>
    <t>Cc1cn(CCO)nc1</t>
  </si>
  <si>
    <t>EN300-230190</t>
  </si>
  <si>
    <t>DLS-EU0085</t>
  </si>
  <si>
    <t>CCOc1cc(C)n[nH]1</t>
  </si>
  <si>
    <t>EN300-1659543</t>
  </si>
  <si>
    <t>DLS-EU0086</t>
  </si>
  <si>
    <t>NC(c1c(N)scc1)=O</t>
  </si>
  <si>
    <t>AI-942/25034073</t>
  </si>
  <si>
    <t>DLS-EU0088</t>
  </si>
  <si>
    <t>CSc1nc(O)ccn1</t>
  </si>
  <si>
    <t>EN300-94701</t>
  </si>
  <si>
    <t>DLS-EU0089</t>
  </si>
  <si>
    <t>NCCC1=CCCCC1</t>
  </si>
  <si>
    <t>EN300-21365</t>
  </si>
  <si>
    <t>DLS-EU0090</t>
  </si>
  <si>
    <t>CC1(CN)CCCCC1</t>
  </si>
  <si>
    <t>EN300-148381</t>
  </si>
  <si>
    <t>DLS-EU0091</t>
  </si>
  <si>
    <t>Cc(cc1)ccc1NC</t>
  </si>
  <si>
    <t>EN300-59273</t>
  </si>
  <si>
    <t>DLS-EU0092</t>
  </si>
  <si>
    <t>CC(C)C1NCC1(C)C</t>
  </si>
  <si>
    <t>EN300-220090</t>
  </si>
  <si>
    <t>DLS-EU0093</t>
  </si>
  <si>
    <t>CNCc1ccccc1</t>
  </si>
  <si>
    <t>STL196319</t>
  </si>
  <si>
    <t>DLS-EU0094</t>
  </si>
  <si>
    <t>CCNC(C)C1CCC1</t>
  </si>
  <si>
    <t>EN300-1707981</t>
  </si>
  <si>
    <t>DLS-EU0095</t>
  </si>
  <si>
    <t>Nc1cc(Br)cc(Cl)c1</t>
  </si>
  <si>
    <t>CSC011934539</t>
  </si>
  <si>
    <t>DLS-EU0096</t>
  </si>
  <si>
    <t>Cc1ccc(CCN)s1</t>
  </si>
  <si>
    <t>Z3052096060</t>
  </si>
  <si>
    <t>DLS-EU0097</t>
  </si>
  <si>
    <t>CC1(C)SCCNCC1</t>
  </si>
  <si>
    <t>EN300-188088</t>
  </si>
  <si>
    <t>DLS-EU0098</t>
  </si>
  <si>
    <t>NCc(cc1)ccc1F</t>
  </si>
  <si>
    <t>F0252</t>
  </si>
  <si>
    <t>DLS-EU0099</t>
  </si>
  <si>
    <t>Cc1ccc(CNC)s1</t>
  </si>
  <si>
    <t>EN300-67402</t>
  </si>
  <si>
    <t>DLS-EU0100</t>
  </si>
  <si>
    <t>CNc(cc1)ccc1F</t>
  </si>
  <si>
    <t>EN300-49841</t>
  </si>
  <si>
    <t>DLS-EU0101</t>
  </si>
  <si>
    <t>NCc(cc(s1)Cl)c1Cl</t>
  </si>
  <si>
    <t>Z1696822384</t>
  </si>
  <si>
    <t>DLS-EU0102</t>
  </si>
  <si>
    <t>NC1CC(CO)(CO)C1</t>
  </si>
  <si>
    <t>EN300-322603</t>
  </si>
  <si>
    <t>DLS-EU0103</t>
  </si>
  <si>
    <t>NC(C1CCOCC1)=O</t>
  </si>
  <si>
    <t>EN300-177184</t>
  </si>
  <si>
    <t>DLS-EU0104</t>
  </si>
  <si>
    <t>Cc1ccc(C(N)=O)o1</t>
  </si>
  <si>
    <t>STK358677</t>
  </si>
  <si>
    <t>DLS-EU0105</t>
  </si>
  <si>
    <t>CN(C1CC1)C(CO)=O</t>
  </si>
  <si>
    <t>Z2028633084</t>
  </si>
  <si>
    <t>DLS-EU0106</t>
  </si>
  <si>
    <t>CC(C(NC1CC1)=O)O</t>
  </si>
  <si>
    <t>EN300-197234</t>
  </si>
  <si>
    <t>DLS-EU0107</t>
  </si>
  <si>
    <t>CNC([C@H]1OCCC1)=O</t>
  </si>
  <si>
    <t>EN300-135137</t>
  </si>
  <si>
    <t>DLS-EU0108</t>
  </si>
  <si>
    <t>NC(CO)c1ccco1</t>
  </si>
  <si>
    <t>Z1815149174</t>
  </si>
  <si>
    <t>DLS-EU0109</t>
  </si>
  <si>
    <t>CC(NC=C1O)=CC1=O</t>
  </si>
  <si>
    <t>Z2941655702</t>
  </si>
  <si>
    <t>DLS-EU0110</t>
  </si>
  <si>
    <t>ONC(c1cccs1)=O</t>
  </si>
  <si>
    <t>EN300-40569</t>
  </si>
  <si>
    <t>DLS-EU0111</t>
  </si>
  <si>
    <t>NCc(cc1)ccc1O</t>
  </si>
  <si>
    <t>STK502926</t>
  </si>
  <si>
    <t>DLS-EU0112</t>
  </si>
  <si>
    <t>NCCC1=CCOCC1</t>
  </si>
  <si>
    <t>Z1511513665</t>
  </si>
  <si>
    <t>DLS-EU0113</t>
  </si>
  <si>
    <t>COCC1(CN)CCC1</t>
  </si>
  <si>
    <t>EN300-201019</t>
  </si>
  <si>
    <t>DLS-EU0114</t>
  </si>
  <si>
    <t>CC(C1NCCCC1)O</t>
  </si>
  <si>
    <t>EN300-64867</t>
  </si>
  <si>
    <t>DLS-EU0115</t>
  </si>
  <si>
    <t>NC(CC1CCCC1)=O</t>
  </si>
  <si>
    <t>PB33624130</t>
  </si>
  <si>
    <t>DLS-EU0116</t>
  </si>
  <si>
    <t>CC(NC(C)=C1)=CC1=O</t>
  </si>
  <si>
    <t>EN300-92391</t>
  </si>
  <si>
    <t>DLS-EU0117</t>
  </si>
  <si>
    <t>Nc1c(CO)cccc1</t>
  </si>
  <si>
    <t>AC-907/25014178</t>
  </si>
  <si>
    <t>DLS-EU0118</t>
  </si>
  <si>
    <t>COc(cccc1)c1N</t>
  </si>
  <si>
    <t>EN300-1265941</t>
  </si>
  <si>
    <t>DLS-EU0119</t>
  </si>
  <si>
    <t>CC(C)(CNC1CC1)O</t>
  </si>
  <si>
    <t>EN300-154195</t>
  </si>
  <si>
    <t>DLS-EU0120</t>
  </si>
  <si>
    <t>Cc1cccc(CO)n1</t>
  </si>
  <si>
    <t>EN300-112685</t>
  </si>
  <si>
    <t>DLS-EU0121</t>
  </si>
  <si>
    <t>CN1CC=C(CO)CC1</t>
  </si>
  <si>
    <t>AO-365/40153223</t>
  </si>
  <si>
    <t>DLS-EU0122</t>
  </si>
  <si>
    <t>NCC(CO)C1CCC1</t>
  </si>
  <si>
    <t>EN300-208176</t>
  </si>
  <si>
    <t>DLS-EU0124</t>
  </si>
  <si>
    <t>N#Cc(cccc1)c1O</t>
  </si>
  <si>
    <t>STK067741</t>
  </si>
  <si>
    <t>DLS-EU0125</t>
  </si>
  <si>
    <t>CNCC1CCOCC1</t>
  </si>
  <si>
    <t>EN300-7404804</t>
  </si>
  <si>
    <t>DLS-EU0126</t>
  </si>
  <si>
    <t>CNCCC1OCCC1</t>
  </si>
  <si>
    <t>PB1801385304</t>
  </si>
  <si>
    <t>DLS-EU0127</t>
  </si>
  <si>
    <t>CCOC(C1)CC1NC</t>
  </si>
  <si>
    <t>EN300-213115</t>
  </si>
  <si>
    <t>DLS-EU0128</t>
  </si>
  <si>
    <t>NCCOC(C1)C1(F)F</t>
  </si>
  <si>
    <t>EN300-269758</t>
  </si>
  <si>
    <t>DLS-EU0129</t>
  </si>
  <si>
    <t>Nc(cc(cc1)Cl)c1O</t>
  </si>
  <si>
    <t>A0284</t>
  </si>
  <si>
    <t>DLS-EU0130</t>
  </si>
  <si>
    <t>CS(N(C1)CC1O)(=O)=O</t>
  </si>
  <si>
    <t>EN300-1707535</t>
  </si>
  <si>
    <t>DLS-EU0131</t>
  </si>
  <si>
    <t>Cc(n(C)nc1C)c1N</t>
  </si>
  <si>
    <t>AN-989/25109004</t>
  </si>
  <si>
    <t>DLS-EU0132</t>
  </si>
  <si>
    <t>CCCn1nccc1N</t>
  </si>
  <si>
    <t>EN300-1608967</t>
  </si>
  <si>
    <t>DLS-EU0133</t>
  </si>
  <si>
    <t>Cc1c(CN)nc(C)[nH]1</t>
  </si>
  <si>
    <t>Z2889976755</t>
  </si>
  <si>
    <t>DLS-EU0134</t>
  </si>
  <si>
    <t>NCc1cccc(N)n1</t>
  </si>
  <si>
    <t>Z2941400813</t>
  </si>
  <si>
    <t>DLS-EU0135</t>
  </si>
  <si>
    <t>NCCCc1ncc[nH]1</t>
  </si>
  <si>
    <t>EN300-1605072</t>
  </si>
  <si>
    <t>DLS-EU0136</t>
  </si>
  <si>
    <t>Cc1nc(N)nc(C)c1</t>
  </si>
  <si>
    <t>AC-907_34118007</t>
  </si>
  <si>
    <t>DLS-EU0137</t>
  </si>
  <si>
    <t>Cc1n[nH]c(COC)n1</t>
  </si>
  <si>
    <t>Z1438483645</t>
  </si>
  <si>
    <t>DLS-EU0138</t>
  </si>
  <si>
    <t>CN1N=CC(N)=CC1=O</t>
  </si>
  <si>
    <t>EN300-210834</t>
  </si>
  <si>
    <t>DLS-EU0139</t>
  </si>
  <si>
    <t>Cn1ncc(C(N)=O)c1</t>
  </si>
  <si>
    <t>Z101186202</t>
  </si>
  <si>
    <t>DLS-EU0140</t>
  </si>
  <si>
    <t>CNC(NC1CNC1)=O</t>
  </si>
  <si>
    <t>PB2010087746</t>
  </si>
  <si>
    <t>DLS-EU0141</t>
  </si>
  <si>
    <t>CC(C(N)=N1)=CNC1=O</t>
  </si>
  <si>
    <t>Z1741980467</t>
  </si>
  <si>
    <t>DLS-EU0142</t>
  </si>
  <si>
    <t>Cc1noc(CCN)n1</t>
  </si>
  <si>
    <t>PB969637266</t>
  </si>
  <si>
    <t>DLS-EU0143</t>
  </si>
  <si>
    <t>CCCc1nnc(N)o1</t>
  </si>
  <si>
    <t>PB398634692</t>
  </si>
  <si>
    <t>DLS-EU0145</t>
  </si>
  <si>
    <t>COCc1nnc(N)s1</t>
  </si>
  <si>
    <t>EN300-186494</t>
  </si>
  <si>
    <t>DLS-EU0146</t>
  </si>
  <si>
    <t>NC1C2C(CC3)CC3C12</t>
  </si>
  <si>
    <t>Z2754447738</t>
  </si>
  <si>
    <t>DLS-EU0147</t>
  </si>
  <si>
    <t>OC1C2NCC3C2CC1C3</t>
  </si>
  <si>
    <t>Z1993522732</t>
  </si>
  <si>
    <t>DLS-EU0148</t>
  </si>
  <si>
    <t>FC(c1ccccc1)(F)F</t>
  </si>
  <si>
    <t>T0439</t>
  </si>
  <si>
    <t>DLS-EU0149</t>
  </si>
  <si>
    <t>OCC(c1ccccc1)=O</t>
  </si>
  <si>
    <t>EN300-62495</t>
  </si>
  <si>
    <t>DLS-EU0150</t>
  </si>
  <si>
    <t>COc(ccc(Br)c1)c1O</t>
  </si>
  <si>
    <t>EN300-206667</t>
  </si>
  <si>
    <t>DLS-EU0151</t>
  </si>
  <si>
    <t>OC1(CCCCC1)C(F)F</t>
  </si>
  <si>
    <t>CSC000724605</t>
  </si>
  <si>
    <t>DLS-EU0152</t>
  </si>
  <si>
    <t>NC(Cn(cc1)nc1N)=O</t>
  </si>
  <si>
    <t>EN300-52167</t>
  </si>
  <si>
    <t>DLS-EU0153</t>
  </si>
  <si>
    <t>NC(CSc1nnc[nH]1)=O</t>
  </si>
  <si>
    <t>STL364006</t>
  </si>
  <si>
    <t>DLS-EU0154</t>
  </si>
  <si>
    <t>NCCNc1ccccc1</t>
  </si>
  <si>
    <t>EN300-81504</t>
  </si>
  <si>
    <t>DLS-EU0155</t>
  </si>
  <si>
    <t>Cc1cc(CN)cc(C)n1</t>
  </si>
  <si>
    <t>EN300-256585</t>
  </si>
  <si>
    <t>DLS-EU0156</t>
  </si>
  <si>
    <t>CC1(CN)CN(C)CCC1</t>
  </si>
  <si>
    <t>Z1683068254</t>
  </si>
  <si>
    <t>DLS-EU0157</t>
  </si>
  <si>
    <t>CCNCc1cccnc1</t>
  </si>
  <si>
    <t>EN300-167268</t>
  </si>
  <si>
    <t>DLS-EU0158</t>
  </si>
  <si>
    <t>C[C@@H](c1cc(F)cnc1)N</t>
  </si>
  <si>
    <t>EN300-251862</t>
  </si>
  <si>
    <t>DLS-EU0159</t>
  </si>
  <si>
    <t>CN(C)C(CNC1)C1SC</t>
  </si>
  <si>
    <t>Z1891776771</t>
  </si>
  <si>
    <t>DLS-EU0160</t>
  </si>
  <si>
    <t>CC(C)c1c(C)sc(N)n1</t>
  </si>
  <si>
    <t>PB2507948079</t>
  </si>
  <si>
    <t>DLS-EU0161</t>
  </si>
  <si>
    <t>FC(Cn1cncc1)(F)F</t>
  </si>
  <si>
    <t>EN300-1252739</t>
  </si>
  <si>
    <t>DLS-EU0162</t>
  </si>
  <si>
    <t>Cc1ncc(C(F)(F)F)[nH]1</t>
  </si>
  <si>
    <t>CSC016088635</t>
  </si>
  <si>
    <t>DLS-EU0163</t>
  </si>
  <si>
    <t>CO[C@@H](C1)CN[C@@H]1C(N)=O</t>
  </si>
  <si>
    <t>Z2053902526</t>
  </si>
  <si>
    <t>DLS-EU0164</t>
  </si>
  <si>
    <t>CC(NCc1nocc1)=O</t>
  </si>
  <si>
    <t>Z1324812698</t>
  </si>
  <si>
    <t>DLS-EU0165</t>
  </si>
  <si>
    <t>NC(NCc1ccco1)=O</t>
  </si>
  <si>
    <t>Z56900771</t>
  </si>
  <si>
    <t>DLS-EU0166</t>
  </si>
  <si>
    <t>NCCCc1cc(O)no1</t>
  </si>
  <si>
    <t>CSC000128540</t>
  </si>
  <si>
    <t>DLS-EU0167</t>
  </si>
  <si>
    <t>CS(Cc1n[nH]cc1)(=O)=O</t>
  </si>
  <si>
    <t>Z3003010228</t>
  </si>
  <si>
    <t>DLS-EU0168</t>
  </si>
  <si>
    <t>CS(N[C@@H]1CNCC1)(=O)=O</t>
  </si>
  <si>
    <t>EN300-2008508</t>
  </si>
  <si>
    <t>DLS-EU0169</t>
  </si>
  <si>
    <t>NCCc1cc(O)cnc1</t>
  </si>
  <si>
    <t>Z1982493951</t>
  </si>
  <si>
    <t>DLS-EU0170</t>
  </si>
  <si>
    <t>NNC(c1ccccc1)=O</t>
  </si>
  <si>
    <t>B0205</t>
  </si>
  <si>
    <t>DLS-EU0171</t>
  </si>
  <si>
    <t>NCCC(N1CCCC1)=O</t>
  </si>
  <si>
    <t>EN300-30243</t>
  </si>
  <si>
    <t>DLS-EU0173</t>
  </si>
  <si>
    <t>CC(C)C1NCCNC1=O</t>
  </si>
  <si>
    <t>EN300-67791</t>
  </si>
  <si>
    <t>DLS-EU0174</t>
  </si>
  <si>
    <t>CC(C(C)N1)NC(C)C1=O</t>
  </si>
  <si>
    <t>EN300-255907</t>
  </si>
  <si>
    <t>DLS-EU0175</t>
  </si>
  <si>
    <t>NC(N1CCCCCC1)=O</t>
  </si>
  <si>
    <t>PB56989566</t>
  </si>
  <si>
    <t>DLS-EU0176</t>
  </si>
  <si>
    <t>NC(Nc1ccccc1)=O</t>
  </si>
  <si>
    <t>P0247</t>
  </si>
  <si>
    <t>DLS-EU0177</t>
  </si>
  <si>
    <t>NC(NC1CCCCC1)=O</t>
  </si>
  <si>
    <t>STK375220</t>
  </si>
  <si>
    <t>DLS-EU0178</t>
  </si>
  <si>
    <t>CNCCN1CCOCC1</t>
  </si>
  <si>
    <t>EN300-65577</t>
  </si>
  <si>
    <t>DLS-EU0179</t>
  </si>
  <si>
    <t>Cc1ccc(C(CN)N)o1</t>
  </si>
  <si>
    <t>EN300-119681</t>
  </si>
  <si>
    <t>DLS-EU0180</t>
  </si>
  <si>
    <t>NC(c(ccnc1)c1Cl)=O</t>
  </si>
  <si>
    <t>EN300-129494</t>
  </si>
  <si>
    <t>DLS-EU0181</t>
  </si>
  <si>
    <t>CN(C=C(C1=O)N)C=C1Br</t>
  </si>
  <si>
    <t>Z1622825818</t>
  </si>
  <si>
    <t>DLS-EU0182</t>
  </si>
  <si>
    <t>Cc1nc(CC(N)=O)cs1</t>
  </si>
  <si>
    <t>CSC000162030</t>
  </si>
  <si>
    <t>DLS-EU0183</t>
  </si>
  <si>
    <t>NS(Cc1nocc1)(=O)=O</t>
  </si>
  <si>
    <t>Z1270790552</t>
  </si>
  <si>
    <t>DLS-EU0184</t>
  </si>
  <si>
    <t>NCCCc1ccccc1</t>
  </si>
  <si>
    <t>EN300-20467</t>
  </si>
  <si>
    <t>DLS-EU0185</t>
  </si>
  <si>
    <t>C=C(CN)c1ccccc1</t>
  </si>
  <si>
    <t>PB2065541791</t>
  </si>
  <si>
    <t>DLS-EU0186</t>
  </si>
  <si>
    <t>CCC(c1ccccc1)N</t>
  </si>
  <si>
    <t>STK400150</t>
  </si>
  <si>
    <t>DLS-EU0187</t>
  </si>
  <si>
    <t>CCCc(cccc1)c1N</t>
  </si>
  <si>
    <t>EN300-33505</t>
  </si>
  <si>
    <t>DLS-EU0188</t>
  </si>
  <si>
    <t>NCCC(CCC1)C1(F)F</t>
  </si>
  <si>
    <t>Z2805897440</t>
  </si>
  <si>
    <t>DLS-EU0189</t>
  </si>
  <si>
    <t>N#Cc(cc(cc1)F)c1Br</t>
  </si>
  <si>
    <t>EN300-59978</t>
  </si>
  <si>
    <t>DLS-EU0190</t>
  </si>
  <si>
    <t>CSCc1cc(N)ccc1</t>
  </si>
  <si>
    <t>EN300-73739</t>
  </si>
  <si>
    <t>DLS-EU0191</t>
  </si>
  <si>
    <t>C[C@@H](c(cccc1)c1F)N</t>
  </si>
  <si>
    <t>CSC011417635</t>
  </si>
  <si>
    <t>DLS-EU0192</t>
  </si>
  <si>
    <t>CCSc(cccc1)c1N</t>
  </si>
  <si>
    <t>EN300-49598</t>
  </si>
  <si>
    <t>DLS-EU0193</t>
  </si>
  <si>
    <t>Cc1cc(F)cc(C#N)c1</t>
  </si>
  <si>
    <t>EN300-112741</t>
  </si>
  <si>
    <t>DLS-EU0194</t>
  </si>
  <si>
    <t>CC(Cc1cscc1)NC</t>
  </si>
  <si>
    <t>PB1333120842</t>
  </si>
  <si>
    <t>DLS-EU0195</t>
  </si>
  <si>
    <t>FC(c1ncccc1)(F)F</t>
  </si>
  <si>
    <t>EN300-104803</t>
  </si>
  <si>
    <t>DLS-EU0196</t>
  </si>
  <si>
    <t>CC1NCCC1C(F)(F)F</t>
  </si>
  <si>
    <t>EN300-190473</t>
  </si>
  <si>
    <t>DLS-EU0197</t>
  </si>
  <si>
    <t>CNC(CCOC1)C1OC</t>
  </si>
  <si>
    <t>EN300-378153</t>
  </si>
  <si>
    <t>DLS-EU0198</t>
  </si>
  <si>
    <t>NC(C1(CCCCC1)O)=O</t>
  </si>
  <si>
    <t>Z1386631451</t>
  </si>
  <si>
    <t>DLS-EU0199</t>
  </si>
  <si>
    <t>NCC1(CO)CCOCC1</t>
  </si>
  <si>
    <t>EN300-115011</t>
  </si>
  <si>
    <t>DLS-EU0200</t>
  </si>
  <si>
    <t>COc1c(C(N)=O)scc1</t>
  </si>
  <si>
    <t>EN300-70705</t>
  </si>
  <si>
    <t>DLS-EU0201</t>
  </si>
  <si>
    <t>CC(C)(C(C1)NC)S1(=O)=O</t>
  </si>
  <si>
    <t>EN300-1695689</t>
  </si>
  <si>
    <t>DLS-EU0202</t>
  </si>
  <si>
    <t>NCC(CCCC1)S1(=O)=O</t>
  </si>
  <si>
    <t>Z1649677764</t>
  </si>
  <si>
    <t>DLS-EU0203</t>
  </si>
  <si>
    <t>CC(CNCC1C)S1(=O)=O</t>
  </si>
  <si>
    <t>Z2168496046</t>
  </si>
  <si>
    <t>DLS-EU0204</t>
  </si>
  <si>
    <t>NS(CC1CCCC1)(=O)=O</t>
  </si>
  <si>
    <t>PB1431981480</t>
  </si>
  <si>
    <t>DLS-EU0205</t>
  </si>
  <si>
    <t>NS(c1ccccc1)(=O)=O</t>
  </si>
  <si>
    <t>AB-131/40262287</t>
  </si>
  <si>
    <t>DLS-EU0206</t>
  </si>
  <si>
    <t>NCCOc1ccccc1</t>
  </si>
  <si>
    <t>EN300-31922</t>
  </si>
  <si>
    <t>DLS-EU0207</t>
  </si>
  <si>
    <t>CC(CCc1ccco1)N</t>
  </si>
  <si>
    <t>EN300-12427</t>
  </si>
  <si>
    <t>DLS-EU0208</t>
  </si>
  <si>
    <t>CC(Nc1ccccc1)=O</t>
  </si>
  <si>
    <t>AH-034/32461060</t>
  </si>
  <si>
    <t>DLS-EU0209</t>
  </si>
  <si>
    <t>CCNc1cccc(O)c1</t>
  </si>
  <si>
    <t>PB1823987636</t>
  </si>
  <si>
    <t>DLS-EU0210</t>
  </si>
  <si>
    <t>NCC(C1CCCCC1)O</t>
  </si>
  <si>
    <t>PB234973337</t>
  </si>
  <si>
    <t>DLS-EU0211</t>
  </si>
  <si>
    <t>COCc(cccc1)c1N</t>
  </si>
  <si>
    <t>EN300-41039</t>
  </si>
  <si>
    <t>DLS-EU0212</t>
  </si>
  <si>
    <t>CC(C)(CCC1)C1(CN)O</t>
  </si>
  <si>
    <t>Z2213893403</t>
  </si>
  <si>
    <t>DLS-EU0213</t>
  </si>
  <si>
    <t>NCc1cccc(CO)c1</t>
  </si>
  <si>
    <t>EN300-70112</t>
  </si>
  <si>
    <t>DLS-EU0214</t>
  </si>
  <si>
    <t>N#CCc1cccc(O)c1</t>
  </si>
  <si>
    <t>Z1860991923</t>
  </si>
  <si>
    <t>DLS-EU0215</t>
  </si>
  <si>
    <t>CCOCC1NCCCC1</t>
  </si>
  <si>
    <t>EN300-251630</t>
  </si>
  <si>
    <t>DLS-EU0216</t>
  </si>
  <si>
    <t>OCCNc1ccccc1</t>
  </si>
  <si>
    <t>A0466</t>
  </si>
  <si>
    <t>DLS-EU0217</t>
  </si>
  <si>
    <t>CN(C)c(cc1)ccc1O</t>
  </si>
  <si>
    <t>EN300-176799</t>
  </si>
  <si>
    <t>DLS-EU0218</t>
  </si>
  <si>
    <t>CCC1OC(CC)CNC1</t>
  </si>
  <si>
    <t>EN300-256776</t>
  </si>
  <si>
    <t>DLS-EU0219</t>
  </si>
  <si>
    <t>OCC(CNCC1)C1(F)F</t>
  </si>
  <si>
    <t>EN300-218773</t>
  </si>
  <si>
    <t>DLS-EU0220</t>
  </si>
  <si>
    <t>CS(c(cccc1)c1N)=O</t>
  </si>
  <si>
    <t>Z1262398524</t>
  </si>
  <si>
    <t>DLS-EU0221</t>
  </si>
  <si>
    <t>OCCNC1CSCCC1</t>
  </si>
  <si>
    <t>EN300-192798</t>
  </si>
  <si>
    <t>DLS-EU0222</t>
  </si>
  <si>
    <t>Cc1noc(C(F)(F)F)c1</t>
  </si>
  <si>
    <t>EN300-231973</t>
  </si>
  <si>
    <t>DLS-EU0223</t>
  </si>
  <si>
    <t>NS(C1COCCC1)(=O)=O</t>
  </si>
  <si>
    <t>Z1642061024</t>
  </si>
  <si>
    <t>DLS-EU0224</t>
  </si>
  <si>
    <t>CCCc1nccc(N)n1</t>
  </si>
  <si>
    <t>Z3006151409</t>
  </si>
  <si>
    <t>DLS-EU0225</t>
  </si>
  <si>
    <t>CC(C)(c1ncccn1)N</t>
  </si>
  <si>
    <t>EN300-244555</t>
  </si>
  <si>
    <t>DLS-EU0226</t>
  </si>
  <si>
    <t>CCNc1nccnc1C</t>
  </si>
  <si>
    <t>EN300-192651</t>
  </si>
  <si>
    <t>DLS-EU0227</t>
  </si>
  <si>
    <t>CCn1c(C(C)N)ncc1</t>
  </si>
  <si>
    <t>Z2235409223</t>
  </si>
  <si>
    <t>DLS-EU0228</t>
  </si>
  <si>
    <t>Cn1c(SCCN)ncc1</t>
  </si>
  <si>
    <t>EN300-6759032</t>
  </si>
  <si>
    <t>DLS-EU0229</t>
  </si>
  <si>
    <t>CN(C)Cc1csc(N)n1</t>
  </si>
  <si>
    <t>PB2255187532</t>
  </si>
  <si>
    <t>DLS-EU0230</t>
  </si>
  <si>
    <t>Nc1n[nH]c(C(F)(F)F)c1</t>
  </si>
  <si>
    <t>STK352653</t>
  </si>
  <si>
    <t>DLS-EU0231</t>
  </si>
  <si>
    <t>Cc1cc(NC(N)=O)no1</t>
  </si>
  <si>
    <t>Z166687128</t>
  </si>
  <si>
    <t>DLS-EU0232</t>
  </si>
  <si>
    <t>CNS(c1c[nH]nc1)(=O)=O</t>
  </si>
  <si>
    <t>EN300-82731</t>
  </si>
  <si>
    <t>DLS-EU0233</t>
  </si>
  <si>
    <t>COCc1nc(N)ccn1</t>
  </si>
  <si>
    <t>Z2523459919</t>
  </si>
  <si>
    <t>DLS-EU0234</t>
  </si>
  <si>
    <t>NC(c1nc(N)ccc1)=O</t>
  </si>
  <si>
    <t>EN300-78837</t>
  </si>
  <si>
    <t>DLS-EU0235</t>
  </si>
  <si>
    <t>CC(NCc1ncc[nH]1)=O</t>
  </si>
  <si>
    <t>Z1203191681</t>
  </si>
  <si>
    <t>DLS-EU0236</t>
  </si>
  <si>
    <t>CC(C)(C)N1NC=NC1=O</t>
  </si>
  <si>
    <t>Z1603826979</t>
  </si>
  <si>
    <t>DLS-EU0237</t>
  </si>
  <si>
    <t>CC(C)(c1noc(C)n1)N</t>
  </si>
  <si>
    <t>PB1262331722</t>
  </si>
  <si>
    <t>DLS-EU0239</t>
  </si>
  <si>
    <t>Oc1c(CCC2)c2ccc1</t>
  </si>
  <si>
    <t>EN300-157277</t>
  </si>
  <si>
    <t>DLS-EU0240</t>
  </si>
  <si>
    <t>Oc(cc1)cc2c1scc2</t>
  </si>
  <si>
    <t>Z2940715404</t>
  </si>
  <si>
    <t>DLS-EU0242</t>
  </si>
  <si>
    <t>Nc1cccc2c1cc[nH]2</t>
  </si>
  <si>
    <t>BBL100183</t>
  </si>
  <si>
    <t>DLS-EU0243</t>
  </si>
  <si>
    <t>FC(CC1)CN1C1CNC1</t>
  </si>
  <si>
    <t>CSC015508357</t>
  </si>
  <si>
    <t>DLS-EU0244</t>
  </si>
  <si>
    <t>Fc(cc1)cc2c1[nH]cn2</t>
  </si>
  <si>
    <t>EN300-174276</t>
  </si>
  <si>
    <t>DLS-EU0245</t>
  </si>
  <si>
    <t>Cc1csc(NC2CC2)n1</t>
  </si>
  <si>
    <t>Z73485928</t>
  </si>
  <si>
    <t>DLS-EU0246</t>
  </si>
  <si>
    <t>Nc1nc(CCCC2)c2s1</t>
  </si>
  <si>
    <t>Z48847549</t>
  </si>
  <si>
    <t>DLS-EU0247</t>
  </si>
  <si>
    <t>C1Nc2cccnc2SC1</t>
  </si>
  <si>
    <t>EN300-85675</t>
  </si>
  <si>
    <t>DLS-EU0248</t>
  </si>
  <si>
    <t>OC1c2n[nH]cc2CCC1</t>
  </si>
  <si>
    <t>Z1269638425</t>
  </si>
  <si>
    <t>DLS-EU0249</t>
  </si>
  <si>
    <t>O=C1Nc(cccc2)c2N1</t>
  </si>
  <si>
    <t>AF-834/25000580</t>
  </si>
  <si>
    <t>DLS-EU0250</t>
  </si>
  <si>
    <t>O=C1N(CCC2)C2NCC1</t>
  </si>
  <si>
    <t>Z2939852005</t>
  </si>
  <si>
    <t>DLS-EU0251</t>
  </si>
  <si>
    <t>c1coc(-c2n[nH]cc2)c1</t>
  </si>
  <si>
    <t>EN300-64809</t>
  </si>
  <si>
    <t>DLS-EU0252</t>
  </si>
  <si>
    <t>Oc(cc1)cc2c1nc[nH]2</t>
  </si>
  <si>
    <t>EN300-108831</t>
  </si>
  <si>
    <t>DLS-EU0253</t>
  </si>
  <si>
    <t>Nc(cc1)cc2c1nco2</t>
  </si>
  <si>
    <t>EN300-74661</t>
  </si>
  <si>
    <t>DLS-EU0254</t>
  </si>
  <si>
    <t>Nc1ccc(C2CC2)cc1</t>
  </si>
  <si>
    <t>EN300-2008129</t>
  </si>
  <si>
    <t>DLS-EU0255</t>
  </si>
  <si>
    <t>CC(C1C(CC2)CC2C1)N</t>
  </si>
  <si>
    <t>EN300-02359</t>
  </si>
  <si>
    <t>DLS-EU0256</t>
  </si>
  <si>
    <t>C(C1)CNc2c1cccc2</t>
  </si>
  <si>
    <t>STK182862</t>
  </si>
  <si>
    <t>DLS-EU0257</t>
  </si>
  <si>
    <t>C1C(c2ccccc2)NC1</t>
  </si>
  <si>
    <t>EN300-39966</t>
  </si>
  <si>
    <t>DLS-EU0258</t>
  </si>
  <si>
    <t>C1NCC1c1ccccc1</t>
  </si>
  <si>
    <t>EN300-227221</t>
  </si>
  <si>
    <t>DLS-EU0259</t>
  </si>
  <si>
    <t>NC1c(cccc2)c2SC1</t>
  </si>
  <si>
    <t>Z1269702238</t>
  </si>
  <si>
    <t>DLS-EU0260</t>
  </si>
  <si>
    <t>C(C1)CNC1c1cccs1</t>
  </si>
  <si>
    <t>EN300-11321</t>
  </si>
  <si>
    <t>DLS-EU0261</t>
  </si>
  <si>
    <t>O=C1Oc(cccc2)c2N1</t>
  </si>
  <si>
    <t>EN300-16991</t>
  </si>
  <si>
    <t>DLS-EU0262</t>
  </si>
  <si>
    <t>O=S1(C[C@H](CNC2)[C@H]2C1)=O</t>
  </si>
  <si>
    <t>Z2935001122</t>
  </si>
  <si>
    <t>DLS-EU0263</t>
  </si>
  <si>
    <t>O=C1NCc2c1cccc2</t>
  </si>
  <si>
    <t>STK628505</t>
  </si>
  <si>
    <t>DLS-EU0264</t>
  </si>
  <si>
    <t>O=C1NCC2(CCCC2)C1</t>
  </si>
  <si>
    <t>EN300-97350</t>
  </si>
  <si>
    <t>DLS-EU0265</t>
  </si>
  <si>
    <t>C1NOCc2c1cccc2</t>
  </si>
  <si>
    <t>Z2096086829</t>
  </si>
  <si>
    <t>DLS-EU0266</t>
  </si>
  <si>
    <t>Nc1cc(COC2)c2cc1</t>
  </si>
  <si>
    <t>EN300-123705</t>
  </si>
  <si>
    <t>DLS-EU0267</t>
  </si>
  <si>
    <t>C(C1CNC1)c1cocc1</t>
  </si>
  <si>
    <t>EN300-746785</t>
  </si>
  <si>
    <t>DLS-EU0268</t>
  </si>
  <si>
    <t>CC1(CN)C(CC2)OC2C1</t>
  </si>
  <si>
    <t>Z2379087771</t>
  </si>
  <si>
    <t>DLS-EU0269</t>
  </si>
  <si>
    <t>CC1(CC(CC2)NC2C1)O</t>
  </si>
  <si>
    <t>Z1346385512</t>
  </si>
  <si>
    <t>DLS-EU0270</t>
  </si>
  <si>
    <t>O=C1Nc(ccs2)c2SC1</t>
  </si>
  <si>
    <t>Z1583815911</t>
  </si>
  <si>
    <t>DLS-EU0271</t>
  </si>
  <si>
    <t>O=C1NC=Cc2c1ccs2</t>
  </si>
  <si>
    <t>EN300-117438</t>
  </si>
  <si>
    <t>DLS-EU0272</t>
  </si>
  <si>
    <t>Nc1ccc(C2CC2)nn1</t>
  </si>
  <si>
    <t>PB1268229787</t>
  </si>
  <si>
    <t>DLS-EU0273</t>
  </si>
  <si>
    <t>CNc1cc(C2CC2)n[nH]1</t>
  </si>
  <si>
    <t>Z2941655728</t>
  </si>
  <si>
    <t>DLS-EU0274</t>
  </si>
  <si>
    <t>CC1c2n[nH]cc2CNC1</t>
  </si>
  <si>
    <t>EN300-333274</t>
  </si>
  <si>
    <t>DLS-EU0275</t>
  </si>
  <si>
    <t>Cc1nc2cccnc2[nH]1</t>
  </si>
  <si>
    <t>Z969560526</t>
  </si>
  <si>
    <t>DLS-EU0276</t>
  </si>
  <si>
    <t>Cn1nc(CSC2)c2c1N</t>
  </si>
  <si>
    <t>EN300-191882</t>
  </si>
  <si>
    <t>DLS-EU0277</t>
  </si>
  <si>
    <t>O=C1NNc2c1cccn2</t>
  </si>
  <si>
    <t>Z600428588</t>
  </si>
  <si>
    <t>DLS-EU0278</t>
  </si>
  <si>
    <t>Oc1cc2ccccc2cc1</t>
  </si>
  <si>
    <t>EN300-18025</t>
  </si>
  <si>
    <t>DLS-EU0279</t>
  </si>
  <si>
    <t>CN(C1)Cc2c1ccc(N)c2</t>
  </si>
  <si>
    <t>PB803222738</t>
  </si>
  <si>
    <t>DLS-EU0280</t>
  </si>
  <si>
    <t>NCC1c2ncccc2CC1</t>
  </si>
  <si>
    <t>Z2507870679</t>
  </si>
  <si>
    <t>DLS-EU0281</t>
  </si>
  <si>
    <t>CSc1nc(cccc2)c2[nH]1</t>
  </si>
  <si>
    <t>AF-615/01049027</t>
  </si>
  <si>
    <t>DLS-EU0282</t>
  </si>
  <si>
    <t>CN(C([C@H]1[C@@H]2CNC1)=O)C2=O</t>
  </si>
  <si>
    <t>EN300-358918</t>
  </si>
  <si>
    <t>DLS-EU0283</t>
  </si>
  <si>
    <t>OC(CC12CNC2)CNC1=O</t>
  </si>
  <si>
    <t>Z2863564660</t>
  </si>
  <si>
    <t>DLS-EU0284</t>
  </si>
  <si>
    <t>O=C(c1cccnc11)NC1=O</t>
  </si>
  <si>
    <t>AE-641/00577009</t>
  </si>
  <si>
    <t>DLS-EU0285</t>
  </si>
  <si>
    <t>O=C(CC1NC2CC2)NC1=O</t>
  </si>
  <si>
    <t>CSC000748173</t>
  </si>
  <si>
    <t>DLS-EU0286</t>
  </si>
  <si>
    <t>O=C(NC1)OC11CCNCC1</t>
  </si>
  <si>
    <t>Z1762997344</t>
  </si>
  <si>
    <t>DLS-EU0287</t>
  </si>
  <si>
    <t>OC(NC1=O)=Nc2c1scc2</t>
  </si>
  <si>
    <t>STL134598</t>
  </si>
  <si>
    <t>DLS-EU0288</t>
  </si>
  <si>
    <t>O=C1NN=C(CCCC2)C2=C1</t>
  </si>
  <si>
    <t>STL129501</t>
  </si>
  <si>
    <t>DLS-EU0289</t>
  </si>
  <si>
    <t>O=C1NC(CCCC2)C2NC1</t>
  </si>
  <si>
    <t>Z1416200992</t>
  </si>
  <si>
    <t>DLS-EU0290</t>
  </si>
  <si>
    <t>N[C@@](C1)(CCCC2)[C@H]2NC1=O</t>
  </si>
  <si>
    <t>Z2940715345</t>
  </si>
  <si>
    <t>DLS-EU0292</t>
  </si>
  <si>
    <t>C1NCC1NC1CCOCC1</t>
  </si>
  <si>
    <t>Z2863515174</t>
  </si>
  <si>
    <t>DLS-EU0294</t>
  </si>
  <si>
    <t>Nc1cc(-c2cscc2)no1</t>
  </si>
  <si>
    <t>Z1258992715</t>
  </si>
  <si>
    <t>DLS-EU0295</t>
  </si>
  <si>
    <t>Nc1nc(-c2ccco2)cs1</t>
  </si>
  <si>
    <t>EN300-40921</t>
  </si>
  <si>
    <t>DLS-EU0296</t>
  </si>
  <si>
    <t>NCc1cc(CCC2)c2cc1</t>
  </si>
  <si>
    <t>Z425449738</t>
  </si>
  <si>
    <t>DLS-EU0297</t>
  </si>
  <si>
    <t>Nc1cc(CCCC2)c2cc1</t>
  </si>
  <si>
    <t>PB2106684283</t>
  </si>
  <si>
    <t>DLS-EU0298</t>
  </si>
  <si>
    <t>CCC1c(cccc2)c2NC1</t>
  </si>
  <si>
    <t>EN300-221817</t>
  </si>
  <si>
    <t>DLS-EU0299</t>
  </si>
  <si>
    <t>CC1(C)c(cccc2)c2NC1</t>
  </si>
  <si>
    <t>CSC011604009</t>
  </si>
  <si>
    <t>DLS-EU0300</t>
  </si>
  <si>
    <t>C(C1)CC1Nc1ccccc1</t>
  </si>
  <si>
    <t>EN300-168283</t>
  </si>
  <si>
    <t>DLS-EU0301</t>
  </si>
  <si>
    <t>CNC(C1)Cc2c1cccc2</t>
  </si>
  <si>
    <t>STK501614</t>
  </si>
  <si>
    <t>DLS-EU0302</t>
  </si>
  <si>
    <t>NC1(CC1)c1cccc(F)c1</t>
  </si>
  <si>
    <t>CSC000705973</t>
  </si>
  <si>
    <t>DLS-EU0303</t>
  </si>
  <si>
    <t>CC1Sc(cccc2)c2NC1</t>
  </si>
  <si>
    <t>EN300-103743</t>
  </si>
  <si>
    <t>DLS-EU0304</t>
  </si>
  <si>
    <t>O=C1Nc(cccc2)c2OC1</t>
  </si>
  <si>
    <t>AE-473/30224032</t>
  </si>
  <si>
    <t>DLS-EU0305</t>
  </si>
  <si>
    <t>O=C(C1C2CCCC1)NC2=O</t>
  </si>
  <si>
    <t>H1363</t>
  </si>
  <si>
    <t>DLS-EU0306</t>
  </si>
  <si>
    <t>NCc1c2OCOc2ccc1</t>
  </si>
  <si>
    <t>Z803153534</t>
  </si>
  <si>
    <t>DLS-EU0307</t>
  </si>
  <si>
    <t>Nc(cc1OCOc1c1)c1Cl</t>
  </si>
  <si>
    <t>Z169512018</t>
  </si>
  <si>
    <t>DLS-EU0308</t>
  </si>
  <si>
    <t>O=S1(NCc2c1cccc2)=O</t>
  </si>
  <si>
    <t>Z3227037778</t>
  </si>
  <si>
    <t>DLS-EU0309</t>
  </si>
  <si>
    <t>OC(C1)CNc2c1cccc2</t>
  </si>
  <si>
    <t>CSC015348269</t>
  </si>
  <si>
    <t>DLS-EU0310</t>
  </si>
  <si>
    <t>COc1c(CNC2)c2ccc1</t>
  </si>
  <si>
    <t>Z2740003178</t>
  </si>
  <si>
    <t>DLS-EU0311</t>
  </si>
  <si>
    <t>Cc1coc(cc2)c1cc2N</t>
  </si>
  <si>
    <t>Z1742055008</t>
  </si>
  <si>
    <t>DLS-EU0312</t>
  </si>
  <si>
    <t>CC(c1ccco1)NC1CC1</t>
  </si>
  <si>
    <t>EN300-53597</t>
  </si>
  <si>
    <t>DLS-EU0313</t>
  </si>
  <si>
    <t>C1NCC1Oc1ccccc1</t>
  </si>
  <si>
    <t>EN300-67171</t>
  </si>
  <si>
    <t>DLS-EU0314</t>
  </si>
  <si>
    <t>COc(cc1)cc2c1[nH]cc2</t>
  </si>
  <si>
    <t>EN300-21650</t>
  </si>
  <si>
    <t>DLS-EU0315</t>
  </si>
  <si>
    <t>OCC(C1)Nc2c1cccc2</t>
  </si>
  <si>
    <t>CSC016193902</t>
  </si>
  <si>
    <t>DLS-EU0316</t>
  </si>
  <si>
    <t>O=C(C1)Nc(cc2)c1cc2Br</t>
  </si>
  <si>
    <t>B3741</t>
  </si>
  <si>
    <t>DLS-EU0317</t>
  </si>
  <si>
    <t>c1c(-c2ccccc2)nn[nH]1</t>
  </si>
  <si>
    <t>EN300-379195</t>
  </si>
  <si>
    <t>DLS-EU0318</t>
  </si>
  <si>
    <t>CC1Nc2ccnn2C(C)C1</t>
  </si>
  <si>
    <t>Z255149896</t>
  </si>
  <si>
    <t>DLS-EU0319</t>
  </si>
  <si>
    <t>Cn1nccc1CNC1CC1</t>
  </si>
  <si>
    <t>EN300-1700537</t>
  </si>
  <si>
    <t>DLS-EU0320</t>
  </si>
  <si>
    <t>Cc1nc(CCC(C2)N)c2[nH]1</t>
  </si>
  <si>
    <t>EN300-181428</t>
  </si>
  <si>
    <t>DLS-EU0321</t>
  </si>
  <si>
    <t>CN(CC1)Cc2c1nc(N)s2</t>
  </si>
  <si>
    <t>Z96092807</t>
  </si>
  <si>
    <t>DLS-EU0322</t>
  </si>
  <si>
    <t>NC(CC1O)C1n1nccc1</t>
  </si>
  <si>
    <t>Z2236664450</t>
  </si>
  <si>
    <t>DLS-EU0323</t>
  </si>
  <si>
    <t>N[C@@H]1[C@@H](c2n[nH]cc2)OCC1</t>
  </si>
  <si>
    <t>Z2685802470</t>
  </si>
  <si>
    <t>DLS-EU0324</t>
  </si>
  <si>
    <t>C(C1)CNCC1c1nocn1</t>
  </si>
  <si>
    <t>Z2889977048</t>
  </si>
  <si>
    <t>DLS-EU0325</t>
  </si>
  <si>
    <t>C(C1)C1C1NCC11OCCC1</t>
  </si>
  <si>
    <t>EN300-217949</t>
  </si>
  <si>
    <t>DLS-EU0326</t>
  </si>
  <si>
    <t>OC(CCc1ccccc1)=O</t>
  </si>
  <si>
    <t>STK286011</t>
  </si>
  <si>
    <t>DLS-EU0327</t>
  </si>
  <si>
    <t>CC(c(cc1)cc(C)c1O)=O</t>
  </si>
  <si>
    <t>AO-800/41069724</t>
  </si>
  <si>
    <t>DLS-EU0328</t>
  </si>
  <si>
    <t>COc(cc1)c(CO)cc1F</t>
  </si>
  <si>
    <t>EN300-244256</t>
  </si>
  <si>
    <t>DLS-EU0329</t>
  </si>
  <si>
    <t>CNC(NCc1c[nH]nc1)=O</t>
  </si>
  <si>
    <t>CSC013069783</t>
  </si>
  <si>
    <t>DLS-EU0330</t>
  </si>
  <si>
    <t>CC(C)(c1cccc(N)c1)N</t>
  </si>
  <si>
    <t>EN300-383842</t>
  </si>
  <si>
    <t>DLS-EU0331</t>
  </si>
  <si>
    <t>NCc1ccc(CC#N)cc1</t>
  </si>
  <si>
    <t>EN300-250196</t>
  </si>
  <si>
    <t>DLS-EU0332</t>
  </si>
  <si>
    <t>CN(CCN)c1ccccc1</t>
  </si>
  <si>
    <t>EN300-34696</t>
  </si>
  <si>
    <t>DLS-EU0333</t>
  </si>
  <si>
    <t>CC(CCc1cccn1C)N</t>
  </si>
  <si>
    <t>Z1263529813</t>
  </si>
  <si>
    <t>DLS-EU0334</t>
  </si>
  <si>
    <t>NCC(CN)c1ccccc1</t>
  </si>
  <si>
    <t>EN300-198303</t>
  </si>
  <si>
    <t>DLS-EU0335</t>
  </si>
  <si>
    <t>CC(CN)(c1ccccc1)N</t>
  </si>
  <si>
    <t>EN300-224748</t>
  </si>
  <si>
    <t>DLS-EU0336</t>
  </si>
  <si>
    <t>N#CNc(cc1)cc(Cl)c1F</t>
  </si>
  <si>
    <t>Z1259297355</t>
  </si>
  <si>
    <t>DLS-EU0337</t>
  </si>
  <si>
    <t>NCC(c(cc1)ccc1Cl)N</t>
  </si>
  <si>
    <t>EN300-200563</t>
  </si>
  <si>
    <t>DLS-EU0338</t>
  </si>
  <si>
    <t>NC(c1cccc(Cl)c1)C#N</t>
  </si>
  <si>
    <t>EN300-39244</t>
  </si>
  <si>
    <t>DLS-EU0339</t>
  </si>
  <si>
    <t>CCn1nc(C(F)(F)F)cc1</t>
  </si>
  <si>
    <t>EN300-98284</t>
  </si>
  <si>
    <t>DLS-EU0340</t>
  </si>
  <si>
    <t>NC(CC(CCC1)NC1=O)=O</t>
  </si>
  <si>
    <t>EN300-80076</t>
  </si>
  <si>
    <t>DLS-EU0341</t>
  </si>
  <si>
    <t>CC(C)N(C(CC1N)=O)C1=O</t>
  </si>
  <si>
    <t>Z1333761453</t>
  </si>
  <si>
    <t>DLS-EU0343</t>
  </si>
  <si>
    <t>NCC(NCc1ccco1)=O</t>
  </si>
  <si>
    <t>STK932209</t>
  </si>
  <si>
    <t>DLS-EU0344</t>
  </si>
  <si>
    <t>CCCC(C)(C(N1)=O)NC1=O</t>
  </si>
  <si>
    <t>EN300-40976</t>
  </si>
  <si>
    <t>DLS-EU0345</t>
  </si>
  <si>
    <t>CS(Nc1cnccc1)(=O)=O</t>
  </si>
  <si>
    <t>STL388043</t>
  </si>
  <si>
    <t>DLS-EU0346</t>
  </si>
  <si>
    <t>CN(C)Cc(nccc1)c1O</t>
  </si>
  <si>
    <t>STK529378</t>
  </si>
  <si>
    <t>DLS-EU0347</t>
  </si>
  <si>
    <t>NCCC(NC1CCCC1)=O</t>
  </si>
  <si>
    <t>EN300-52375</t>
  </si>
  <si>
    <t>DLS-EU0348</t>
  </si>
  <si>
    <t>CN(CC(N)=O)C1CCCC1</t>
  </si>
  <si>
    <t>EN300-70286</t>
  </si>
  <si>
    <t>DLS-EU0349</t>
  </si>
  <si>
    <t>NC(c(cc1)ccc1C#N)=O</t>
  </si>
  <si>
    <t>PB33624123</t>
  </si>
  <si>
    <t>DLS-EU0350</t>
  </si>
  <si>
    <t>NCC(Nc1ccccc1)=O</t>
  </si>
  <si>
    <t>CSC000168422</t>
  </si>
  <si>
    <t>DLS-EU0351</t>
  </si>
  <si>
    <t>CC(C)CNC(NC1CC1)=O</t>
  </si>
  <si>
    <t>CSC000235209</t>
  </si>
  <si>
    <t>DLS-EU0352</t>
  </si>
  <si>
    <t>CNC(C(CCCC1)C1N)=O</t>
  </si>
  <si>
    <t>Z1474026106</t>
  </si>
  <si>
    <t>DLS-EU0353</t>
  </si>
  <si>
    <t>CN(C)C(CN)c1ccco1</t>
  </si>
  <si>
    <t>EN300-07954</t>
  </si>
  <si>
    <t>DLS-EU0354</t>
  </si>
  <si>
    <t>CC(C)Oc1c(N)nccc1</t>
  </si>
  <si>
    <t>PB1809445398</t>
  </si>
  <si>
    <t>DLS-EU0355</t>
  </si>
  <si>
    <t>NCCOc(nccc1)c1Cl</t>
  </si>
  <si>
    <t>Z1421528240</t>
  </si>
  <si>
    <t>DLS-EU0356</t>
  </si>
  <si>
    <t>CCN(C)C(C1NCSC1)=O</t>
  </si>
  <si>
    <t>EN300-64987</t>
  </si>
  <si>
    <t>DLS-EU0357</t>
  </si>
  <si>
    <t>NCCNC(c1cccs1)=O</t>
  </si>
  <si>
    <t>Z444349870</t>
  </si>
  <si>
    <t>DLS-EU0358</t>
  </si>
  <si>
    <t>COCc1cc(C(N)=O)no1</t>
  </si>
  <si>
    <t>EN300-210913</t>
  </si>
  <si>
    <t>DLS-EU0359</t>
  </si>
  <si>
    <t>CC(CCc1ccccc1)N</t>
  </si>
  <si>
    <t>EN300-20027</t>
  </si>
  <si>
    <t>DLS-EU0360</t>
  </si>
  <si>
    <t>CC(C(CC1)CCC1(F)F)N</t>
  </si>
  <si>
    <t>EN300-267683</t>
  </si>
  <si>
    <t>DLS-EU0361</t>
  </si>
  <si>
    <t>Cc(cc1)ccc1SCCN</t>
  </si>
  <si>
    <t>EN300-40289</t>
  </si>
  <si>
    <t>DLS-EU0362</t>
  </si>
  <si>
    <t>CCNCc(cccc1)c1Cl</t>
  </si>
  <si>
    <t>STL062024</t>
  </si>
  <si>
    <t>DLS-EU0363</t>
  </si>
  <si>
    <t>CCCNc(cccc1)c1F</t>
  </si>
  <si>
    <t>EN300-314076</t>
  </si>
  <si>
    <t>DLS-EU0364</t>
  </si>
  <si>
    <t>CNCc(cccc1)c1SC</t>
  </si>
  <si>
    <t>EN300-190351</t>
  </si>
  <si>
    <t>DLS-EU0365</t>
  </si>
  <si>
    <t>CC(C)NCc1c(C)ccs1</t>
  </si>
  <si>
    <t>EN300-7539111</t>
  </si>
  <si>
    <t>DLS-EU0366</t>
  </si>
  <si>
    <t>Nc1cccc(C(F)(F)F)c1</t>
  </si>
  <si>
    <t>A0434</t>
  </si>
  <si>
    <t>DLS-EU0367</t>
  </si>
  <si>
    <t>NC(COc1ccccc1)=O</t>
  </si>
  <si>
    <t>Z19735702</t>
  </si>
  <si>
    <t>DLS-EU0368</t>
  </si>
  <si>
    <t>NC(c1ccc(CO)cc1)=O</t>
  </si>
  <si>
    <t>PB33622888</t>
  </si>
  <si>
    <t>DLS-EU0369</t>
  </si>
  <si>
    <t>CC(C)NC(c1cocc1)=O</t>
  </si>
  <si>
    <t>Z166797056</t>
  </si>
  <si>
    <t>DLS-EU0370</t>
  </si>
  <si>
    <t>CC(Nc1cc(O)ccc1)=O</t>
  </si>
  <si>
    <t>H0188</t>
  </si>
  <si>
    <t>DLS-EU0371</t>
  </si>
  <si>
    <t>Cc1ccc(C(COC)N)o1</t>
  </si>
  <si>
    <t>Z1318357724</t>
  </si>
  <si>
    <t>DLS-EU0372</t>
  </si>
  <si>
    <t>NC(c(cc(cc1)Cl)c1O)=O</t>
  </si>
  <si>
    <t>STL068928</t>
  </si>
  <si>
    <t>DLS-EU0373</t>
  </si>
  <si>
    <t>CS(C1(CN)CCCC1)(=O)=O</t>
  </si>
  <si>
    <t>Z2065464266</t>
  </si>
  <si>
    <t>DLS-EU0374</t>
  </si>
  <si>
    <t>CS(CC1CCNCC1)(=O)=O</t>
  </si>
  <si>
    <t>Z1954803302</t>
  </si>
  <si>
    <t>DLS-EU0375</t>
  </si>
  <si>
    <t>C[C@H](C(NC1CSCC1)=O)O</t>
  </si>
  <si>
    <t>Z1816805080</t>
  </si>
  <si>
    <t>DLS-EU0376</t>
  </si>
  <si>
    <t>CC(C(c1ccccc1)N)O</t>
  </si>
  <si>
    <t>Z2588063686</t>
  </si>
  <si>
    <t>DLS-EU0377</t>
  </si>
  <si>
    <t>CC(C)(C)C(CCC1)NC1=O</t>
  </si>
  <si>
    <t>EN300-254789</t>
  </si>
  <si>
    <t>DLS-EU0378</t>
  </si>
  <si>
    <t>CC(C)CNC(C1C(C)C1)=O</t>
  </si>
  <si>
    <t>Z32386156</t>
  </si>
  <si>
    <t>DLS-EU0379</t>
  </si>
  <si>
    <t>CC1(CCCCC1)C(NC)=O</t>
  </si>
  <si>
    <t>EN300-200817</t>
  </si>
  <si>
    <t>DLS-EU0380</t>
  </si>
  <si>
    <t>CC(NCc1ccccc1)=O</t>
  </si>
  <si>
    <t>CSC000153108</t>
  </si>
  <si>
    <t>DLS-EU0381</t>
  </si>
  <si>
    <t>CCC(C)(C)NC(C1CC1)=O</t>
  </si>
  <si>
    <t>Z54128519</t>
  </si>
  <si>
    <t>DLS-EU0382</t>
  </si>
  <si>
    <t>CC(C)(C)OC1CCNCC1</t>
  </si>
  <si>
    <t>EN300-1719305</t>
  </si>
  <si>
    <t>DLS-EU0383</t>
  </si>
  <si>
    <t>COCc1cc(CN)ccc1</t>
  </si>
  <si>
    <t>EN300-41325</t>
  </si>
  <si>
    <t>DLS-EU0384</t>
  </si>
  <si>
    <t>CCCOc(cccc1)c1N</t>
  </si>
  <si>
    <t>STL481017</t>
  </si>
  <si>
    <t>DLS-EU0385</t>
  </si>
  <si>
    <t>CCOCc1cc(N)ccc1</t>
  </si>
  <si>
    <t>EN300-65110</t>
  </si>
  <si>
    <t>DLS-EU0386</t>
  </si>
  <si>
    <t>CNCc(cc1)ccc1OC</t>
  </si>
  <si>
    <t>M2836</t>
  </si>
  <si>
    <t>DLS-EU0387</t>
  </si>
  <si>
    <t>CNCCc(cccc1)c1O</t>
  </si>
  <si>
    <t>Z1665033474</t>
  </si>
  <si>
    <t>DLS-EU0388</t>
  </si>
  <si>
    <t>CC(CO)(C1CCCCC1)N</t>
  </si>
  <si>
    <t>EN300-82656</t>
  </si>
  <si>
    <t>DLS-EU0389</t>
  </si>
  <si>
    <t>N[C@@H](Cc1ccccc1)CO</t>
  </si>
  <si>
    <t>CSC000763386</t>
  </si>
  <si>
    <t>DLS-EU0390</t>
  </si>
  <si>
    <t>CC(CN)(c1ccccc1)O</t>
  </si>
  <si>
    <t>EN300-77661</t>
  </si>
  <si>
    <t>DLS-EU0391</t>
  </si>
  <si>
    <t>COC(CN)c1ccccc1</t>
  </si>
  <si>
    <t>Z285139084</t>
  </si>
  <si>
    <t>DLS-EU0392</t>
  </si>
  <si>
    <t>NCC(c(cccc1)c1F)O</t>
  </si>
  <si>
    <t>EN300-36104</t>
  </si>
  <si>
    <t>DLS-EU0393</t>
  </si>
  <si>
    <t>CS(c1ccc(CN)cc1)=O</t>
  </si>
  <si>
    <t>Z1357774197</t>
  </si>
  <si>
    <t>DLS-EU0394</t>
  </si>
  <si>
    <t>CNC(CSC1CCCC1)=O</t>
  </si>
  <si>
    <t>Z18828360</t>
  </si>
  <si>
    <t>DLS-EU0395</t>
  </si>
  <si>
    <t>CNC(c1cccc(F)c1)=O</t>
  </si>
  <si>
    <t>Z32016733</t>
  </si>
  <si>
    <t>DLS-EU0396</t>
  </si>
  <si>
    <t>Nc1cccc(OCCF)c1</t>
  </si>
  <si>
    <t>Z1416200882</t>
  </si>
  <si>
    <t>DLS-EU0397</t>
  </si>
  <si>
    <t>C[C@@H]1OCCN[C@@H]1C(F)(F)F</t>
  </si>
  <si>
    <t>EN300-307463</t>
  </si>
  <si>
    <t>DLS-EU0398</t>
  </si>
  <si>
    <t>Oc(cccc1)c1C(NO)=O</t>
  </si>
  <si>
    <t>S0008</t>
  </si>
  <si>
    <t>DLS-EU0399</t>
  </si>
  <si>
    <t>CS(NCC1OCCC1)(=O)=O</t>
  </si>
  <si>
    <t>Z54078455</t>
  </si>
  <si>
    <t>DLS-EU0400</t>
  </si>
  <si>
    <t>CC(Cc1c(C)[nH]nc1C)N</t>
  </si>
  <si>
    <t>EN300-258372</t>
  </si>
  <si>
    <t>DLS-EU0401</t>
  </si>
  <si>
    <t>CN(C)c1ncc(CN)cc1</t>
  </si>
  <si>
    <t>EN300-35897</t>
  </si>
  <si>
    <t>DLS-EU0402</t>
  </si>
  <si>
    <t>CC(C)NC(c1n[nH]cc1)=O</t>
  </si>
  <si>
    <t>Z381729066</t>
  </si>
  <si>
    <t>DLS-EU0403</t>
  </si>
  <si>
    <t>NC(NCc1cnccc1)=O</t>
  </si>
  <si>
    <t>EN300-40239</t>
  </si>
  <si>
    <t>DLS-EU0404</t>
  </si>
  <si>
    <t>NC(c1cc(Br)cnc1N)=O</t>
  </si>
  <si>
    <t>Z1889997486</t>
  </si>
  <si>
    <t>DLS-EU0405</t>
  </si>
  <si>
    <t>CNC(NCc1nccs1)=O</t>
  </si>
  <si>
    <t>CSC011406895</t>
  </si>
  <si>
    <t>DLS-EU0406</t>
  </si>
  <si>
    <t>NC(C(NC(N1)=O)=CC1=O)=O</t>
  </si>
  <si>
    <t>STL140847</t>
  </si>
  <si>
    <t>DLS-EU0407</t>
  </si>
  <si>
    <t>CC(C)(Cc(cccc1)c1F)O</t>
  </si>
  <si>
    <t>EN300-1705755</t>
  </si>
  <si>
    <t>DLS-EU0408</t>
  </si>
  <si>
    <t>FC(COc1ccccc1)(F)F</t>
  </si>
  <si>
    <t>EN300-221202</t>
  </si>
  <si>
    <t>DLS-EU0409</t>
  </si>
  <si>
    <t>CC(CN)C(Nc1c[nH]nc1)=O</t>
  </si>
  <si>
    <t>EN300-74746</t>
  </si>
  <si>
    <t>DLS-EU0410</t>
  </si>
  <si>
    <t>CNC([C@H](Cc1c[nH]cn1)N)=O</t>
  </si>
  <si>
    <t>EN300-384647</t>
  </si>
  <si>
    <t>DLS-EU0411</t>
  </si>
  <si>
    <t>CC(C)C(c1ncccc1C)N</t>
  </si>
  <si>
    <t>EN300-77428</t>
  </si>
  <si>
    <t>DLS-EU0412</t>
  </si>
  <si>
    <t>Cc(cc1)ccc1NCCC#N</t>
  </si>
  <si>
    <t>EN300-04180</t>
  </si>
  <si>
    <t>DLS-EU0413</t>
  </si>
  <si>
    <t>CNCCc(cc1)ccc1C#N</t>
  </si>
  <si>
    <t>EN300-307583</t>
  </si>
  <si>
    <t>DLS-EU0414</t>
  </si>
  <si>
    <t>CC(c(cccc1)c1N(C)C)N</t>
  </si>
  <si>
    <t>EN300-258536</t>
  </si>
  <si>
    <t>DLS-EU0415</t>
  </si>
  <si>
    <t>CC(C)(C)CNc1ncccc1</t>
  </si>
  <si>
    <t>PB2284466608</t>
  </si>
  <si>
    <t>DLS-EU0416</t>
  </si>
  <si>
    <t>CN(C)Cc1c(CN)cccc1</t>
  </si>
  <si>
    <t>EN300-42737</t>
  </si>
  <si>
    <t>DLS-EU0417</t>
  </si>
  <si>
    <t>CN(C)Cc(cc(cc1)N)c1Cl</t>
  </si>
  <si>
    <t>PB1982571376</t>
  </si>
  <si>
    <t>DLS-EU0418</t>
  </si>
  <si>
    <t>NCc1c(C(F)(F)F)cncc1</t>
  </si>
  <si>
    <t>EN300-188645</t>
  </si>
  <si>
    <t>DLS-EU0419</t>
  </si>
  <si>
    <t>OCCNC(c1cnccc1)=O</t>
  </si>
  <si>
    <t>STK498482</t>
  </si>
  <si>
    <t>DLS-EU0420</t>
  </si>
  <si>
    <t>CNCc1ccc(C(NC)=O)o1</t>
  </si>
  <si>
    <t>EN300-69465</t>
  </si>
  <si>
    <t>DLS-EU0421</t>
  </si>
  <si>
    <t>CCOc(cc1)ncc1C(N)=O</t>
  </si>
  <si>
    <t>EN300-44890</t>
  </si>
  <si>
    <t>DLS-EU0422</t>
  </si>
  <si>
    <t>COc1cccc(NC(N)=O)c1</t>
  </si>
  <si>
    <t>M2575</t>
  </si>
  <si>
    <t>DLS-EU0423</t>
  </si>
  <si>
    <t>CN(C)C(C1OC(CN)CC1)=O</t>
  </si>
  <si>
    <t>Z1592042351</t>
  </si>
  <si>
    <t>DLS-EU0425</t>
  </si>
  <si>
    <t>NS(NCc1ccccc1)(=O)=O</t>
  </si>
  <si>
    <t>STK352980</t>
  </si>
  <si>
    <t>DLS-EU0426</t>
  </si>
  <si>
    <t>CCCNC(c1cnccc1)=O</t>
  </si>
  <si>
    <t>EN300-314268</t>
  </si>
  <si>
    <t>DLS-EU0427</t>
  </si>
  <si>
    <t>CCC(Nc1ncc(C)cc1)=O</t>
  </si>
  <si>
    <t>STK448705</t>
  </si>
  <si>
    <t>DLS-EU0428</t>
  </si>
  <si>
    <t>CC(Nc1cc(N)c(C)cc1)=O</t>
  </si>
  <si>
    <t>AE-641/03220028</t>
  </si>
  <si>
    <t>DLS-EU0429</t>
  </si>
  <si>
    <t>CN(Cc1ccccc1)C(N)=O</t>
  </si>
  <si>
    <t>EN300-42713</t>
  </si>
  <si>
    <t>DLS-EU0430</t>
  </si>
  <si>
    <t>Nc1cccc(OCC(F)F)n1</t>
  </si>
  <si>
    <t>Z1551469157</t>
  </si>
  <si>
    <t>DLS-EU0431</t>
  </si>
  <si>
    <t>NC(NCc(cccc1)c1F)=O</t>
  </si>
  <si>
    <t>PB198272310</t>
  </si>
  <si>
    <t>DLS-EU0432</t>
  </si>
  <si>
    <t>CNC(Nc(cccc1)c1F)=O</t>
  </si>
  <si>
    <t>CSC000178569</t>
  </si>
  <si>
    <t>DLS-EU0433</t>
  </si>
  <si>
    <t>CNC(CSc1ncccc1)=O</t>
  </si>
  <si>
    <t>Z18886255</t>
  </si>
  <si>
    <t>DLS-EU0434</t>
  </si>
  <si>
    <t>NC(C1)CN(CC(F)(F)F)C1=O</t>
  </si>
  <si>
    <t>EN300-82036</t>
  </si>
  <si>
    <t>DLS-EU0435</t>
  </si>
  <si>
    <t>CC(CSc1ccc(C)cc1)N</t>
  </si>
  <si>
    <t>Z1708091455</t>
  </si>
  <si>
    <t>DLS-EU0436</t>
  </si>
  <si>
    <t>CC(C)SCc1cc(N)ccc1</t>
  </si>
  <si>
    <t>Z1258578162</t>
  </si>
  <si>
    <t>DLS-EU0437</t>
  </si>
  <si>
    <t>CC(Cc(cc1)ccc1F)NC</t>
  </si>
  <si>
    <t>EN300-183677</t>
  </si>
  <si>
    <t>DLS-EU0438</t>
  </si>
  <si>
    <t>CN[C@H](CC1)CC[C@H]1C(F)(F)F</t>
  </si>
  <si>
    <t>EN300-215341</t>
  </si>
  <si>
    <t>DLS-EU0439</t>
  </si>
  <si>
    <t>CCNC(c(cccc1)c1O)=O</t>
  </si>
  <si>
    <t>EN300-1263642</t>
  </si>
  <si>
    <t>DLS-EU0440</t>
  </si>
  <si>
    <t>NC(C(Cc1ccccc1)O)=O</t>
  </si>
  <si>
    <t>EN300-142611</t>
  </si>
  <si>
    <t>DLS-EU0441</t>
  </si>
  <si>
    <t>CNC(c(cc1)ccc1OC)=O</t>
  </si>
  <si>
    <t>AP-065/34563049</t>
  </si>
  <si>
    <t>DLS-EU0442</t>
  </si>
  <si>
    <t>Cc1cccc(NC(CO)=O)c1</t>
  </si>
  <si>
    <t>Z1262395968</t>
  </si>
  <si>
    <t>DLS-EU0443</t>
  </si>
  <si>
    <t>CCOC(C1)C(C)(C)C1(CO)N</t>
  </si>
  <si>
    <t>EN300-157719</t>
  </si>
  <si>
    <t>DLS-EU0444</t>
  </si>
  <si>
    <t>NC(CC(O)=O)c1ccccc1</t>
  </si>
  <si>
    <t>A2655</t>
  </si>
  <si>
    <t>DLS-EU0445</t>
  </si>
  <si>
    <t>CCOc(cc(cc1)C#N)c1O</t>
  </si>
  <si>
    <t>STK347884</t>
  </si>
  <si>
    <t>DLS-EU0446</t>
  </si>
  <si>
    <t>CC(CN)(CO)c1ccccc1</t>
  </si>
  <si>
    <t>EN300-211903</t>
  </si>
  <si>
    <t>DLS-EU0447</t>
  </si>
  <si>
    <t>CC(C)(C)c(cc1)cc(N)c1O</t>
  </si>
  <si>
    <t>STK024676</t>
  </si>
  <si>
    <t>DLS-EU0448</t>
  </si>
  <si>
    <t>CNC(CCc1ccccc1)=O</t>
  </si>
  <si>
    <t>EN300-343263</t>
  </si>
  <si>
    <t>DLS-EU0449</t>
  </si>
  <si>
    <t>CC(NCCC1=CCCCC1)=O</t>
  </si>
  <si>
    <t>Z69091529</t>
  </si>
  <si>
    <t>DLS-EU0450</t>
  </si>
  <si>
    <t>CC(CCc(cc1)ccc1O)N</t>
  </si>
  <si>
    <t>EN300-25929</t>
  </si>
  <si>
    <t>DLS-EU0451</t>
  </si>
  <si>
    <t>CC(C)C(C1(CO)CCCC1)N</t>
  </si>
  <si>
    <t>EN300-247365</t>
  </si>
  <si>
    <t>DLS-EU0452</t>
  </si>
  <si>
    <t>CCC(c(cc1)ccc1OC)N</t>
  </si>
  <si>
    <t>EN300-54412</t>
  </si>
  <si>
    <t>DLS-EU0453</t>
  </si>
  <si>
    <t>CC(C)Nc1cccc(OC)c1</t>
  </si>
  <si>
    <t>EN300-64581</t>
  </si>
  <si>
    <t>DLS-EU0454</t>
  </si>
  <si>
    <t>CSc(cc1)cc(C(N)=O)c1Cl</t>
  </si>
  <si>
    <t>EN300-45213</t>
  </si>
  <si>
    <t>DLS-EU0455</t>
  </si>
  <si>
    <t>NC(CSc(cc1)ccc1F)=O</t>
  </si>
  <si>
    <t>Z16034821</t>
  </si>
  <si>
    <t>DLS-EU0456</t>
  </si>
  <si>
    <t>CC(Nc1cc(Cl)c(C)cc1)=O</t>
  </si>
  <si>
    <t>AG-668/02843007</t>
  </si>
  <si>
    <t>DLS-EU0457</t>
  </si>
  <si>
    <t>NC(CCO)c(cc1)ccc1F</t>
  </si>
  <si>
    <t>EN300-69953</t>
  </si>
  <si>
    <t>DLS-EU0458</t>
  </si>
  <si>
    <t>CCCNC(c1c(C)ccs1)=O</t>
  </si>
  <si>
    <t>Z33030419</t>
  </si>
  <si>
    <t>DLS-EU0459</t>
  </si>
  <si>
    <t>CCNC(c(cccc1)c1Br)=O</t>
  </si>
  <si>
    <t>Z30281214</t>
  </si>
  <si>
    <t>DLS-EU0460</t>
  </si>
  <si>
    <t>CNC(c(cc1)ccc1SC)=O</t>
  </si>
  <si>
    <t>Z51983114</t>
  </si>
  <si>
    <t>DLS-EU0461</t>
  </si>
  <si>
    <t>CCC(NC(C)c1cccs1)=O</t>
  </si>
  <si>
    <t>Z28880845</t>
  </si>
  <si>
    <t>DLS-EU0462</t>
  </si>
  <si>
    <t>CC(C)(CO)C(c1cccs1)N</t>
  </si>
  <si>
    <t>EN300-212956</t>
  </si>
  <si>
    <t>DLS-EU0463</t>
  </si>
  <si>
    <t>CC(c(cc(cc1)F)c1OC)N</t>
  </si>
  <si>
    <t>EN300-43393</t>
  </si>
  <si>
    <t>DLS-EU0464</t>
  </si>
  <si>
    <t>CSCC(Nc1ccccc1)=O</t>
  </si>
  <si>
    <t>Z27781929</t>
  </si>
  <si>
    <t>DLS-EU0465</t>
  </si>
  <si>
    <t>COc(cc1)c(CCN)cc1F</t>
  </si>
  <si>
    <t>EN300-384053</t>
  </si>
  <si>
    <t>DLS-EU0466</t>
  </si>
  <si>
    <t>CCC(Nc(cc1)ccc1F)=O</t>
  </si>
  <si>
    <t>Z27805867</t>
  </si>
  <si>
    <t>DLS-EU0467</t>
  </si>
  <si>
    <t>NS(c(cc1)cc(Cl)c1O)(=O)=O</t>
  </si>
  <si>
    <t>EN300-278220</t>
  </si>
  <si>
    <t>DLS-EU0468</t>
  </si>
  <si>
    <t>CC(C)(C)C(Cn1cncc1)N</t>
  </si>
  <si>
    <t>EN300-42052</t>
  </si>
  <si>
    <t>DLS-EU0469</t>
  </si>
  <si>
    <t>NCCNc(ncc(Cl)c1)c1Cl</t>
  </si>
  <si>
    <t>EN300-40834</t>
  </si>
  <si>
    <t>DLS-EU0470</t>
  </si>
  <si>
    <t>CCCNc(snc1C)c1C#N</t>
  </si>
  <si>
    <t>EN300-365066</t>
  </si>
  <si>
    <t>DLS-EU0471</t>
  </si>
  <si>
    <t>NCc1nccn1CC(F)(F)F</t>
  </si>
  <si>
    <t>EN300-7426159</t>
  </si>
  <si>
    <t>DLS-EU0472</t>
  </si>
  <si>
    <t>Cc1cc(NC(CNC)=O)no1</t>
  </si>
  <si>
    <t>EN300-23793</t>
  </si>
  <si>
    <t>DLS-EU0473</t>
  </si>
  <si>
    <t>NCCC(Nc1ncccc1)=O</t>
  </si>
  <si>
    <t>BBL011235</t>
  </si>
  <si>
    <t>DLS-EU0474</t>
  </si>
  <si>
    <t>CSc(nc1)nc(C(N)=O)c1Cl</t>
  </si>
  <si>
    <t>STK611661</t>
  </si>
  <si>
    <t>DLS-EU0475</t>
  </si>
  <si>
    <t>C1Nc2cccc3cccc1c23</t>
  </si>
  <si>
    <t>EN300-746239</t>
  </si>
  <si>
    <t>DLS-EU0476</t>
  </si>
  <si>
    <t>C(C1)CC11c(cccc2)c2NC1</t>
  </si>
  <si>
    <t>Z1836338847</t>
  </si>
  <si>
    <t>DLS-EU0477</t>
  </si>
  <si>
    <t>Cc1nc(C2NCCCC2)n[nH]1</t>
  </si>
  <si>
    <t>Z1507593751</t>
  </si>
  <si>
    <t>DLS-EU0478</t>
  </si>
  <si>
    <t>CCN(CC1)CCC1NC1CC1</t>
  </si>
  <si>
    <t>EN300-52814</t>
  </si>
  <si>
    <t>DLS-EU0479</t>
  </si>
  <si>
    <t>NCC(CNC1)c2c1cccc2</t>
  </si>
  <si>
    <t>EN300-307641</t>
  </si>
  <si>
    <t>DLS-EU0480</t>
  </si>
  <si>
    <t>C(CNC1)C1Nc1ccccc1</t>
  </si>
  <si>
    <t>EN300-61759</t>
  </si>
  <si>
    <t>DLS-EU0482</t>
  </si>
  <si>
    <t>CC1(C)C(c2ccncc2)NC1</t>
  </si>
  <si>
    <t>EN300-216807</t>
  </si>
  <si>
    <t>DLS-EU0483</t>
  </si>
  <si>
    <t>NCC(C1)NCc2c1cccc2</t>
  </si>
  <si>
    <t>Z2753058331</t>
  </si>
  <si>
    <t>DLS-EU0484</t>
  </si>
  <si>
    <t>CC(c1ncccc1)NC1CC1</t>
  </si>
  <si>
    <t>EN300-7435485</t>
  </si>
  <si>
    <t>DLS-EU0485</t>
  </si>
  <si>
    <t>Brc(cc1)ccc1-c1c[nH]nc1</t>
  </si>
  <si>
    <t>EN300-155627</t>
  </si>
  <si>
    <t>DLS-EU0486</t>
  </si>
  <si>
    <t>Nc(cc1)cc(C(N2)=O)c1C2=O</t>
  </si>
  <si>
    <t>AE-641/30105046</t>
  </si>
  <si>
    <t>DLS-EU0487</t>
  </si>
  <si>
    <t>Oc(cccc1)c1-c1nnco1</t>
  </si>
  <si>
    <t>AT-057/42646623</t>
  </si>
  <si>
    <t>DLS-EU0488</t>
  </si>
  <si>
    <t>Oc(cc1)ccc1-c1n[nH]cc1</t>
  </si>
  <si>
    <t>Z1737940715</t>
  </si>
  <si>
    <t>DLS-EU0489</t>
  </si>
  <si>
    <t>O=C1NCCNc2c1cccc2</t>
  </si>
  <si>
    <t>EN300-125579</t>
  </si>
  <si>
    <t>DLS-EU0490</t>
  </si>
  <si>
    <t>NC(c1cc(cccc2)c2[nH]1)=O</t>
  </si>
  <si>
    <t>STK504767</t>
  </si>
  <si>
    <t>DLS-EU0491</t>
  </si>
  <si>
    <t>NC(CCC1)C(C=C2)=C1NC2=O</t>
  </si>
  <si>
    <t>EN300-34757</t>
  </si>
  <si>
    <t>DLS-EU0492</t>
  </si>
  <si>
    <t>NC(c(cc1)cc2c1NCC2)=O</t>
  </si>
  <si>
    <t>Z1696091761</t>
  </si>
  <si>
    <t>DLS-EU0493</t>
  </si>
  <si>
    <t>CN(Cc1c2cccc1N)C2=O</t>
  </si>
  <si>
    <t>Z2306626038</t>
  </si>
  <si>
    <t>DLS-EU0494</t>
  </si>
  <si>
    <t>NC(CN1c2ccccc2)C1=O</t>
  </si>
  <si>
    <t>Z1891776032</t>
  </si>
  <si>
    <t>DLS-EU0495</t>
  </si>
  <si>
    <t>NC(Cc(cccc1)c1N1)C1=O</t>
  </si>
  <si>
    <t>STK520657</t>
  </si>
  <si>
    <t>DLS-EU0496</t>
  </si>
  <si>
    <t>O=C(NC1)NC1c1ccccc1</t>
  </si>
  <si>
    <t>Z2515399703</t>
  </si>
  <si>
    <t>DLS-EU0497</t>
  </si>
  <si>
    <t>CN1c(c(N)ccc2)c2OCC1</t>
  </si>
  <si>
    <t>Z3006151472</t>
  </si>
  <si>
    <t>DLS-EU0498</t>
  </si>
  <si>
    <t>NCCc1nc(cccc2)c2o1</t>
  </si>
  <si>
    <t>EN300-214720</t>
  </si>
  <si>
    <t>DLS-EU0499</t>
  </si>
  <si>
    <t>Nc(cc1)cc(NC=C2)c1C2=O</t>
  </si>
  <si>
    <t>Z1820178046</t>
  </si>
  <si>
    <t>DLS-EU0500</t>
  </si>
  <si>
    <t>N=S1(c(cccc2)c2NCC1)=O</t>
  </si>
  <si>
    <t>Z2940631659</t>
  </si>
  <si>
    <t>DLS-EU0501</t>
  </si>
  <si>
    <t>COc1cccc2c1nc(N)s2</t>
  </si>
  <si>
    <t>EN300-02268</t>
  </si>
  <si>
    <t>DLS-EU0502</t>
  </si>
  <si>
    <t>Cc1csc(C2OCCNC2)n1</t>
  </si>
  <si>
    <t>EN300-62856</t>
  </si>
  <si>
    <t>DLS-EU0503</t>
  </si>
  <si>
    <t>NCc1cc2ccccc2cc1</t>
  </si>
  <si>
    <t>EN300-39736</t>
  </si>
  <si>
    <t>DLS-EU0504</t>
  </si>
  <si>
    <t>Cc1cccc([C@H](C2)C[C@@H]2N)c1</t>
  </si>
  <si>
    <t>PB1966567101</t>
  </si>
  <si>
    <t>DLS-EU0505</t>
  </si>
  <si>
    <t>C1C(c2ccccc2)=CCNC1</t>
  </si>
  <si>
    <t>BBL027886</t>
  </si>
  <si>
    <t>DLS-EU0506</t>
  </si>
  <si>
    <t>CCC(CC1)Nc2c1cccc2</t>
  </si>
  <si>
    <t>EN300-99972</t>
  </si>
  <si>
    <t>DLS-EU0507</t>
  </si>
  <si>
    <t>CNC(CCC1)c2c1cccc2</t>
  </si>
  <si>
    <t>EN300-30607</t>
  </si>
  <si>
    <t>DLS-EU0508</t>
  </si>
  <si>
    <t>CCc1cccc2c1CCNC2</t>
  </si>
  <si>
    <t>EN300-1233876</t>
  </si>
  <si>
    <t>DLS-EU0509</t>
  </si>
  <si>
    <t>CC1(C)Nc(cccc2)c2C=C1</t>
  </si>
  <si>
    <t>EN300-220866</t>
  </si>
  <si>
    <t>DLS-EU0510</t>
  </si>
  <si>
    <t>CC1(c2ccccc2)NCCC1</t>
  </si>
  <si>
    <t>EN300-325740</t>
  </si>
  <si>
    <t>DLS-EU0511</t>
  </si>
  <si>
    <t>CNCC1(CC1)c1ccccc1</t>
  </si>
  <si>
    <t>EN300-156733</t>
  </si>
  <si>
    <t>DLS-EU0512</t>
  </si>
  <si>
    <t>NC1c(cc(cc2)F)c2SCC1</t>
  </si>
  <si>
    <t>STL140909</t>
  </si>
  <si>
    <t>DLS-EU0513</t>
  </si>
  <si>
    <t>Nc(cccc1)c1-c1cccs1</t>
  </si>
  <si>
    <t>EN300-24516</t>
  </si>
  <si>
    <t>DLS-EU0514</t>
  </si>
  <si>
    <t>Clc1c(C2NCCC2)cccc1</t>
  </si>
  <si>
    <t>EN300-49797</t>
  </si>
  <si>
    <t>DLS-EU0515</t>
  </si>
  <si>
    <t>NC(C1)CC1c(cccc1)c1F</t>
  </si>
  <si>
    <t>CSC000754040</t>
  </si>
  <si>
    <t>DLS-EU0516</t>
  </si>
  <si>
    <t>Nc1cccc2c1OCCCO2</t>
  </si>
  <si>
    <t>Z2753058364</t>
  </si>
  <si>
    <t>DLS-EU0517</t>
  </si>
  <si>
    <t>NC(c1coc2c1cccc2)=O</t>
  </si>
  <si>
    <t>EN300-128462</t>
  </si>
  <si>
    <t>DLS-EU0518</t>
  </si>
  <si>
    <t>Oc(cc1)cc2c1OCCNC2</t>
  </si>
  <si>
    <t>EN300-306429</t>
  </si>
  <si>
    <t>DLS-EU0519</t>
  </si>
  <si>
    <t>Oc1cc(CNC2CC2)ccc1</t>
  </si>
  <si>
    <t>EN300-43195</t>
  </si>
  <si>
    <t>DLS-EU0520</t>
  </si>
  <si>
    <t>Cc(cc1)cc(CC2)c1NC2=O</t>
  </si>
  <si>
    <t>EN300-366806</t>
  </si>
  <si>
    <t>DLS-EU0521</t>
  </si>
  <si>
    <t>O=C(CC1)NC1c1ccccc1</t>
  </si>
  <si>
    <t>EN300-121433</t>
  </si>
  <si>
    <t>DLS-EU0522</t>
  </si>
  <si>
    <t>NC(C(CC1)c2c1cccc2)=O</t>
  </si>
  <si>
    <t>EN300-307527</t>
  </si>
  <si>
    <t>DLS-EU0523</t>
  </si>
  <si>
    <t>CC(C)(c(cccc1)c1N1)C1=O</t>
  </si>
  <si>
    <t>EN300-79322</t>
  </si>
  <si>
    <t>DLS-EU0524</t>
  </si>
  <si>
    <t>NC(C1(CC1)c1ccccc1)=O</t>
  </si>
  <si>
    <t>Z68591096</t>
  </si>
  <si>
    <t>DLS-EU0525</t>
  </si>
  <si>
    <t>CC1NCCc2c1ccc(O)c2</t>
  </si>
  <si>
    <t>EN300-1273343</t>
  </si>
  <si>
    <t>DLS-EU0527</t>
  </si>
  <si>
    <t>CC1NCc(cccc2)c2OC1</t>
  </si>
  <si>
    <t>EN300-131607</t>
  </si>
  <si>
    <t>DLS-EU0528</t>
  </si>
  <si>
    <t>OCC1NCCc2c1cccc2</t>
  </si>
  <si>
    <t>EN300-104167</t>
  </si>
  <si>
    <t>DLS-EU0529</t>
  </si>
  <si>
    <t>CNCC1OCCc2c1ccs2</t>
  </si>
  <si>
    <t>EN300-158311</t>
  </si>
  <si>
    <t>DLS-EU0530</t>
  </si>
  <si>
    <t>OCC(CNC1)C1c1cscc1</t>
  </si>
  <si>
    <t>Z1762997338</t>
  </si>
  <si>
    <t>DLS-EU0531</t>
  </si>
  <si>
    <t>NC(c(cc1)cc2c1OCO2)=O</t>
  </si>
  <si>
    <t>STK087111</t>
  </si>
  <si>
    <t>DLS-EU0532</t>
  </si>
  <si>
    <t>NCCc1cc2n[nH]cc2cc1</t>
  </si>
  <si>
    <t>Z2027049525</t>
  </si>
  <si>
    <t>DLS-EU0533</t>
  </si>
  <si>
    <t>CNCc1nc(cccc2)c2[nH]1</t>
  </si>
  <si>
    <t>EN300-29678</t>
  </si>
  <si>
    <t>DLS-EU0534</t>
  </si>
  <si>
    <t>Nc1ncc(-c2ccccc2)[nH]1</t>
  </si>
  <si>
    <t>Z2327226361</t>
  </si>
  <si>
    <t>DLS-EU0535</t>
  </si>
  <si>
    <t>C(C1)NCCN1c1ncccc1</t>
  </si>
  <si>
    <t>P1033</t>
  </si>
  <si>
    <t>DLS-EU0536</t>
  </si>
  <si>
    <t>Nc1nc(-c2ccccc2)ns1</t>
  </si>
  <si>
    <t>EN300-42973</t>
  </si>
  <si>
    <t>DLS-EU0537</t>
  </si>
  <si>
    <t>O=C1OC(C2CCNCC2)=NN1</t>
  </si>
  <si>
    <t>Z1741981075</t>
  </si>
  <si>
    <t>DLS-EU0538</t>
  </si>
  <si>
    <t>CN1N=C(CCNC2)C2=CC1=O</t>
  </si>
  <si>
    <t>EN300-100112</t>
  </si>
  <si>
    <t>DLS-EU0539</t>
  </si>
  <si>
    <t>NCC(N=C(C1CC1)N1)=CC1=O</t>
  </si>
  <si>
    <t>Z2832012160</t>
  </si>
  <si>
    <t>DLS-EU0540</t>
  </si>
  <si>
    <t>O=C(NCC1)N1C1CNCCC1</t>
  </si>
  <si>
    <t>EN300-50108</t>
  </si>
  <si>
    <t>DLS-EU0541</t>
  </si>
  <si>
    <t>Cn1c([C@H]2OCC[C@@H]2N)ncc1</t>
  </si>
  <si>
    <t>Z2186883187</t>
  </si>
  <si>
    <t>DLS-EU0542</t>
  </si>
  <si>
    <t>Nc1n[nH]c(C2COCCC2)c1</t>
  </si>
  <si>
    <t>PB1926038846</t>
  </si>
  <si>
    <t>DLS-EU0543</t>
  </si>
  <si>
    <t>NCCCn(cc1)c2c1cccc2</t>
  </si>
  <si>
    <t>EN300-11067</t>
  </si>
  <si>
    <t>DLS-EU0544</t>
  </si>
  <si>
    <t>CCNCc1c[nH]c2c1cccc2</t>
  </si>
  <si>
    <t>EN300-170393</t>
  </si>
  <si>
    <t>DLS-EU0545</t>
  </si>
  <si>
    <t>N#Cc1ccc(CNC2CC2)cc1</t>
  </si>
  <si>
    <t>EN300-134468</t>
  </si>
  <si>
    <t>DLS-EU0546</t>
  </si>
  <si>
    <t>C(CC1)CCC1Nc1ncccc1</t>
  </si>
  <si>
    <t>STL352708</t>
  </si>
  <si>
    <t>DLS-EU0547</t>
  </si>
  <si>
    <t>Nc1nc(-c(cccc2)c2F)cs1</t>
  </si>
  <si>
    <t>EN300-52139</t>
  </si>
  <si>
    <t>DLS-EU0548</t>
  </si>
  <si>
    <t>NCCc1c[nH]c(cc2)c1cc2F</t>
  </si>
  <si>
    <t>STK346906</t>
  </si>
  <si>
    <t>DLS-EU0549</t>
  </si>
  <si>
    <t>NC(C1Oc(cccc2)c2NC1)=O</t>
  </si>
  <si>
    <t>EN300-34231</t>
  </si>
  <si>
    <t>DLS-EU0550</t>
  </si>
  <si>
    <t>O=C1OC(c(cc2)ccc2F)=NN1</t>
  </si>
  <si>
    <t>Z57980676</t>
  </si>
  <si>
    <t>DLS-EU0551</t>
  </si>
  <si>
    <t>Oc1ccc(C2NCCNC2)cc1</t>
  </si>
  <si>
    <t>Z2798585542</t>
  </si>
  <si>
    <t>DLS-EU0552</t>
  </si>
  <si>
    <t>NC(C1)(Cc2c1cccc2)C(N)=O</t>
  </si>
  <si>
    <t>PB1268229892</t>
  </si>
  <si>
    <t>DLS-EU0553</t>
  </si>
  <si>
    <t>NCc1cc2ccccc2nc1O</t>
  </si>
  <si>
    <t>Z1696869989</t>
  </si>
  <si>
    <t>DLS-EU0554</t>
  </si>
  <si>
    <t>CNC(C(C1)Nc2c1cccc2)=O</t>
  </si>
  <si>
    <t>STK802422</t>
  </si>
  <si>
    <t>DLS-EU0555</t>
  </si>
  <si>
    <t>Nc1cccc(C(NC2CC2)=O)c1</t>
  </si>
  <si>
    <t>BBL030739</t>
  </si>
  <si>
    <t>DLS-EU0556</t>
  </si>
  <si>
    <t>C(c1ccco1)Nc1ncccc1</t>
  </si>
  <si>
    <t>AN-584_40151747</t>
  </si>
  <si>
    <t>DLS-EU0557</t>
  </si>
  <si>
    <t>CC(C)c1cc(C2NCCC2)no1</t>
  </si>
  <si>
    <t>EN300-231723</t>
  </si>
  <si>
    <t>DLS-EU0558</t>
  </si>
  <si>
    <t>CC(c1ccco1)(C(N1)=O)NC1=O</t>
  </si>
  <si>
    <t>STK285751</t>
  </si>
  <si>
    <t>DLS-EU0559</t>
  </si>
  <si>
    <t>O=C(c1c2cccc1)NNS2(=O)=O</t>
  </si>
  <si>
    <t>Z56942066</t>
  </si>
  <si>
    <t>DLS-EU0560</t>
  </si>
  <si>
    <t>NC1c2cc(Cl)cc(F)c2CCC1</t>
  </si>
  <si>
    <t>CSC015636158</t>
  </si>
  <si>
    <t>DLS-EU0561</t>
  </si>
  <si>
    <t>Fc1cccc(Cl)c1CNC1CC1</t>
  </si>
  <si>
    <t>AN-465/42886870</t>
  </si>
  <si>
    <t>DLS-EU0562</t>
  </si>
  <si>
    <t>NC(C1CCC1)c(cc1)ccc1F</t>
  </si>
  <si>
    <t>EN300-69647</t>
  </si>
  <si>
    <t>DLS-EU0563</t>
  </si>
  <si>
    <t>CC(c(cccc1)c1F)NC1CC1</t>
  </si>
  <si>
    <t>EN300-44053</t>
  </si>
  <si>
    <t>DLS-EU0564</t>
  </si>
  <si>
    <t>FC(c1c(CCN2)c2ccc1)(F)F</t>
  </si>
  <si>
    <t>CSC000089068</t>
  </si>
  <si>
    <t>DLS-EU0565</t>
  </si>
  <si>
    <t>C(C1OCCC1)OC1CCNCC1</t>
  </si>
  <si>
    <t>EN300-345747</t>
  </si>
  <si>
    <t>DLS-EU0566</t>
  </si>
  <si>
    <t>CCOC(C1)C2(CCNCC2)C1O</t>
  </si>
  <si>
    <t>Z1407672960</t>
  </si>
  <si>
    <t>DLS-EU0567</t>
  </si>
  <si>
    <t>CNC(C(C1)Oc2c1cccc2)=O</t>
  </si>
  <si>
    <t>Z183857728</t>
  </si>
  <si>
    <t>DLS-EU0568</t>
  </si>
  <si>
    <t>Oc1cccc(N2)c1CCCC2=O</t>
  </si>
  <si>
    <t>Z2065788396</t>
  </si>
  <si>
    <t>DLS-EU0570</t>
  </si>
  <si>
    <t>NC(CO)(C1)COc2c1cccc2</t>
  </si>
  <si>
    <t>Z2680629358</t>
  </si>
  <si>
    <t>DLS-EU0571</t>
  </si>
  <si>
    <t>O[C@@H](CNC1)[C@H]1Oc1ccccc1</t>
  </si>
  <si>
    <t>Z2738925388</t>
  </si>
  <si>
    <t>DLS-EU0572</t>
  </si>
  <si>
    <t>COCc1ccc(C2NCCC2)o1</t>
  </si>
  <si>
    <t>EN300-139464</t>
  </si>
  <si>
    <t>DLS-EU0573</t>
  </si>
  <si>
    <t>O=C1NCCOc(cc2)c1cc2Br</t>
  </si>
  <si>
    <t>EN300-269747</t>
  </si>
  <si>
    <t>DLS-EU0574</t>
  </si>
  <si>
    <t>CC(C)(CC1N)Oc2c1cccc2</t>
  </si>
  <si>
    <t>STK826022</t>
  </si>
  <si>
    <t>DLS-EU0575</t>
  </si>
  <si>
    <t>O=C(c1ccccc1)NCC1CC1</t>
  </si>
  <si>
    <t>Z288771506</t>
  </si>
  <si>
    <t>DLS-EU0576</t>
  </si>
  <si>
    <t>Cc1c(C(C2)CNC2=O)cccc1</t>
  </si>
  <si>
    <t>EN300-62004</t>
  </si>
  <si>
    <t>DLS-EU0577</t>
  </si>
  <si>
    <t>CC(NC(C1)Cc2c1cccc2)=O</t>
  </si>
  <si>
    <t>EN300-706099</t>
  </si>
  <si>
    <t>DLS-EU0578</t>
  </si>
  <si>
    <t>CC(NC(C1)C1c1ccccc1)=O</t>
  </si>
  <si>
    <t>Z826117806</t>
  </si>
  <si>
    <t>DLS-EU0579</t>
  </si>
  <si>
    <t>Cc1c(CNC)c(cccc2)c2o1</t>
  </si>
  <si>
    <t>Z3023633442</t>
  </si>
  <si>
    <t>DLS-EU0580</t>
  </si>
  <si>
    <t>O=C1c2cc(Br)cc(Cl)c2NC=C1</t>
  </si>
  <si>
    <t>EN300-180121</t>
  </si>
  <si>
    <t>DLS-EU0581</t>
  </si>
  <si>
    <t>CNC(c1cc(CCCC2)c2s1)=O</t>
  </si>
  <si>
    <t>Z68248958</t>
  </si>
  <si>
    <t>DLS-EU0582</t>
  </si>
  <si>
    <t>O=C(C1CC1)Nc(cc1)ccc1F</t>
  </si>
  <si>
    <t>Z27805883</t>
  </si>
  <si>
    <t>DLS-EU0583</t>
  </si>
  <si>
    <t>NS(c(cc1)cc2c1OCC2)(=O)=O</t>
  </si>
  <si>
    <t>EN300-194851</t>
  </si>
  <si>
    <t>DLS-EU0584</t>
  </si>
  <si>
    <t>C(c1c[nH]cn1)Nc1ccccc1</t>
  </si>
  <si>
    <t>EN300-154105</t>
  </si>
  <si>
    <t>DLS-EU0585</t>
  </si>
  <si>
    <t>CCCNc1nc(cccc2)c2[nH]1</t>
  </si>
  <si>
    <t>STL361524</t>
  </si>
  <si>
    <t>DLS-EU0586</t>
  </si>
  <si>
    <t>NCc(cc1)ccc1-n1cncc1</t>
  </si>
  <si>
    <t>STK873754</t>
  </si>
  <si>
    <t>DLS-EU0587</t>
  </si>
  <si>
    <t>Nc1ncncc1-c1ccccc1</t>
  </si>
  <si>
    <t>STK950843</t>
  </si>
  <si>
    <t>DLS-EU0588</t>
  </si>
  <si>
    <t>Nc1ccnn1-c1cccc(F)c1</t>
  </si>
  <si>
    <t>EN300-140978</t>
  </si>
  <si>
    <t>DLS-EU0589</t>
  </si>
  <si>
    <t>Cc(s1)cn2c1nc(C)c2CNC</t>
  </si>
  <si>
    <t>EN300-39706</t>
  </si>
  <si>
    <t>DLS-EU0590</t>
  </si>
  <si>
    <t>Cc1nc(CN2CCNCC2)cs1</t>
  </si>
  <si>
    <t>EN300-26016</t>
  </si>
  <si>
    <t>DLS-EU0591</t>
  </si>
  <si>
    <t>O=C1NN=C(Cc2ccccc2)N1</t>
  </si>
  <si>
    <t>EN300-746981</t>
  </si>
  <si>
    <t>DLS-EU0592</t>
  </si>
  <si>
    <t>C[C@](CN(C)C1)(C2)[C@H]1CN2C(N)=O</t>
  </si>
  <si>
    <t>PB2982487119</t>
  </si>
  <si>
    <t>DLS-EU0593</t>
  </si>
  <si>
    <t>CN(C)c1nc(cc(cc2)N)c2o1</t>
  </si>
  <si>
    <t>Z1436181492</t>
  </si>
  <si>
    <t>DLS-EU0594</t>
  </si>
  <si>
    <t>CNc1nnc(-c2ccccc2)o1</t>
  </si>
  <si>
    <t>Z2408594799</t>
  </si>
  <si>
    <t>DLS-EU0595</t>
  </si>
  <si>
    <t>CCOc1ncnc2c1CNCC2</t>
  </si>
  <si>
    <t>EN300-62880</t>
  </si>
  <si>
    <t>DLS-EU0596</t>
  </si>
  <si>
    <t>Cn1ncc(C(C2)NCCS2=O)c1</t>
  </si>
  <si>
    <t>EN300-176382</t>
  </si>
  <si>
    <t>DLS-EU0597</t>
  </si>
  <si>
    <t>CC(CC(O)=O)c1ccc(C)cc1</t>
  </si>
  <si>
    <t>AE-562/40987650</t>
  </si>
  <si>
    <t>DLS-EU0598</t>
  </si>
  <si>
    <t>OCCc1c(C(F)(F)F)cccc1</t>
  </si>
  <si>
    <t>EN300-70108</t>
  </si>
  <si>
    <t>DLS-EU0599</t>
  </si>
  <si>
    <t>Cc1ccc(C(CN)N(C)C)cc1</t>
  </si>
  <si>
    <t>EN300-57078</t>
  </si>
  <si>
    <t>DLS-EU0600</t>
  </si>
  <si>
    <t>CCNc1ncc(C(F)(F)F)cc1</t>
  </si>
  <si>
    <t>Z31223926</t>
  </si>
  <si>
    <t>DLS-EU0601</t>
  </si>
  <si>
    <t>CC(C(NCc1ncccc1)=O)O</t>
  </si>
  <si>
    <t>EN300-198236</t>
  </si>
  <si>
    <t>DLS-EU0602</t>
  </si>
  <si>
    <t>NCCNC(c(cc1)ccc1O)=O</t>
  </si>
  <si>
    <t>PB444427088</t>
  </si>
  <si>
    <t>DLS-EU0603</t>
  </si>
  <si>
    <t>CN(C)C(Nc1cc(O)ccc1)=O</t>
  </si>
  <si>
    <t>Z274554850</t>
  </si>
  <si>
    <t>DLS-EU0604</t>
  </si>
  <si>
    <t>CC(CC(Nc1ccccc1)=O)N</t>
  </si>
  <si>
    <t>EN300-1704205</t>
  </si>
  <si>
    <t>DLS-EU0605</t>
  </si>
  <si>
    <t>CNC(c1cc(CCN)ccc1)=O</t>
  </si>
  <si>
    <t>EN300-83287</t>
  </si>
  <si>
    <t>DLS-EU0606</t>
  </si>
  <si>
    <t>CCN(C(CN)=O)c1ccccc1</t>
  </si>
  <si>
    <t>EN300-396155</t>
  </si>
  <si>
    <t>DLS-EU0607</t>
  </si>
  <si>
    <t>CCNC(Nc1cc(C)ccc1)=O</t>
  </si>
  <si>
    <t>PB44663995</t>
  </si>
  <si>
    <t>DLS-EU0608</t>
  </si>
  <si>
    <t>NCCNC(c(cccc1)c1F)=O</t>
  </si>
  <si>
    <t>STL194212</t>
  </si>
  <si>
    <t>DLS-EU0609</t>
  </si>
  <si>
    <t>CCNC(c(cc(cc1)Cl)c1N)=O</t>
  </si>
  <si>
    <t>EN300-73060</t>
  </si>
  <si>
    <t>DLS-EU0610</t>
  </si>
  <si>
    <t>CCC(Nc(cc1)cc(C)c1O)=O</t>
  </si>
  <si>
    <t>Z1474053830</t>
  </si>
  <si>
    <t>DLS-EU0611</t>
  </si>
  <si>
    <t>CCOC(NCc1ccccc1)=O</t>
  </si>
  <si>
    <t>Z31478129</t>
  </si>
  <si>
    <t>DLS-EU0612</t>
  </si>
  <si>
    <t>CCC(C)NS(c1cccs1)(=O)=O</t>
  </si>
  <si>
    <t>STL168310</t>
  </si>
  <si>
    <t>DLS-EU0613</t>
  </si>
  <si>
    <t>COCC(Nc(cccc1)c1F)=O</t>
  </si>
  <si>
    <t>Z31743594</t>
  </si>
  <si>
    <t>DLS-EU0614</t>
  </si>
  <si>
    <t>CC(C(N)=O)Oc(cc1)ccc1Cl</t>
  </si>
  <si>
    <t>DLS-EU0615</t>
  </si>
  <si>
    <t>CC(C)(C)NCc(cc1)ccc1O</t>
  </si>
  <si>
    <t>EN300-53601</t>
  </si>
  <si>
    <t>DLS-EU0616</t>
  </si>
  <si>
    <t>CC(C)CC(NC1CCCCC1)=O</t>
  </si>
  <si>
    <t>STK067706</t>
  </si>
  <si>
    <t>DLS-EU0617</t>
  </si>
  <si>
    <t>CC(Cc(cc1)ccc1Br)C(N)=O</t>
  </si>
  <si>
    <t>PB1552076688</t>
  </si>
  <si>
    <t>DLS-EU0618</t>
  </si>
  <si>
    <t>CC(Cc(cccc1)c1F)(CO)N</t>
  </si>
  <si>
    <t>Z2738925354</t>
  </si>
  <si>
    <t>DLS-EU0619</t>
  </si>
  <si>
    <t>CCC(Nc(cccc1)c1SC)=O</t>
  </si>
  <si>
    <t>AO-548/43379492</t>
  </si>
  <si>
    <t>DLS-EU0620</t>
  </si>
  <si>
    <t>NC(CS(c1ccccc1)(=O)=O)=O</t>
  </si>
  <si>
    <t>AA-516/31408010</t>
  </si>
  <si>
    <t>DLS-EU0621</t>
  </si>
  <si>
    <t>CCNC(NCc1c(C)ocn1)=O</t>
  </si>
  <si>
    <t>Z1567524336</t>
  </si>
  <si>
    <t>DLS-EU0622</t>
  </si>
  <si>
    <t>CCCNC(c1c(C)n(C)nc1)=O</t>
  </si>
  <si>
    <t>Z220943982</t>
  </si>
  <si>
    <t>DLS-EU0623</t>
  </si>
  <si>
    <t>CC(Nc(cc1)ncc1N(C)C)=O</t>
  </si>
  <si>
    <t>Z914115824</t>
  </si>
  <si>
    <t>DLS-EU0624</t>
  </si>
  <si>
    <t>NCCNC(Nc1ccccc1)=O</t>
  </si>
  <si>
    <t>BBL029427</t>
  </si>
  <si>
    <t>DLS-EU0625</t>
  </si>
  <si>
    <t>CCn1ncc(NC(NC(C)C)=O)c1</t>
  </si>
  <si>
    <t>CSC011288028</t>
  </si>
  <si>
    <t>DLS-EU0626</t>
  </si>
  <si>
    <t>CC(C)NC(c(cccn1)c1OC)=O</t>
  </si>
  <si>
    <t>Z300093770</t>
  </si>
  <si>
    <t>DLS-EU0627</t>
  </si>
  <si>
    <t>CC(Nc(cc(CN)cc1)c1OC)=O</t>
  </si>
  <si>
    <t>Z992716796</t>
  </si>
  <si>
    <t>DLS-EU0628</t>
  </si>
  <si>
    <t>CN(CCO)C(Nc1ccccc1)=O</t>
  </si>
  <si>
    <t>Z339866276</t>
  </si>
  <si>
    <t>DLS-EU0629</t>
  </si>
  <si>
    <t>CC(CNC(Nc1ccccc1)=O)O</t>
  </si>
  <si>
    <t>Z104955688</t>
  </si>
  <si>
    <t>DLS-EU0630</t>
  </si>
  <si>
    <t>CC(C)NC(N1CC(C)OC(C)C1)=O</t>
  </si>
  <si>
    <t>Z183343688</t>
  </si>
  <si>
    <t>DLS-EU0631</t>
  </si>
  <si>
    <t>CSCC(NC(NC1CCCC1)=O)=O</t>
  </si>
  <si>
    <t>Z599630056</t>
  </si>
  <si>
    <t>DLS-EU0632</t>
  </si>
  <si>
    <t>CC(C)(CNC(c1csc(C)n1)=O)O</t>
  </si>
  <si>
    <t>Z1286244967</t>
  </si>
  <si>
    <t>DLS-EU0633</t>
  </si>
  <si>
    <t>CNS(Cc(cc1)ccc1C#N)(=O)=O</t>
  </si>
  <si>
    <t>Z165166026</t>
  </si>
  <si>
    <t>DLS-EU0634</t>
  </si>
  <si>
    <t>CCN(Cc(cccc1)c1N)C(C)=O</t>
  </si>
  <si>
    <t>EN300-37198</t>
  </si>
  <si>
    <t>DLS-EU0635</t>
  </si>
  <si>
    <t>CCN(CC)C(C1(CCCCC1)N)=O</t>
  </si>
  <si>
    <t>EN300-52128</t>
  </si>
  <si>
    <t>DLS-EU0636</t>
  </si>
  <si>
    <t>CC(CN(CC1)CCC1C(NC)=O)=C</t>
  </si>
  <si>
    <t>Z216238752</t>
  </si>
  <si>
    <t>DLS-EU0637</t>
  </si>
  <si>
    <t>CCC(C)(C)NC(c1ncccc1)=O</t>
  </si>
  <si>
    <t>Z54128490</t>
  </si>
  <si>
    <t>DLS-EU0638</t>
  </si>
  <si>
    <t>CC(C)C(Nc1cc(CN)ccc1)=O</t>
  </si>
  <si>
    <t>EN300-170130</t>
  </si>
  <si>
    <t>DLS-EU0639</t>
  </si>
  <si>
    <t>CCC(C#N)NC(c1ccccc1)=O</t>
  </si>
  <si>
    <t>EN300-79183</t>
  </si>
  <si>
    <t>DLS-EU0640</t>
  </si>
  <si>
    <t>CCCNC(Nc(cccc1)c1Br)=O</t>
  </si>
  <si>
    <t>Z44586409</t>
  </si>
  <si>
    <t>DLS-EU0641</t>
  </si>
  <si>
    <t>CC(C)Sc(cccc1)c1NC(N)=O</t>
  </si>
  <si>
    <t>Z1424343998</t>
  </si>
  <si>
    <t>DLS-EU0642</t>
  </si>
  <si>
    <t>CC(Nc1cccc(C(F)(F)F)n1)=O</t>
  </si>
  <si>
    <t>Z978885036</t>
  </si>
  <si>
    <t>DLS-EU0643</t>
  </si>
  <si>
    <t>CC(NCc(s1)ccc1S(N)(=O)=O)=O</t>
  </si>
  <si>
    <t>EN300-59797</t>
  </si>
  <si>
    <t>DLS-EU0644</t>
  </si>
  <si>
    <t>CS(Nc(cccc1)c1C(N)=O)(=O)=O</t>
  </si>
  <si>
    <t>BBL029317</t>
  </si>
  <si>
    <t>DLS-EU0645</t>
  </si>
  <si>
    <t>CC(Cc1c(C(F)(F)F)cccc1)N</t>
  </si>
  <si>
    <t>EN300-128384</t>
  </si>
  <si>
    <t>DLS-EU0646</t>
  </si>
  <si>
    <t>CC(c1cccc(C(F)(F)F)c1)NC</t>
  </si>
  <si>
    <t>EN300-33224</t>
  </si>
  <si>
    <t>DLS-EU0647</t>
  </si>
  <si>
    <t>CC(C)NC(c1c(C)ccc(C)c1)=O</t>
  </si>
  <si>
    <t>Z31386065</t>
  </si>
  <si>
    <t>DLS-EU0648</t>
  </si>
  <si>
    <t>Nc(ccc(F)c1)c1OCC(F)(F)F</t>
  </si>
  <si>
    <t>Z1267882024</t>
  </si>
  <si>
    <t>DLS-EU0649</t>
  </si>
  <si>
    <t>NC(c(cc1)cc(C(F)(F)F)c1Br)=O</t>
  </si>
  <si>
    <t>Z1451406366</t>
  </si>
  <si>
    <t>DLS-EU0650</t>
  </si>
  <si>
    <t>CC(NCCc1cc(Cl)cc(Cl)c1)=O</t>
  </si>
  <si>
    <t>Z872252302</t>
  </si>
  <si>
    <t>DLS-EU0651</t>
  </si>
  <si>
    <t>C[C@@H](CNC(c(cc1)ccc1O)=O)O</t>
  </si>
  <si>
    <t>EN300-182224</t>
  </si>
  <si>
    <t>DLS-EU0652</t>
  </si>
  <si>
    <t>CCCS(Nc1cc(O)ccc1)(=O)=O</t>
  </si>
  <si>
    <t>EN300-73029</t>
  </si>
  <si>
    <t>DLS-EU0653</t>
  </si>
  <si>
    <t>CCOc(cc1)ccc1S(NC)(=O)=O</t>
  </si>
  <si>
    <t>AG-690/15438036</t>
  </si>
  <si>
    <t>DLS-EU0654</t>
  </si>
  <si>
    <t>CC(C)CNC(c1ncc(C)nc1)=O</t>
  </si>
  <si>
    <t>Z32386136</t>
  </si>
  <si>
    <t>DLS-EU0655</t>
  </si>
  <si>
    <t>CN(C)C(Nc1cc(C#N)ccc1)=O</t>
  </si>
  <si>
    <t>Z410097646</t>
  </si>
  <si>
    <t>DLS-EU0656</t>
  </si>
  <si>
    <t>NC(c1cn(-c2ccccc2)nn1)=O</t>
  </si>
  <si>
    <t>PB365333326</t>
  </si>
  <si>
    <t>DLS-EU0657</t>
  </si>
  <si>
    <t>Cn1nccc1N(CCCC1N)C1=O</t>
  </si>
  <si>
    <t>EN300-158301</t>
  </si>
  <si>
    <t>DLS-EU0658</t>
  </si>
  <si>
    <t>CCC(N=C1SC(NC)=NN11)=CC1=O</t>
  </si>
  <si>
    <t>Z1896598013</t>
  </si>
  <si>
    <t>DLS-EU0659</t>
  </si>
  <si>
    <t>CNCCc1nc2ccccc2cc1</t>
  </si>
  <si>
    <t>CSC011697992</t>
  </si>
  <si>
    <t>DLS-EU0660</t>
  </si>
  <si>
    <t>NC[C@H](C1)N(Cc2cccs2)C[C@H]1F</t>
  </si>
  <si>
    <t>EN300-159390</t>
  </si>
  <si>
    <t>DLS-EU0661</t>
  </si>
  <si>
    <t>Fc(cccc1)c1NC1CCNCC1</t>
  </si>
  <si>
    <t>EN300-85947</t>
  </si>
  <si>
    <t>DLS-EU0662</t>
  </si>
  <si>
    <t>NC(c1cc(O)nc2ccccc12)=O</t>
  </si>
  <si>
    <t>STK324538</t>
  </si>
  <si>
    <t>DLS-EU0663</t>
  </si>
  <si>
    <t>CC(C(Nc1c2cccc1)=O)NC2=O</t>
  </si>
  <si>
    <t>CSC015239481</t>
  </si>
  <si>
    <t>DLS-EU0664</t>
  </si>
  <si>
    <t>CNCCN(c(cccc1)c1O1)C1=O</t>
  </si>
  <si>
    <t>EN300-75046</t>
  </si>
  <si>
    <t>DLS-EU0665</t>
  </si>
  <si>
    <t>NS(c(cc1NCCc1c1)c1Br)(=O)=O</t>
  </si>
  <si>
    <t>EN300-705562</t>
  </si>
  <si>
    <t>DLS-EU0666</t>
  </si>
  <si>
    <t>NC(CSc1nc(cccc2)c2o1)=O</t>
  </si>
  <si>
    <t>AG-690/07592031</t>
  </si>
  <si>
    <t>DLS-EU0667</t>
  </si>
  <si>
    <t>CNC(c1cnc(-c2ccco2)s1)=O</t>
  </si>
  <si>
    <t>Z1119025251</t>
  </si>
  <si>
    <t>DLS-EU0668</t>
  </si>
  <si>
    <t>NC([C@@H](CNC1)[C@H]1c1ccccc1)=O</t>
  </si>
  <si>
    <t>PB2309836680</t>
  </si>
  <si>
    <t>DLS-EU0669</t>
  </si>
  <si>
    <t>NC([C@@H](CC1)N[C@H]1c1ccccc1)=O</t>
  </si>
  <si>
    <t>CSC009887234</t>
  </si>
  <si>
    <t>DLS-EU0670</t>
  </si>
  <si>
    <t>CC(Nc1cccc2ncccc12)=O</t>
  </si>
  <si>
    <t>Z29904113</t>
  </si>
  <si>
    <t>DLS-EU0671</t>
  </si>
  <si>
    <t>CC(C1CC1)NC(c1ccncc1)=O</t>
  </si>
  <si>
    <t>Z102343688</t>
  </si>
  <si>
    <t>DLS-EU0672</t>
  </si>
  <si>
    <t>CC(C1)CN1C(Nc1ccccc1)=O</t>
  </si>
  <si>
    <t>Z1702887683</t>
  </si>
  <si>
    <t>DLS-EU0673</t>
  </si>
  <si>
    <t>OCCN1c(cccc2)c2NCCC1</t>
  </si>
  <si>
    <t>Z2754391453</t>
  </si>
  <si>
    <t>DLS-EU0674</t>
  </si>
  <si>
    <t>CC(CC1)(C2CN1C(NC)=O)C2(F)F</t>
  </si>
  <si>
    <t>Z2199269628</t>
  </si>
  <si>
    <t>DLS-EU0675</t>
  </si>
  <si>
    <t>COc(cc(CCNC1)c1c1)c1OC</t>
  </si>
  <si>
    <t>CS-002/03852013</t>
  </si>
  <si>
    <t>DLS-EU0676</t>
  </si>
  <si>
    <t>CC(N[C@@H]([C@H](C1)O)c2c1cccc2)=O</t>
  </si>
  <si>
    <t>EN300-257867</t>
  </si>
  <si>
    <t>DLS-EU0677</t>
  </si>
  <si>
    <t>CC(C)(c(cc1)cc2c1OCO2)NC</t>
  </si>
  <si>
    <t>EN300-59947</t>
  </si>
  <si>
    <t>DLS-EU0678</t>
  </si>
  <si>
    <t>Oc1c(CN2CCOCC2)cccc1</t>
  </si>
  <si>
    <t>AH-283/31127039</t>
  </si>
  <si>
    <t>DLS-EU0679</t>
  </si>
  <si>
    <t>CNC(C1)c(cc(cc2)Cl)c2S1(=O)=O</t>
  </si>
  <si>
    <t>EN300-115244</t>
  </si>
  <si>
    <t>DLS-EU0680</t>
  </si>
  <si>
    <t>NCc1cc(Cl)c2OCCCOc2c1</t>
  </si>
  <si>
    <t>EN300-13931</t>
  </si>
  <si>
    <t>DLS-EU0681</t>
  </si>
  <si>
    <t>CCC(NC(CC1)c2c1cccc2)=O</t>
  </si>
  <si>
    <t>Z195313604</t>
  </si>
  <si>
    <t>DLS-EU0682</t>
  </si>
  <si>
    <t>CNC(c1cc2ccccc2cc1)=O</t>
  </si>
  <si>
    <t>Z32016519</t>
  </si>
  <si>
    <t>DLS-EU0683</t>
  </si>
  <si>
    <t>CCc(cccc1)c1NC(C1CC1)=O</t>
  </si>
  <si>
    <t>AO-548/43279912</t>
  </si>
  <si>
    <t>DLS-EU0684</t>
  </si>
  <si>
    <t>NC(CCCC1)C1Oc1ccccc1</t>
  </si>
  <si>
    <t>Z1695669966</t>
  </si>
  <si>
    <t>DLS-EU0685</t>
  </si>
  <si>
    <t>CN(CC1)CCC1(c1ccccc1)O</t>
  </si>
  <si>
    <t>PB1184960340</t>
  </si>
  <si>
    <t>DLS-EU0686</t>
  </si>
  <si>
    <t>CCNC1c(cccc2)c2OCCC1</t>
  </si>
  <si>
    <t>Z1437106443</t>
  </si>
  <si>
    <t>DLS-EU0687</t>
  </si>
  <si>
    <t>CNC(c1cc(cc(cc2)F)c2s1)=O</t>
  </si>
  <si>
    <t>Z71502630</t>
  </si>
  <si>
    <t>DLS-EU0688</t>
  </si>
  <si>
    <t>NC(C1OCCC1)c(cc1)ccc1F</t>
  </si>
  <si>
    <t>EN300-58444</t>
  </si>
  <si>
    <t>DLS-EU0689</t>
  </si>
  <si>
    <t>CNC(C(C1)C1c1cccc(Br)c1)=O</t>
  </si>
  <si>
    <t>Z955526728</t>
  </si>
  <si>
    <t>DLS-EU0690</t>
  </si>
  <si>
    <t>CC(NC1c(cccc2)c2SCC1)=O</t>
  </si>
  <si>
    <t>Z73330046</t>
  </si>
  <si>
    <t>DLS-EU0691</t>
  </si>
  <si>
    <t>O=C(c(cc1)ccc1F)N1CCCC1</t>
  </si>
  <si>
    <t>AG-205/03202057</t>
  </si>
  <si>
    <t>DLS-EU0692</t>
  </si>
  <si>
    <t>CSc1ccc(C2(COCC2)N)cc1</t>
  </si>
  <si>
    <t>EN300-304617</t>
  </si>
  <si>
    <t>DLS-EU0693</t>
  </si>
  <si>
    <t>Fc(cc1)ccc1OC1CCNCC1</t>
  </si>
  <si>
    <t>EN300-1168555</t>
  </si>
  <si>
    <t>DLS-EU0694</t>
  </si>
  <si>
    <t>Oc(cccc1)c1N(C(CC1)=O)C1=O</t>
  </si>
  <si>
    <t>STL387498</t>
  </si>
  <si>
    <t>DLS-EU0695</t>
  </si>
  <si>
    <t>CC(C(N1)=O)Oc(cccc2)c2C1=O</t>
  </si>
  <si>
    <t>STK601767</t>
  </si>
  <si>
    <t>DLS-EU0696</t>
  </si>
  <si>
    <t>Cc1n[nH]cc1CNc1nn(C)cc1</t>
  </si>
  <si>
    <t>Z1401333912</t>
  </si>
  <si>
    <t>DLS-EU0697</t>
  </si>
  <si>
    <t>NC(Cc1ncc[nH]1)c1ccccc1</t>
  </si>
  <si>
    <t>EN300-30511</t>
  </si>
  <si>
    <t>DLS-EU0698</t>
  </si>
  <si>
    <t>Fc1c(CNc2c[nH]nc2)cccc1</t>
  </si>
  <si>
    <t>EN300-187180</t>
  </si>
  <si>
    <t>DLS-EU0699</t>
  </si>
  <si>
    <t>NCc1nc(-c(cc2)ccc2F)c[nH]1</t>
  </si>
  <si>
    <t>EN300-90182</t>
  </si>
  <si>
    <t>DLS-EU0700</t>
  </si>
  <si>
    <t>Cn1c(cc(cc2)F)c2nc1CCN</t>
  </si>
  <si>
    <t>CSC000704894</t>
  </si>
  <si>
    <t>DLS-EU0701</t>
  </si>
  <si>
    <t>Cc1csc(Nc2cc(N)ccc2)n1</t>
  </si>
  <si>
    <t>PB803222948</t>
  </si>
  <si>
    <t>DLS-EU0702</t>
  </si>
  <si>
    <t>CC(C)N(C(C1(CNCC1)N1)=O)C1=O</t>
  </si>
  <si>
    <t>Z1492781276</t>
  </si>
  <si>
    <t>DLS-EU0703</t>
  </si>
  <si>
    <t>NC(COc1c(ccs2)c2ncn1)=O</t>
  </si>
  <si>
    <t>Z16164828</t>
  </si>
  <si>
    <t>DLS-EU0705</t>
  </si>
  <si>
    <t>CNCC(N1)=Nc(cccc2)c2C1=O</t>
  </si>
  <si>
    <t>STK711179</t>
  </si>
  <si>
    <t>DLS-EU0706</t>
  </si>
  <si>
    <t>Nc1nccc(Oc2ccccc2)n1</t>
  </si>
  <si>
    <t>Z2327039990</t>
  </si>
  <si>
    <t>DLS-EU0707</t>
  </si>
  <si>
    <t>O=C1NCCCCC1Sc1nncs1</t>
  </si>
  <si>
    <t>Z225365538</t>
  </si>
  <si>
    <t>DLS-EU0708</t>
  </si>
  <si>
    <t>O=C(C(N1CCOCC1)=CN1)NC1=O</t>
  </si>
  <si>
    <t>EN300-75447</t>
  </si>
  <si>
    <t>DLS-EU0709</t>
  </si>
  <si>
    <t>Cc([nH]c1c2)nc1cc1c2OCCO1</t>
  </si>
  <si>
    <t>STL367546</t>
  </si>
  <si>
    <t>DLS-EU0710</t>
  </si>
  <si>
    <t>O=C1N(C[C@@H]2CNC[C@H]3C2)C3=CC=C1</t>
  </si>
  <si>
    <t>Z2582785591</t>
  </si>
  <si>
    <t>DLS-EU0711</t>
  </si>
  <si>
    <t>C(C1)COC1c1nc(cccc2)c2[nH]1</t>
  </si>
  <si>
    <t>STL262662</t>
  </si>
  <si>
    <t>DLS-EU0712</t>
  </si>
  <si>
    <t>O=C1NC=Nc2c1c(CCCC1)c1s2</t>
  </si>
  <si>
    <t>AH-034/33960062</t>
  </si>
  <si>
    <t>DLS-EU0713</t>
  </si>
  <si>
    <t>C(CNC1)C1(CC1)Oc2c1cccc2</t>
  </si>
  <si>
    <t>EN300-216516</t>
  </si>
  <si>
    <t>DLS-EU0714</t>
  </si>
  <si>
    <t>CC(CNC(Nc1cc(C)nn1C)=O)O</t>
  </si>
  <si>
    <t>Z410718386</t>
  </si>
  <si>
    <t>DLS-EU0715</t>
  </si>
  <si>
    <t>CCC(Nc(cc1)ccc1C(NC)=O)=O</t>
  </si>
  <si>
    <t>Z27614961</t>
  </si>
  <si>
    <t>DLS-EU0717</t>
  </si>
  <si>
    <t>CC(C)NC(CN(CCCCC1)C1=O)=O</t>
  </si>
  <si>
    <t>Z31385291</t>
  </si>
  <si>
    <t>DLS-EU0718</t>
  </si>
  <si>
    <t>CC(C)NC(CN(C=C(C=C1)Br)C1=O)=O</t>
  </si>
  <si>
    <t>Z26317789</t>
  </si>
  <si>
    <t>DLS-EU0719</t>
  </si>
  <si>
    <t>CNC(CNC(c1cccc(F)c1)=O)=O</t>
  </si>
  <si>
    <t>CSC000159783</t>
  </si>
  <si>
    <t>DLS-EU0720</t>
  </si>
  <si>
    <t>Cc1c(CNS(N(C)C)(=O)=O)cccc1</t>
  </si>
  <si>
    <t>Z355158282</t>
  </si>
  <si>
    <t>DLS-EU0721</t>
  </si>
  <si>
    <t>CCC(C)C(Nc(cc1)ccc1C#N)=O</t>
  </si>
  <si>
    <t>Z237817704</t>
  </si>
  <si>
    <t>DLS-EU0722</t>
  </si>
  <si>
    <t>CCn(c(C)c1)c(C)c1C(NC(C)C)=O</t>
  </si>
  <si>
    <t>Z194837448</t>
  </si>
  <si>
    <t>DLS-EU0723</t>
  </si>
  <si>
    <t>CC(C)(C)NC(c(cc1)ccc1NC)=O</t>
  </si>
  <si>
    <t>EN300-252935</t>
  </si>
  <si>
    <t>DLS-EU0724</t>
  </si>
  <si>
    <t>CCC(C)N(C)C(Nc1ccccc1)=O</t>
  </si>
  <si>
    <t>Z573721210</t>
  </si>
  <si>
    <t>DLS-EU0725</t>
  </si>
  <si>
    <t>CCC(C)(C)NC(Nc1ccccc1)=O</t>
  </si>
  <si>
    <t>STK478932</t>
  </si>
  <si>
    <t>DLS-EU0726</t>
  </si>
  <si>
    <t>CC(CN)N(C)C(c(cc1)ccc1Br)=O</t>
  </si>
  <si>
    <t>Z1457340445</t>
  </si>
  <si>
    <t>DLS-EU0727</t>
  </si>
  <si>
    <t>CC(N1CC(CNS(C)(=O)=O)CCC1)=O</t>
  </si>
  <si>
    <t>Z438096750</t>
  </si>
  <si>
    <t>DLS-EU0728</t>
  </si>
  <si>
    <t>NC(NC(COc(cc1)ccc1Br)=O)=O</t>
  </si>
  <si>
    <t>Z19725504</t>
  </si>
  <si>
    <t>DLS-EU0729</t>
  </si>
  <si>
    <t>CC(C)(CNC(c(cccc1)c1Cl)=O)O</t>
  </si>
  <si>
    <t>Z1286238416</t>
  </si>
  <si>
    <t>DLS-EU0730</t>
  </si>
  <si>
    <t>Oc(cc1)ccc1C(NCC(F)(F)F)=O</t>
  </si>
  <si>
    <t>PB68757301</t>
  </si>
  <si>
    <t>DLS-EU0731</t>
  </si>
  <si>
    <t>CC(C)(C)C(NCc(cc1)ccc1F)=O</t>
  </si>
  <si>
    <t>Z26779720</t>
  </si>
  <si>
    <t>DLS-EU0732</t>
  </si>
  <si>
    <t>CCC(C)(C)NC(c(cccc1)c1F)=O</t>
  </si>
  <si>
    <t>Z54128520</t>
  </si>
  <si>
    <t>DLS-EU0733</t>
  </si>
  <si>
    <t>CCC(N[C@@H](CCCC1)[C@@H]1C(F)(F)F)=O</t>
  </si>
  <si>
    <t>PB2454740277</t>
  </si>
  <si>
    <t>DLS-EU0734</t>
  </si>
  <si>
    <t>CC(CNS(c(cc1)ccc1Br)(=O)=O)O</t>
  </si>
  <si>
    <t>AO-854/43471926</t>
  </si>
  <si>
    <t>DLS-EU0735</t>
  </si>
  <si>
    <t>CC(Nc(c(OC)c1)cc(Cl)c1OC)=O</t>
  </si>
  <si>
    <t>Z29679124</t>
  </si>
  <si>
    <t>DLS-EU0736</t>
  </si>
  <si>
    <t>CC(C(NC(NC)=O)=O)N1CCCCC1</t>
  </si>
  <si>
    <t>Z46157204</t>
  </si>
  <si>
    <t>DLS-EU0737</t>
  </si>
  <si>
    <t>CCN(C)C(NC(CC1)CN1C(C)=O)=O</t>
  </si>
  <si>
    <t>Z1425593630</t>
  </si>
  <si>
    <t>DLS-EU0738</t>
  </si>
  <si>
    <t>CCNC(N(C)Cc1c(C)onc1C)=O</t>
  </si>
  <si>
    <t>Z513571720</t>
  </si>
  <si>
    <t>DLS-EU0739</t>
  </si>
  <si>
    <t>Cc(cccc1)c1NCC(NC(N)=O)=O</t>
  </si>
  <si>
    <t>CSC000199254</t>
  </si>
  <si>
    <t>DLS-EU0740</t>
  </si>
  <si>
    <t>Cn1ncc(C(N[C@@H]2CNCCC2)=O)c1</t>
  </si>
  <si>
    <t>Z1537487448</t>
  </si>
  <si>
    <t>DLS-EU0741</t>
  </si>
  <si>
    <t>CC(C)NC(c1c2ncccn2nc1)=O</t>
  </si>
  <si>
    <t>Z295892696</t>
  </si>
  <si>
    <t>DLS-EU0742</t>
  </si>
  <si>
    <t>Cc1n[nH]c(C(NCc2nccs2)=O)c1</t>
  </si>
  <si>
    <t>Z747251994</t>
  </si>
  <si>
    <t>DLS-EU0743</t>
  </si>
  <si>
    <t>CNC(c1ccccc1)c1ncccc1</t>
  </si>
  <si>
    <t>EN300-43549</t>
  </si>
  <si>
    <t>DLS-EU0745</t>
  </si>
  <si>
    <t>NCC(NC1c(cccc2)c2OCC1)=O</t>
  </si>
  <si>
    <t>EN300-202338</t>
  </si>
  <si>
    <t>DLS-EU0746</t>
  </si>
  <si>
    <t>O=C(NCC1OCCC1)NC1CCCC1</t>
  </si>
  <si>
    <t>CSC047920494</t>
  </si>
  <si>
    <t>DLS-EU0747</t>
  </si>
  <si>
    <t>CNC(NC1CC2(CSCC2)OCC1)=O</t>
  </si>
  <si>
    <t>Z1449633660</t>
  </si>
  <si>
    <t>DLS-EU0748</t>
  </si>
  <si>
    <t>O=S(NCC1CC1)(N1CCCCCC1)=O</t>
  </si>
  <si>
    <t>Z286242882</t>
  </si>
  <si>
    <t>DLS-EU0749</t>
  </si>
  <si>
    <t>Cc1c(C)sc(NC(C2OCCC2)=O)n1</t>
  </si>
  <si>
    <t>Z28596400</t>
  </si>
  <si>
    <t>DLS-EU0750</t>
  </si>
  <si>
    <t>NC(CC1Sc(cccc2)c2NC1=O)=O</t>
  </si>
  <si>
    <t>STK392260</t>
  </si>
  <si>
    <t>DLS-EU0751</t>
  </si>
  <si>
    <t>Oc1cc(CNc2ncccc2)ccc1</t>
  </si>
  <si>
    <t>Z636444822</t>
  </si>
  <si>
    <t>DLS-EU0752</t>
  </si>
  <si>
    <t>CN(C)C(c(cc1)cc2c1NCCC2)=O</t>
  </si>
  <si>
    <t>EN300-66384</t>
  </si>
  <si>
    <t>DLS-EU0753</t>
  </si>
  <si>
    <t>NC(c1ccc(Cn2cccc2)cc1)=O</t>
  </si>
  <si>
    <t>PB1127821757</t>
  </si>
  <si>
    <t>DLS-EU0754</t>
  </si>
  <si>
    <t>Cc(cc1)ncc1C(NC1CCCC1)=O</t>
  </si>
  <si>
    <t>Z241247784</t>
  </si>
  <si>
    <t>DLS-EU0755</t>
  </si>
  <si>
    <t>CCCNC(c1cc(cccc2)c2[nH]1)=O</t>
  </si>
  <si>
    <t>Z100747596</t>
  </si>
  <si>
    <t>DLS-EU0756</t>
  </si>
  <si>
    <t>COc1c(CN2CCNCC2)cccc1</t>
  </si>
  <si>
    <t>EN300-68216</t>
  </si>
  <si>
    <t>DLS-EU0757</t>
  </si>
  <si>
    <t>NCC1(CN(Cc2ccccc2)CC1)O</t>
  </si>
  <si>
    <t>EN300-82290</t>
  </si>
  <si>
    <t>DLS-EU0758</t>
  </si>
  <si>
    <t>NCc1cc(OC2CCCCC2)ncc1</t>
  </si>
  <si>
    <t>EN300-61876</t>
  </si>
  <si>
    <t>DLS-EU0759</t>
  </si>
  <si>
    <t>CCN1c(cccc2)c2OC(CNC)C1</t>
  </si>
  <si>
    <t>EN300-14919</t>
  </si>
  <si>
    <t>DLS-EU0760</t>
  </si>
  <si>
    <t>COc1cc(NC2CCNCC2)ccc1</t>
  </si>
  <si>
    <t>EN300-74122</t>
  </si>
  <si>
    <t>DLS-EU0761</t>
  </si>
  <si>
    <t>CN([C@@H]([C@H](C1)N)c(cc2)ccc2F)C1=O</t>
  </si>
  <si>
    <t>EN300-1387286</t>
  </si>
  <si>
    <t>DLS-EU0762</t>
  </si>
  <si>
    <t>O=C1NCCN(Cc(cccc2)c2F)C1</t>
  </si>
  <si>
    <t>Z46334501</t>
  </si>
  <si>
    <t>DLS-EU0763</t>
  </si>
  <si>
    <t>Cc1cscc1C(N1CCNCCC1)=O</t>
  </si>
  <si>
    <t>PB1455936167</t>
  </si>
  <si>
    <t>DLS-EU0764</t>
  </si>
  <si>
    <t>O=C(NCc1cccs1)NC1CCCC1</t>
  </si>
  <si>
    <t>STK485971</t>
  </si>
  <si>
    <t>DLS-EU0765</t>
  </si>
  <si>
    <t>CCC(NCc1nc(cccc2)c2s1)=O</t>
  </si>
  <si>
    <t>EN300-364596</t>
  </si>
  <si>
    <t>DLS-EU0766</t>
  </si>
  <si>
    <t>COc(cc1)ccc1-c1nc(CN)cs1</t>
  </si>
  <si>
    <t>EN300-95693</t>
  </si>
  <si>
    <t>DLS-EU0767</t>
  </si>
  <si>
    <t>Nc(cc1)ncc1Oc(cc1)ccc1F</t>
  </si>
  <si>
    <t>EN300-69536</t>
  </si>
  <si>
    <t>DLS-EU0768</t>
  </si>
  <si>
    <t>NCC(CC1=O)CN1c(cc1)ccc1Cl</t>
  </si>
  <si>
    <t>EN300-154856</t>
  </si>
  <si>
    <t>DLS-EU0769</t>
  </si>
  <si>
    <t>CC(c1ccccc1)(c1ccccc1)N</t>
  </si>
  <si>
    <t>EN300-69453</t>
  </si>
  <si>
    <t>DLS-EU0770</t>
  </si>
  <si>
    <t>CCOc(c(CN)c1)cc2c1OC(C)C2</t>
  </si>
  <si>
    <t>EN300-54631</t>
  </si>
  <si>
    <t>DLS-EU0771</t>
  </si>
  <si>
    <t>COc1cc2ccccc2cc1C(N)=O</t>
  </si>
  <si>
    <t>AP-970/43482283</t>
  </si>
  <si>
    <t>DLS-EU0772</t>
  </si>
  <si>
    <t>CNC(CC1c(cccc2)c2OCC1)=O</t>
  </si>
  <si>
    <t>Z1224962196</t>
  </si>
  <si>
    <t>DLS-EU0773</t>
  </si>
  <si>
    <t>CC(C)(CNC1)Oc2c1ccc(OC)c2</t>
  </si>
  <si>
    <t>EN300-251278</t>
  </si>
  <si>
    <t>DLS-EU0774</t>
  </si>
  <si>
    <t>Nc(cc1)ccc1S(C1CCCC1)(=O)=O</t>
  </si>
  <si>
    <t>EN300-33648</t>
  </si>
  <si>
    <t>DLS-EU0775</t>
  </si>
  <si>
    <t>NC(c(cccc1)c1-c1ccccc1)=O</t>
  </si>
  <si>
    <t>Z57336477</t>
  </si>
  <si>
    <t>DLS-EU0776</t>
  </si>
  <si>
    <t>CCCNC(c1cc(CCC2)c2cc1)=O</t>
  </si>
  <si>
    <t>Z49505353</t>
  </si>
  <si>
    <t>DLS-EU0777</t>
  </si>
  <si>
    <t>Nc1cccc(COc2ccccc2)c1</t>
  </si>
  <si>
    <t>EN300-781726</t>
  </si>
  <si>
    <t>DLS-EU0778</t>
  </si>
  <si>
    <t>O=C(c1cc(F)ccc1)NC1CSCC1</t>
  </si>
  <si>
    <t>PB1275053630</t>
  </si>
  <si>
    <t>DLS-EU0779</t>
  </si>
  <si>
    <t>NC(C1(CCCC1)c(cccc1)c1F)=O</t>
  </si>
  <si>
    <t>Z68591869</t>
  </si>
  <si>
    <t>DLS-EU0780</t>
  </si>
  <si>
    <t>NCC1(CCOCC1)c1cccc(F)c1</t>
  </si>
  <si>
    <t>Z818727316</t>
  </si>
  <si>
    <t>DLS-EU0781</t>
  </si>
  <si>
    <t>CNC(c(cc1)cc2c1OCCCO2)=O</t>
  </si>
  <si>
    <t>STL430144</t>
  </si>
  <si>
    <t>DLS-EU0782</t>
  </si>
  <si>
    <t>O=C(C1OCCOC1)Nc1ccccc1</t>
  </si>
  <si>
    <t>Z381479818</t>
  </si>
  <si>
    <t>DLS-EU0783</t>
  </si>
  <si>
    <t>Oc(cc1)ccc1NC(c1ccco1)=O</t>
  </si>
  <si>
    <t>STK032597</t>
  </si>
  <si>
    <t>DLS-EU0784</t>
  </si>
  <si>
    <t>CCNC(C1Oc(cccc2)c2OC1)=O</t>
  </si>
  <si>
    <t>STK835324</t>
  </si>
  <si>
    <t>DLS-EU0785</t>
  </si>
  <si>
    <t>CCCC(Nc(cc1)cc2c1OCO2)=O</t>
  </si>
  <si>
    <t>AN-652/11845325</t>
  </si>
  <si>
    <t>DLS-EU0786</t>
  </si>
  <si>
    <t>CC(CNCc(cc1)cc2c1OCO2)O</t>
  </si>
  <si>
    <t>STK510848</t>
  </si>
  <si>
    <t>DLS-EU0787</t>
  </si>
  <si>
    <t>COc(cc1)c(CNCC2O)c2c1OC</t>
  </si>
  <si>
    <t>EN300-14604</t>
  </si>
  <si>
    <t>DLS-EU0788</t>
  </si>
  <si>
    <t>CC(CN(Cc1n[nH]cc1)CC1)C1(F)F</t>
  </si>
  <si>
    <t>Z2177177389</t>
  </si>
  <si>
    <t>DLS-EU0789</t>
  </si>
  <si>
    <t>Cc1c(CSc2nnc(N)s2)cccc1</t>
  </si>
  <si>
    <t>Z18452618</t>
  </si>
  <si>
    <t>DLS-EU0790</t>
  </si>
  <si>
    <t>Cc1nnc(CNc(cc2)ccc2F)s1</t>
  </si>
  <si>
    <t>Z1583292057</t>
  </si>
  <si>
    <t>DLS-EU0791</t>
  </si>
  <si>
    <t>NC(CN(C=Nc1c2cccc1)C2=O)=O</t>
  </si>
  <si>
    <t>Z33547038</t>
  </si>
  <si>
    <t>DLS-EU0792</t>
  </si>
  <si>
    <t>Cc1cc(C(Nc2cnccc2)=O)no1</t>
  </si>
  <si>
    <t>Z31790735</t>
  </si>
  <si>
    <t>DLS-EU0793</t>
  </si>
  <si>
    <t>CCC(Nc(cc1)cc(N2)c1NC2=O)=O</t>
  </si>
  <si>
    <t>Z26794351</t>
  </si>
  <si>
    <t>DLS-EU0794</t>
  </si>
  <si>
    <t>CC(Nc1cn(CC2OCCC2)nc1)=O</t>
  </si>
  <si>
    <t>Z748559108</t>
  </si>
  <si>
    <t>DLS-EU0795</t>
  </si>
  <si>
    <t>CCc1nnc(NC(c2cocc2)=O)s1</t>
  </si>
  <si>
    <t>Z166869514</t>
  </si>
  <si>
    <t>DLS-EU0796</t>
  </si>
  <si>
    <t>CCc1n[nH]c(C(NC2CCCC2)=O)c1</t>
  </si>
  <si>
    <t>Z365190902</t>
  </si>
  <si>
    <t>DLS-EU0797</t>
  </si>
  <si>
    <t>COc1ccc(Cn(cc2)nc2N)cc1</t>
  </si>
  <si>
    <t>EN300-154884</t>
  </si>
  <si>
    <t>DLS-EU0798</t>
  </si>
  <si>
    <t>Nc1cc(-c2ccccc2)nn1CCO</t>
  </si>
  <si>
    <t>Z55992976</t>
  </si>
  <si>
    <t>DLS-EU0799</t>
  </si>
  <si>
    <t>Cc1c(CNc(cc2)ccc2O)cn[nH]1</t>
  </si>
  <si>
    <t>Z1250058375</t>
  </si>
  <si>
    <t>DLS-EU0800</t>
  </si>
  <si>
    <t>CCn1c(C(C2CCOCC2)N)ncc1</t>
  </si>
  <si>
    <t>EN300-210427</t>
  </si>
  <si>
    <t>DLS-EU0801</t>
  </si>
  <si>
    <t>O=C(c(cccc1)c1F)Nc1nncs1</t>
  </si>
  <si>
    <t>Z86417414</t>
  </si>
  <si>
    <t>DLS-EU0802</t>
  </si>
  <si>
    <t>CCNC(c1n[nH]c(cc2)c1cc2Br)=O</t>
  </si>
  <si>
    <t>Z1171742729</t>
  </si>
  <si>
    <t>DLS-EU0803</t>
  </si>
  <si>
    <t>Cc1noc(CN(C2)[C@H](CN)C[C@@H]2F)c1</t>
  </si>
  <si>
    <t>EN300-159504</t>
  </si>
  <si>
    <t>DLS-EU0804</t>
  </si>
  <si>
    <t>Cc1csc(NC(CN2CCCC2)=O)n1</t>
  </si>
  <si>
    <t>Z137672774</t>
  </si>
  <si>
    <t>DLS-EU0805</t>
  </si>
  <si>
    <t>NC(CN(C(c1cccs1)=NO1)C1=O)=O</t>
  </si>
  <si>
    <t>PB826630886</t>
  </si>
  <si>
    <t>DLS-EU0806</t>
  </si>
  <si>
    <t>CNS(c(cc1)cc(N2)c1NC2=O)(=O)=O</t>
  </si>
  <si>
    <t>STL432538</t>
  </si>
  <si>
    <t>DLS-EU0807</t>
  </si>
  <si>
    <t>Oc(cc1)cc(O2)c1C(CCC1)=C1C2=O</t>
  </si>
  <si>
    <t>STL477634</t>
  </si>
  <si>
    <t>DLS-EU0808</t>
  </si>
  <si>
    <t>Fc(cc1)c2O[C@H](CNC3)[C@H]3Oc2c1F</t>
  </si>
  <si>
    <t>EN300-258088</t>
  </si>
  <si>
    <t>DLS-EU0809</t>
  </si>
  <si>
    <t>O=C(C12CCCC2)NC1c1ccccc1</t>
  </si>
  <si>
    <t>Z2158409243</t>
  </si>
  <si>
    <t>DLS-EU0810</t>
  </si>
  <si>
    <t>C1c(cccc2)c2NCC1n1nccc1</t>
  </si>
  <si>
    <t>EN300-93063</t>
  </si>
  <si>
    <t>DLS-EU0811</t>
  </si>
  <si>
    <t>Nc(cc1)cc2c1N=C(CCC1)N1C2=O</t>
  </si>
  <si>
    <t>EN300-36528</t>
  </si>
  <si>
    <t>DLS-EU0812</t>
  </si>
  <si>
    <t>CC(C(NC(NC)=O)=O)Sc1nccn1C</t>
  </si>
  <si>
    <t>Z18499371</t>
  </si>
  <si>
    <t>DLS-EU0813</t>
  </si>
  <si>
    <t>CC(C(Nc1ccc(C)cc1)=O)NC(C)=O</t>
  </si>
  <si>
    <t>Z28134543</t>
  </si>
  <si>
    <t>DLS-EU0814</t>
  </si>
  <si>
    <t>CCOc(cc(C)cc1)c1NC(N(C)C)=O</t>
  </si>
  <si>
    <t>Z595969082</t>
  </si>
  <si>
    <t>DLS-EU0816</t>
  </si>
  <si>
    <t>Cc(cc1)cc(C(NCC(NC)=O)=O)c1O</t>
  </si>
  <si>
    <t>CSC000289454</t>
  </si>
  <si>
    <t>DLS-EU0817</t>
  </si>
  <si>
    <t>CC(Nc1cccc(NC(COC)=O)c1)=O</t>
  </si>
  <si>
    <t>STK127609</t>
  </si>
  <si>
    <t>DLS-EU0818</t>
  </si>
  <si>
    <t>CN(CC(N)=O)S(c1cc(F)ccc1)(=O)=O</t>
  </si>
  <si>
    <t>Z414689954</t>
  </si>
  <si>
    <t>DLS-EU0819</t>
  </si>
  <si>
    <t>CC(Nc(cc1)ccc1S(N(C)C)(=O)=O)=O</t>
  </si>
  <si>
    <t>AN-329_11635667</t>
  </si>
  <si>
    <t>DLS-EU0820</t>
  </si>
  <si>
    <t>CC(C(Nc(cc1)ccc1Cl)=O)S(C)(=O)=O</t>
  </si>
  <si>
    <t>Z414944464</t>
  </si>
  <si>
    <t>DLS-EU0821</t>
  </si>
  <si>
    <t>CC(C(Nc(cc1)ccc1Cl)=O)NC(N)=O</t>
  </si>
  <si>
    <t>Z28161598</t>
  </si>
  <si>
    <t>DLS-EU0822</t>
  </si>
  <si>
    <t>NC(NCC1=O)=C1c1nc(cccc2)c2[nH]1</t>
  </si>
  <si>
    <t>Z56785968</t>
  </si>
  <si>
    <t>DLS-EU0823</t>
  </si>
  <si>
    <t>C(CNCC1)C1c1ccnc2ccccc12</t>
  </si>
  <si>
    <t>Z2235409320</t>
  </si>
  <si>
    <t>DLS-EU0824</t>
  </si>
  <si>
    <t>CC(CC1N2)(N(C)C2=O)Oc2c1cccc2</t>
  </si>
  <si>
    <t>Z3080090883</t>
  </si>
  <si>
    <t>DLS-EU0825</t>
  </si>
  <si>
    <t>O=C(C1N2CCC1)Nc(cccc1)c1C2=O</t>
  </si>
  <si>
    <t>CSC005794343</t>
  </si>
  <si>
    <t>DLS-EU0826</t>
  </si>
  <si>
    <t>O=C(C1(c(cccc2)c2OCC1)N1)NC1=O</t>
  </si>
  <si>
    <t>EN300-04900</t>
  </si>
  <si>
    <t>DLS-EU0827</t>
  </si>
  <si>
    <t>CC(C)(C)c1nc(CC2NC3CC2)c3cn1</t>
  </si>
  <si>
    <t>Z2681277094</t>
  </si>
  <si>
    <t>DLS-EU0828</t>
  </si>
  <si>
    <t>CCc1nc(-c2ncccc2)nc(NC)c1</t>
  </si>
  <si>
    <t>PB1896674658</t>
  </si>
  <si>
    <t>DLS-EU0829</t>
  </si>
  <si>
    <t>CNC(c(o1)ccc1S(NC1CC1)(=O)=O)=O</t>
  </si>
  <si>
    <t>Z382906656</t>
  </si>
  <si>
    <t>DLS-EU0830</t>
  </si>
  <si>
    <t>Nc(cccc1)c1C(NCC1OCCC1)=O</t>
  </si>
  <si>
    <t>Z57708706</t>
  </si>
  <si>
    <t>DLS-EU0831</t>
  </si>
  <si>
    <t>Oc(cccc1)c1C(Nc1cnccc1)=O</t>
  </si>
  <si>
    <t>AE-641_02605027</t>
  </si>
  <si>
    <t>DLS-EU0832</t>
  </si>
  <si>
    <t>COCC(Nc1cccc2cccnc12)=O</t>
  </si>
  <si>
    <t>Z32566874</t>
  </si>
  <si>
    <t>DLS-EU0833</t>
  </si>
  <si>
    <t>CCNC(c1cc(ccc(OC)c2)c2[nH]1)=O</t>
  </si>
  <si>
    <t>Z402618892</t>
  </si>
  <si>
    <t>DLS-EU0834</t>
  </si>
  <si>
    <t>CCCC(Nc(cc1)cc2c1oc(C)n2)=O</t>
  </si>
  <si>
    <t>Z70908807</t>
  </si>
  <si>
    <t>DLS-EU0835</t>
  </si>
  <si>
    <t>CC(Nc1cccc(NC(C2CC2)=O)c1)=O</t>
  </si>
  <si>
    <t>Z28281884</t>
  </si>
  <si>
    <t>DLS-EU0836</t>
  </si>
  <si>
    <t>NCc(cc1)ccc1NC(c1ccco1)=O</t>
  </si>
  <si>
    <t>EN300-57544</t>
  </si>
  <si>
    <t>DLS-EU0837</t>
  </si>
  <si>
    <t>Nc(cc1)ccc1S(N1CCCCC1)(=O)=O</t>
  </si>
  <si>
    <t>PB56869864</t>
  </si>
  <si>
    <t>DLS-EU0838</t>
  </si>
  <si>
    <t>NC(N1CC(c(cc2)ccc2F)OCC1)=O</t>
  </si>
  <si>
    <t>Z736904456</t>
  </si>
  <si>
    <t>DLS-EU0839</t>
  </si>
  <si>
    <t>NC(NC1c2cccc(F)c2OCCC1)=O</t>
  </si>
  <si>
    <t>PB1614830548</t>
  </si>
  <si>
    <t>DLS-EU0840</t>
  </si>
  <si>
    <t>O=S(c1cccc(Cl)c1)(Nc1nccs1)=O</t>
  </si>
  <si>
    <t>Z56115385</t>
  </si>
  <si>
    <t>DLS-EU0841</t>
  </si>
  <si>
    <t>O=C(c1ccncc1)NCc1ccccc1</t>
  </si>
  <si>
    <t>STK409629</t>
  </si>
  <si>
    <t>DLS-EU0842</t>
  </si>
  <si>
    <t>CC(c1cccc(F)c1)NC(NC1CC1)=O</t>
  </si>
  <si>
    <t>Z183376656</t>
  </si>
  <si>
    <t>DLS-EU0843</t>
  </si>
  <si>
    <t>Cc(ccc(NC(N1CCCC1)=O)c1)c1F</t>
  </si>
  <si>
    <t>Z339584148</t>
  </si>
  <si>
    <t>DLS-EU0845</t>
  </si>
  <si>
    <t>O=C(c1ncccc1)Nc1cccc(F)c1</t>
  </si>
  <si>
    <t>Z28143136</t>
  </si>
  <si>
    <t>DLS-EU0846</t>
  </si>
  <si>
    <t>NCc1cccnc1Oc1cccc(F)c1</t>
  </si>
  <si>
    <t>EN300-39419</t>
  </si>
  <si>
    <t>DLS-EU0847</t>
  </si>
  <si>
    <t>N#Cc1cccc(NC(c2cscc2)=O)c1</t>
  </si>
  <si>
    <t>Z79633749</t>
  </si>
  <si>
    <t>DLS-EU0848</t>
  </si>
  <si>
    <t>COCc1ccc(C(CCC2)N2C(N)=O)o1</t>
  </si>
  <si>
    <t>Z1699931894</t>
  </si>
  <si>
    <t>DLS-EU0849</t>
  </si>
  <si>
    <t>CCC(CC(N1)=O)(C1=O)c1ccc(C)cc1</t>
  </si>
  <si>
    <t>EN300-117028</t>
  </si>
  <si>
    <t>DLS-EU0850</t>
  </si>
  <si>
    <t>CC(C)(CC1NC(C)=O)Cc2c1cc(C)o2</t>
  </si>
  <si>
    <t>Z453587582</t>
  </si>
  <si>
    <t>DLS-EU0851</t>
  </si>
  <si>
    <t>COc(cc1)ccc1C(NC1CCCC1)=O</t>
  </si>
  <si>
    <t>Z32413980</t>
  </si>
  <si>
    <t>DLS-EU0852</t>
  </si>
  <si>
    <t>Oc(cccc1)c1C(NC1CCCCC1)=O</t>
  </si>
  <si>
    <t>Z68131896</t>
  </si>
  <si>
    <t>DLS-EU0853</t>
  </si>
  <si>
    <t>CCNC(Cc1coc2c1ccc(C)c2)=O</t>
  </si>
  <si>
    <t>Z32023360</t>
  </si>
  <si>
    <t>DLS-EU0854</t>
  </si>
  <si>
    <t>Cc(ccc(F)c1)c1NC(c1cocc1)=O</t>
  </si>
  <si>
    <t>Z167023172</t>
  </si>
  <si>
    <t>DLS-EU0855</t>
  </si>
  <si>
    <t>OCC1CCN(Cc(cc2)ccc2F)CC1</t>
  </si>
  <si>
    <t>Z416878830</t>
  </si>
  <si>
    <t>DLS-EU0856</t>
  </si>
  <si>
    <t>CC(C)NC(C(C1)Sc2c1ccc(C)c2)=O</t>
  </si>
  <si>
    <t>Z223848780</t>
  </si>
  <si>
    <t>DLS-EU0857</t>
  </si>
  <si>
    <t>Cc(cc1)ccc1C(NCc1cccs1)=O</t>
  </si>
  <si>
    <t>Z29693794</t>
  </si>
  <si>
    <t>DLS-EU0858</t>
  </si>
  <si>
    <t>OC(C1)CNC1c1c(C(F)(F)F)cccc1</t>
  </si>
  <si>
    <t>EN300-190735</t>
  </si>
  <si>
    <t>DLS-EU0859</t>
  </si>
  <si>
    <t>CNC(Cc1coc2c1ccc(OC)c2)=O</t>
  </si>
  <si>
    <t>Z30271311</t>
  </si>
  <si>
    <t>DLS-EU0861</t>
  </si>
  <si>
    <t>CC(C(N1C)=O)(c(cc2)ccc2N)NC1=O</t>
  </si>
  <si>
    <t>EN300-266512</t>
  </si>
  <si>
    <t>DLS-EU0862</t>
  </si>
  <si>
    <t>CCC(Nc1c[nH]nc1-c1ccccc1)=O</t>
  </si>
  <si>
    <t>Z1474134834</t>
  </si>
  <si>
    <t>DLS-EU0863</t>
  </si>
  <si>
    <t>CC(C)CC(Nc1nc(cccc2)c2[nH]1)=O</t>
  </si>
  <si>
    <t>Z27666213</t>
  </si>
  <si>
    <t>DLS-EU0864</t>
  </si>
  <si>
    <t>CN(CC1)CCN1C(Nc1ccccc1)=O</t>
  </si>
  <si>
    <t>STK325711</t>
  </si>
  <si>
    <t>DLS-EU0865</t>
  </si>
  <si>
    <t>CNC(c1cnc(-c2ccccc2)nc1)=O</t>
  </si>
  <si>
    <t>Z886774058</t>
  </si>
  <si>
    <t>DLS-EU0866</t>
  </si>
  <si>
    <t>Cn1c(C(c(cc2)ccc2OC)N)ncc1</t>
  </si>
  <si>
    <t>Z169512038</t>
  </si>
  <si>
    <t>DLS-EU0867</t>
  </si>
  <si>
    <t>CNC(c1c[nH]nc1-c(cc1)ccc1F)=O</t>
  </si>
  <si>
    <t>Z224746284</t>
  </si>
  <si>
    <t>DLS-EU0868</t>
  </si>
  <si>
    <t>CC(Nc(cc1)cc(F)c1-n1cncc1)=O</t>
  </si>
  <si>
    <t>Z729429800</t>
  </si>
  <si>
    <t>DLS-EU0869</t>
  </si>
  <si>
    <t>O=C(NCc1cccs1)Nc1ncccc1</t>
  </si>
  <si>
    <t>Z208358430</t>
  </si>
  <si>
    <t>DLS-EU0870</t>
  </si>
  <si>
    <t>Cc1nsc(NC)c1C(N1CCCCC1)=O</t>
  </si>
  <si>
    <t>Z119906256</t>
  </si>
  <si>
    <t>DLS-EU0871</t>
  </si>
  <si>
    <t>Cc1cc(C(Nc2nn(C)cc2)=O)c(C)s1</t>
  </si>
  <si>
    <t>Z108545694</t>
  </si>
  <si>
    <t>DLS-EU0872</t>
  </si>
  <si>
    <t>CSc1ncc(C(N)=O)n1-c1ccccc1</t>
  </si>
  <si>
    <t>Z68201549</t>
  </si>
  <si>
    <t>DLS-EU0873</t>
  </si>
  <si>
    <t>C(C1)C1C(C1)OCCC1NC1CC2(CCC2)C1</t>
  </si>
  <si>
    <t>Z2312625547</t>
  </si>
  <si>
    <t>DLS-EU0874</t>
  </si>
  <si>
    <t>CC(C(N(CCC1)C1c1c(C)[nH]nc1C)=O)N</t>
  </si>
  <si>
    <t>Z2242888136</t>
  </si>
  <si>
    <t>DLS-EU0875</t>
  </si>
  <si>
    <t>CCCC(Nc1cnc2n(C)nc(C)c2c1)=O</t>
  </si>
  <si>
    <t>Z239533152</t>
  </si>
  <si>
    <t>DLS-EU0876</t>
  </si>
  <si>
    <t>Cc1n[nH]c(NC(c2cc(C#N)ccc2)=O)c1</t>
  </si>
  <si>
    <t>Z666222554</t>
  </si>
  <si>
    <t>DLS-EU0877</t>
  </si>
  <si>
    <t>CN(C)C(c1cc(NC(C2CC2)=O)ccc1)=O</t>
  </si>
  <si>
    <t>Z82375822</t>
  </si>
  <si>
    <t>DLS-EU0878</t>
  </si>
  <si>
    <t>Cc1c(CC(NC)=O)nc(-c2ccccc2)o1</t>
  </si>
  <si>
    <t>Z240179570</t>
  </si>
  <si>
    <t>DLS-EU0879</t>
  </si>
  <si>
    <t>OC(CCCC1)C1NC(Nc1ccccc1)=O</t>
  </si>
  <si>
    <t>CSC007980306</t>
  </si>
  <si>
    <t>DLS-EU0880</t>
  </si>
  <si>
    <t>Cc(cccc1)c1NC(NCc1cocc1)=O</t>
  </si>
  <si>
    <t>Z432713894</t>
  </si>
  <si>
    <t>DLS-EU0881</t>
  </si>
  <si>
    <t>CN(C(C(CC1)C(N)=O)c2ccccc2)C1=O</t>
  </si>
  <si>
    <t>EN300-75948</t>
  </si>
  <si>
    <t>DLS-EU0882</t>
  </si>
  <si>
    <t>CC(C)(C(N1Cc(cc2)ccc2F)=O)NC1=O</t>
  </si>
  <si>
    <t>Z14479386</t>
  </si>
  <si>
    <t>DLS-EU0883</t>
  </si>
  <si>
    <t>Oc(ccc(Cl)c1)c1NC(C1CCNCC1)=O</t>
  </si>
  <si>
    <t>EN300-117503</t>
  </si>
  <si>
    <t>DLS-EU0884</t>
  </si>
  <si>
    <t>CC(Nc1nc(-c(cccc2)c2OC)cs1)=O</t>
  </si>
  <si>
    <t>Z276543220</t>
  </si>
  <si>
    <t>DLS-EU0885</t>
  </si>
  <si>
    <t>CC(c(cc1)ccc1N(CCC1)S1(=O)=O)NC</t>
  </si>
  <si>
    <t>EN300-152496</t>
  </si>
  <si>
    <t>DLS-EU0886</t>
  </si>
  <si>
    <t>N#Cc1cccc(C(NC2CCCCC2)=O)c1</t>
  </si>
  <si>
    <t>Z31484941</t>
  </si>
  <si>
    <t>DLS-EU0887</t>
  </si>
  <si>
    <t>CC(C)CNC(c1c(C)[nH]c2c1cccc2)=O</t>
  </si>
  <si>
    <t>Z118763564</t>
  </si>
  <si>
    <t>DLS-EU0888</t>
  </si>
  <si>
    <t>N#Cc(cccc1)c1NC(c1ccccc1)=O</t>
  </si>
  <si>
    <t>AE-641/02304054</t>
  </si>
  <si>
    <t>DLS-EU0889</t>
  </si>
  <si>
    <t>NC(CCN1c2c(C(F)(F)F)cccc2)C1=O</t>
  </si>
  <si>
    <t>EN300-140459</t>
  </si>
  <si>
    <t>DLS-EU0890</t>
  </si>
  <si>
    <t>CC(N1)=CC=C(C(NCc2ccco2)=O)C1=O</t>
  </si>
  <si>
    <t>Z594962710</t>
  </si>
  <si>
    <t>DLS-EU0891</t>
  </si>
  <si>
    <t>CNC(C(CCCC1)N1C(c1cocc1)=O)=O</t>
  </si>
  <si>
    <t>Z367282026</t>
  </si>
  <si>
    <t>DLS-EU0892</t>
  </si>
  <si>
    <t>CNC(CCN(C(C1C2CCCC1)=O)C2=O)=O</t>
  </si>
  <si>
    <t>Z30272658</t>
  </si>
  <si>
    <t>DLS-EU0893</t>
  </si>
  <si>
    <t>CCOc(cc(CC(C)O1)c1c1)c1NC(C)=O</t>
  </si>
  <si>
    <t>Z167605168</t>
  </si>
  <si>
    <t>DLS-EU0894</t>
  </si>
  <si>
    <t>COc(cc(cc1)F)c1NC(C1OCCC1)=O</t>
  </si>
  <si>
    <t>Z343517740</t>
  </si>
  <si>
    <t>DLS-EU0895</t>
  </si>
  <si>
    <t>COc(cccc1)c1S(NC1CCCC1)(=O)=O</t>
  </si>
  <si>
    <t>Z45537422</t>
  </si>
  <si>
    <t>DLS-EU0896</t>
  </si>
  <si>
    <t>N#Cc1cccnc1NCc(cc1)ccc1F</t>
  </si>
  <si>
    <t>Z31255873</t>
  </si>
  <si>
    <t>DLS-EU0897</t>
  </si>
  <si>
    <t>CCNC(CC(c1c2cccc1)=NNC2=O)=O</t>
  </si>
  <si>
    <t>Z30280484</t>
  </si>
  <si>
    <t>DLS-EU0898</t>
  </si>
  <si>
    <t>Cc(cc1)ccc1NC(C(C=C1)=NNC1=O)=O</t>
  </si>
  <si>
    <t>Z28133266</t>
  </si>
  <si>
    <t>DLS-EU0899</t>
  </si>
  <si>
    <t>CC(c1c(C)n(C)nc1)NC(c1ccco1)=O</t>
  </si>
  <si>
    <t>Z372631974</t>
  </si>
  <si>
    <t>DLS-EU0900</t>
  </si>
  <si>
    <t>C[C@@H](C(N(CC1)c2c1cccc2)=O)NC(N)=O</t>
  </si>
  <si>
    <t>Z57044970</t>
  </si>
  <si>
    <t>DLS-EU0901</t>
  </si>
  <si>
    <t>CCOc(nccc1)c1NC(N1CCCC1)=O</t>
  </si>
  <si>
    <t>Z434674024</t>
  </si>
  <si>
    <t>DLS-EU0902</t>
  </si>
  <si>
    <t>CNC(NCc1cc(-c2ccccc2)no1)=O</t>
  </si>
  <si>
    <t>Z513564206</t>
  </si>
  <si>
    <t>DLS-EU0903</t>
  </si>
  <si>
    <t>NC(N(Cc1ccccc1)C(NC1=O)=O)=C1Br</t>
  </si>
  <si>
    <t>AB-323/13887045</t>
  </si>
  <si>
    <t>DLS-EU0904</t>
  </si>
  <si>
    <t>NC1CCN(CC(Nc2ccccc2)=O)CC1</t>
  </si>
  <si>
    <t>EN300-26549</t>
  </si>
  <si>
    <t>DLS-EU0905</t>
  </si>
  <si>
    <t>O=C(c1nccnc1)NCc(cccc1)c1Cl</t>
  </si>
  <si>
    <t>Z30828771</t>
  </si>
  <si>
    <t>DLS-EU0907</t>
  </si>
  <si>
    <t>CC(C)(CN(C)C(Nc1cccc(Cl)c1)=O)O</t>
  </si>
  <si>
    <t>Z1310765784</t>
  </si>
  <si>
    <t>DLS-EU0908</t>
  </si>
  <si>
    <t>CC(C)NC(Nc1cc(NC(C)=O)ccc1)=O</t>
  </si>
  <si>
    <t>CSC000672820</t>
  </si>
  <si>
    <t>DLS-EU0909</t>
  </si>
  <si>
    <t>CN(C)C(CNC(Nc(cccc1)c1F)=O)=O</t>
  </si>
  <si>
    <t>Z68575142</t>
  </si>
  <si>
    <t>DLS-EU0910</t>
  </si>
  <si>
    <t>CCCN(CC1)CCC11NCCc2c1[nH]cn2</t>
  </si>
  <si>
    <t>STK801596</t>
  </si>
  <si>
    <t>DLS-EU0911</t>
  </si>
  <si>
    <t>O=C(c1cc(cccc2)c2o1)N1CCNCC1</t>
  </si>
  <si>
    <t>EN300-7463464</t>
  </si>
  <si>
    <t>DLS-EU0912</t>
  </si>
  <si>
    <t>CN(CC1)CCC1(Nc1c2cccc1)NC2=O</t>
  </si>
  <si>
    <t>Z48978338</t>
  </si>
  <si>
    <t>DLS-EU0913</t>
  </si>
  <si>
    <t>CNC(N(CCC1)C1c1nc(cccc2)c2[nH]1)=O</t>
  </si>
  <si>
    <t>Z199474652</t>
  </si>
  <si>
    <t>DLS-EU0914</t>
  </si>
  <si>
    <t>Cc1nc(C(NC(CC2)Cn3c2ncc3)=O)cs1</t>
  </si>
  <si>
    <t>Z979050034</t>
  </si>
  <si>
    <t>DLS-EU0915</t>
  </si>
  <si>
    <t>NC(CN(c1c(c2ccc3)c3ccc1)S2(=O)=O)=O</t>
  </si>
  <si>
    <t>STK743303</t>
  </si>
  <si>
    <t>DLS-EU0916</t>
  </si>
  <si>
    <t>Oc1c(CNc2nc(cccc3)c3[nH]2)cccc1</t>
  </si>
  <si>
    <t>STK003904</t>
  </si>
  <si>
    <t>DLS-EU0917</t>
  </si>
  <si>
    <t>CNC(CSc1c(c(CCC2)c2s2)c2ncn1)=O</t>
  </si>
  <si>
    <t>Z20227856</t>
  </si>
  <si>
    <t>DLS-EU0918</t>
  </si>
  <si>
    <t>CNC(NC(CSc1nc(cccc2)c2[nH]1)=O)=O</t>
  </si>
  <si>
    <t>Z19650078</t>
  </si>
  <si>
    <t>DLS-EU0919</t>
  </si>
  <si>
    <t>CN(Cc1cn(C)nc1)C(Nc1ccccc1)=O</t>
  </si>
  <si>
    <t>Z68572517</t>
  </si>
  <si>
    <t>DLS-EU0920</t>
  </si>
  <si>
    <t>CC(C)(c1ccccc1)NC(C(C1)CNC1=O)=O</t>
  </si>
  <si>
    <t>Z917426634</t>
  </si>
  <si>
    <t>DLS-EU0921</t>
  </si>
  <si>
    <t>CCC(C)NC(C(N1)=Cc(cccc2)c2C1=O)=O</t>
  </si>
  <si>
    <t>Z79365578</t>
  </si>
  <si>
    <t>DLS-EU0922</t>
  </si>
  <si>
    <t>NC(c1cccc(NC(c2ccccc2)=O)c1)=O</t>
  </si>
  <si>
    <t>STK093939</t>
  </si>
  <si>
    <t>DLS-EU0923</t>
  </si>
  <si>
    <t>Cc(cccc1)c1C(NC(CCCCN1)C1=O)=O</t>
  </si>
  <si>
    <t>Z403316540</t>
  </si>
  <si>
    <t>DLS-EU0924</t>
  </si>
  <si>
    <t>CN(C)C(CC1Sc(ccc(Cl)c2)c2NC1=O)=O</t>
  </si>
  <si>
    <t>Z199580052</t>
  </si>
  <si>
    <t>DLS-EU0925</t>
  </si>
  <si>
    <t>O=S(c1cc(F)ccc1)(NCc1cnccc1)=O</t>
  </si>
  <si>
    <t>STL429483</t>
  </si>
  <si>
    <t>DLS-EU0926</t>
  </si>
  <si>
    <t>Cc1noc(C)c1C(NCc(cc1)ccc1F)=O</t>
  </si>
  <si>
    <t>STK489362</t>
  </si>
  <si>
    <t>DLS-EU0927</t>
  </si>
  <si>
    <t>COc(ccc(Cl)c1)c1NC(c1cnccc1)=O</t>
  </si>
  <si>
    <t>Z28184190</t>
  </si>
  <si>
    <t>DLS-EU0928</t>
  </si>
  <si>
    <t>Nc(cc1)cc(NC(Cc2ccccc2)=O)c1F</t>
  </si>
  <si>
    <t>EN300-44240</t>
  </si>
  <si>
    <t>DLS-EU0929</t>
  </si>
  <si>
    <t>CCN([C@@H]([C@@H](C(N)=O)OC1)c2ccccc2)C1=O</t>
  </si>
  <si>
    <t>EN300-1703936</t>
  </si>
  <si>
    <t>DLS-EU0930</t>
  </si>
  <si>
    <t>CCCC(Nc(cc1)cc(N2)c1OC(C)C2=O)=O</t>
  </si>
  <si>
    <t>Z110096024</t>
  </si>
  <si>
    <t>DLS-EU0931</t>
  </si>
  <si>
    <t>CCNC(NC(C1)COc2c1cccc2OC)=O</t>
  </si>
  <si>
    <t>Z1100795129</t>
  </si>
  <si>
    <t>DLS-EU0932</t>
  </si>
  <si>
    <t>Cc1noc(C)c1C(Nc(cc1)ccc1OC)=O</t>
  </si>
  <si>
    <t>Z28137965</t>
  </si>
  <si>
    <t>DLS-EU0933</t>
  </si>
  <si>
    <t>Cc1noc(C)c1S(NCc1ccccc1)(=O)=O</t>
  </si>
  <si>
    <t>Z45508886</t>
  </si>
  <si>
    <t>DLS-EU0934</t>
  </si>
  <si>
    <t>COc(cc1)ccc1C(Nc(cccc1)c1O)=O</t>
  </si>
  <si>
    <t>STL196847</t>
  </si>
  <si>
    <t>DLS-EU0935</t>
  </si>
  <si>
    <t>CC(C)NC(Cc1cc(Cl)c2OCCOc2c1)=O</t>
  </si>
  <si>
    <t>Z192601302</t>
  </si>
  <si>
    <t>DLS-EU0936</t>
  </si>
  <si>
    <t>Cc1cc(NC(C(CC2)CS2(=O)=O)=O)c(C)cc1</t>
  </si>
  <si>
    <t>Z108613618</t>
  </si>
  <si>
    <t>DLS-EU0937</t>
  </si>
  <si>
    <t>Cc1ccc(C(N(CC2)CC2(C(F)(F)F)O)=O)o1</t>
  </si>
  <si>
    <t>Z1255532280</t>
  </si>
  <si>
    <t>DLS-EU0938</t>
  </si>
  <si>
    <t>CC(C1)N(C(CNC)=O)c(cccc2)c2NC1=O</t>
  </si>
  <si>
    <t>EN300-30627</t>
  </si>
  <si>
    <t>DLS-EU0939</t>
  </si>
  <si>
    <t>CC(c1nc(cccc2)c2[nH]1)NC(C(C)(C)C)=O</t>
  </si>
  <si>
    <t>STL356914</t>
  </si>
  <si>
    <t>DLS-EU0940</t>
  </si>
  <si>
    <t>CC(c1ccccc1)NC(Nc1cnccc1)=O</t>
  </si>
  <si>
    <t>Z166701988</t>
  </si>
  <si>
    <t>DLS-EU0941</t>
  </si>
  <si>
    <t>Cc(cc1)ccc1NC(NCC1CNCCC1)=O</t>
  </si>
  <si>
    <t>EN300-65140</t>
  </si>
  <si>
    <t>DLS-EU0942</t>
  </si>
  <si>
    <t>CC(c1c(C)nc(C)s1)NC(c1cnccc1)=O</t>
  </si>
  <si>
    <t>Z740611826</t>
  </si>
  <si>
    <t>DLS-EU0943</t>
  </si>
  <si>
    <t>CC(C)(C)n(c(C)c1)nc1C(N(CCN1)CC1=O)=O</t>
  </si>
  <si>
    <t>Z460798392</t>
  </si>
  <si>
    <t>DLS-EU0944</t>
  </si>
  <si>
    <t>Cc1nc(CN(C)C(Nc(cc2)ccc2F)=O)no1</t>
  </si>
  <si>
    <t>Z1623142270</t>
  </si>
  <si>
    <t>DLS-EU0945</t>
  </si>
  <si>
    <t>C[C@H](c1cccc(Cl)c1)NC(Nc1cn(C)nc1)=O</t>
  </si>
  <si>
    <t>PB1849136999</t>
  </si>
  <si>
    <t>DLS-EU0946</t>
  </si>
  <si>
    <t>CCC(C)(C)NC(C(C1)c(cccc2)c2NC1=O)=O</t>
  </si>
  <si>
    <t>Z228006668</t>
  </si>
  <si>
    <t>DLS-EU0947</t>
  </si>
  <si>
    <t>CC1OC(C)CN(CC(Nc2c(C)cccc2)=O)C1</t>
  </si>
  <si>
    <t>Z46163694</t>
  </si>
  <si>
    <t>DLS-EU0948</t>
  </si>
  <si>
    <t>CCN(CC)C(NC1c(cccc2)c2OCCC1)=O</t>
  </si>
  <si>
    <t>Z988361798</t>
  </si>
  <si>
    <t>DLS-EU0949</t>
  </si>
  <si>
    <t>Cc(cc(cc1)S(N2C(CNC)CCC2)(=O)=O)c1F</t>
  </si>
  <si>
    <t>Z1491343714</t>
  </si>
  <si>
    <t>DLS-EU0950</t>
  </si>
  <si>
    <t>N#Cc1cccc(C(NCc(cc2)ccc2F)=O)c1</t>
  </si>
  <si>
    <t>Z26778443</t>
  </si>
  <si>
    <t>DLS-EU0951</t>
  </si>
  <si>
    <t>CN(Cc(cccc1)c1O)C(c(cccn1)c1O)=O</t>
  </si>
  <si>
    <t>Z667111730</t>
  </si>
  <si>
    <t>DLS-EU0952</t>
  </si>
  <si>
    <t>CC(Nc1cccc(NC(c2ccc(C)o2)=O)c1)=O</t>
  </si>
  <si>
    <t>STK462450</t>
  </si>
  <si>
    <t>DLS-EU0953</t>
  </si>
  <si>
    <t>COC(CC1)CCN1C(Nc(cccc1)c1OC)=O</t>
  </si>
  <si>
    <t>Z208356564</t>
  </si>
  <si>
    <t>DLS-EU0954</t>
  </si>
  <si>
    <t>O=C(NCc(cc1)ccc1F)NC(CC1)CS1(=O)=O</t>
  </si>
  <si>
    <t>Z211773760</t>
  </si>
  <si>
    <t>DLS-EU0955</t>
  </si>
  <si>
    <t>CC(C)NS(c(cc1)cc(CC2)c1N2C(C)=O)(=O)=O</t>
  </si>
  <si>
    <t>STL284304</t>
  </si>
  <si>
    <t>DLS-EU0956</t>
  </si>
  <si>
    <t>CCC(C)NS(c(cc1)cc(CC2)c1NC2=O)(=O)=O</t>
  </si>
  <si>
    <t>PB89397814</t>
  </si>
  <si>
    <t>DLS-EU0957</t>
  </si>
  <si>
    <t>CC(C)NC(C1(CCOCC1)c1cccc(F)c1)=O</t>
  </si>
  <si>
    <t>Z816107396</t>
  </si>
  <si>
    <t>DLS-EU0958</t>
  </si>
  <si>
    <t>CC(C)(C)C(NC(CC1)c(cccc2)c2S1(=O)=O)=O</t>
  </si>
  <si>
    <t>Z256917238</t>
  </si>
  <si>
    <t>DLS-EU0959</t>
  </si>
  <si>
    <t>CN(C=CC=C1NC(Nc(cc2)ccc2O)=O)C1=O</t>
  </si>
  <si>
    <t>Z1736604484</t>
  </si>
  <si>
    <t>DLS-EU0961</t>
  </si>
  <si>
    <t>Cn1c(C(N)=O)cc(S(N2CCCCCC2)(=O)=O)c1</t>
  </si>
  <si>
    <t>Z319547610</t>
  </si>
  <si>
    <t>DLS-EU0962</t>
  </si>
  <si>
    <t>Cc1c(C2NCCOC2)c(C)nn1-c1ccccc1</t>
  </si>
  <si>
    <t>Z2696922041</t>
  </si>
  <si>
    <t>DLS-EU0963</t>
  </si>
  <si>
    <t>O=C(C(C1)c(cccc2)c2NC1=O)NCC1COCC1</t>
  </si>
  <si>
    <t>Z394177006</t>
  </si>
  <si>
    <t>DLS-EU0964</t>
  </si>
  <si>
    <t>CCc(cccc1)c1NC(C(CC1)CCN1C(C)=O)=O</t>
  </si>
  <si>
    <t>Z29648940</t>
  </si>
  <si>
    <t>DLS-EU0965</t>
  </si>
  <si>
    <t>CC(C)CC(NC(C1=O)=C(C)N(C)N1c1ccccc1)=O</t>
  </si>
  <si>
    <t>AK-968/12685061</t>
  </si>
  <si>
    <t>DLS-EU0966</t>
  </si>
  <si>
    <t>CN(C(c(cc1)c2cc1C(NCc1ccccc1)=O)=O)C2=O</t>
  </si>
  <si>
    <t>STK224352</t>
  </si>
  <si>
    <t>DLS-X0039</t>
  </si>
  <si>
    <t>CN(CC1=CC=C(C)O1)CC=2C=CC=CC2</t>
  </si>
  <si>
    <t>Z2856434896</t>
  </si>
  <si>
    <t>DLS-X0040</t>
  </si>
  <si>
    <t>ClC=1C=CC=C(NC(=O)CN2CCCC2)C1</t>
  </si>
  <si>
    <t>Z2735692823</t>
  </si>
  <si>
    <t>DLS-X0041</t>
  </si>
  <si>
    <t>FC=1C=CC=C(CNCC2=CC=CO2)C1</t>
  </si>
  <si>
    <t>Z2737076969</t>
  </si>
  <si>
    <t>DLS-X0042</t>
  </si>
  <si>
    <t>CC=1C=CC(CC(=O)NC[C@@H]2CCCO2)=CC1</t>
  </si>
  <si>
    <t>Z2064898339</t>
  </si>
  <si>
    <t>DLS-X0043</t>
  </si>
  <si>
    <t>FC=1C=CC=C(NC(=O)COC=2C=CC=CC2)C1</t>
  </si>
  <si>
    <t>Z19735192</t>
  </si>
  <si>
    <t>DLS-X0044</t>
  </si>
  <si>
    <t>CCN1C=C(NC(=O)C2CCC2)C=N1</t>
  </si>
  <si>
    <t>Z373768900</t>
  </si>
  <si>
    <t>DLS-X0045</t>
  </si>
  <si>
    <t>CN1CCN(CC1)C(=O)COC=2C=CC(C)=CC2</t>
  </si>
  <si>
    <t>Z2856434836</t>
  </si>
  <si>
    <t>DLS-X0046</t>
  </si>
  <si>
    <t>CC(NC(=O)C=1C=CC=C(C)N1)C2CC2</t>
  </si>
  <si>
    <t>Z287256168</t>
  </si>
  <si>
    <t>DLS-X0047</t>
  </si>
  <si>
    <t>CC1=CSC(CNC(=O)C=2C=CNN2)=N1</t>
  </si>
  <si>
    <t>Z466628048</t>
  </si>
  <si>
    <t>DLS-X0048</t>
  </si>
  <si>
    <t>CCOC=1C=CC(=CC1)C(=O)NC=2C=C(C)ON2</t>
  </si>
  <si>
    <t>Z86948938</t>
  </si>
  <si>
    <t>DLS-X0049</t>
  </si>
  <si>
    <t>CC1=NOC(C)=C1C(=O)NCCC2=CCCCC2</t>
  </si>
  <si>
    <t>Z69092635</t>
  </si>
  <si>
    <t>DLS-X0050</t>
  </si>
  <si>
    <t>C(NC1=NC=2C=CC=CC2N1)C3=CC=CO3</t>
  </si>
  <si>
    <t>Z57299526</t>
  </si>
  <si>
    <t>DLS-X0051</t>
  </si>
  <si>
    <t>CCC=1C=CC=CC1NC(=O)C=2SN=NC2C</t>
  </si>
  <si>
    <t>Z89385775</t>
  </si>
  <si>
    <t>DLS-X0052</t>
  </si>
  <si>
    <t>C(NCC=1C=CN=CC1)C2=CC=CS2</t>
  </si>
  <si>
    <t>Z2856434816</t>
  </si>
  <si>
    <t>DLS-X0053</t>
  </si>
  <si>
    <t>CC=1C=CC(NC(=O)C2CCCO2)=NC1</t>
  </si>
  <si>
    <t>Z71580604</t>
  </si>
  <si>
    <t>DLS-X0054</t>
  </si>
  <si>
    <t>O=C(NC1=NC=CS1)[C@@H]2C[C@H]2C=3C=CC=CC3</t>
  </si>
  <si>
    <t>Z2064107709</t>
  </si>
  <si>
    <t>DLS-X0055</t>
  </si>
  <si>
    <t>COC=1C=CC=2N=C(NC(=O)C3CC3)SC2C1</t>
  </si>
  <si>
    <t>Z27678561</t>
  </si>
  <si>
    <t>DLS-X0056</t>
  </si>
  <si>
    <t>CCC1=CC=C(S1)C(=O)NCC=2C=NN(C)C2</t>
  </si>
  <si>
    <t>Z804566442</t>
  </si>
  <si>
    <t>DLS-X0057</t>
  </si>
  <si>
    <t>CC(=O)C=1C=CC(NC(=O)CN2CCCC2)=CC1</t>
  </si>
  <si>
    <t>Z2856434916</t>
  </si>
  <si>
    <t>DLS-X0058</t>
  </si>
  <si>
    <t>CC=1C=CC(CNC(=O)CC2=CC=CS2)=CC1</t>
  </si>
  <si>
    <t>Z28429411</t>
  </si>
  <si>
    <t>DLS-X0059</t>
  </si>
  <si>
    <t>CC1=CSC(NC(=O)NC=2C=CC=C(C)C2)=N1</t>
  </si>
  <si>
    <t>Z44602971</t>
  </si>
  <si>
    <t>DLS-X0060</t>
  </si>
  <si>
    <t>ClC=1C=CC=C(C1)C(=O)NC=2C=CON2</t>
  </si>
  <si>
    <t>Z86622311</t>
  </si>
  <si>
    <t>DLS-X0061</t>
  </si>
  <si>
    <t>COC=1C=CC=C(C1)C(=O)NC=2C=CC=CC2F</t>
  </si>
  <si>
    <t>Z28290384</t>
  </si>
  <si>
    <t>DLS-X0062</t>
  </si>
  <si>
    <t>CC1COCCN1CC=2C=CC=CC2F</t>
  </si>
  <si>
    <t>Z369042042</t>
  </si>
  <si>
    <t>DLS-X0063</t>
  </si>
  <si>
    <t>COC=1C=CC(NCC=2C=CC(F)=CC2)=CC1</t>
  </si>
  <si>
    <t>Z57328997</t>
  </si>
  <si>
    <t>DLS-X0064</t>
  </si>
  <si>
    <t>OC=1C=CC=C(CN2CCSCC2)C1</t>
  </si>
  <si>
    <t>Z2856434857</t>
  </si>
  <si>
    <t>DLS-X0065</t>
  </si>
  <si>
    <t>O=C(NC=1C=CC=NC1)C=2C=NN3C=CC=NC23</t>
  </si>
  <si>
    <t>Z296054478</t>
  </si>
  <si>
    <t>DLS-X0066</t>
  </si>
  <si>
    <t>CCN1C=C(C=N1)C(=O)NCC=2C=CC(F)=CC2</t>
  </si>
  <si>
    <t>Z1203107138</t>
  </si>
  <si>
    <t>DLS-X0067</t>
  </si>
  <si>
    <t>CCC1CCC(CC1)NC[C@H]2CCCO2</t>
  </si>
  <si>
    <t>Z2856434866</t>
  </si>
  <si>
    <t>DLS-X0068</t>
  </si>
  <si>
    <t>O=C(N1CCCCCC1)C=2C=CC=3OCOC3C2</t>
  </si>
  <si>
    <t>Z31432226</t>
  </si>
  <si>
    <t>DLS-X0069</t>
  </si>
  <si>
    <t>CC1CCN(CC2=CNC=3C=CC=CC23)CC1</t>
  </si>
  <si>
    <t>Z2856434912</t>
  </si>
  <si>
    <t>DLS-X0070</t>
  </si>
  <si>
    <t>O=C(NCCC1=CC=CS1)C2CCCCC2</t>
  </si>
  <si>
    <t>Z29191465</t>
  </si>
  <si>
    <t>DLS-X0071</t>
  </si>
  <si>
    <t>CC(C)(C)C1CCN(CC1)C(=O)C=2C=CC=CC2</t>
  </si>
  <si>
    <t>Z1217741507</t>
  </si>
  <si>
    <t>DLS-X0072</t>
  </si>
  <si>
    <t>CC=1C=CC=CC1OCC(=O)NC=2C=CC=CC2</t>
  </si>
  <si>
    <t>Z19733979</t>
  </si>
  <si>
    <t>DLS-X0073</t>
  </si>
  <si>
    <t>O=C(NCCN1CCCC1=O)NC=2C=CC=CC2</t>
  </si>
  <si>
    <t>Z2472938267</t>
  </si>
  <si>
    <t>DLS-X0074</t>
  </si>
  <si>
    <t>ClC=1C=CC(CC(=O)NC=2N=CC=CN2)=CC1</t>
  </si>
  <si>
    <t>Z203581214</t>
  </si>
  <si>
    <t>DLS-X0075</t>
  </si>
  <si>
    <t>FC=1C=CC(CC(=O)NC2CCCCC2)=CC1</t>
  </si>
  <si>
    <t>Z31484539</t>
  </si>
  <si>
    <t>DLS-X0076</t>
  </si>
  <si>
    <t>C(N1CCOCC1)C2=NC(=NO2)C3CC3</t>
  </si>
  <si>
    <t>Z295848548</t>
  </si>
  <si>
    <t>DLS-X0077</t>
  </si>
  <si>
    <t>CC1=CC(NC(=O)CCC2CCCCC2)=NO1</t>
  </si>
  <si>
    <t>Z86949053</t>
  </si>
  <si>
    <t>DLS-X0078</t>
  </si>
  <si>
    <t>OC=1C=CC(CN2CCC=3C=CC=CC3C2)=CC1</t>
  </si>
  <si>
    <t>Z2856434812</t>
  </si>
  <si>
    <t>DLS-X0079</t>
  </si>
  <si>
    <t>CN1C=CC(NCC=2C=CC=CC2)=N1</t>
  </si>
  <si>
    <t>Z1401333862</t>
  </si>
  <si>
    <t>DLS-X0080</t>
  </si>
  <si>
    <t>CC1=CC(=NS1)C(=O)NCC2CCCO2</t>
  </si>
  <si>
    <t>Z1881545321</t>
  </si>
  <si>
    <t>DLS-X0081</t>
  </si>
  <si>
    <t>CC=1C=CC(CN2CCS(=O)(=O)CC2)=CC1</t>
  </si>
  <si>
    <t>Z2856434929</t>
  </si>
  <si>
    <t>DLS-X0082</t>
  </si>
  <si>
    <t>OC1CCN(CC=2C=CSC2)CC1</t>
  </si>
  <si>
    <t>Z2856434899</t>
  </si>
  <si>
    <t>DLS-X0083</t>
  </si>
  <si>
    <t>CC=1C=C(ON1)C(=O)NC=2C=CN(C)N2</t>
  </si>
  <si>
    <t>Z240297434</t>
  </si>
  <si>
    <t>DLS-X0084</t>
  </si>
  <si>
    <t>OC=1C=CC=CC1CNC2=NC=3C=CC=CC3N2</t>
  </si>
  <si>
    <t>Z1587220559</t>
  </si>
  <si>
    <t>DLS-X0085</t>
  </si>
  <si>
    <t>CC=1NC=NC1CN2CCC=3C=CC=CC3C2</t>
  </si>
  <si>
    <t>Z2856434879</t>
  </si>
  <si>
    <t>DLS-X0086</t>
  </si>
  <si>
    <t>O=C(NCC1CC1)NC=2C=CC=3OCCC3C2</t>
  </si>
  <si>
    <t>Z413792090</t>
  </si>
  <si>
    <t>DLS-X0087</t>
  </si>
  <si>
    <t>CCOC(=O)C1CCN(CC1)C=2C=NC=CN2</t>
  </si>
  <si>
    <t>Z31217395</t>
  </si>
  <si>
    <t>DLS-X0088</t>
  </si>
  <si>
    <t>CC1=NC=C(CN2CCNCC2)S1</t>
  </si>
  <si>
    <t>Z1171217421</t>
  </si>
  <si>
    <t>DLS-X0089</t>
  </si>
  <si>
    <t>CC1=NN=C(CN2CCC=C(F)C2)S1</t>
  </si>
  <si>
    <t>Z1619978933</t>
  </si>
  <si>
    <t>DLS-X0090</t>
  </si>
  <si>
    <t>CN(C1CC(O)C1)C=2C=C(C)N=C(C)N2</t>
  </si>
  <si>
    <t>Z1675346324</t>
  </si>
  <si>
    <t>DLS-X0092</t>
  </si>
  <si>
    <t>C(CN1CCOCC1)SC=2C=CC=CC2</t>
  </si>
  <si>
    <t>Z2856434865</t>
  </si>
  <si>
    <t>DLS-X0093</t>
  </si>
  <si>
    <t>CC1=NN=C(S1)N2CCCCC2</t>
  </si>
  <si>
    <t>Z1251207602</t>
  </si>
  <si>
    <t>DLS-X0094</t>
  </si>
  <si>
    <t>COC=1C=CC(CNC2CCCC2)=CC1</t>
  </si>
  <si>
    <t>Z2856434940</t>
  </si>
  <si>
    <t>DLS-X0095</t>
  </si>
  <si>
    <t>CCOC=1C=CC(=CC1)C(=O)NC=2C=CC=CC2</t>
  </si>
  <si>
    <t>Z27782760</t>
  </si>
  <si>
    <t>DLS-X0096</t>
  </si>
  <si>
    <t>CC1CN(C)CCC1NC=2C=NN(C)C2</t>
  </si>
  <si>
    <t>Z1694504496</t>
  </si>
  <si>
    <t>DLS-X0097</t>
  </si>
  <si>
    <t>CC=1OC=CC1C(=O)NC=2C=C(ON2)C(C)(C)C</t>
  </si>
  <si>
    <t>Z1086293874</t>
  </si>
  <si>
    <t>DLS-X0098</t>
  </si>
  <si>
    <t>CCCC1=NN=C(NC(=O)C=2C=CC=CN2)S1</t>
  </si>
  <si>
    <t>Z52425517</t>
  </si>
  <si>
    <t>DLS-X0099</t>
  </si>
  <si>
    <t>CC1=NC=C(CNC=2C=NC=C(F)C2)S1</t>
  </si>
  <si>
    <t>Z1983897532</t>
  </si>
  <si>
    <t>DLS-X0100</t>
  </si>
  <si>
    <t>CC=1C=CC(OCC(=O)N2CCOCC2)=C(C)C1</t>
  </si>
  <si>
    <t>Z17497990</t>
  </si>
  <si>
    <t>DLS-X0101</t>
  </si>
  <si>
    <t>CN1C=C(Cl)C(=N1)C(=O)NC2CCCC2</t>
  </si>
  <si>
    <t>Z275151340</t>
  </si>
  <si>
    <t>DLS-X0102</t>
  </si>
  <si>
    <t>CC1=CC(=NO1)C(=O)NCC2=CC=CS2</t>
  </si>
  <si>
    <t>Z29692148</t>
  </si>
  <si>
    <t>DLS-X0103</t>
  </si>
  <si>
    <t>CC1=C(C=NN1C)C(=O)NCC2CCC2</t>
  </si>
  <si>
    <t>Z396380540</t>
  </si>
  <si>
    <t>DLS-X0105</t>
  </si>
  <si>
    <t>CCN1CCN(CC1)C(=O)NC2CCCCC2</t>
  </si>
  <si>
    <t>Z2856434830</t>
  </si>
  <si>
    <t>DLS-X0106</t>
  </si>
  <si>
    <t>CC1CN(CCO1)C(=O)CN2C=CC=N2</t>
  </si>
  <si>
    <t>Z217038356</t>
  </si>
  <si>
    <t>DLS-X0107</t>
  </si>
  <si>
    <t>COC(=O)C=1C=CC(NC(=O)C2CCCC2)=CC1</t>
  </si>
  <si>
    <t>Z28226359</t>
  </si>
  <si>
    <t>DLS-X0108</t>
  </si>
  <si>
    <t>O=S1(=O)CCN(CC2=CC=CO2)CC1</t>
  </si>
  <si>
    <t>Z2856434926</t>
  </si>
  <si>
    <t>DLS-X0110</t>
  </si>
  <si>
    <t>CC=1C=CC=CC1OCC(=O)NC=2N=CC=CN2</t>
  </si>
  <si>
    <t>Z53834613</t>
  </si>
  <si>
    <t>DLS-X0111</t>
  </si>
  <si>
    <t>FC=1C=CC(CNC[C@H]2CCCO2)=CC1</t>
  </si>
  <si>
    <t>Z2856434824</t>
  </si>
  <si>
    <t>DLS-X0112</t>
  </si>
  <si>
    <t>CC1=CSC(NC(=O)C2CCOCC2)=N1</t>
  </si>
  <si>
    <t>Z73240835</t>
  </si>
  <si>
    <t>DLS-X0113</t>
  </si>
  <si>
    <t>CC=1C=CC=C(NC(=O)CN2CCOCC2)C1C</t>
  </si>
  <si>
    <t>Z2856434834</t>
  </si>
  <si>
    <t>DLS-X0114</t>
  </si>
  <si>
    <t>CC=1C=CC=C(NC(=O)[C@@H]2CCCN2)N1</t>
  </si>
  <si>
    <t>Z1267881672</t>
  </si>
  <si>
    <t>DLS-X0115</t>
  </si>
  <si>
    <t>N#CC=1C=CC(=CN1)N2CCCOCC2</t>
  </si>
  <si>
    <t>Z1348371854</t>
  </si>
  <si>
    <t>DLS-X0116</t>
  </si>
  <si>
    <t>CC=1C(Cl)=CC=CC1NC(=O)[C@@H]2CCCO2</t>
  </si>
  <si>
    <t>Z1545312521</t>
  </si>
  <si>
    <t>DLS-X0117</t>
  </si>
  <si>
    <t>CC=1OC=CC1C(=O)NC=2C=CN=CC2</t>
  </si>
  <si>
    <t>Z136583524</t>
  </si>
  <si>
    <t>DLS-X0118</t>
  </si>
  <si>
    <t>CC(=O)NC=1C=CC(NC(=O)[C@H]2CC2(C)C)=CC1</t>
  </si>
  <si>
    <t>Z1505719304</t>
  </si>
  <si>
    <t>DLS-X0119</t>
  </si>
  <si>
    <t>C1CC2(CCN(C2)C=3C=NC=CN3)CO1</t>
  </si>
  <si>
    <t>Z1401276297</t>
  </si>
  <si>
    <t>DLS-X0120</t>
  </si>
  <si>
    <t>FC=1C=CC=CC1C(=O)NCCC=2C=CN=CC2</t>
  </si>
  <si>
    <t>Z1310876699</t>
  </si>
  <si>
    <t>DLS-X0121</t>
  </si>
  <si>
    <t>CC(C)(C)CC(=O)NC=1C=CC(F)=CC1F</t>
  </si>
  <si>
    <t>Z30802768</t>
  </si>
  <si>
    <t>DLS-X0122</t>
  </si>
  <si>
    <t>OC=1C=CC(NC(=O)CCC=2C=CC=CC2)=CC1</t>
  </si>
  <si>
    <t>Z69118333</t>
  </si>
  <si>
    <t>DLS-X0123</t>
  </si>
  <si>
    <t>CC1CCOC1C(=O)NC2=CN=NS2</t>
  </si>
  <si>
    <t>Z1827602749</t>
  </si>
  <si>
    <t>DLS-X0124</t>
  </si>
  <si>
    <t>C(N1CCC(CC1)N2C=CC=C2)C=3C=CC=CC3</t>
  </si>
  <si>
    <t>Z2856434898</t>
  </si>
  <si>
    <t>DLS-X0125</t>
  </si>
  <si>
    <t>CC(C)CC(=O)NCC=1C=CC=2OCOC2C1</t>
  </si>
  <si>
    <t>Z27695365</t>
  </si>
  <si>
    <t>DLS-X0126</t>
  </si>
  <si>
    <t>COC=1C=CC=C(CN2CCC(CC2)C(=O)N)C1</t>
  </si>
  <si>
    <t>Z2856434854</t>
  </si>
  <si>
    <t>DLS-X0127</t>
  </si>
  <si>
    <t>CN1N=CC=C1C(=O)NCC2=CC=CS2</t>
  </si>
  <si>
    <t>Z915492990</t>
  </si>
  <si>
    <t>DLS-X0129</t>
  </si>
  <si>
    <t>C1CCN(CC1)C2=NOC(=N2)C3=CC=CS3</t>
  </si>
  <si>
    <t>Z1623890017</t>
  </si>
  <si>
    <t>DLS-X0130</t>
  </si>
  <si>
    <t>FC=1C=CC(CNCC=2C=CC=CC2)=CC1</t>
  </si>
  <si>
    <t>Z2856434783</t>
  </si>
  <si>
    <t>DLS-X0131</t>
  </si>
  <si>
    <t>COC(=O)[C@@H]1C[C@@H](O)CN1C(=O)C2=CC=CO2</t>
  </si>
  <si>
    <t>Z1614545742</t>
  </si>
  <si>
    <t>DLS-X0132</t>
  </si>
  <si>
    <t>CC(=O)C=1C=CC=C(NC(=O)C(F)(F)F)C1</t>
  </si>
  <si>
    <t>Z57111868</t>
  </si>
  <si>
    <t>DLS-X0133</t>
  </si>
  <si>
    <t>CC=1C=NC=C(NCC=2C=CN=CC2)C1</t>
  </si>
  <si>
    <t>Z1478435544</t>
  </si>
  <si>
    <t>DLS-X0134</t>
  </si>
  <si>
    <t>FC=1C=CC(NC(=O)CN2CCCC2)=CC1</t>
  </si>
  <si>
    <t>Z2856434942</t>
  </si>
  <si>
    <t>DLS-X0135</t>
  </si>
  <si>
    <t>O=C(C1CC1)N2CCN(CC2)C(=O)C3=CC=CO3</t>
  </si>
  <si>
    <t>Z32327641</t>
  </si>
  <si>
    <t>DLS-X0136</t>
  </si>
  <si>
    <t>CC(C)N1CCN(CC1)C(=O)C2=CC=CS2</t>
  </si>
  <si>
    <t>Z2856434826</t>
  </si>
  <si>
    <t>DLS-X0137</t>
  </si>
  <si>
    <t>CC(C)N(C)S(=O)(=O)N1CCOC(C)C1</t>
  </si>
  <si>
    <t>Z416341642</t>
  </si>
  <si>
    <t>DLS-X0138</t>
  </si>
  <si>
    <t>FC=1C=CC(CCNC(=O)C2=CC=CO2)=CC1</t>
  </si>
  <si>
    <t>Z26769872</t>
  </si>
  <si>
    <t>DLS-X0139</t>
  </si>
  <si>
    <t>CC=1C=CC=CC1CNC2=NN=NN2C</t>
  </si>
  <si>
    <t>Z57778470</t>
  </si>
  <si>
    <t>DLS-X0140</t>
  </si>
  <si>
    <t>COC(=O)CNC(=O)C1CCCCC1</t>
  </si>
  <si>
    <t>Z18618496</t>
  </si>
  <si>
    <t>DLS-X0141</t>
  </si>
  <si>
    <t>CC1=CC(NC(=O)CSC=2C=CC=CC2)=NO1</t>
  </si>
  <si>
    <t>Z19750454</t>
  </si>
  <si>
    <t>DLS-X0143</t>
  </si>
  <si>
    <t>COC=1C=CC(NCC=2C=CC=CC2O)=CC1</t>
  </si>
  <si>
    <t>Z56943440</t>
  </si>
  <si>
    <t>DLS-X0144</t>
  </si>
  <si>
    <t>O=C(CCCC=1C=CC=CC1)N2CCOCC2</t>
  </si>
  <si>
    <t>Z419995480</t>
  </si>
  <si>
    <t>DLS-X0145</t>
  </si>
  <si>
    <t>CC=1N=CSC1C(=O)N2CCCNCC2</t>
  </si>
  <si>
    <t>Z803153598</t>
  </si>
  <si>
    <t>DLS-X0146</t>
  </si>
  <si>
    <t>CC(C)(O)CNC1CCOCC1</t>
  </si>
  <si>
    <t>Z1103351268</t>
  </si>
  <si>
    <t>DLS-X0147</t>
  </si>
  <si>
    <t>CN1C=C(CNC(=O)C2=CC=CO2)C=N1</t>
  </si>
  <si>
    <t>Z275179758</t>
  </si>
  <si>
    <t>DLS-X0148</t>
  </si>
  <si>
    <t>FC=1C=CC(NC(=O)NCC2=CC=CO2)=CC1</t>
  </si>
  <si>
    <t>Z44584202</t>
  </si>
  <si>
    <t>DLS-X0149</t>
  </si>
  <si>
    <t>CCOC=1C=CC(NC(=O)NC(C)(C)C)=CC1</t>
  </si>
  <si>
    <t>Z44586802</t>
  </si>
  <si>
    <t>DLS-X0150</t>
  </si>
  <si>
    <t>CC(C)C1=NN=C(NCC(C)(C)C)S1</t>
  </si>
  <si>
    <t>Z1461982627</t>
  </si>
  <si>
    <t>DLS-X0151</t>
  </si>
  <si>
    <t>CCC=1C=CC(OCC(=O)N2CCCCC2)=CC1</t>
  </si>
  <si>
    <t>Z18839017</t>
  </si>
  <si>
    <t>DLS-X0152</t>
  </si>
  <si>
    <t>CC=1C=CC(CNC(=O)C2CCC2)=CN1</t>
  </si>
  <si>
    <t>Z437516460</t>
  </si>
  <si>
    <t>DLS-X0153</t>
  </si>
  <si>
    <t>COC(=O)C1CCN(CC1)C(=O)NC(C)(C)C</t>
  </si>
  <si>
    <t>Z44567722</t>
  </si>
  <si>
    <t>DLS-X0154</t>
  </si>
  <si>
    <t>CC1(C)CN(CC1O)C=2N=CC=CC2F</t>
  </si>
  <si>
    <t>Z1929757385</t>
  </si>
  <si>
    <t>DLS-X0155</t>
  </si>
  <si>
    <t>CC1=CC(=NO1)C(=O)NC=2C=CC=3NC=CC3C2</t>
  </si>
  <si>
    <t>Z1190787729</t>
  </si>
  <si>
    <t>DLS-X0156</t>
  </si>
  <si>
    <t>O=C(COC=1C=CC=CC1)NC2CCCCC2</t>
  </si>
  <si>
    <t>Z19735904</t>
  </si>
  <si>
    <t>DLS-X0157</t>
  </si>
  <si>
    <t>CC1=NC(CN2CCC(CN)CC2)=CS1</t>
  </si>
  <si>
    <t>Z1259335913</t>
  </si>
  <si>
    <t>DLS-X0160</t>
  </si>
  <si>
    <t>CC1C(O)CCCN1CC=2C=CC=CC2</t>
  </si>
  <si>
    <t>Z2217052426</t>
  </si>
  <si>
    <t>DLS-X0161</t>
  </si>
  <si>
    <t>OC=1C=CC(NC(=O)C=2C=CC(Cl)=CC2)=CC1</t>
  </si>
  <si>
    <t>Z56346825</t>
  </si>
  <si>
    <t>DLS-X0162</t>
  </si>
  <si>
    <t>COC(=O)CNC(=O)C=1C=C(C)ON1</t>
  </si>
  <si>
    <t>Z375990520</t>
  </si>
  <si>
    <t>DLS-X0163</t>
  </si>
  <si>
    <t>CC(C)N1CCN(CC1)C(=O)C(C)C</t>
  </si>
  <si>
    <t>Z106307058</t>
  </si>
  <si>
    <t>DLS-X0164</t>
  </si>
  <si>
    <t>C(N1CCCCCC1)C2=CNC=3C=CC=CC23</t>
  </si>
  <si>
    <t>Z2856434848</t>
  </si>
  <si>
    <t>DLS-X0165</t>
  </si>
  <si>
    <t>CC(=O)NCCN1CCCCCC1</t>
  </si>
  <si>
    <t>Z169226638</t>
  </si>
  <si>
    <t>DLS-X0166</t>
  </si>
  <si>
    <t>CN(C)C=1C=CC(CNN2C=NN=C2)=CC1</t>
  </si>
  <si>
    <t>Z57258487</t>
  </si>
  <si>
    <t>DLS-X0167</t>
  </si>
  <si>
    <t>CC1=NC(CN2C[C@@H](F)C[C@H]2CN)=CS1</t>
  </si>
  <si>
    <t>Z2444997446</t>
  </si>
  <si>
    <t>DLS-X0168</t>
  </si>
  <si>
    <t>CC(N1CCNCC1)C=2C=CC=CC2F</t>
  </si>
  <si>
    <t>Z2466069494</t>
  </si>
  <si>
    <t>DLS-X0169</t>
  </si>
  <si>
    <t>NC(=O)C=1C=CC=CC1NC(=O)C=2C=CN=CC2</t>
  </si>
  <si>
    <t>Z91797745</t>
  </si>
  <si>
    <t>DLS-X0170</t>
  </si>
  <si>
    <t>CC1=NN(CC=2C(C)=NOC2C)C(=O)S1</t>
  </si>
  <si>
    <t>Z1899842917</t>
  </si>
  <si>
    <t>DLS-X0171</t>
  </si>
  <si>
    <t>FC=1C=CC(CC(=O)NC=2C=CC(F)=CC2)=CC1</t>
  </si>
  <si>
    <t>Z27805986</t>
  </si>
  <si>
    <t>DLS-X0172</t>
  </si>
  <si>
    <t>CC(C)N(C)S(=O)(=O)N1CCNC(=O)C1</t>
  </si>
  <si>
    <t>Z431807512</t>
  </si>
  <si>
    <t>DLS-X0174</t>
  </si>
  <si>
    <t>C(NC1CCNC1)C=2C=CC=CC2</t>
  </si>
  <si>
    <t>Z1827898537</t>
  </si>
  <si>
    <t>DLS-X0175</t>
  </si>
  <si>
    <t>COC(=O)C=1C=CC=C(NS(=O)(=O)C)C1</t>
  </si>
  <si>
    <t>Z24758179</t>
  </si>
  <si>
    <t>DLS-X0176</t>
  </si>
  <si>
    <t>CC(C)CC(=O)NC=1C=CC(NC(=O)C)=CC1</t>
  </si>
  <si>
    <t>Z27653940</t>
  </si>
  <si>
    <t>DLS-X0177</t>
  </si>
  <si>
    <t>COC=1C=CC(=CC1)C(=O)NC=2C=CC=CC2F</t>
  </si>
  <si>
    <t>Z28290321</t>
  </si>
  <si>
    <t>DLS-X0178</t>
  </si>
  <si>
    <t>CCNC(=O)C=1C=CC(NS(=O)(=O)C)=CC1</t>
  </si>
  <si>
    <t>Z57614330</t>
  </si>
  <si>
    <t>DLS-X0179</t>
  </si>
  <si>
    <t>C(NC=1C=CC=CN1)C2CCNC2</t>
  </si>
  <si>
    <t>Z1262327505</t>
  </si>
  <si>
    <t>DLS-X0180</t>
  </si>
  <si>
    <t>CN(C)C(=O)CNC=1C=CC=CC1</t>
  </si>
  <si>
    <t>Z104584152</t>
  </si>
  <si>
    <t>DLS-X0181</t>
  </si>
  <si>
    <t>CC[C@H](CO)NC(=O)NC=1C=CC(Cl)=CC1</t>
  </si>
  <si>
    <t>Z1593306637</t>
  </si>
  <si>
    <t>DLS-X0182</t>
  </si>
  <si>
    <t>C1CCCC(CC1)NC=2N=CC=CN2</t>
  </si>
  <si>
    <t>Z31244728</t>
  </si>
  <si>
    <t>DLS-X0183</t>
  </si>
  <si>
    <t>N#CC=1C=CC(CN2C=NC=3C=CC=CC23)=CC1</t>
  </si>
  <si>
    <t>Z26333434</t>
  </si>
  <si>
    <t>DLS-X0184</t>
  </si>
  <si>
    <t>O=C(NC=1C=CC(C#N)=CC1)C2=CC=CS2</t>
  </si>
  <si>
    <t>Z30612387</t>
  </si>
  <si>
    <t>DLS-X0185</t>
  </si>
  <si>
    <t>CC=1C=CC=C(C1)C(=O)NC=2C=CC(C)=CC2O</t>
  </si>
  <si>
    <t>Z33452549</t>
  </si>
  <si>
    <t>DLS-X0186</t>
  </si>
  <si>
    <t>N[C@H]1CCN(C1)S(=O)(=O)C=2C=CC=CC2</t>
  </si>
  <si>
    <t>Z2443429438</t>
  </si>
  <si>
    <t>DLS-X0187</t>
  </si>
  <si>
    <t>FC=1C=CC(=CC1)N2CCN(CC2)C(=O)C3CC3</t>
  </si>
  <si>
    <t>Z30620520</t>
  </si>
  <si>
    <t>DLS-X0188</t>
  </si>
  <si>
    <t>CC=1C=CSC1C(=O)NCC=2C=CC(C)=CC2</t>
  </si>
  <si>
    <t>Z28429425</t>
  </si>
  <si>
    <t>DLS-X0189</t>
  </si>
  <si>
    <t>CCOC(=O)NCC=1C=CC=CC1</t>
  </si>
  <si>
    <t>DLS-X0190</t>
  </si>
  <si>
    <t>C[1C@@H]1CC[1C@@H](O1)C(=O)N2CCC=C(F)C2</t>
  </si>
  <si>
    <t>Z2272040604</t>
  </si>
  <si>
    <t>DLS-X0191</t>
  </si>
  <si>
    <t>CC(=O)N1CCC(CC1)NCCC=2C=CC=CC2</t>
  </si>
  <si>
    <t>Z2856434883</t>
  </si>
  <si>
    <t>DLS-X0192</t>
  </si>
  <si>
    <t>CN1N=NC(NC(=O)C2=CC=3C=CC=CC3O2)=N1</t>
  </si>
  <si>
    <t>Z57292378</t>
  </si>
  <si>
    <t>DLS-X0193</t>
  </si>
  <si>
    <t>FC=1C=CC=C(F)C1C(=O)N2CCCC2</t>
  </si>
  <si>
    <t>Z54226006</t>
  </si>
  <si>
    <t>DLS-X0194</t>
  </si>
  <si>
    <t>OC=1C=CC=CC1NC(=O)COC=2C=CC=CC2</t>
  </si>
  <si>
    <t>Z68195082</t>
  </si>
  <si>
    <t>DLS-X0195</t>
  </si>
  <si>
    <t>FC=1C=CC(CNC(=O)NC=2C=CC=CC2)=CC1</t>
  </si>
  <si>
    <t>Z44609285</t>
  </si>
  <si>
    <t>DLS-X0196</t>
  </si>
  <si>
    <t>NC(=O)C=1C=CC(NC(=O)[C@@H]2CCCO2)=CC1</t>
  </si>
  <si>
    <t>Z1545313172</t>
  </si>
  <si>
    <t>DLS-X0197</t>
  </si>
  <si>
    <t>CC(C)CNC(=O)C=1C=CC=2C=CC=CC2C1</t>
  </si>
  <si>
    <t>Z32385991</t>
  </si>
  <si>
    <t>DLS-X0198</t>
  </si>
  <si>
    <t>FC=1C=CC=CC1NCC=2C=CNN2</t>
  </si>
  <si>
    <t>Z1545196403</t>
  </si>
  <si>
    <t>DLS-X0199</t>
  </si>
  <si>
    <t>CC(=O)N1CCN(CCCC=2C=CC=CC2)CC1</t>
  </si>
  <si>
    <t>Z2856434884</t>
  </si>
  <si>
    <t>DLS-X0200</t>
  </si>
  <si>
    <t>CC(C)C=1C=CC(=CC1)C(=O)NC=2C=CC=CN2</t>
  </si>
  <si>
    <t>Z85525355</t>
  </si>
  <si>
    <t>DLS-X0201</t>
  </si>
  <si>
    <t>CN1C=CC(=N1)C(=O)NC[C@@H]2CCCO2</t>
  </si>
  <si>
    <t>Z2643472210</t>
  </si>
  <si>
    <t>DLS-X0202</t>
  </si>
  <si>
    <t>FC=1C=CC=NC1NCC2CCOCC2</t>
  </si>
  <si>
    <t>Z1373430305</t>
  </si>
  <si>
    <t>DLS-X0203</t>
  </si>
  <si>
    <t>FC=1C=CC(CN2C=NC=3C=CC=CC23)=CC1</t>
  </si>
  <si>
    <t>Z26333448</t>
  </si>
  <si>
    <t>DLS-X0204</t>
  </si>
  <si>
    <t>FC=1C=CC=C(F)C1C(=O)N2CCCCCC2</t>
  </si>
  <si>
    <t>Z54226095</t>
  </si>
  <si>
    <t>DLS-X0205</t>
  </si>
  <si>
    <t>CN1CCN(CC1)C(=O)C=2C=CC(F)=C(F)C2</t>
  </si>
  <si>
    <t>Z2856434829</t>
  </si>
  <si>
    <t>DLS-X0207</t>
  </si>
  <si>
    <t>CC(C)C=1C=CC(NC(=O)N2CCOCC2)=CC1</t>
  </si>
  <si>
    <t>Z208334100</t>
  </si>
  <si>
    <t>DLS-X0208</t>
  </si>
  <si>
    <t>CC=1C=C(C)N=C(NC=2C=CC=CC2)N1</t>
  </si>
  <si>
    <t>Z285675722</t>
  </si>
  <si>
    <t>DLS-X0209</t>
  </si>
  <si>
    <t>OC=1C=CC=C(NC(=O)NC=2C=CC(F)=CC2)C1</t>
  </si>
  <si>
    <t>Z55290386</t>
  </si>
  <si>
    <t>DLS-X0210</t>
  </si>
  <si>
    <t>CN(C(=O)[C@H]1CC1(C)C)C=2C=CC=NC2</t>
  </si>
  <si>
    <t>Z1506050651</t>
  </si>
  <si>
    <t>DLS-X0211</t>
  </si>
  <si>
    <t>CC(=O)C=1C=CC(=CC1)N2CCC(CC2)C(=O)N</t>
  </si>
  <si>
    <t>Z126933926</t>
  </si>
  <si>
    <t>DLS-X0212</t>
  </si>
  <si>
    <t>COC=1C=CC(NC=2N=CN=C3NC=NC23)=CC1</t>
  </si>
  <si>
    <t>Z276545932</t>
  </si>
  <si>
    <t>DLS-X0213</t>
  </si>
  <si>
    <t>CCN(CC)S(=O)(=O)C=1C=CC(C)=CC1</t>
  </si>
  <si>
    <t>Z45516134</t>
  </si>
  <si>
    <t>DLS-X0214</t>
  </si>
  <si>
    <t>CC=1C=CC(NC(=O)C=2C=CC=CC2C)=C(O)C1</t>
  </si>
  <si>
    <t>Z33452282</t>
  </si>
  <si>
    <t>DLS-X0215</t>
  </si>
  <si>
    <t>CC(N)CN1CCOCC1</t>
  </si>
  <si>
    <t>Z818732104</t>
  </si>
  <si>
    <t>DLS-X0217</t>
  </si>
  <si>
    <t>COCC(=O)NC1=NN=C(C)S1</t>
  </si>
  <si>
    <t>Z263785508</t>
  </si>
  <si>
    <t>DLS-X0218</t>
  </si>
  <si>
    <t>FC=1C=CC=C(CN2CCOCC2)C1</t>
  </si>
  <si>
    <t>Z2856434791</t>
  </si>
  <si>
    <t>DLS-X0221</t>
  </si>
  <si>
    <t>ClC=1C=CC(COC(=O)C=2C=CC=NC2)=CC1</t>
  </si>
  <si>
    <t>Z57515803</t>
  </si>
  <si>
    <t>DLS-X0222</t>
  </si>
  <si>
    <t>COCC(=O)NCC=1C=CC(C)=CC1</t>
  </si>
  <si>
    <t>Z33297786</t>
  </si>
  <si>
    <t>DLS-X0223</t>
  </si>
  <si>
    <t>CC=1C=CSC1CNC(C)(C)CO</t>
  </si>
  <si>
    <t>Z2856434821</t>
  </si>
  <si>
    <t>DLS-X0224</t>
  </si>
  <si>
    <t>CC1CCCCN1CCN</t>
  </si>
  <si>
    <t>Z1245580425</t>
  </si>
  <si>
    <t>DLS-X0225</t>
  </si>
  <si>
    <t>CC(C)NC(=O)C1=CC(C)=NO1</t>
  </si>
  <si>
    <t>Z135394292</t>
  </si>
  <si>
    <t>DLS-X0226</t>
  </si>
  <si>
    <t>CCOC=1C=CC=C(C1)C(=O)NC=2N=NN(C)N2</t>
  </si>
  <si>
    <t>Z57292400</t>
  </si>
  <si>
    <t>DLS-X0227</t>
  </si>
  <si>
    <t>FC=1C=CC=C(NC(=O)C=2C=NC=CN2)C1</t>
  </si>
  <si>
    <t>Z28143241</t>
  </si>
  <si>
    <t>DLS-X0230</t>
  </si>
  <si>
    <t>CC=1C=CC=C(CN2CCOCC2)C1</t>
  </si>
  <si>
    <t>Z2856434862</t>
  </si>
  <si>
    <t>DLS-X0231</t>
  </si>
  <si>
    <t>NC(=O)C=1C=CC(NC(=O)C=2C=NC=CN2)=CC1</t>
  </si>
  <si>
    <t>Z30242120</t>
  </si>
  <si>
    <t>DLS-X0232</t>
  </si>
  <si>
    <t>O=C(NCC1=CC=CO1)NC2CCCCC2</t>
  </si>
  <si>
    <t>Z44584192</t>
  </si>
  <si>
    <t>DLS-X0233</t>
  </si>
  <si>
    <t>OC=1C=CC(CNC2CCCCC2)=CC1</t>
  </si>
  <si>
    <t>Z2241127906</t>
  </si>
  <si>
    <t>DLS-X0234</t>
  </si>
  <si>
    <t>O=C(NC=1C=CC=2NC(=O)NC2C1)C3=CC=CO3</t>
  </si>
  <si>
    <t>Z26794338</t>
  </si>
  <si>
    <t>DLS-X0235</t>
  </si>
  <si>
    <t>CC1CCCN(CC1)C(=O)C2=CSC=N2</t>
  </si>
  <si>
    <t>Z1101755952</t>
  </si>
  <si>
    <t>DLS-X0236</t>
  </si>
  <si>
    <t>C(C#CC=1C=CC=CC1)N2CCCCC2</t>
  </si>
  <si>
    <t>Z57257264</t>
  </si>
  <si>
    <t>DLS-X0237</t>
  </si>
  <si>
    <t>C(C1CCNCC1)C2=NC(=NO2)C3CC3</t>
  </si>
  <si>
    <t>Z2442270563</t>
  </si>
  <si>
    <t>DLS-X0238</t>
  </si>
  <si>
    <t>CC1CN(CCN1)C=2C=CC=C(C)N2</t>
  </si>
  <si>
    <t>Z1267885772</t>
  </si>
  <si>
    <t>DLS-X0239</t>
  </si>
  <si>
    <t>CCN1CCC(CC1)NC=2C=CC=CC2F</t>
  </si>
  <si>
    <t>Z2856434868</t>
  </si>
  <si>
    <t>DLS-X0240</t>
  </si>
  <si>
    <t>CC(C)NC(=O)C=1C=CC=2C=CC=CC2N1</t>
  </si>
  <si>
    <t>Z31385861</t>
  </si>
  <si>
    <t>DLS-X0241</t>
  </si>
  <si>
    <t>FC(F)(F)C=1C=CC(CN2CCOCC2)=CC1</t>
  </si>
  <si>
    <t>Z2856434871</t>
  </si>
  <si>
    <t>DLS-X0242</t>
  </si>
  <si>
    <t>FC(F)(F)C(=O)NC=1C=CC=C(Cl)C1</t>
  </si>
  <si>
    <t>Z111810692</t>
  </si>
  <si>
    <t>DLS-X0243</t>
  </si>
  <si>
    <t>FC(F)N1C=CN=C1CN2CCNCC2</t>
  </si>
  <si>
    <t>Z2444672448</t>
  </si>
  <si>
    <t>DLS-X0244</t>
  </si>
  <si>
    <t>CCC1=NN=C(NC(=O)C(F)(F)F)S1</t>
  </si>
  <si>
    <t>Z275156196</t>
  </si>
  <si>
    <t>DLS-X0245</t>
  </si>
  <si>
    <t>CC=1C=CC=C(NC=2N=CN=C3N(C)N=CC23)C1</t>
  </si>
  <si>
    <t>Z56983806</t>
  </si>
  <si>
    <t>DLS-X0246</t>
  </si>
  <si>
    <t>CN1CCC(OC=2C=CC=C(F)C2)C1=O</t>
  </si>
  <si>
    <t>Z1217960891</t>
  </si>
  <si>
    <t>DLS-X0247</t>
  </si>
  <si>
    <t>ClC=1C=CC(=CC1)C(=O)N2CCSCC2</t>
  </si>
  <si>
    <t>Z437584380</t>
  </si>
  <si>
    <t>DLS-X0248</t>
  </si>
  <si>
    <t>CC1(C)CCCN1CCN</t>
  </si>
  <si>
    <t>Z1741815708</t>
  </si>
  <si>
    <t>DLS-X0249</t>
  </si>
  <si>
    <t>FC=1C=CC(OCC(=O)N2CCCC2)=CC1</t>
  </si>
  <si>
    <t>Z19735067</t>
  </si>
  <si>
    <t>DLS-X0250</t>
  </si>
  <si>
    <t>CCCC(=O)NC=1C=CC=NC1Cl</t>
  </si>
  <si>
    <t>Z240654968</t>
  </si>
  <si>
    <t>DLS-X0251</t>
  </si>
  <si>
    <t>FC=1C=CC=C(C1)C(=O)NCC=2C=CC=CC2</t>
  </si>
  <si>
    <t>Z27749656</t>
  </si>
  <si>
    <t>DLS-X0252</t>
  </si>
  <si>
    <t>CC1=NC(C(=O)N2CCCC2)=C(C)S1</t>
  </si>
  <si>
    <t>Z1497321453</t>
  </si>
  <si>
    <t>DLS-X0254</t>
  </si>
  <si>
    <t>CN1N=NC(NC(=O)C=2C=CC(Cl)=CC2)=N1</t>
  </si>
  <si>
    <t>Z57292434</t>
  </si>
  <si>
    <t>DLS-X0255</t>
  </si>
  <si>
    <t>NC(=O)C=1C=CC(OCC=2C=CC=CC2)=CC1</t>
  </si>
  <si>
    <t>Z26312102</t>
  </si>
  <si>
    <t>DLS-X0256</t>
  </si>
  <si>
    <t>COC(=O)NC1=NC=2C(C)=CC=CC2S1</t>
  </si>
  <si>
    <t>Z192981502</t>
  </si>
  <si>
    <t>DLS-X0257</t>
  </si>
  <si>
    <t>O=C(NC[C@H]1CCCO1)N2CCOCC2</t>
  </si>
  <si>
    <t>Z2064898127</t>
  </si>
  <si>
    <t>DLS-X0258</t>
  </si>
  <si>
    <t>CC(=O)NC=1C=CC(CN2CCOCC2)=CC1</t>
  </si>
  <si>
    <t>Z2856434875</t>
  </si>
  <si>
    <t>DLS-X0260</t>
  </si>
  <si>
    <t>CCNC(=O)C1=CNN=N1</t>
  </si>
  <si>
    <t>Z755044716</t>
  </si>
  <si>
    <t>DLS-X0261</t>
  </si>
  <si>
    <t>CCOC(=O)C=1C=CC(F)=CC1F</t>
  </si>
  <si>
    <t>Z53836105</t>
  </si>
  <si>
    <t>DLS-X0262</t>
  </si>
  <si>
    <t>O=C(NCCC1=CCCCC1)C=2C=NC=CN2</t>
  </si>
  <si>
    <t>Z69091635</t>
  </si>
  <si>
    <t>DLS-X0263</t>
  </si>
  <si>
    <t>OC=1N=CC(NCCC=2C=CC=CC2)=C(O)N1</t>
  </si>
  <si>
    <t>Z57744604</t>
  </si>
  <si>
    <t>DLS-X0264</t>
  </si>
  <si>
    <t>CCNC(=O)C=1C=CC(N(C)C)=C(F)C1</t>
  </si>
  <si>
    <t>Z907784200</t>
  </si>
  <si>
    <t>DLS-X0265</t>
  </si>
  <si>
    <t>CCC(=O)NC=1C=CC(=CC1)S(=O)(=O)N</t>
  </si>
  <si>
    <t>Z27682767</t>
  </si>
  <si>
    <t>DLS-X0266</t>
  </si>
  <si>
    <t>C(NC1CCCC1)C2CCCO2</t>
  </si>
  <si>
    <t>Z90504169</t>
  </si>
  <si>
    <t>DLS-X0267</t>
  </si>
  <si>
    <t>O=C(CCC1CCCC1)NC=2C=CC=C(C#N)C2</t>
  </si>
  <si>
    <t>Z26548228</t>
  </si>
  <si>
    <t>DLS-X0268</t>
  </si>
  <si>
    <t>O=C(CCC1CCCCC1)N2CCOCC2</t>
  </si>
  <si>
    <t>Z31721798</t>
  </si>
  <si>
    <t>DLS-X0269</t>
  </si>
  <si>
    <t>FC=1C=CC=CC1CNC2CCOCC2</t>
  </si>
  <si>
    <t>Z823455846</t>
  </si>
  <si>
    <t>DLS-X0270</t>
  </si>
  <si>
    <t>CC(C)N1CCCC(CO)C1</t>
  </si>
  <si>
    <t>Z103740620</t>
  </si>
  <si>
    <t>DLS-X0271</t>
  </si>
  <si>
    <t>CC=1C=CC(NC=2N=CN=C3NN=CC23)=CC1</t>
  </si>
  <si>
    <t>Z57101343</t>
  </si>
  <si>
    <t>DLS-X0272</t>
  </si>
  <si>
    <t>COC=1C=CC(Cl)=CC1C(=O)NCC(C)C</t>
  </si>
  <si>
    <t>Z32386228</t>
  </si>
  <si>
    <t>DLS-X0273</t>
  </si>
  <si>
    <t>CN(CCC=1C=CC=CN1)C(=O)C=2C=CC=CC2</t>
  </si>
  <si>
    <t>Z68277692</t>
  </si>
  <si>
    <t>DLS-X0274</t>
  </si>
  <si>
    <t>CS(=O)(=O)C1=NC=CN1CC2=CSC=N2</t>
  </si>
  <si>
    <t>Z1328968520</t>
  </si>
  <si>
    <t>DLS-X0275</t>
  </si>
  <si>
    <t>COC(=O)N1CCN(CC1)C=2C=CC(F)=CC2</t>
  </si>
  <si>
    <t>Z192955056</t>
  </si>
  <si>
    <t>DLS-X0276</t>
  </si>
  <si>
    <t>CC(C)NCC1=NC(=NO1)C=2C=CC(C)=CC2</t>
  </si>
  <si>
    <t>Z2856434849</t>
  </si>
  <si>
    <t>DLS-X0277</t>
  </si>
  <si>
    <t>ClC=1C=CC=C(C1)N2CCN(CC#N)CC2</t>
  </si>
  <si>
    <t>Z2856434806</t>
  </si>
  <si>
    <t>DLS-X0278</t>
  </si>
  <si>
    <t>CC(C)NC=1C=CC=NC1</t>
  </si>
  <si>
    <t>Z1259341037</t>
  </si>
  <si>
    <t>DLS-X0279</t>
  </si>
  <si>
    <t>CC(C)N(C)C=1N=CN=C2N(C)N=CC12</t>
  </si>
  <si>
    <t>Z328695024</t>
  </si>
  <si>
    <t>DLS-X0280</t>
  </si>
  <si>
    <t>COC(=O)NC=1C=C(C)N(N1)C=2C=CC=CC2</t>
  </si>
  <si>
    <t>Z1581680287</t>
  </si>
  <si>
    <t>DLS-X0281</t>
  </si>
  <si>
    <t>OCC1CN(CC=2C=CC=CC2)CCO1</t>
  </si>
  <si>
    <t>Z1259086950</t>
  </si>
  <si>
    <t>DLS-X0283</t>
  </si>
  <si>
    <t>CC1(CC1)S(=O)(=O)N2CCC=C(F)C2</t>
  </si>
  <si>
    <t>Z2277255954</t>
  </si>
  <si>
    <t>DLS-X0284</t>
  </si>
  <si>
    <t>COCC(=O)NC=1C(C)=CC(C)=CC1C</t>
  </si>
  <si>
    <t>Z57260516</t>
  </si>
  <si>
    <t>DLS-X0285</t>
  </si>
  <si>
    <t>O=C(CSC=1C=CC=CC1)NC2CCCCC2</t>
  </si>
  <si>
    <t>Z19751622</t>
  </si>
  <si>
    <t>DLS-X0286</t>
  </si>
  <si>
    <t>CCS(=O)(=O)NCC=1C=CC=2OCOC2C1</t>
  </si>
  <si>
    <t>Z53860899</t>
  </si>
  <si>
    <t>DLS-X0287</t>
  </si>
  <si>
    <t>CC1=NC(CC(=O)N2CCOCC2)=CS1</t>
  </si>
  <si>
    <t>Z31720228</t>
  </si>
  <si>
    <t>DLS-X0288</t>
  </si>
  <si>
    <t>CS(=O)(=O)NC=1C=CC(=CC1)C=2C=CC=CC2</t>
  </si>
  <si>
    <t>Z45641455</t>
  </si>
  <si>
    <t>DLS-X0289</t>
  </si>
  <si>
    <t>CC(C)NC=1N=CC=CN1</t>
  </si>
  <si>
    <t>Z31190928</t>
  </si>
  <si>
    <t>DLS-X0291</t>
  </si>
  <si>
    <t>ClC=1C=CC(NC(=O)CC#N)=CC1</t>
  </si>
  <si>
    <t>Z56837087</t>
  </si>
  <si>
    <t>DLS-X0292</t>
  </si>
  <si>
    <t>CCOC(=O)CN1CCCCC1</t>
  </si>
  <si>
    <t>Z2856434773</t>
  </si>
  <si>
    <t>DLS-X0293</t>
  </si>
  <si>
    <t>CC1CN(CC=2N=NSC2Cl)C(C)CO1</t>
  </si>
  <si>
    <t>Z354992234</t>
  </si>
  <si>
    <t>DLS-X0294</t>
  </si>
  <si>
    <t>FC(F)OCC(=O)N1CCCC2(CC2)C1</t>
  </si>
  <si>
    <t>Z2074076908</t>
  </si>
  <si>
    <t>DLS-X0295</t>
  </si>
  <si>
    <t>CC(N)C=1C=CC(NC(=O)C2CC2)=CC1</t>
  </si>
  <si>
    <t>Z1891773393</t>
  </si>
  <si>
    <t>DLS-X0296</t>
  </si>
  <si>
    <t>C[C@H](O)CNCC=1C(Cl)=CC=CC1Cl</t>
  </si>
  <si>
    <t>Z2856434909</t>
  </si>
  <si>
    <t>DLS-X0297</t>
  </si>
  <si>
    <t>FC=1C=C(C#N)C=CC1N2CCNCC2</t>
  </si>
  <si>
    <t>Z939944666</t>
  </si>
  <si>
    <t>DLS-X0298</t>
  </si>
  <si>
    <t>CCNC=1C=CC(=CC1F)S(=O)(=O)C</t>
  </si>
  <si>
    <t>Z2142244288</t>
  </si>
  <si>
    <t>DLS-X0300</t>
  </si>
  <si>
    <t>CC1OCCN(C1C)C2=NC(C)=NS2</t>
  </si>
  <si>
    <t>Z1439422127</t>
  </si>
  <si>
    <t>DLS-X0302</t>
  </si>
  <si>
    <t>CC=1C=CC(NC(=O)C=2C=CC=C(F)C2)=CC1O</t>
  </si>
  <si>
    <t>Z1430613393</t>
  </si>
  <si>
    <t>DLS-X0303</t>
  </si>
  <si>
    <t>FC=1C=CC(CNCC=2C=CC(C#N)=CC2)=CC1</t>
  </si>
  <si>
    <t>Z2856434851</t>
  </si>
  <si>
    <t>DLS-X0304</t>
  </si>
  <si>
    <t>CS(=O)(=O)NC1(CCCCC1)C(=O)O</t>
  </si>
  <si>
    <t>Z133622412</t>
  </si>
  <si>
    <t>DLS-X0305</t>
  </si>
  <si>
    <t>CCC(C)NC(=O)C=1C=CC=CC1N</t>
  </si>
  <si>
    <t>Z56040660</t>
  </si>
  <si>
    <t>DLS-X0306</t>
  </si>
  <si>
    <t>CN(C(=O)C1CCNC1)C=2C=CC=CC2</t>
  </si>
  <si>
    <t>Z2447286438</t>
  </si>
  <si>
    <t>DLS-X0307</t>
  </si>
  <si>
    <t>O=C(CC1CCCCC1)NN2C=NN=C2</t>
  </si>
  <si>
    <t>Z57261895</t>
  </si>
  <si>
    <t>DLS-X0308</t>
  </si>
  <si>
    <t>CC1CCCN(C1)C(=O)CO</t>
  </si>
  <si>
    <t>Z228585534</t>
  </si>
  <si>
    <t>DLS-X0309</t>
  </si>
  <si>
    <t>CN1CCN(CC1)C(=O)C2CCCO2</t>
  </si>
  <si>
    <t>Z31432964</t>
  </si>
  <si>
    <t>DLS-X0310</t>
  </si>
  <si>
    <t>CN(C)C(=O)OCCN1C=CN=C1</t>
  </si>
  <si>
    <t>Z1722836661</t>
  </si>
  <si>
    <t>DLS-X0311</t>
  </si>
  <si>
    <t>CCC1=NN=C(NC(=O)C=2C=NC=CN2)S1</t>
  </si>
  <si>
    <t>Z26824727</t>
  </si>
  <si>
    <t>DLS-X0312</t>
  </si>
  <si>
    <t>CC=1C=CC(C)=C(OC(=O)C=2C=CN=CC2)C1</t>
  </si>
  <si>
    <t>Z30891796</t>
  </si>
  <si>
    <t>DLS-X0313</t>
  </si>
  <si>
    <t>CC1=NSC(=N1)N2CCCNCC2</t>
  </si>
  <si>
    <t>Z1578665941</t>
  </si>
  <si>
    <t>DLS-X0314</t>
  </si>
  <si>
    <t>COC=1C=CC(CNC(=O)CC#N)=CC1</t>
  </si>
  <si>
    <t>Z190662888</t>
  </si>
  <si>
    <t>DLS-X0315</t>
  </si>
  <si>
    <t>CNC(=O)C=1C=CC=CC1NC(=O)C2=CC=CO2</t>
  </si>
  <si>
    <t>Z30272547</t>
  </si>
  <si>
    <t>DLS-X0316</t>
  </si>
  <si>
    <t>CCC1=NOC(C)=C1C(=O)NC=2C=C(C)ON2</t>
  </si>
  <si>
    <t>Z117233350</t>
  </si>
  <si>
    <t>DLS-X0317</t>
  </si>
  <si>
    <t>COC(=O)C1CCN(CC(=O)N)CC1</t>
  </si>
  <si>
    <t>Z2856434804</t>
  </si>
  <si>
    <t>DLS-X0318</t>
  </si>
  <si>
    <t>CN(CCO)S(=O)(=O)C=1C=CC(N)=CC1</t>
  </si>
  <si>
    <t>Z1673618163</t>
  </si>
  <si>
    <t>DLS-X0319</t>
  </si>
  <si>
    <t>CC1(C)CN(CCO1)C(=O)CC(F)(F)F</t>
  </si>
  <si>
    <t>Z394039592</t>
  </si>
  <si>
    <t>DLS-X0320</t>
  </si>
  <si>
    <t>COC(=O)C=1C=CC(NC(=O)C(F)(F)F)=CC1</t>
  </si>
  <si>
    <t>Z56767614</t>
  </si>
  <si>
    <t>DLS-X0321</t>
  </si>
  <si>
    <t>CCN(CC)C1=CC(C)=NC2=NC=NN12</t>
  </si>
  <si>
    <t>Z56791867</t>
  </si>
  <si>
    <t>DLS-X0322</t>
  </si>
  <si>
    <t>CC(C)C(=O)NCC1CCCNC1</t>
  </si>
  <si>
    <t>Z1262327459</t>
  </si>
  <si>
    <t>DLS-X0323</t>
  </si>
  <si>
    <t>CC(NC1CC1)C=2C=CC=NC2</t>
  </si>
  <si>
    <t>Z1263529721</t>
  </si>
  <si>
    <t>DLS-X0324</t>
  </si>
  <si>
    <t>O=C(N1CCNCC1)C=2C=CN=CC2</t>
  </si>
  <si>
    <t>Z126932654</t>
  </si>
  <si>
    <t>DLS-X0325</t>
  </si>
  <si>
    <t>CC1CCN(CC1)C(=O)C2=CC=3C=CC=CC3O2</t>
  </si>
  <si>
    <t>Z32665176</t>
  </si>
  <si>
    <t>DLS-X0326</t>
  </si>
  <si>
    <t>COCC(=O)NC=1C=CC=CC1C(=O)N</t>
  </si>
  <si>
    <t>Z57260539</t>
  </si>
  <si>
    <t>DLS-X0327</t>
  </si>
  <si>
    <t>CCNC(=O)NC=1C=C(C)ON1</t>
  </si>
  <si>
    <t>Z56880342</t>
  </si>
  <si>
    <t>DLS-X0328</t>
  </si>
  <si>
    <t>OC=1C=CC=CC1CN2CCOCC2</t>
  </si>
  <si>
    <t>Z2856434887</t>
  </si>
  <si>
    <t>DLS-X0329</t>
  </si>
  <si>
    <t>COC=1C=CC(NC(=O)CN)=CC1</t>
  </si>
  <si>
    <t>Z1449748885</t>
  </si>
  <si>
    <t>DLS-X0330</t>
  </si>
  <si>
    <t>CC(C)(CO)NC(=O)NC=1C=CC(Cl)=CC1</t>
  </si>
  <si>
    <t>Z123970702</t>
  </si>
  <si>
    <t>DLS-X0331</t>
  </si>
  <si>
    <t>CNC(=O)CN(C)C1CCCCCC1</t>
  </si>
  <si>
    <t>Z204776284</t>
  </si>
  <si>
    <t>DLS-X0332</t>
  </si>
  <si>
    <t>CS(=O)(=O)N1CCC(CC1)C(=O)NC2CC2</t>
  </si>
  <si>
    <t>Z227998000</t>
  </si>
  <si>
    <t>DLS-X0333</t>
  </si>
  <si>
    <t>CN(C)CC1=NC(=NO1)C2(N)CCCC2</t>
  </si>
  <si>
    <t>Z1259339735</t>
  </si>
  <si>
    <t>DLS-X0335</t>
  </si>
  <si>
    <t>CC(C)(CO)NC(=O)C=1C=CC=C(Cl)C1</t>
  </si>
  <si>
    <t>Z68299550</t>
  </si>
  <si>
    <t>DLS-X0336</t>
  </si>
  <si>
    <t>FC=1C=CC(NC2CCOCC2)=NC1</t>
  </si>
  <si>
    <t>Z1172243962</t>
  </si>
  <si>
    <t>DLS-X0337</t>
  </si>
  <si>
    <t>FC=1C=CC(NC(=O)NC=2C=CC(F)=CC2)=CC1</t>
  </si>
  <si>
    <t>Z44586758</t>
  </si>
  <si>
    <t>DLS-X0338</t>
  </si>
  <si>
    <t>CN1CCN(CC1)C(=O)NC=2C=CC(F)=CC2</t>
  </si>
  <si>
    <t>Z2856434944</t>
  </si>
  <si>
    <t>DLS-X0339</t>
  </si>
  <si>
    <t>CC(CO)(CO)NC(=O)NC=1C=CC=CC1</t>
  </si>
  <si>
    <t>Z57472297</t>
  </si>
  <si>
    <t>DLS-X0340</t>
  </si>
  <si>
    <t>CC(C)NC(=O)CN1CCCNCC1</t>
  </si>
  <si>
    <t>Z1262254278</t>
  </si>
  <si>
    <t>DLS-X0341</t>
  </si>
  <si>
    <t>CCOC(=O)C=1C=NNC1</t>
  </si>
  <si>
    <t>Z1124201124</t>
  </si>
  <si>
    <t>DLS-X0342</t>
  </si>
  <si>
    <t>CC(C)C(=O)NC=1C=CC=C(C#N)C1</t>
  </si>
  <si>
    <t>Z26548083</t>
  </si>
  <si>
    <t>DLS-X0343</t>
  </si>
  <si>
    <t>CC(N1CCN(CC1)S(=O)(=O)C)C(=O)N</t>
  </si>
  <si>
    <t>Z134785326</t>
  </si>
  <si>
    <t>DLS-X0344</t>
  </si>
  <si>
    <t>CC1=CSC(CNC(=O)C2CCC2)=N1</t>
  </si>
  <si>
    <t>Z212122838</t>
  </si>
  <si>
    <t>DLS-X0345</t>
  </si>
  <si>
    <t>CN(C)C(=O)NC=1C=CC(=CC1)S(=O)(=O)N</t>
  </si>
  <si>
    <t>Z123856654</t>
  </si>
  <si>
    <t>DLS-X0346</t>
  </si>
  <si>
    <t>CC(CC=1C(C)=NOC1C)C(=O)N(C)C</t>
  </si>
  <si>
    <t>Z1246465616</t>
  </si>
  <si>
    <t>DLS-X0347</t>
  </si>
  <si>
    <t>CC1CCN(CCN)CC1</t>
  </si>
  <si>
    <t>Z1245580461</t>
  </si>
  <si>
    <t>DLS-X0348</t>
  </si>
  <si>
    <t>COC=1C=CC(NC2=NCCN2)=CC1</t>
  </si>
  <si>
    <t>Z57186564</t>
  </si>
  <si>
    <t>DLS-X0349</t>
  </si>
  <si>
    <t>CC(=O)NC=1C=CN=CC1C</t>
  </si>
  <si>
    <t>Z1148747945</t>
  </si>
  <si>
    <t>DLS-X0350</t>
  </si>
  <si>
    <t>N[C@@H]1CCCN(C1)C(=O)CCC(F)(F)F</t>
  </si>
  <si>
    <t>Z1818332938</t>
  </si>
  <si>
    <t>DLS-X0351</t>
  </si>
  <si>
    <t>C(N1CCNCC1)C=2C=CON2</t>
  </si>
  <si>
    <t>Z1263714198</t>
  </si>
  <si>
    <t>DLS-X0352</t>
  </si>
  <si>
    <t>CC1=NC=CN1CC=2C=CC=C(C#N)C2</t>
  </si>
  <si>
    <t>Z319545618</t>
  </si>
  <si>
    <t>DLS-X0353</t>
  </si>
  <si>
    <t>COC=1C=CC=CC1N2CCN(CC#N)CC2</t>
  </si>
  <si>
    <t>Z2856434807</t>
  </si>
  <si>
    <t>DLS-X0354</t>
  </si>
  <si>
    <t>CN1CCN(CC1)C(=O)C2CCCN2</t>
  </si>
  <si>
    <t>Z241832786</t>
  </si>
  <si>
    <t>DLS-X0355</t>
  </si>
  <si>
    <t>COC(=O)NC=1SC(C)=NC1C=2C=CC=CC2</t>
  </si>
  <si>
    <t>Z979145504</t>
  </si>
  <si>
    <t>DLS-X0356</t>
  </si>
  <si>
    <t>CCC(=O)NC1CCNC1</t>
  </si>
  <si>
    <t>Z1650040241</t>
  </si>
  <si>
    <t>DLS-X0357</t>
  </si>
  <si>
    <t>CNC(=O)C=1C=CC=C2C=CNC12</t>
  </si>
  <si>
    <t>Z1273312153</t>
  </si>
  <si>
    <t>DLS-X0358</t>
  </si>
  <si>
    <t>ClC=1N=CC=CC1C(=O)NC2=NN=CN2</t>
  </si>
  <si>
    <t>Z275154304</t>
  </si>
  <si>
    <t>DLS-X0359</t>
  </si>
  <si>
    <t>O[C@@H]1CCN(CC=2C=CC(Cl)=CC2)C1</t>
  </si>
  <si>
    <t>Z2856434858</t>
  </si>
  <si>
    <t>DLS-X0360</t>
  </si>
  <si>
    <t>CC1=CC(NC(=O)COC=2C=CC(C)=CC2)=NO1</t>
  </si>
  <si>
    <t>Z19731563</t>
  </si>
  <si>
    <t>DLS-X0361</t>
  </si>
  <si>
    <t>C[C@@H]1C[C@H]1C(=O)NCCC=2C=CC(Cl)=CC2</t>
  </si>
  <si>
    <t>Z1802166390</t>
  </si>
  <si>
    <t>DLS-X0362</t>
  </si>
  <si>
    <t>CC(N)C(=O)N1CCCCC1C</t>
  </si>
  <si>
    <t>Z927412236</t>
  </si>
  <si>
    <t>DLS-X0363</t>
  </si>
  <si>
    <t>COCC(=O)NC=1C=CC(O)=CC1</t>
  </si>
  <si>
    <t>Z943693514</t>
  </si>
  <si>
    <t>DLS-X0364</t>
  </si>
  <si>
    <t>COC(=O)NC1=NN=C(CC2CCCC2)S1</t>
  </si>
  <si>
    <t>Z1119505742</t>
  </si>
  <si>
    <t>DLS-X0365</t>
  </si>
  <si>
    <t>C(C1CCCCN1)N2C=CN=N2</t>
  </si>
  <si>
    <t>Z1891776952</t>
  </si>
  <si>
    <t>DLS-X0366</t>
  </si>
  <si>
    <t>CNC(=O)C1=CN=C(C)S1</t>
  </si>
  <si>
    <t>Z969560582</t>
  </si>
  <si>
    <t>DLS-X0367</t>
  </si>
  <si>
    <t>CCNCC=1C=CC=C2NC=CC12</t>
  </si>
  <si>
    <t>Z1137725943</t>
  </si>
  <si>
    <t>DLS-X0368</t>
  </si>
  <si>
    <t>COC=1C=CC(CN2CCOCC2)=CC1OC</t>
  </si>
  <si>
    <t>Z2856434878</t>
  </si>
  <si>
    <t>DLS-X0369</t>
  </si>
  <si>
    <t>CNS(=O)(=O)C=1C=CC=CC1Cl</t>
  </si>
  <si>
    <t>Z45527714</t>
  </si>
  <si>
    <t>DLS-X0370</t>
  </si>
  <si>
    <t>COC(=O)COC=1C=CC(C#N)=CC1</t>
  </si>
  <si>
    <t>Z19234337</t>
  </si>
  <si>
    <t>DLS-X0372</t>
  </si>
  <si>
    <t>CCNC(=O)CN1CC(C)OCC1C</t>
  </si>
  <si>
    <t>Z355728146</t>
  </si>
  <si>
    <t>DLS-X0373</t>
  </si>
  <si>
    <t>ClC=1C=CC=C(CN2CCOCC2)C1</t>
  </si>
  <si>
    <t>Z2856434856</t>
  </si>
  <si>
    <t>DLS-X0374</t>
  </si>
  <si>
    <t>CC(C)C(=O)N1CCC(CC=2C=CC=CC2)CC1</t>
  </si>
  <si>
    <t>Z30162334</t>
  </si>
  <si>
    <t>DLS-X0375</t>
  </si>
  <si>
    <t>CCS(=O)(=O)N1CCC(CC1)C(=O)O</t>
  </si>
  <si>
    <t>Z53825020</t>
  </si>
  <si>
    <t>DLS-X0376</t>
  </si>
  <si>
    <t>CC(O)CNC1CCCCC1</t>
  </si>
  <si>
    <t>Z2856434893</t>
  </si>
  <si>
    <t>DLS-X0377</t>
  </si>
  <si>
    <t>FC=1C=CC=C(CN2CCCS2(=O)=O)C1</t>
  </si>
  <si>
    <t>Z729352906</t>
  </si>
  <si>
    <t>DLS-X0378</t>
  </si>
  <si>
    <t>COCC(=O)NCC1=NC=2C=CC=CC2N1</t>
  </si>
  <si>
    <t>Z111529496</t>
  </si>
  <si>
    <t>DLS-X0379</t>
  </si>
  <si>
    <t>CCOC(=O)C1=CC(=NO1)C=2C=CC(C)=CC2</t>
  </si>
  <si>
    <t>Z793500562</t>
  </si>
  <si>
    <t>DLS-X0381</t>
  </si>
  <si>
    <t>COCC1CN(CCO1)C=2C=CC=CN2</t>
  </si>
  <si>
    <t>Z1272480091</t>
  </si>
  <si>
    <t>DLS-X0382</t>
  </si>
  <si>
    <t>O=C(CC1CCCCC1)NC=2C=CC=NC2</t>
  </si>
  <si>
    <t>Z31792168</t>
  </si>
  <si>
    <t>DLS-X0383</t>
  </si>
  <si>
    <t>COC=1C=CC(CC(=O)NC2=NN=CS2)=CC1</t>
  </si>
  <si>
    <t>Z86416929</t>
  </si>
  <si>
    <t>DLS-X0384</t>
  </si>
  <si>
    <t>COCC(=O)NC=1C=CC=C(NC(=O)C)C1</t>
  </si>
  <si>
    <t>Z31735562</t>
  </si>
  <si>
    <t>DLS-X0385</t>
  </si>
  <si>
    <t>CCCN1C(NC(=O)CC)=NC=2C=CC=CC12</t>
  </si>
  <si>
    <t>Z29077827</t>
  </si>
  <si>
    <t>DLS-X0386</t>
  </si>
  <si>
    <t>COCC(=O)NCC=1C=CC=CC1</t>
  </si>
  <si>
    <t>Z31478538</t>
  </si>
  <si>
    <t>DLS-X0387</t>
  </si>
  <si>
    <t>CC(=O)NC=1C=C2OCOC2=CC1C</t>
  </si>
  <si>
    <t>Z1635496816</t>
  </si>
  <si>
    <t>DLS-X0388</t>
  </si>
  <si>
    <t>CN(C)C(=O)COC=1C=CC=CC1C</t>
  </si>
  <si>
    <t>Z19733482</t>
  </si>
  <si>
    <t>DLS-X0389</t>
  </si>
  <si>
    <t>CN1CCN(CCN)CC1(C)C</t>
  </si>
  <si>
    <t>Z1992316315</t>
  </si>
  <si>
    <t>DLS-X0390</t>
  </si>
  <si>
    <t>CC(=O)NC1CCC(N)CC1</t>
  </si>
  <si>
    <t>Z1787158625</t>
  </si>
  <si>
    <t>DLS-X0391</t>
  </si>
  <si>
    <t>CC(=O)N1CCCC2(C1)CCCCCC2</t>
  </si>
  <si>
    <t>Z1275599911</t>
  </si>
  <si>
    <t>DLS-X0392</t>
  </si>
  <si>
    <t>CNC(=O)C1=C(C)ON=C1C=2C=CC(F)=CC2</t>
  </si>
  <si>
    <t>Z363104204</t>
  </si>
  <si>
    <t>DLS-X0393</t>
  </si>
  <si>
    <t>CN(C)C(=O)C=1C=CC=C(C)C1C</t>
  </si>
  <si>
    <t>Z32014663</t>
  </si>
  <si>
    <t>DLS-X0394</t>
  </si>
  <si>
    <t>C(NC1CC1)C2CCOC2</t>
  </si>
  <si>
    <t>Z818727262</t>
  </si>
  <si>
    <t>DLS-X0395</t>
  </si>
  <si>
    <t>CC(=O)N1CCOC(CO)C1</t>
  </si>
  <si>
    <t>Z1454840342</t>
  </si>
  <si>
    <t>DLS-X0396</t>
  </si>
  <si>
    <t>C[C@H](O)CNC(=O)NC=1C=CC=CC1</t>
  </si>
  <si>
    <t>Z1563512128</t>
  </si>
  <si>
    <t>DLS-X0397</t>
  </si>
  <si>
    <t>CC(=O)C=1C=CC(OC(F)F)=CC1</t>
  </si>
  <si>
    <t>Z55671900</t>
  </si>
  <si>
    <t>DLS-X0398</t>
  </si>
  <si>
    <t>C1=NN=NN1C=2C=CC(=CC2)C=3C=CC=CC3</t>
  </si>
  <si>
    <t>Z57479285</t>
  </si>
  <si>
    <t>DLS-X0399</t>
  </si>
  <si>
    <t>CC=1C=CC(=CC1)N2CCN(CC2)C(=O)N</t>
  </si>
  <si>
    <t>Z1650868495</t>
  </si>
  <si>
    <t>DLS-X0400</t>
  </si>
  <si>
    <t>COC=1C=CC(C)=CC1NC(=O)CN</t>
  </si>
  <si>
    <t>Z235341991</t>
  </si>
  <si>
    <t>DLS-X0401</t>
  </si>
  <si>
    <t>CC1CCNC(C1)C(=O)N</t>
  </si>
  <si>
    <t>Z1741785925</t>
  </si>
  <si>
    <t>DLS-X0402</t>
  </si>
  <si>
    <t>CC(C)N1C=C(N=N1)C(=O)O</t>
  </si>
  <si>
    <t>Z2510259379</t>
  </si>
  <si>
    <t>DLS-X0403</t>
  </si>
  <si>
    <t>OC(=O)CC=1C=CC(=CC1)C=2C=CC=CC2</t>
  </si>
  <si>
    <t>Z2856434779</t>
  </si>
  <si>
    <t>DLS-X0404</t>
  </si>
  <si>
    <t>CNC(=O)C=1C=CC=C(N1)C(=O)O</t>
  </si>
  <si>
    <t>Z1816233707</t>
  </si>
  <si>
    <t>DLS-X0405</t>
  </si>
  <si>
    <t>COC=1C=CC(CCC2(C)NC(=O)NC2=O)=CC1</t>
  </si>
  <si>
    <t>Z56772132</t>
  </si>
  <si>
    <t>DLS-X0406</t>
  </si>
  <si>
    <t>CCN1N=CC=C1CNC</t>
  </si>
  <si>
    <t>Z2856434839</t>
  </si>
  <si>
    <t>DLS-X0407</t>
  </si>
  <si>
    <t>CC(OC=1C=CC(C#N)=CC1)C(=O)N</t>
  </si>
  <si>
    <t>Z19739650</t>
  </si>
  <si>
    <t>DLS-X0408</t>
  </si>
  <si>
    <t>C[C@@H](CO)NC=1N=CC(Cl)=CC1F</t>
  </si>
  <si>
    <t>Z1432018343</t>
  </si>
  <si>
    <t>DLS-X0409</t>
  </si>
  <si>
    <t>CN1C=C(C(=O)N)C(=N1)C(F)F</t>
  </si>
  <si>
    <t>Z1515654336</t>
  </si>
  <si>
    <t>DLS-X0410</t>
  </si>
  <si>
    <t>CSC1=NSC(NC(=O)C)=N1</t>
  </si>
  <si>
    <t>Z26804467</t>
  </si>
  <si>
    <t>DLS-X0411</t>
  </si>
  <si>
    <t>CC(=O)NC=1C=CC(=CC1)C2=CSC(N)=N2</t>
  </si>
  <si>
    <t>Z48847594</t>
  </si>
  <si>
    <t>DLS-X0412</t>
  </si>
  <si>
    <t>CC(=O)N1CCN(CC1)C=2C=CC(Cl)=CC2</t>
  </si>
  <si>
    <t>Z275165822</t>
  </si>
  <si>
    <t>DLS-X0413</t>
  </si>
  <si>
    <t>CC(=O)N1CCCC(C1)C(=O)N</t>
  </si>
  <si>
    <t>Z220816104</t>
  </si>
  <si>
    <t>DLS-X0414</t>
  </si>
  <si>
    <t>CS(=O)(=O)NC1CCCC1</t>
  </si>
  <si>
    <t>Z53825479</t>
  </si>
  <si>
    <t>DLS-X0415</t>
  </si>
  <si>
    <t>O=C(NC=1C=CC=2N=CC=CC2C1)C=3C=CC=CC3</t>
  </si>
  <si>
    <t>Z453319206</t>
  </si>
  <si>
    <t>DLS-X0416</t>
  </si>
  <si>
    <t>CN(C(=O)C)C=1C=CC=CC1C(=O)O</t>
  </si>
  <si>
    <t>Z223688272</t>
  </si>
  <si>
    <t>DLS-X0418</t>
  </si>
  <si>
    <t>CC(=O)N1CCC(CC1)C2=CNC=3C=CC=CC23</t>
  </si>
  <si>
    <t>Z223388508</t>
  </si>
  <si>
    <t>DLS-X0419</t>
  </si>
  <si>
    <t>NC(=O)N1CCN(CC1)C(=O)C2=CC=CO2</t>
  </si>
  <si>
    <t>Z198194396</t>
  </si>
  <si>
    <t>DLS-X0420</t>
  </si>
  <si>
    <t>[O-]C(=O)C=1C=CC=CC1OC(F)(F)F</t>
  </si>
  <si>
    <t>Z2856434778</t>
  </si>
  <si>
    <t>DLS-X0422</t>
  </si>
  <si>
    <t>CN1N=C(C(=O)N)C=2C=CC=CC12</t>
  </si>
  <si>
    <t>Z2697514548</t>
  </si>
  <si>
    <t>DLS-X0424</t>
  </si>
  <si>
    <t>COC=1C=CC(=CC1)N2CC(CC2=O)C(=O)N</t>
  </si>
  <si>
    <t>Z57324924</t>
  </si>
  <si>
    <t>DLS-X0425</t>
  </si>
  <si>
    <t>C(NC=1C=CN=CC1)C2CCCO2</t>
  </si>
  <si>
    <t>Z1267882044</t>
  </si>
  <si>
    <t>DLS-X0426</t>
  </si>
  <si>
    <t>CN(C)S(=O)(=O)N1CCN(C)CC1</t>
  </si>
  <si>
    <t>Z2735592898</t>
  </si>
  <si>
    <t>DLS-X0427</t>
  </si>
  <si>
    <t>CN1CCC[C@H](C1)OC(=O)C2=CC=CO2</t>
  </si>
  <si>
    <t>Z2940170964</t>
  </si>
  <si>
    <t>DLS-X0428</t>
  </si>
  <si>
    <t>CS(=O)(=O)NCCC=1C=CC=CC1</t>
  </si>
  <si>
    <t>Z45617795</t>
  </si>
  <si>
    <t>DLS-X0429</t>
  </si>
  <si>
    <t>OCC1=CN(N=N1)C=2C=CC(Cl)=C(Cl)C2</t>
  </si>
  <si>
    <t>Z1891776064</t>
  </si>
  <si>
    <t>DLS-X0430</t>
  </si>
  <si>
    <t>CCN1C=C(CCO)C=N1</t>
  </si>
  <si>
    <t>Z1674937530</t>
  </si>
  <si>
    <t>DLS-X0431</t>
  </si>
  <si>
    <t>CCN1C=CC(CNC)=N1</t>
  </si>
  <si>
    <t>Z2856434888</t>
  </si>
  <si>
    <t>DLS-X0432</t>
  </si>
  <si>
    <t>O=C1CN(CC=2C=CC=CC2)CC(=O)N1</t>
  </si>
  <si>
    <t>Z2856434910</t>
  </si>
  <si>
    <t>DLS-X0433</t>
  </si>
  <si>
    <t>CN(C)C=1C=CN=CC1</t>
  </si>
  <si>
    <t>Z2856434762</t>
  </si>
  <si>
    <t>DLS-X0434</t>
  </si>
  <si>
    <t>CC(CS(=O)(=O)N)C=1C=CC=CC1</t>
  </si>
  <si>
    <t>Z1407673036</t>
  </si>
  <si>
    <t>DLS-X0435</t>
  </si>
  <si>
    <t>CC(=O)NC(C)(C1CC1)C(=O)O</t>
  </si>
  <si>
    <t>Z1259162160</t>
  </si>
  <si>
    <t>DLS-X0437</t>
  </si>
  <si>
    <t>CC(N)C1=CN(N=N1)C=2C=CC=CC2</t>
  </si>
  <si>
    <t>Z2527301677</t>
  </si>
  <si>
    <t>DLS-X0439</t>
  </si>
  <si>
    <t>FC(F)(F)CC(=O)N1CCNCC1</t>
  </si>
  <si>
    <t>Z1262246195</t>
  </si>
  <si>
    <t>DLS-X0440</t>
  </si>
  <si>
    <t>CC(C)N1C=NC(=C1)S(=O)(=O)N</t>
  </si>
  <si>
    <t>Z1509882419</t>
  </si>
  <si>
    <t>DLS-X0441</t>
  </si>
  <si>
    <t>CC(=O)NC=1C=CC(CC(=O)N)=CC1</t>
  </si>
  <si>
    <t>Z87615031</t>
  </si>
  <si>
    <t>DLS-X0442</t>
  </si>
  <si>
    <t>CCOC=1C=CC=CC1N2CCNCC2</t>
  </si>
  <si>
    <t>Z425387594</t>
  </si>
  <si>
    <t>DLS-X0443</t>
  </si>
  <si>
    <t>CC(=O)NC=1C=CC(C)=C2NCCCC12</t>
  </si>
  <si>
    <t>Z1650168321</t>
  </si>
  <si>
    <t>DLS-X0444</t>
  </si>
  <si>
    <t>CN(C)S(=O)(=O)C=1C(C)=NNC1C</t>
  </si>
  <si>
    <t>Z94597856</t>
  </si>
  <si>
    <t>DLS-X0445</t>
  </si>
  <si>
    <t>CC(N)C=1C=CC(=CC1)C=2C=NC=NC2</t>
  </si>
  <si>
    <t>Z1696822287</t>
  </si>
  <si>
    <t>DLS-X0446</t>
  </si>
  <si>
    <t>CC1=NNC(C)=C1C=2C=CC=CC2N</t>
  </si>
  <si>
    <t>Z1270312110</t>
  </si>
  <si>
    <t>DLS-X0447</t>
  </si>
  <si>
    <t>NC(=O)C(O)C1CCOCC1</t>
  </si>
  <si>
    <t>Z1312590981</t>
  </si>
  <si>
    <t>DLS-X0448</t>
  </si>
  <si>
    <t>CC=1C=CC(CC(=O)NC2=NC=CS2)=CC1</t>
  </si>
  <si>
    <t>Z90713255</t>
  </si>
  <si>
    <t>DLS-X0449</t>
  </si>
  <si>
    <t>CNC(=O)NCC=1C(F)=CC=CC1Cl</t>
  </si>
  <si>
    <t>Z933840894</t>
  </si>
  <si>
    <t>DLS-X0450</t>
  </si>
  <si>
    <t>CC(C)NC(=O)N(C)CC=1C=NN(C)C1</t>
  </si>
  <si>
    <t>Z183344018</t>
  </si>
  <si>
    <t>DLS-X0451</t>
  </si>
  <si>
    <t>CC(C)(C)N1CC(O)C1</t>
  </si>
  <si>
    <t>Z2856434900</t>
  </si>
  <si>
    <t>DLS-X0452</t>
  </si>
  <si>
    <t>CCC(=O)NC1=C(OC=2C=CC=CC12)C(=O)N</t>
  </si>
  <si>
    <t>Z108545814</t>
  </si>
  <si>
    <t>DLS-X0453</t>
  </si>
  <si>
    <t>NCC=1C=CC=CC1OC(F)(F)F</t>
  </si>
  <si>
    <t>Z2856434776</t>
  </si>
  <si>
    <t>DLS-X0454</t>
  </si>
  <si>
    <t>CC(C)C=1C=CC(CN2CCC(O)CC2)=CC1</t>
  </si>
  <si>
    <t>Z2856434874</t>
  </si>
  <si>
    <t>DLS-X0455</t>
  </si>
  <si>
    <t>CC(=O)NC1=CC=CC2=NON=C12</t>
  </si>
  <si>
    <t>Z2027158783</t>
  </si>
  <si>
    <t>DLS-X0456</t>
  </si>
  <si>
    <t>CCC(CC)C(=O)NC1=NC=CS1</t>
  </si>
  <si>
    <t>Z28173817</t>
  </si>
  <si>
    <t>DLS-X0457</t>
  </si>
  <si>
    <t>CC(=O)NCCC1=CNC=2C=CC(F)=CC12</t>
  </si>
  <si>
    <t>Z1220452176</t>
  </si>
  <si>
    <t>DLS-X0458</t>
  </si>
  <si>
    <t>CC(C)(N)CN1CCCC1</t>
  </si>
  <si>
    <t>Z1741966630</t>
  </si>
  <si>
    <t>DLS-X0459</t>
  </si>
  <si>
    <t>CC(=O)NC=1C=NC=CC1C</t>
  </si>
  <si>
    <t>Z1129283193</t>
  </si>
  <si>
    <t>DLS-X0460</t>
  </si>
  <si>
    <t>NC=1C=CC(=CC1)S(=O)(=O)NC=2C=CC=CN2</t>
  </si>
  <si>
    <t>Z271004858</t>
  </si>
  <si>
    <t>DLS-X0461</t>
  </si>
  <si>
    <t>CC(=O)NCC=1C=NNC1</t>
  </si>
  <si>
    <t>Z383325512</t>
  </si>
  <si>
    <t>DLS-X0462</t>
  </si>
  <si>
    <t>FC=1C=CC=CC1CNC=2C=NNC2</t>
  </si>
  <si>
    <t>Z1454310449</t>
  </si>
  <si>
    <t>DLS-X0463</t>
  </si>
  <si>
    <t>CN(CC=1C=CC=C(F)C1)S(=O)(=O)N</t>
  </si>
  <si>
    <t>Z300245038</t>
  </si>
  <si>
    <t>DLS-X0464</t>
  </si>
  <si>
    <t>CC1=NOC(NC(=O)CC2CCCC2)=N1</t>
  </si>
  <si>
    <t>Z729726784</t>
  </si>
  <si>
    <t>DLS-X0466</t>
  </si>
  <si>
    <t>OC(=O)C=1C=CC(OCC=2C=CC=CC2)=CC1</t>
  </si>
  <si>
    <t>Z2856434845</t>
  </si>
  <si>
    <t>DLS-X0467</t>
  </si>
  <si>
    <t>CC(=O)NCC1(O)CCCC1</t>
  </si>
  <si>
    <t>Z1203329531</t>
  </si>
  <si>
    <t>DLS-X0468</t>
  </si>
  <si>
    <t>CC(=O)N1CCC(N)CC1</t>
  </si>
  <si>
    <t>Z90664455</t>
  </si>
  <si>
    <t>DLS-X0470</t>
  </si>
  <si>
    <t>COCC1=CC(=NO1)C(=O)N</t>
  </si>
  <si>
    <t>Z1273141646</t>
  </si>
  <si>
    <t>DLS-X0472</t>
  </si>
  <si>
    <t>CNC(C)C=1C=CC(F)=CC1</t>
  </si>
  <si>
    <t>Z166605480</t>
  </si>
  <si>
    <t>DLS-X0473</t>
  </si>
  <si>
    <t>NC=1C=CC=C(OCC=2C=CC=CC2)C1</t>
  </si>
  <si>
    <t>Z933326822</t>
  </si>
  <si>
    <t>DLS-X0474</t>
  </si>
  <si>
    <t>CC=1N=CSC1C(=O)N2CCNC(=O)C2</t>
  </si>
  <si>
    <t>Z422344882</t>
  </si>
  <si>
    <t>DLS-X0475</t>
  </si>
  <si>
    <t>CS(=O)(=O)N1CCCC(C1)C(=O)O</t>
  </si>
  <si>
    <t>Z133632670</t>
  </si>
  <si>
    <t>DLS-X0476</t>
  </si>
  <si>
    <t>NC(=O)N1CCN(CC1)C=2C=CC(F)=CC2</t>
  </si>
  <si>
    <t>Z198194394</t>
  </si>
  <si>
    <t>DLS-X0477</t>
  </si>
  <si>
    <t>O=C(CC#N)N1CCC(CC=2C=CC=CC2)CC1</t>
  </si>
  <si>
    <t>Z1688493887</t>
  </si>
  <si>
    <t>DLS-X0478</t>
  </si>
  <si>
    <t>OC(=O)C=1C=CC=C(NC(=O)C2=CC=NO2)C1</t>
  </si>
  <si>
    <t>Z2856434931</t>
  </si>
  <si>
    <t>DLS-X0479</t>
  </si>
  <si>
    <t>COCC1=NN=C(N)S1</t>
  </si>
  <si>
    <t>Z57478994</t>
  </si>
  <si>
    <t>DLS-X0480</t>
  </si>
  <si>
    <t>FC=1C=CC(NC(=O)NN2C=NN=C2)=C(F)C1</t>
  </si>
  <si>
    <t>Z56259192</t>
  </si>
  <si>
    <t>DLS-X0481</t>
  </si>
  <si>
    <t>CCN1N=C(CC1=O)C(F)(F)F</t>
  </si>
  <si>
    <t>Z1268152398</t>
  </si>
  <si>
    <t>DLS-X0482</t>
  </si>
  <si>
    <t>CCC(CC)C(=O)NC=1C=CC=CC1O</t>
  </si>
  <si>
    <t>Z1331830630</t>
  </si>
  <si>
    <t>DLS-X0483</t>
  </si>
  <si>
    <t>CNCC=1C=CN=CC1</t>
  </si>
  <si>
    <t>Z2856434786</t>
  </si>
  <si>
    <t>DLS-X0484</t>
  </si>
  <si>
    <t>CCC1=NC(=NO1)C2CCCN2</t>
  </si>
  <si>
    <t>Z1350579414</t>
  </si>
  <si>
    <t>DLS-X0485</t>
  </si>
  <si>
    <t>CN1N=CC(Cl)=C1C(=O)N2CCCCC2</t>
  </si>
  <si>
    <t>Z275179946</t>
  </si>
  <si>
    <t>DLS-X0486</t>
  </si>
  <si>
    <t>COCCNC1CCN(CC1)C(=O)C</t>
  </si>
  <si>
    <t>Z2856434813</t>
  </si>
  <si>
    <t>DLS-X0487</t>
  </si>
  <si>
    <t>[O-]C(=O)COCC=1C=CC=CC1</t>
  </si>
  <si>
    <t>Z2856434906</t>
  </si>
  <si>
    <t>DLS-X0488</t>
  </si>
  <si>
    <t>COC(=O)C=1C=CN=CC1</t>
  </si>
  <si>
    <t>Z19684186</t>
  </si>
  <si>
    <t>DLS-X0489</t>
  </si>
  <si>
    <t>CNCC=1C=CC(=CC1)C(F)(F)F</t>
  </si>
  <si>
    <t>Z2856434809</t>
  </si>
  <si>
    <t>DLS-X0490</t>
  </si>
  <si>
    <t>C(C1CCOCC1)N2CCNCC2</t>
  </si>
  <si>
    <t>Z1267773591</t>
  </si>
  <si>
    <t>DLS-X0491</t>
  </si>
  <si>
    <t>CC1CCN(CC1)C=2C=CC(N)=CC2Cl</t>
  </si>
  <si>
    <t>Z57345491</t>
  </si>
  <si>
    <t>DLS-X0492</t>
  </si>
  <si>
    <t>CC(=O)N1CCC(CC1)C#N</t>
  </si>
  <si>
    <t>Z952656810</t>
  </si>
  <si>
    <t>DLS-X0493</t>
  </si>
  <si>
    <t>CC1CCCC1NCCO</t>
  </si>
  <si>
    <t>Z1396419547</t>
  </si>
  <si>
    <t>DLS-X0494</t>
  </si>
  <si>
    <t>CNC=1C=CC=CC1S(=O)(=O)C</t>
  </si>
  <si>
    <t>Z285782452</t>
  </si>
  <si>
    <t>DLS-X0495</t>
  </si>
  <si>
    <t>CC(=O)NC=1C=CC=CC1O</t>
  </si>
  <si>
    <t>Z57040482</t>
  </si>
  <si>
    <t>DLS-X0497</t>
  </si>
  <si>
    <t>NC=1C=CC=CC1OCC=2C=CC=CC2</t>
  </si>
  <si>
    <t>Z336089202</t>
  </si>
  <si>
    <t>DLS-X0498</t>
  </si>
  <si>
    <t>OCC1=CN(N=N1)C=2C=CC(Cl)=CC2</t>
  </si>
  <si>
    <t>Z1374778753</t>
  </si>
  <si>
    <t>DLS-X0499</t>
  </si>
  <si>
    <t>CS(=O)(=O)CC(O)C=1C=CC=CC1</t>
  </si>
  <si>
    <t>Z822382694</t>
  </si>
  <si>
    <t>DLS-X0500</t>
  </si>
  <si>
    <t>ONC(=O)C=1C=CC=2C=CC=CC2N1</t>
  </si>
  <si>
    <t>Z59181945</t>
  </si>
  <si>
    <t>DLS-X0501</t>
  </si>
  <si>
    <t>CNC=1N=CC=C(OC)N1</t>
  </si>
  <si>
    <t>Z281802060</t>
  </si>
  <si>
    <t>DLS-X0502</t>
  </si>
  <si>
    <t>CC=1C=C(N=C(C)N1)N2CCNCC2</t>
  </si>
  <si>
    <t>Z274575916</t>
  </si>
  <si>
    <t>DLS-X0503</t>
  </si>
  <si>
    <t>CC=1C=C2N=CN(CC(=O)N)C2=CC1C</t>
  </si>
  <si>
    <t>Z26251905</t>
  </si>
  <si>
    <t>DLS-X0504</t>
  </si>
  <si>
    <t>CC(=O)NC=1C=CC=CC1CC(=O)O</t>
  </si>
  <si>
    <t>Z1444783243</t>
  </si>
  <si>
    <t>DLS-X0505</t>
  </si>
  <si>
    <t>COC=1C=CC(=CC1)C(=O)C2CCNCC2</t>
  </si>
  <si>
    <t>Z1741973467</t>
  </si>
  <si>
    <t>DLS-X0506</t>
  </si>
  <si>
    <t>CC=1C=CC=CC1CC(=O)N</t>
  </si>
  <si>
    <t>Z52214433</t>
  </si>
  <si>
    <t>DLS-X0507</t>
  </si>
  <si>
    <t>NCC1=CC(=NO1)C=2C=CC=CC2</t>
  </si>
  <si>
    <t>Z425449682</t>
  </si>
  <si>
    <t>DLS-X0508</t>
  </si>
  <si>
    <t>CCC(=O)NC=1C=CC=2NC(=O)NC2C1</t>
  </si>
  <si>
    <t>DLS-X0509</t>
  </si>
  <si>
    <t>CCOC=1C=CC(=CN1)C(=O)N</t>
  </si>
  <si>
    <t>Z458894644</t>
  </si>
  <si>
    <t>DLS-X0510</t>
  </si>
  <si>
    <t>CC1=NC=2C=CC=CC2N1CCC(=O)N</t>
  </si>
  <si>
    <t>Z53116498</t>
  </si>
  <si>
    <t>DLS-X0511</t>
  </si>
  <si>
    <t>CC(=O)NC1=NC=C(CC=2C=CC=C(C)C2)S1</t>
  </si>
  <si>
    <t>Z57080305</t>
  </si>
  <si>
    <t>DLS-X0512</t>
  </si>
  <si>
    <t>C1=CSC(=C1)C2=NC=CN2</t>
  </si>
  <si>
    <t>Z744754722</t>
  </si>
  <si>
    <t>DLS-X0513</t>
  </si>
  <si>
    <t>CC(=O)NCC1CNCCO1</t>
  </si>
  <si>
    <t>Z1269638430</t>
  </si>
  <si>
    <t>DLS-X0514</t>
  </si>
  <si>
    <t>COC(C)C1=NC(=CS1)C=2C=NOC2C</t>
  </si>
  <si>
    <t>Z1945710531</t>
  </si>
  <si>
    <t>DLS-X0515</t>
  </si>
  <si>
    <t>CC(=O)N1CC(C1)C(=O)O</t>
  </si>
  <si>
    <t>Z1868430535</t>
  </si>
  <si>
    <t>DLS-X0517</t>
  </si>
  <si>
    <t>CNCCC1CCCCC1</t>
  </si>
  <si>
    <t>Z2856434901</t>
  </si>
  <si>
    <t>DLS-X0518</t>
  </si>
  <si>
    <t>COC(=O)NC=1C=CC(CC=2C=CN=CC2)=CC1</t>
  </si>
  <si>
    <t>Z57190020</t>
  </si>
  <si>
    <t>DLS-X0519</t>
  </si>
  <si>
    <t>CC1CCN(CC1)C(=O)CC(F)(F)F</t>
  </si>
  <si>
    <t>Z316425948</t>
  </si>
  <si>
    <t>DLS-X0520</t>
  </si>
  <si>
    <t>CC(C)C(N)C(=O)N1CCOCC1</t>
  </si>
  <si>
    <t>Z927400026</t>
  </si>
  <si>
    <t>DLS-X0521</t>
  </si>
  <si>
    <t>COC(=O)C=1C=CC(=CC1)S(=O)(=O)N</t>
  </si>
  <si>
    <t>Z18197050</t>
  </si>
  <si>
    <t>DLS-X0522</t>
  </si>
  <si>
    <t>CCCN1N=CC=C1C=2C=CN=CC2</t>
  </si>
  <si>
    <t>Z1381484542</t>
  </si>
  <si>
    <t>DLS-X0523</t>
  </si>
  <si>
    <t>CC(NS(=O)(=O)C)C=1C=CC=CC1Cl</t>
  </si>
  <si>
    <t>Z133729708</t>
  </si>
  <si>
    <t>DLS-X0525</t>
  </si>
  <si>
    <t>CN1CCN(CC1)C(=O)NC=2C=CC=CC2</t>
  </si>
  <si>
    <t>Z2856434890</t>
  </si>
  <si>
    <t>DLS-X0526</t>
  </si>
  <si>
    <t>CN(C)C(=O)N1CCOCC21CCOC2</t>
  </si>
  <si>
    <t>Z1998104358</t>
  </si>
  <si>
    <t>DLS-X0527</t>
  </si>
  <si>
    <t>CC1=NOC(CN2CCC(CO)CC2)=N1</t>
  </si>
  <si>
    <t>Z416877194</t>
  </si>
  <si>
    <t>DLS-X0528</t>
  </si>
  <si>
    <t>CC(C)NC1=NC=2C=CC=CC2N1</t>
  </si>
  <si>
    <t>Z2467208649</t>
  </si>
  <si>
    <t>DLS-X0529</t>
  </si>
  <si>
    <t>CNC(=O)C=1C=CC(CS(=O)(=O)C)=CC1</t>
  </si>
  <si>
    <t>Z30272045</t>
  </si>
  <si>
    <t>DLS-X0530</t>
  </si>
  <si>
    <t>CN(C)S(=O)(=O)C=1C=NNC1</t>
  </si>
  <si>
    <t>Z805551440</t>
  </si>
  <si>
    <t>DLS-X0531</t>
  </si>
  <si>
    <t>CS(=O)(=O)NCCC=1C=CC(F)=CC1</t>
  </si>
  <si>
    <t>Z45705015</t>
  </si>
  <si>
    <t>DLS-X0532</t>
  </si>
  <si>
    <t>NC=1C=CC=CC1N2CCOCC2</t>
  </si>
  <si>
    <t>Z56785490</t>
  </si>
  <si>
    <t>DLS-X0533</t>
  </si>
  <si>
    <t>CC1=CSC(NCC2CCCO2)=N1</t>
  </si>
  <si>
    <t>Z48852953</t>
  </si>
  <si>
    <t>DLS-X0534</t>
  </si>
  <si>
    <t>O=C(CC#N)NC1CCCCC1</t>
  </si>
  <si>
    <t>Z56813508</t>
  </si>
  <si>
    <t>DLS-X0535</t>
  </si>
  <si>
    <t>C1=CSC(=N1)C2=NN=CN2</t>
  </si>
  <si>
    <t>Z2027049478</t>
  </si>
  <si>
    <t>DLS-X0536</t>
  </si>
  <si>
    <t>COC=1C=CC(Br)=CC1CNC(=O)C</t>
  </si>
  <si>
    <t>Z955369596</t>
  </si>
  <si>
    <t>DLS-X0537</t>
  </si>
  <si>
    <t>CC=1SC(N)=NC1C=2C=CC(C)=C(C)C2</t>
  </si>
  <si>
    <t>Z48847633</t>
  </si>
  <si>
    <t>DLS-X0538</t>
  </si>
  <si>
    <t>CC=1C=CC=CC1N2C=C(N=N2)C(=O)O</t>
  </si>
  <si>
    <t>Z2327226104</t>
  </si>
  <si>
    <t>DLS-X0539</t>
  </si>
  <si>
    <t>CC(=O)NCCC=1C=CC(=CC1)S(=O)(=O)N</t>
  </si>
  <si>
    <t>Z30857828</t>
  </si>
  <si>
    <t>DLS-X0540</t>
  </si>
  <si>
    <t>CCOC(=O)C=1SC(=NC1C)N(C)C(=O)C</t>
  </si>
  <si>
    <t>Z1230032143</t>
  </si>
  <si>
    <t>DLS-X0541</t>
  </si>
  <si>
    <t>OCC=1C=CC=CC1N2CCOCC2</t>
  </si>
  <si>
    <t>Z235361235</t>
  </si>
  <si>
    <t>DLS-X0542</t>
  </si>
  <si>
    <t>NC=1N=CC=C(N1)C=2C=CC(Cl)=CC2</t>
  </si>
  <si>
    <t>Z363993198</t>
  </si>
  <si>
    <t>DLS-X0543</t>
  </si>
  <si>
    <t>CCC1=NC(=NO1)C=2C=CC(Cl)=CC2</t>
  </si>
  <si>
    <t>Z57792053</t>
  </si>
  <si>
    <t>DLS-X0544</t>
  </si>
  <si>
    <t>CCOC(=O)NC=1SC=CC1C(=O)N</t>
  </si>
  <si>
    <t>Z64450924</t>
  </si>
  <si>
    <t>DLS-X0545</t>
  </si>
  <si>
    <t>CC(=O)N1CCCC(O)(C1)C(=O)O</t>
  </si>
  <si>
    <t>Z2293643386</t>
  </si>
  <si>
    <t>DLS-X0547</t>
  </si>
  <si>
    <t>CCOC(=O)NC=1C=CC=C(Cl)C1</t>
  </si>
  <si>
    <t>Z31697001</t>
  </si>
  <si>
    <t>DLS-X0549</t>
  </si>
  <si>
    <t>CCOC(=O)N1CCOCC1</t>
  </si>
  <si>
    <t>Z31721097</t>
  </si>
  <si>
    <t>DLS-X0550</t>
  </si>
  <si>
    <t>CNC(C)C=1SC(C)=NC1C</t>
  </si>
  <si>
    <t>Z1266823232</t>
  </si>
  <si>
    <t>DLS-X0552</t>
  </si>
  <si>
    <t>CC(CO)N(C)C=1N=CC(Cl)=CN1</t>
  </si>
  <si>
    <t>Z1546887028</t>
  </si>
  <si>
    <t>DLS-X0553</t>
  </si>
  <si>
    <t>CN1CCC[C@@H]1CO</t>
  </si>
  <si>
    <t>Z2856434905</t>
  </si>
  <si>
    <t>DLS-X0554</t>
  </si>
  <si>
    <t>CC(=O)N1CCCNCC1</t>
  </si>
  <si>
    <t>Z168883358</t>
  </si>
  <si>
    <t>DLS-X0555</t>
  </si>
  <si>
    <t>CCN(CC)C(=O)C1=CC(C)=NO1</t>
  </si>
  <si>
    <t>Z135439900</t>
  </si>
  <si>
    <t>DLS-X0556</t>
  </si>
  <si>
    <t>OCC=1C=CC(=CC1)N2C=NC=3C=CC=CC23</t>
  </si>
  <si>
    <t>Z235449082</t>
  </si>
  <si>
    <t>DLS-X0557</t>
  </si>
  <si>
    <t>CNC=1N=CC(=CC1Cl)C(F)(F)F</t>
  </si>
  <si>
    <t>Z54628157</t>
  </si>
  <si>
    <t>DLS-X0558</t>
  </si>
  <si>
    <t>CC(=O)NC=1C=CC(OC=2N=CC=CN2)=CC1</t>
  </si>
  <si>
    <t>Z54571979</t>
  </si>
  <si>
    <t>DLS-X0559</t>
  </si>
  <si>
    <t>CN1CCCC=2C=CC(=CC12)S(=O)(=O)N</t>
  </si>
  <si>
    <t>Z1367324110</t>
  </si>
  <si>
    <t>DLS-X0560</t>
  </si>
  <si>
    <t>CC(N)C=1C=CC(=CC1)N2CCOCC2</t>
  </si>
  <si>
    <t>Z1259341012</t>
  </si>
  <si>
    <t>DLS-X0561</t>
  </si>
  <si>
    <t>CC(=O)NC1CNC=2C=CC=CC2C1</t>
  </si>
  <si>
    <t>Z1492796719</t>
  </si>
  <si>
    <t>DLS-X0562</t>
  </si>
  <si>
    <t>CNC1(CCCC1)C(=O)N</t>
  </si>
  <si>
    <t>Z1348559502</t>
  </si>
  <si>
    <t>DLS-X0563</t>
  </si>
  <si>
    <t>CC1CN(CCO1)C(=O)C=2C=NC=CN2</t>
  </si>
  <si>
    <t>Z212851096</t>
  </si>
  <si>
    <t>DLS-X0564</t>
  </si>
  <si>
    <t>CS(=O)(=O)NC=1C=CC(CN)=CC1</t>
  </si>
  <si>
    <t>Z426041412</t>
  </si>
  <si>
    <t>DLS-X0565</t>
  </si>
  <si>
    <t>CNC1CCCN(C1=O)C=2C=CC=CC2</t>
  </si>
  <si>
    <t>Z1212984951</t>
  </si>
  <si>
    <t>DLS-X0566</t>
  </si>
  <si>
    <t>OC1CN(C1)C(C=2C=CC=CC2)C=3C=CC=CC3</t>
  </si>
  <si>
    <t>Z1741964527</t>
  </si>
  <si>
    <t>DLS-X0567</t>
  </si>
  <si>
    <t>CC(=O)C=1C=CC=C(NC(=O)N2CCOCC2)C1</t>
  </si>
  <si>
    <t>Z274555794</t>
  </si>
  <si>
    <t>DLS-X0568</t>
  </si>
  <si>
    <t>OC(=O)CCN1CCCCC1</t>
  </si>
  <si>
    <t>Z53115945</t>
  </si>
  <si>
    <t>DLS-X0569</t>
  </si>
  <si>
    <t>OCCN1CCOCC1</t>
  </si>
  <si>
    <t>Z2856434843</t>
  </si>
  <si>
    <t>DLS-X0570</t>
  </si>
  <si>
    <t>CN(C)CC=1C=CC(C#N)=CC1</t>
  </si>
  <si>
    <t>Z2856434815</t>
  </si>
  <si>
    <t>DLS-X0571</t>
  </si>
  <si>
    <t>CNC1CCCCC1S(=O)(=O)C</t>
  </si>
  <si>
    <t>Z1259161657</t>
  </si>
  <si>
    <t>DLS-X0572</t>
  </si>
  <si>
    <t>CC(=O)N1C[C@H](O)C[C@@H]1C(=O)O</t>
  </si>
  <si>
    <t>Z1824511473</t>
  </si>
  <si>
    <t>DLS-X0573</t>
  </si>
  <si>
    <t>C1CC1C2=NOC(=N2)C3CCNC3</t>
  </si>
  <si>
    <t>Z2177153697</t>
  </si>
  <si>
    <t>DLS-X0575</t>
  </si>
  <si>
    <t>CN1C=C(OC=2N=CN=CC2Cl)C=N1</t>
  </si>
  <si>
    <t>Z1918536193</t>
  </si>
  <si>
    <t>DLS-X0576</t>
  </si>
  <si>
    <t>CN(CCC#N)S(=O)(=O)C=1C=CC(C)=CC1</t>
  </si>
  <si>
    <t>Z45515569</t>
  </si>
  <si>
    <t>DLS-X0577</t>
  </si>
  <si>
    <t>CCCC(=O)NC=1N=NN(CC)N1</t>
  </si>
  <si>
    <t>Z57475877</t>
  </si>
  <si>
    <t>DLS-X0578</t>
  </si>
  <si>
    <t>CC(=O)NCCC=1C=CC=CC1C</t>
  </si>
  <si>
    <t>Z52314092</t>
  </si>
  <si>
    <t>DLS-X0579</t>
  </si>
  <si>
    <t>CCC1=NN=C(NC(=O)CN(C)C)S1</t>
  </si>
  <si>
    <t>Z2856434846</t>
  </si>
  <si>
    <t>DLS-X0580</t>
  </si>
  <si>
    <t>CC(C)C(N)C1=NC(C)=NO1</t>
  </si>
  <si>
    <t>Z1267773566</t>
  </si>
  <si>
    <t>DLS-X0581</t>
  </si>
  <si>
    <t>CCC1=NC=C(CNC)S1</t>
  </si>
  <si>
    <t>Z1267773633</t>
  </si>
  <si>
    <t>DLS-X0583</t>
  </si>
  <si>
    <t>OC(=O)CN1CCC(CC1)C=2C=CC=CC2</t>
  </si>
  <si>
    <t>Z287148438</t>
  </si>
  <si>
    <t>DLS-X0584</t>
  </si>
  <si>
    <t>CCNCC1=CN(C)N=N1</t>
  </si>
  <si>
    <t>Z1271660837</t>
  </si>
  <si>
    <t>DLS-X0585</t>
  </si>
  <si>
    <t>CNC(=O)CCC1CCCCC1</t>
  </si>
  <si>
    <t>Z32016974</t>
  </si>
  <si>
    <t>DLS-X0586</t>
  </si>
  <si>
    <t>CCN(CCO)C=1C=CC(N)=CC1</t>
  </si>
  <si>
    <t>Z752989138</t>
  </si>
  <si>
    <t>DLS-X0588</t>
  </si>
  <si>
    <t>NC(=O)C1CCC(F)(F)CC1</t>
  </si>
  <si>
    <t>Z1526748660</t>
  </si>
  <si>
    <t>DLS-X0589</t>
  </si>
  <si>
    <t>COC=1C=CC=2C=NNC(=O)C2C1OC</t>
  </si>
  <si>
    <t>Z102895082</t>
  </si>
  <si>
    <t>DLS-X0590</t>
  </si>
  <si>
    <t>CC(=O)NC=1C=CC=C(C(=O)O)C1C</t>
  </si>
  <si>
    <t>Z364368134</t>
  </si>
  <si>
    <t>DLS-X0593</t>
  </si>
  <si>
    <t>CC=1C=C(F)C=CC1CS(=O)(=O)N</t>
  </si>
  <si>
    <t>Z1849009686</t>
  </si>
  <si>
    <t>DLS-X0594</t>
  </si>
  <si>
    <t>CC(C)OC=1C=CC(=CC1)C2=CSC(N)=N2</t>
  </si>
  <si>
    <t>Z969560308</t>
  </si>
  <si>
    <t>DLS-X0595</t>
  </si>
  <si>
    <t>CNS(=O)(=O)C=1C=CC=C(C)C1F</t>
  </si>
  <si>
    <t>Z1639162606</t>
  </si>
  <si>
    <t>DLS-X0596</t>
  </si>
  <si>
    <t>NC=1C=C(C=CC1N2CCCCC2)C(F)(F)F</t>
  </si>
  <si>
    <t>Z56792776</t>
  </si>
  <si>
    <t>DLS-X0597</t>
  </si>
  <si>
    <t>CN1C=C(C(=O)N)C(=N1)C2CCCNC2</t>
  </si>
  <si>
    <t>Z2377835233</t>
  </si>
  <si>
    <t>DLS-X0599</t>
  </si>
  <si>
    <t>CC(=O)NC1=CC(=CC(=C1)C(=O)N)C(=O)N</t>
  </si>
  <si>
    <t>Z33486130</t>
  </si>
  <si>
    <t>DLS-X0601</t>
  </si>
  <si>
    <t>CCN(C)C(=O)C=1C=CC=C(N)C1</t>
  </si>
  <si>
    <t>Z2092370954</t>
  </si>
  <si>
    <t>DLS-X0602</t>
  </si>
  <si>
    <t>CNCC1COC=2C=CC=CC2O1</t>
  </si>
  <si>
    <t>Z1891773476</t>
  </si>
  <si>
    <t>DLS-X0603</t>
  </si>
  <si>
    <t>NC(=S)NC=1C=CC=CC1OC(F)(F)F</t>
  </si>
  <si>
    <t>Z291279160</t>
  </si>
  <si>
    <t>DLS-X0604</t>
  </si>
  <si>
    <t>ClC=1SN=NC1CN2CCOCC2</t>
  </si>
  <si>
    <t>Z2856434925</t>
  </si>
  <si>
    <t>DLS-X0605</t>
  </si>
  <si>
    <t>CS(=O)(=O)NC1CCNCC1</t>
  </si>
  <si>
    <t>Z212045094</t>
  </si>
  <si>
    <t>DLS-X0606</t>
  </si>
  <si>
    <t>NC(=O)NC=1C=CC(=CC1)C=2C=CC=CC2</t>
  </si>
  <si>
    <t>Z198195774</t>
  </si>
  <si>
    <t>DLS-X0607</t>
  </si>
  <si>
    <t>CCC(=O)NC=1C=CC=C(N)C1C</t>
  </si>
  <si>
    <t>Z235361315</t>
  </si>
  <si>
    <t>DLS-X0608</t>
  </si>
  <si>
    <t>CNS(=O)(=O)CC1CCCCC1</t>
  </si>
  <si>
    <t>Z1003207278</t>
  </si>
  <si>
    <t>DLS-X0609</t>
  </si>
  <si>
    <t>NC(=S)NC=1C=CC(OC(F)(F)F)=CC1</t>
  </si>
  <si>
    <t>Z1741960769</t>
  </si>
  <si>
    <t>DLS-X0610</t>
  </si>
  <si>
    <t>N#CCCN1CCOCC1</t>
  </si>
  <si>
    <t>Z2856434767</t>
  </si>
  <si>
    <t>DLS-X0611</t>
  </si>
  <si>
    <t>COC=1C=CC(=CC1)C(=O)NCC(=O)N</t>
  </si>
  <si>
    <t>Z33546965</t>
  </si>
  <si>
    <t>DLS-X0612</t>
  </si>
  <si>
    <t>CCOC(=O)C=1C=COC1</t>
  </si>
  <si>
    <t>Z293079056</t>
  </si>
  <si>
    <t>DLS-X0613</t>
  </si>
  <si>
    <t>CC(O)COC=1C=CC=C(F)C1</t>
  </si>
  <si>
    <t>Z1250132544</t>
  </si>
  <si>
    <t>DLS-X0614</t>
  </si>
  <si>
    <t>CC1COCCN1CCN</t>
  </si>
  <si>
    <t>Z1263811695</t>
  </si>
  <si>
    <t>DLS-X0615</t>
  </si>
  <si>
    <t>COC=1C=CC(=CC1)C(N)C(=O)O</t>
  </si>
  <si>
    <t>Z56755722</t>
  </si>
  <si>
    <t>DLS-X0616</t>
  </si>
  <si>
    <t>CCOC=1C(F)=CC=CC1C(=O)N(C)C</t>
  </si>
  <si>
    <t>Z1273312142</t>
  </si>
  <si>
    <t>DLS-X0617</t>
  </si>
  <si>
    <t>CC1CNCCN1CCO</t>
  </si>
  <si>
    <t>Z1741794237</t>
  </si>
  <si>
    <t>DLS-X0618</t>
  </si>
  <si>
    <t>CC(=O)NC=1C=CC=C(NC(=O)N)C1</t>
  </si>
  <si>
    <t>Z198195770</t>
  </si>
  <si>
    <t>DLS-X0619</t>
  </si>
  <si>
    <t>CCNC=1N=CC=CC1C</t>
  </si>
  <si>
    <t>Z1992316287</t>
  </si>
  <si>
    <t>DLS-X0620</t>
  </si>
  <si>
    <t>CC(=O)NCC1=CN=CS1</t>
  </si>
  <si>
    <t>Z1667545918</t>
  </si>
  <si>
    <t>DLS-X0621</t>
  </si>
  <si>
    <t>CC(=O)N1CC=2C=CC(N)=CC2C1</t>
  </si>
  <si>
    <t>Z1354416068</t>
  </si>
  <si>
    <t>DLS-X0622</t>
  </si>
  <si>
    <t>CN(C)C(=O)C=1C=CC(F)=CC1Br</t>
  </si>
  <si>
    <t>Z100642432</t>
  </si>
  <si>
    <t>DLS-X0623</t>
  </si>
  <si>
    <t>CC(N)C1=NC(CC=2C=CC=CC2)=NO1</t>
  </si>
  <si>
    <t>Z2442288995</t>
  </si>
  <si>
    <t>DLS-X0624</t>
  </si>
  <si>
    <t>N(C1=NN=CS1)C=2C=CC=CC2</t>
  </si>
  <si>
    <t>Z56347187</t>
  </si>
  <si>
    <t>DLS-X0625</t>
  </si>
  <si>
    <t>CC(=O)NC=1C=CC(F)=C(C1)C(=O)O</t>
  </si>
  <si>
    <t>Z364321922</t>
  </si>
  <si>
    <t>DLS-X0627</t>
  </si>
  <si>
    <t>CCS(=O)(=O)NC=1C=CC=CC1F</t>
  </si>
  <si>
    <t>Z53825177</t>
  </si>
  <si>
    <t>DLS-X0629</t>
  </si>
  <si>
    <t>CC1=CN=C(S1)N2CCNCC2</t>
  </si>
  <si>
    <t>Z1741975423</t>
  </si>
  <si>
    <t>DLS-X0630</t>
  </si>
  <si>
    <t>CC=1C=CC(CS(=O)(=O)N)=CC1F</t>
  </si>
  <si>
    <t>Z1703168683</t>
  </si>
  <si>
    <t>DLS-X0632</t>
  </si>
  <si>
    <t>CC(=O)NC=1C=CC(OC(=O)N2CCCC2)=CC1</t>
  </si>
  <si>
    <t>Z274555566</t>
  </si>
  <si>
    <t>DLS-X0633</t>
  </si>
  <si>
    <t>CNS(=O)(=O)CC=1C=C(C)ON1</t>
  </si>
  <si>
    <t>Z763030030</t>
  </si>
  <si>
    <t>DLS-X0634</t>
  </si>
  <si>
    <t>CC1=CC(=NO1)C2CCCN2S(=O)(=O)C</t>
  </si>
  <si>
    <t>Z319891284</t>
  </si>
  <si>
    <t>DLS-X0635</t>
  </si>
  <si>
    <t>CC1=NC(CN2C=CC(C)=CC2=O)=CS1</t>
  </si>
  <si>
    <t>Z1134990241</t>
  </si>
  <si>
    <t>DLS-X0636</t>
  </si>
  <si>
    <t>CNCC=1C=CC=C(Cl)C1</t>
  </si>
  <si>
    <t>Z2856434770</t>
  </si>
  <si>
    <t>DLS-X0637</t>
  </si>
  <si>
    <t>CN(C1CCCCCC1)S(=O)(=O)C</t>
  </si>
  <si>
    <t>Z216450634</t>
  </si>
  <si>
    <t>DLS-X0638</t>
  </si>
  <si>
    <t>CC1=NN(C)C(C)=C1NC(=O)CC#N</t>
  </si>
  <si>
    <t>Z1688504114</t>
  </si>
  <si>
    <t>DLS-X0639</t>
  </si>
  <si>
    <t>CC=1C=CC=C(C1)C(=O)N2CCC(CC2)C(=O)N</t>
  </si>
  <si>
    <t>Z32400357</t>
  </si>
  <si>
    <t>DLS-X0640</t>
  </si>
  <si>
    <t>CN(C(=O)C)C=1C=CC=NC1</t>
  </si>
  <si>
    <t>Z1203252645</t>
  </si>
  <si>
    <t>DLS-X0641</t>
  </si>
  <si>
    <t>COCC(=O)NC=1C=CC=CC1</t>
  </si>
  <si>
    <t>Z31504642</t>
  </si>
  <si>
    <t>DLS-X0642</t>
  </si>
  <si>
    <t>COCC(=O)NC1=NC(=CS1)C=2C=CC=CC2</t>
  </si>
  <si>
    <t>Z62645406</t>
  </si>
  <si>
    <t>DLS-X0643</t>
  </si>
  <si>
    <t>O=C(N1CCOCC1)C2=CSN=N2</t>
  </si>
  <si>
    <t>Z741055844</t>
  </si>
  <si>
    <t>DLS-X0644</t>
  </si>
  <si>
    <t>CCNC1CCN(CC1)C=2C=CN=CC2</t>
  </si>
  <si>
    <t>Z2065616520</t>
  </si>
  <si>
    <t>DLS-X0645</t>
  </si>
  <si>
    <t>COC=1C=CC=NC1C#N</t>
  </si>
  <si>
    <t>Z1955122823</t>
  </si>
  <si>
    <t>DLS-X0646</t>
  </si>
  <si>
    <t>CC(C)(C(=O)N)C=1C=CC=CC1</t>
  </si>
  <si>
    <t>Z270979606</t>
  </si>
  <si>
    <t>DLS-X0647</t>
  </si>
  <si>
    <t>CN(C)C(=O)C1(CC1)C(=O)O</t>
  </si>
  <si>
    <t>Z1874937335</t>
  </si>
  <si>
    <t>DLS-X0648</t>
  </si>
  <si>
    <t>CC(=O)NCC1=NC=CN1</t>
  </si>
  <si>
    <t>DLS-X0649</t>
  </si>
  <si>
    <t>CN(C)CCN1C(=O)C=2C=CC=CC2C1=O</t>
  </si>
  <si>
    <t>Z2856434895</t>
  </si>
  <si>
    <t>DLS-X0650</t>
  </si>
  <si>
    <t>CC(O)C(=O)NCC=1C=CC=CN1</t>
  </si>
  <si>
    <t>Z1551688335</t>
  </si>
  <si>
    <t>DLS-X0651</t>
  </si>
  <si>
    <t>CCOC=1N=CC=CC1C(=O)N</t>
  </si>
  <si>
    <t>Z272156568</t>
  </si>
  <si>
    <t>DLS-X0652</t>
  </si>
  <si>
    <t>NC=1C=CC(=CC1)S(=O)(=O)NC=2C=CC=CC2</t>
  </si>
  <si>
    <t>Z56923284</t>
  </si>
  <si>
    <t>DLS-X0653</t>
  </si>
  <si>
    <t>CNC=1N=CC=NC1C#N</t>
  </si>
  <si>
    <t>Z1896597864</t>
  </si>
  <si>
    <t>DLS-X0654</t>
  </si>
  <si>
    <t>CCC(=O)NCC1=NN=C2CCCCN12</t>
  </si>
  <si>
    <t>Z438067480</t>
  </si>
  <si>
    <t>DLS-X0656</t>
  </si>
  <si>
    <t>CCC=1C=CC(=CC1)C=2N=C(N)SC2C</t>
  </si>
  <si>
    <t>Z48847639</t>
  </si>
  <si>
    <t>DLS-X0657</t>
  </si>
  <si>
    <t>NNC(=O)C=1C=CC(OCC=2C=CC=CC2)=CC1</t>
  </si>
  <si>
    <t>Z58982727</t>
  </si>
  <si>
    <t>DLS-X0658</t>
  </si>
  <si>
    <t>O=C1NC=C(N2CCOCC2)C(=O)N1</t>
  </si>
  <si>
    <t>Z57282999</t>
  </si>
  <si>
    <t>DLS-X0659</t>
  </si>
  <si>
    <t>COC=1C=CC(=CC1)C(N)C=2C=CC=CC2</t>
  </si>
  <si>
    <t>Z2574937229</t>
  </si>
  <si>
    <t>DLS-X0660</t>
  </si>
  <si>
    <t>CN(C)C=1N=CN=C2SC(C)=C(C)C12</t>
  </si>
  <si>
    <t>Z31222641</t>
  </si>
  <si>
    <t>DLS-X0661</t>
  </si>
  <si>
    <t>OC=1N=CC(NC2CCCCC2)=C(O)N1</t>
  </si>
  <si>
    <t>Z57283017</t>
  </si>
  <si>
    <t>DLS-X0663</t>
  </si>
  <si>
    <t>CC1=NC(=NO1)C=2C=CC=CC2</t>
  </si>
  <si>
    <t>Z57791725</t>
  </si>
  <si>
    <t>DLS-X0664</t>
  </si>
  <si>
    <t>CC=1C=C(F)C=C(C1)S(=O)(=O)N</t>
  </si>
  <si>
    <t>Z1324080698</t>
  </si>
  <si>
    <t>DLS-X0665</t>
  </si>
  <si>
    <t>CC(O)CN1C=CN=C1C</t>
  </si>
  <si>
    <t>Z1362754425</t>
  </si>
  <si>
    <t>DLS-X0666</t>
  </si>
  <si>
    <t>CC1=NOC(CC(N)C=2C=CC=CC2)=N1</t>
  </si>
  <si>
    <t>Z2442269480</t>
  </si>
  <si>
    <t>DLS-X0667</t>
  </si>
  <si>
    <t>CCC(NC)C=1C=CN=CC1</t>
  </si>
  <si>
    <t>Z1250132788</t>
  </si>
  <si>
    <t>DLS-X0668</t>
  </si>
  <si>
    <t>CNCC=1C=CC=C(OC)N1</t>
  </si>
  <si>
    <t>Z1603775714</t>
  </si>
  <si>
    <t>DLS-X0669</t>
  </si>
  <si>
    <t>CNC1(CO)CCOCC1</t>
  </si>
  <si>
    <t>Z1169060901</t>
  </si>
  <si>
    <t>DLS-X0670</t>
  </si>
  <si>
    <t>C[C@@H](CO)N(C)C=1N=CC=CC1F</t>
  </si>
  <si>
    <t>Z2017168803</t>
  </si>
  <si>
    <t>DLS-X0671</t>
  </si>
  <si>
    <t>CC1CCN(CC1)C(=O)CCCC=2C=CC=CC2</t>
  </si>
  <si>
    <t>Z419884046</t>
  </si>
  <si>
    <t>DLS-X0672</t>
  </si>
  <si>
    <t>CS(=O)(=O)N1CCC[C@@H]1CN</t>
  </si>
  <si>
    <t>Z1713595338</t>
  </si>
  <si>
    <t>DLS-X0673</t>
  </si>
  <si>
    <t>CC1CCC=2C=CC=CC2N1C(=O)C</t>
  </si>
  <si>
    <t>Z28870646</t>
  </si>
  <si>
    <t>DLS-X0674</t>
  </si>
  <si>
    <t>NC(=O)C1CCN(CC1)C(=O)CC#N</t>
  </si>
  <si>
    <t>Z57627041</t>
  </si>
  <si>
    <t>DLS-X0675</t>
  </si>
  <si>
    <t>COC=1C=CC=CC1C2=NN=CO2</t>
  </si>
  <si>
    <t>Z1359419878</t>
  </si>
  <si>
    <t>DLS-X0677</t>
  </si>
  <si>
    <t>CC=1C=CC(C(=O)N)=C(F)C1</t>
  </si>
  <si>
    <t>Z1343633025</t>
  </si>
  <si>
    <t>DLS-X0678</t>
  </si>
  <si>
    <t>CNC(=O)CN1CCNCC1</t>
  </si>
  <si>
    <t>Z85934875</t>
  </si>
  <si>
    <t>DLS-X0679</t>
  </si>
  <si>
    <t>CC=1NNC(=O)C1CCO</t>
  </si>
  <si>
    <t>Z1259155959</t>
  </si>
  <si>
    <t>DLS-X0680</t>
  </si>
  <si>
    <t>CC(OC=1C=CC(=CC1)C=2C=CC=CC2)C(=O)O</t>
  </si>
  <si>
    <t>Z111782404</t>
  </si>
  <si>
    <t>DLS-X0682</t>
  </si>
  <si>
    <t>CCN(CC)C=1C=CC=C(O)C1</t>
  </si>
  <si>
    <t>Z2856434814</t>
  </si>
  <si>
    <t>DLS-X0683</t>
  </si>
  <si>
    <t>COC=1C=C(NC(=O)C)C(OC)=CC1Cl</t>
  </si>
  <si>
    <t>Z26968795</t>
  </si>
  <si>
    <t>DLS-X0684</t>
  </si>
  <si>
    <t>COC=1C=CC=C2NC(=O)CCCC12</t>
  </si>
  <si>
    <t>Z1507502062</t>
  </si>
  <si>
    <t>DLS-X0686</t>
  </si>
  <si>
    <t>CC(=O)NC=1C=CC=CC1OCC=2C=CC=CC2</t>
  </si>
  <si>
    <t>Z26365442</t>
  </si>
  <si>
    <t>DLS-X0687</t>
  </si>
  <si>
    <t>CN1CCN(CC1)C(=O)CO</t>
  </si>
  <si>
    <t>Z228585842</t>
  </si>
  <si>
    <t>DLS-X0688</t>
  </si>
  <si>
    <t>CC=1C=C(ON1)C(=O)NCC2CCOC2</t>
  </si>
  <si>
    <t>Z384361454</t>
  </si>
  <si>
    <t>DLS-X0690</t>
  </si>
  <si>
    <t>NC(=O)C=1C=CC=2NCCC2C1</t>
  </si>
  <si>
    <t>Z2434225559</t>
  </si>
  <si>
    <t>DLS-X0691</t>
  </si>
  <si>
    <t>CN(CC(=O)O)C(=O)C=1C=CC(F)=CC1</t>
  </si>
  <si>
    <t>Z85895198</t>
  </si>
  <si>
    <t>DLS-X0692</t>
  </si>
  <si>
    <t>CC(C)(C)NC(=O)CN1C=CC(=N1)C(F)(F)F</t>
  </si>
  <si>
    <t>Z55009317</t>
  </si>
  <si>
    <t>DLS-X0693</t>
  </si>
  <si>
    <t>CC(CC=1C=CC(Br)=CC1)C(=O)N</t>
  </si>
  <si>
    <t>Z1551999220</t>
  </si>
  <si>
    <t>DLS-X0694</t>
  </si>
  <si>
    <t>CC(=O)NC1=CC(C)=NN1</t>
  </si>
  <si>
    <t>Z239136710</t>
  </si>
  <si>
    <t>DLS-X0695</t>
  </si>
  <si>
    <t>CCC(=O)NC=1C=CC(C)=CC1O</t>
  </si>
  <si>
    <t>Z33452106</t>
  </si>
  <si>
    <t>DLS-X0696</t>
  </si>
  <si>
    <t>CC(N)C(=O)NC1=CC(=NN1)C(F)(F)F</t>
  </si>
  <si>
    <t>Z1622626423</t>
  </si>
  <si>
    <t>DLS-X0697</t>
  </si>
  <si>
    <t>COC=1C=CC=CC1NC(=O)C2=CC=C(C)S2</t>
  </si>
  <si>
    <t>Z27797417</t>
  </si>
  <si>
    <t>DLS-X0698</t>
  </si>
  <si>
    <t>CNC(C)C=1C=NN(C)C1</t>
  </si>
  <si>
    <t>Z1437171658</t>
  </si>
  <si>
    <t>DLS-X0699</t>
  </si>
  <si>
    <t>CNC(=O)C1CNCCO1</t>
  </si>
  <si>
    <t>Z1636723439</t>
  </si>
  <si>
    <t>DLS-X0700</t>
  </si>
  <si>
    <t>CC(O)CCN1C=CC=N1</t>
  </si>
  <si>
    <t>Z1613492358</t>
  </si>
  <si>
    <t>DLS-X0701</t>
  </si>
  <si>
    <t>C(N1CCNCC1)C2=CSC=N2</t>
  </si>
  <si>
    <t>Z812517112</t>
  </si>
  <si>
    <t>DLS-X0702</t>
  </si>
  <si>
    <t>CC=1C=CC(NC(=O)C2=CC=CO2)=CC1O</t>
  </si>
  <si>
    <t>Z1430613384</t>
  </si>
  <si>
    <t>DLS-X0703</t>
  </si>
  <si>
    <t>O=C(COC=1C=CC=CC1)N2CCCC2</t>
  </si>
  <si>
    <t>Z19735981</t>
  </si>
  <si>
    <t>DLS-X0704</t>
  </si>
  <si>
    <t>CC(C)NC(=O)C=1C=C(C)N(C)N1</t>
  </si>
  <si>
    <t>Z733898630</t>
  </si>
  <si>
    <t>DLS-X0705</t>
  </si>
  <si>
    <t>C1OC=2C=CC(=CC2O1)C=3C=CNN3</t>
  </si>
  <si>
    <t>Z2204875953</t>
  </si>
  <si>
    <t>DLS-X0706</t>
  </si>
  <si>
    <t>CC(C)C=1C=CC(=CC1)C(=O)NC2=NN=CS2</t>
  </si>
  <si>
    <t>Z86416893</t>
  </si>
  <si>
    <t>DLS-X0707</t>
  </si>
  <si>
    <t>CC1CCCCN1C(=O)C=2C=NC=CN2</t>
  </si>
  <si>
    <t>Z32968340</t>
  </si>
  <si>
    <t>DLS-X0708</t>
  </si>
  <si>
    <t>CC(=O)NC(C1CCOCC1)C(=O)O</t>
  </si>
  <si>
    <t>Z1891772663</t>
  </si>
  <si>
    <t>DLS-X0709</t>
  </si>
  <si>
    <t>COC=1C=C(C=C(OC)C1OC)C(=O)O</t>
  </si>
  <si>
    <t>Z2734782702</t>
  </si>
  <si>
    <t>DLS-X0710</t>
  </si>
  <si>
    <t>CC(=O)NC=1C=CC=NC1C(=O)O</t>
  </si>
  <si>
    <t>Z1815155460</t>
  </si>
  <si>
    <t>DLS-X0712</t>
  </si>
  <si>
    <t>CCC1=CSC(=N1)C2=CNC=N2</t>
  </si>
  <si>
    <t>Z1530301542</t>
  </si>
  <si>
    <t>DLS-X0713</t>
  </si>
  <si>
    <t>CC1CN(C(=O)C)C=2C=CC=C(F)C2O1</t>
  </si>
  <si>
    <t>Z1730522163</t>
  </si>
  <si>
    <t>DLS-X0714</t>
  </si>
  <si>
    <t>CC(=O)NCC=1C=CC(=CC1)S(=O)(=O)N</t>
  </si>
  <si>
    <t>Z30932204</t>
  </si>
  <si>
    <t>DLS-X0715</t>
  </si>
  <si>
    <t>CNC(=O)C1CCCC=2SC(C)=NC12</t>
  </si>
  <si>
    <t>Z1904249627</t>
  </si>
  <si>
    <t>DLS-X0716</t>
  </si>
  <si>
    <t>CCNC(=O)N1CCN(CC1)C(=O)C</t>
  </si>
  <si>
    <t>Z44590919</t>
  </si>
  <si>
    <t>DLS-X0717</t>
  </si>
  <si>
    <t>CC(C)SC1=NN=C(NC(=O)C)S1</t>
  </si>
  <si>
    <t>Z1134240160</t>
  </si>
  <si>
    <t>DLS-X0718</t>
  </si>
  <si>
    <t>CCOC=1C=CC(CC(=O)O)=CC1</t>
  </si>
  <si>
    <t>Z2856434918</t>
  </si>
  <si>
    <t>DLS-X0719</t>
  </si>
  <si>
    <t>CC(=O)N1C[C@H]2CC[C@H]1C=3C=CC=CC23</t>
  </si>
  <si>
    <t>Z2017861827</t>
  </si>
  <si>
    <t>DLS-X0720</t>
  </si>
  <si>
    <t>NC(=O)CN1CCN(CC1)C(=O)C2=CC=CO2</t>
  </si>
  <si>
    <t>Z2856434793</t>
  </si>
  <si>
    <t>DLS-X0721</t>
  </si>
  <si>
    <t>CC1=NN(C)C=2C(O)=NN=CC12</t>
  </si>
  <si>
    <t>Z2301438417</t>
  </si>
  <si>
    <t>DLS-X0723</t>
  </si>
  <si>
    <t>CNC(=O)NC1=NC=2C=CC(OC)=CC2S1</t>
  </si>
  <si>
    <t>Z371866204</t>
  </si>
  <si>
    <t>DLS-X0725</t>
  </si>
  <si>
    <t>CN1CCN(CC1)C=2C=CC(NC(=O)C)=CC2</t>
  </si>
  <si>
    <t>Z2856434903</t>
  </si>
  <si>
    <t>DLS-X0726</t>
  </si>
  <si>
    <t>COC=1C=CC=C2NC=CC12</t>
  </si>
  <si>
    <t>Z1429867185</t>
  </si>
  <si>
    <t>DLS-X0728</t>
  </si>
  <si>
    <t>CC1(C(N)=O)NCCC1</t>
  </si>
  <si>
    <t>POB0001</t>
  </si>
  <si>
    <t>DLS-X0730</t>
  </si>
  <si>
    <t>OC[C@H]1N(S(C)(=O)=O)[C@@H](C)CCC1</t>
  </si>
  <si>
    <t>POB0029</t>
  </si>
  <si>
    <t>DLS-X0731</t>
  </si>
  <si>
    <t>COC(=O)C1(C)CCCN1</t>
  </si>
  <si>
    <t>POB0045</t>
  </si>
  <si>
    <t>DLS-X0732</t>
  </si>
  <si>
    <t>O=C([C@@H]1[C@@H](C2=CC=CC=C2)CN(C(C)=O)C1)OC</t>
  </si>
  <si>
    <t>POB0065</t>
  </si>
  <si>
    <t>DLS-X0734</t>
  </si>
  <si>
    <t>[C@@H]1(CC2)CC3=C(C=CC=N3)[C@H]2N1</t>
  </si>
  <si>
    <t>POB0102</t>
  </si>
  <si>
    <t>DLS-X0735</t>
  </si>
  <si>
    <t>OC[C@@H]1[C@H](C2=CN(C)N=C2)CCC1</t>
  </si>
  <si>
    <t>POB0124</t>
  </si>
  <si>
    <t>DLS-X0736</t>
  </si>
  <si>
    <t>CC1(COC)NCCC1</t>
  </si>
  <si>
    <t>POB0002</t>
  </si>
  <si>
    <t>DLS-X0738</t>
  </si>
  <si>
    <t>CC1(CO)CCCCN1</t>
  </si>
  <si>
    <t>POB0033</t>
  </si>
  <si>
    <t>DLS-X0739</t>
  </si>
  <si>
    <t>O=C(OC(C)(C)C)[C@H]1C[C@H](C)NC1</t>
  </si>
  <si>
    <t>POB0048</t>
  </si>
  <si>
    <t>DLS-X0740</t>
  </si>
  <si>
    <t>O=C([C@@H]1[C@@H](C2=CC=CC=C2)CN(C(C)=O)C1)O</t>
  </si>
  <si>
    <t>POB0066</t>
  </si>
  <si>
    <t>DLS-X0741</t>
  </si>
  <si>
    <t>FC(C=C1)=CC=C1C2(CN)CNCCC2</t>
  </si>
  <si>
    <t>POB0086</t>
  </si>
  <si>
    <t>DLS-X0743</t>
  </si>
  <si>
    <t>FC(C=C1)=CC=C1[C@H]2[C@@H](C(O)=O)COC2</t>
  </si>
  <si>
    <t>POB0125</t>
  </si>
  <si>
    <t>DLS-X0744</t>
  </si>
  <si>
    <t>CC1(C(O)=O)N(C(C)=O)CCC1</t>
  </si>
  <si>
    <t>POB0003</t>
  </si>
  <si>
    <t>DLS-X0745</t>
  </si>
  <si>
    <t>C[C@H]1N(S(=O)(C)=O)CCC[C@H]1C(N2CCCC2)=O</t>
  </si>
  <si>
    <t>POB0015</t>
  </si>
  <si>
    <t>DLS-X0746</t>
  </si>
  <si>
    <t>CC1(CO)CNCCC1</t>
  </si>
  <si>
    <t>POB0035</t>
  </si>
  <si>
    <t>DLS-X0747</t>
  </si>
  <si>
    <t>CC(=O)N1[C@@H](CC[C@@H]1C)C(=O)OC</t>
  </si>
  <si>
    <t>POB0050</t>
  </si>
  <si>
    <t>DLS-X0748</t>
  </si>
  <si>
    <t>C[C@H]1NCCC[C@H]1C(N)=O</t>
  </si>
  <si>
    <t>POB0067</t>
  </si>
  <si>
    <t>DLS-X0749</t>
  </si>
  <si>
    <t>O=C(N)C1(C2=CC=C(F)C=C2)CNCCC1</t>
  </si>
  <si>
    <t>POB0087</t>
  </si>
  <si>
    <t>DLS-X0750</t>
  </si>
  <si>
    <t>FC(C=C1)=CC=C1CC2(C(OC)=O)OCCC2</t>
  </si>
  <si>
    <t>POB0105</t>
  </si>
  <si>
    <t>DLS-X0751</t>
  </si>
  <si>
    <t>FC[C@@H]1[C@H](C2=CN(C)N=C2)CCC1</t>
  </si>
  <si>
    <t>POB0126</t>
  </si>
  <si>
    <t>DLS-X0752</t>
  </si>
  <si>
    <t>CC1(C(N)=O)N(S(=O)(C)=O)CCC1</t>
  </si>
  <si>
    <t>POB0004</t>
  </si>
  <si>
    <t>DLS-X0753</t>
  </si>
  <si>
    <t>C[C@H]1NCCC[C@H]1COC</t>
  </si>
  <si>
    <t>POB0016</t>
  </si>
  <si>
    <t>DLS-X0754</t>
  </si>
  <si>
    <t>CC1(CO)CCNCC1</t>
  </si>
  <si>
    <t>POB0036</t>
  </si>
  <si>
    <t>DLS-X0755</t>
  </si>
  <si>
    <t>C[C@H]1NCCC[C@H]1C#N</t>
  </si>
  <si>
    <t>POB0068</t>
  </si>
  <si>
    <t>DLS-X0756</t>
  </si>
  <si>
    <t>O=C(OC)C1(C2=CC=CC=N2)CCOCC1</t>
  </si>
  <si>
    <t>POB0088</t>
  </si>
  <si>
    <t>DLS-X0757</t>
  </si>
  <si>
    <t>O=C(OC)C1(CC2=CC=C(F)C=C2)CNCC1</t>
  </si>
  <si>
    <t>POB0112</t>
  </si>
  <si>
    <t>DLS-X0758</t>
  </si>
  <si>
    <t>O=C([C@@H]1[C@H](C2=CSC=C2)CCC1)OC</t>
  </si>
  <si>
    <t>POB0127</t>
  </si>
  <si>
    <t>DLS-X0759</t>
  </si>
  <si>
    <t>CC1(C(O)=O)N(S(=O)(C)=O)CCC1</t>
  </si>
  <si>
    <t>POB0005</t>
  </si>
  <si>
    <t>DLS-X0760</t>
  </si>
  <si>
    <t>C[C@H]1N(C(C)=O)CCC[C@H]1C(OC)=O</t>
  </si>
  <si>
    <t>POB0017</t>
  </si>
  <si>
    <t>DLS-X0761</t>
  </si>
  <si>
    <t>C[C@H]1[C@H](CO)CCCN1C</t>
  </si>
  <si>
    <t>POB0037</t>
  </si>
  <si>
    <t>DLS-X0762</t>
  </si>
  <si>
    <t>CN1CC(C)(CO)CCC1</t>
  </si>
  <si>
    <t>POB0057</t>
  </si>
  <si>
    <t>DLS-X0763</t>
  </si>
  <si>
    <t>CN1C[C@@H](C(OC(C)(C)C)=O)C[C@@H]1C</t>
  </si>
  <si>
    <t>POB0069</t>
  </si>
  <si>
    <t>DLS-X0764</t>
  </si>
  <si>
    <t>O=C(OC)C1(C2=CC=C(OC)C=C2)CCOCC1</t>
  </si>
  <si>
    <t>POB0092</t>
  </si>
  <si>
    <t>DLS-X0765</t>
  </si>
  <si>
    <t>OC(C1(CC2=CC=C(F)C=C2)CNCC1)=O</t>
  </si>
  <si>
    <t>POB0114</t>
  </si>
  <si>
    <t>DLS-X0767</t>
  </si>
  <si>
    <t>CC1(C#N)N(S(=O)(C)=O)CCC1</t>
  </si>
  <si>
    <t>POB0006</t>
  </si>
  <si>
    <t>DLS-X0768</t>
  </si>
  <si>
    <t>C[C@H]1N(C(C)=O)CCC[C@H]1CO</t>
  </si>
  <si>
    <t>POB0018</t>
  </si>
  <si>
    <t>DLS-X0769</t>
  </si>
  <si>
    <t>C[C@H]1[C@H](CO)CCCN1C(C)=O</t>
  </si>
  <si>
    <t>POB0038</t>
  </si>
  <si>
    <t>DLS-X0770</t>
  </si>
  <si>
    <t>CC(=O)N1C[C@@H](C)C[C@H]1C(=O)OC</t>
  </si>
  <si>
    <t>POB0059</t>
  </si>
  <si>
    <t>DLS-X0771</t>
  </si>
  <si>
    <t>C[C@@H]1CNC[C@@H](CO)C1</t>
  </si>
  <si>
    <t>POB0070</t>
  </si>
  <si>
    <t>DLS-X0772</t>
  </si>
  <si>
    <t>O=C(O)C1(C2=CC=C(OC)C=C2)CCOCC1</t>
  </si>
  <si>
    <t>POB0093</t>
  </si>
  <si>
    <t>DLS-X0773</t>
  </si>
  <si>
    <t>O=C([C@@H]1[C@H](C2=CSC=C2)CCC1)N</t>
  </si>
  <si>
    <t>POB0129</t>
  </si>
  <si>
    <t>DLS-X0774</t>
  </si>
  <si>
    <t>CC1(C(OC)=O)N(C(C)=O)CCC1</t>
  </si>
  <si>
    <t>POB0007</t>
  </si>
  <si>
    <t>DLS-X0775</t>
  </si>
  <si>
    <t>C[C@H]1[C@@H](C(OC)=O)N(S(=O)(C)=O)CCC1</t>
  </si>
  <si>
    <t>POB0019</t>
  </si>
  <si>
    <t>DLS-X0776</t>
  </si>
  <si>
    <t>C[C@@H]1NCCC[C@@H]1CO</t>
  </si>
  <si>
    <t>POB0039</t>
  </si>
  <si>
    <t>DLS-X0777</t>
  </si>
  <si>
    <t>O=C(OC(C)(C)C)[C@@H]1CN(C(C)=O)[C@@H](C)C1</t>
  </si>
  <si>
    <t>POB0060</t>
  </si>
  <si>
    <t>DLS-X0778</t>
  </si>
  <si>
    <t>O=C(OC)C1(C2=NC=CC=C2)CCCC1</t>
  </si>
  <si>
    <t>POB0072</t>
  </si>
  <si>
    <t>DLS-X0779</t>
  </si>
  <si>
    <t>O=C(OC)C1(C2=CC=C(C)C=C2)CCOCC1</t>
  </si>
  <si>
    <t>POB0094</t>
  </si>
  <si>
    <t>DLS-X0780</t>
  </si>
  <si>
    <t>NC1(CC2=CC=C(F)C=C2)CNCC1</t>
  </si>
  <si>
    <t>POB0117</t>
  </si>
  <si>
    <t>DLS-X0781</t>
  </si>
  <si>
    <t>O=C([C@@H]1[C@H](C2=CN=CC=C2)COC1)OC</t>
  </si>
  <si>
    <t>POB0131</t>
  </si>
  <si>
    <t>DLS-X0783</t>
  </si>
  <si>
    <t>C[C@H]1[C@@H](C(OC)=O)N(C(C)=O)CCC1</t>
  </si>
  <si>
    <t>POB0020</t>
  </si>
  <si>
    <t>DLS-X0784</t>
  </si>
  <si>
    <t>C[C@H]1[C@@H](CO)CCCN1C</t>
  </si>
  <si>
    <t>POB0040</t>
  </si>
  <si>
    <t>DLS-X0785</t>
  </si>
  <si>
    <t>O=C(OC(C)(C)C)[C@@H]1CN(S(C)(=O)=O)[C@@H](C)C1</t>
  </si>
  <si>
    <t>POB0061</t>
  </si>
  <si>
    <t>DLS-X0786</t>
  </si>
  <si>
    <t>OCC1(C2=NC=CC=C2)CCCC1</t>
  </si>
  <si>
    <t>POB0073</t>
  </si>
  <si>
    <t>DLS-X0787</t>
  </si>
  <si>
    <t>CC(C=C1)=CC=C1C2(C(OC)=O)CNCC2</t>
  </si>
  <si>
    <t>POB0095</t>
  </si>
  <si>
    <t>DLS-X0788</t>
  </si>
  <si>
    <t>O=C(NC(C=CC=C1)=C1C2)C32CCOCC3</t>
  </si>
  <si>
    <t>POB0119</t>
  </si>
  <si>
    <t>DLS-X0789</t>
  </si>
  <si>
    <t>COC1=CC([C@H]2[C@@H](C(OC)=O)COCC2)=CC=C1</t>
  </si>
  <si>
    <t>POB0134</t>
  </si>
  <si>
    <t>DLS-X0790</t>
  </si>
  <si>
    <t>C[C@H]1NCCC[C@H]1C(OC)=O</t>
  </si>
  <si>
    <t>POB0009</t>
  </si>
  <si>
    <t>DLS-X0791</t>
  </si>
  <si>
    <t>C[C@H]1[C@H](C(OC)=O)CCN1C(C)=O</t>
  </si>
  <si>
    <t>POB0023</t>
  </si>
  <si>
    <t>DLS-X0793</t>
  </si>
  <si>
    <t>FCC1(C2=CC=CC=N2)CCOCC1</t>
  </si>
  <si>
    <t>POB0090</t>
  </si>
  <si>
    <t>DLS-X0794</t>
  </si>
  <si>
    <t>NCC1(C2=NC=CC=C2)CCCC1</t>
  </si>
  <si>
    <t>POB0075</t>
  </si>
  <si>
    <t>DLS-X0795</t>
  </si>
  <si>
    <t>CC(C=C1)=CC=C1C2(C(OC)=O)CN(C(C)=O)CC2</t>
  </si>
  <si>
    <t>POB0096</t>
  </si>
  <si>
    <t>DLS-X0798</t>
  </si>
  <si>
    <t>C[C@H]1N(S(=O)(C)=O)CCC[C@H]1C(OC)=O</t>
  </si>
  <si>
    <t>POB0010</t>
  </si>
  <si>
    <t>DLS-X0799</t>
  </si>
  <si>
    <t>OC[C@H]1CN[C@@H](C)CC1</t>
  </si>
  <si>
    <t>POB0024</t>
  </si>
  <si>
    <t>DLS-X0800</t>
  </si>
  <si>
    <t>C[C@H]1CNCC[C@H]1CO</t>
  </si>
  <si>
    <t>POB0042</t>
  </si>
  <si>
    <t>DLS-X0801</t>
  </si>
  <si>
    <t>OCC1(C2=CC=CC=N2)CCOCC1</t>
  </si>
  <si>
    <t>POB0089</t>
  </si>
  <si>
    <t>DLS-X0802</t>
  </si>
  <si>
    <t>CC(C=C1)=CC=C1C2(C(OC)=O)CCNCC2</t>
  </si>
  <si>
    <t>POB0081</t>
  </si>
  <si>
    <t>DLS-X0803</t>
  </si>
  <si>
    <t>O=S(N1CCC2C1(C(N)=O)C2)(C3=CC=CC=C3)=O</t>
  </si>
  <si>
    <t>POB0098</t>
  </si>
  <si>
    <t>DLS-X0804</t>
  </si>
  <si>
    <t>O=C(N1C[C@H](C(OC)=O)[C@H](C2=CC=CC=C2)C1)C</t>
  </si>
  <si>
    <t>POB0121</t>
  </si>
  <si>
    <t>DLS-X0806</t>
  </si>
  <si>
    <t>C[C@H]1N(S(=O)(C)=O)CCC[C@H]1C(O)=O</t>
  </si>
  <si>
    <t>POB0011</t>
  </si>
  <si>
    <t>DLS-X0807</t>
  </si>
  <si>
    <t>C[C@@H]1[C@@H](CO)N(S(C)(=O)=O)CCC1</t>
  </si>
  <si>
    <t>POB0026</t>
  </si>
  <si>
    <t>DLS-X0808</t>
  </si>
  <si>
    <t>C[C@H]1CN(C)CC[C@H]1CO</t>
  </si>
  <si>
    <t>POB0043</t>
  </si>
  <si>
    <t>DLS-X0809</t>
  </si>
  <si>
    <t>CC1(COC)CCCN1C(OC(C)(C)C)=O</t>
  </si>
  <si>
    <t>POB0062</t>
  </si>
  <si>
    <t>DLS-X0810</t>
  </si>
  <si>
    <t>CC(C=C1)=CC=C1C2(C(OC)=O)CNCCC2</t>
  </si>
  <si>
    <t>POB0082</t>
  </si>
  <si>
    <t>DLS-X0811</t>
  </si>
  <si>
    <t>O=C(N1CCC2C1(SC3=CC=CC=C3)C2)C</t>
  </si>
  <si>
    <t>POB0099</t>
  </si>
  <si>
    <t>DLS-X0812</t>
  </si>
  <si>
    <t>OC[C@@H]1[C@H](C2=CC=CC=C2)CN(C(C)=O)C1</t>
  </si>
  <si>
    <t>POB0122</t>
  </si>
  <si>
    <t>DLS-X0813</t>
  </si>
  <si>
    <t>OC[C@@H]1[C@H](C2=CC=CC=C2F)COC1</t>
  </si>
  <si>
    <t>POB0138</t>
  </si>
  <si>
    <t>DLS-X0815</t>
  </si>
  <si>
    <t>C[C@@H]1[C@@H](CO)N(C(C)=O)CCC1</t>
  </si>
  <si>
    <t>POB0027</t>
  </si>
  <si>
    <t>DLS-X0816</t>
  </si>
  <si>
    <t>C[C@@H]1CCNC[C@@H]1CO</t>
  </si>
  <si>
    <t>POB0044</t>
  </si>
  <si>
    <t>DLS-X0817</t>
  </si>
  <si>
    <t>CC1(C(N)=O)CCCN1C(OC(C)(C)C)=O</t>
  </si>
  <si>
    <t>POB0063</t>
  </si>
  <si>
    <t>DLS-X0818</t>
  </si>
  <si>
    <t>OC(C1(C2=CC=C(C)C=C2)CN(C(C)=O)CCC1)=O</t>
  </si>
  <si>
    <t>POB0083</t>
  </si>
  <si>
    <t>DLS-X0819</t>
  </si>
  <si>
    <t>O=S(C12N(C(C)=O)CCC1C2)(C3=CC=CC=C3)=O</t>
  </si>
  <si>
    <t>POB0101</t>
  </si>
  <si>
    <t>DLS-X0821</t>
  </si>
  <si>
    <t>OC[C@@H]1[C@H](C2=CC=CC=C2F)CNC1</t>
  </si>
  <si>
    <t>POB0139</t>
  </si>
  <si>
    <t>DLS-X0823</t>
  </si>
  <si>
    <t>NC[C@@H]1[C@H](C2=CC=CC=C2F)COC1</t>
  </si>
  <si>
    <t>POB0141</t>
  </si>
  <si>
    <t>DLS-X0824</t>
  </si>
  <si>
    <t>COCC1=NC(C23N(C)CCC2C3)=CC=C1</t>
  </si>
  <si>
    <t>POB0156</t>
  </si>
  <si>
    <t>DLS-X0825</t>
  </si>
  <si>
    <t>COC(N=C1)=NC=C1C23N(C(C)=O)CCC2C3</t>
  </si>
  <si>
    <t>POB0157</t>
  </si>
  <si>
    <t>DLS-X0826</t>
  </si>
  <si>
    <t>COC1=NC=CC=C1C23N(C(C)=O)CCC2C3</t>
  </si>
  <si>
    <t>POB0158</t>
  </si>
  <si>
    <t>DLS-X0827</t>
  </si>
  <si>
    <t>COCC1=NC(C23N(C(C)=O)CCC2C3)=CC=C1</t>
  </si>
  <si>
    <t>POB0159</t>
  </si>
  <si>
    <t>DLS-X0828</t>
  </si>
  <si>
    <t>CC(C=C(F)C=N1)=C1C23N(C(C)=O)CCC2C3</t>
  </si>
  <si>
    <t>POB0160</t>
  </si>
  <si>
    <t>DLS-X0829</t>
  </si>
  <si>
    <t>COC1=NC=CC=C1C23N(S(C)(=O)=O)CCC2C3</t>
  </si>
  <si>
    <t>POB0161</t>
  </si>
  <si>
    <t>DLS-X0830</t>
  </si>
  <si>
    <t>CC(C=C(F)C=N1)=C1C23N(S(C)(=O)=O)CCC2C3</t>
  </si>
  <si>
    <t>POB0162</t>
  </si>
  <si>
    <t>DLS-X0831</t>
  </si>
  <si>
    <t>O=C(C1=CN=CC=C1)C23N(C(C)=O)CCC2C3</t>
  </si>
  <si>
    <t>POB0163</t>
  </si>
  <si>
    <t>DLS-X0832</t>
  </si>
  <si>
    <t>CS(N1CCC2C1(C3=CC=CC=C3OC)C2)(=O)=O</t>
  </si>
  <si>
    <t>POB0164</t>
  </si>
  <si>
    <t>DLS-X0833</t>
  </si>
  <si>
    <t>COC(C=C1)=CC=C1C23N(C4=CN=CC=C4)CCC2C3</t>
  </si>
  <si>
    <t>POB0165</t>
  </si>
  <si>
    <t>DLS-X0834</t>
  </si>
  <si>
    <t>BrC1=CNN=C1</t>
  </si>
  <si>
    <t>NCL-00023819</t>
  </si>
  <si>
    <t>DLS-X0835</t>
  </si>
  <si>
    <t>BrC1=CON=C1</t>
  </si>
  <si>
    <t>NCL-00023820</t>
  </si>
  <si>
    <t>DLS-X0836</t>
  </si>
  <si>
    <t>NC1=NC=CC(I)=C1</t>
  </si>
  <si>
    <t>NCL-00023822</t>
  </si>
  <si>
    <t>DLS-X0838</t>
  </si>
  <si>
    <t>IC1=CC=C(S(N)(=O)=O)C=C1</t>
  </si>
  <si>
    <t>NCL-00023829</t>
  </si>
  <si>
    <t>DLS-X0839</t>
  </si>
  <si>
    <t>BrC1=CC=C(NC(C)=O)C=C1</t>
  </si>
  <si>
    <t>NCL-00023828</t>
  </si>
  <si>
    <t>DLS-X0840</t>
  </si>
  <si>
    <t>BrC1=CN=CN=C1</t>
  </si>
  <si>
    <t>NCL-00023832</t>
  </si>
  <si>
    <t>DLS-X0841</t>
  </si>
  <si>
    <t>BrC1=CC(OC)=NC=C1</t>
  </si>
  <si>
    <t>NCL-00023836</t>
  </si>
  <si>
    <t>DLS-X0842</t>
  </si>
  <si>
    <t>IC1=CNN=C1</t>
  </si>
  <si>
    <t>NCL-00023818</t>
  </si>
  <si>
    <t>DLS-X0843</t>
  </si>
  <si>
    <t>NC1=NC=CC(Br)=C1</t>
  </si>
  <si>
    <t>NCL-00023823</t>
  </si>
  <si>
    <t>DLS-X0845</t>
  </si>
  <si>
    <t>BrC1=CC=C(S(N)(=O)=O)C=C1</t>
  </si>
  <si>
    <t>NCL-00023830</t>
  </si>
  <si>
    <t>DLS-X0846</t>
  </si>
  <si>
    <t>O=C1CC2=C(C=C(Br)C=C2)N1</t>
  </si>
  <si>
    <t>NCL-00023827</t>
  </si>
  <si>
    <t>DLS-X0847</t>
  </si>
  <si>
    <t>IC1=CC=C(C(N)=O)C=C1</t>
  </si>
  <si>
    <t>NCL-00023826</t>
  </si>
  <si>
    <t>DLS-X0848</t>
  </si>
  <si>
    <t>IC1=CN=CN=C1</t>
  </si>
  <si>
    <t>NCL-00023831</t>
  </si>
  <si>
    <t>DLS-X0850</t>
  </si>
  <si>
    <t>BrC1=CC=C(S(C)(=O)=O)C=C1</t>
  </si>
  <si>
    <t>NCL-00023835</t>
  </si>
  <si>
    <t>DLS-X0851</t>
  </si>
  <si>
    <t>OC1=C(OC)C=C(Br)C=C1</t>
  </si>
  <si>
    <t>NCL-00024774</t>
  </si>
  <si>
    <t>DLS-X0853</t>
  </si>
  <si>
    <t>BrC1=CN(CCO)N=C1</t>
  </si>
  <si>
    <t>NCL-00024671</t>
  </si>
  <si>
    <t>DLS-X0854</t>
  </si>
  <si>
    <t>BrC1=CC(C#N)=C(OC)C=C1</t>
  </si>
  <si>
    <t>NCL-00024663</t>
  </si>
  <si>
    <t>DLS-X0856</t>
  </si>
  <si>
    <t>O=C1N(CCOC)C=CC(Br)=C1</t>
  </si>
  <si>
    <t>NCL-00024387</t>
  </si>
  <si>
    <t>DLS-X0857</t>
  </si>
  <si>
    <t>BrC1=CC(OC)=C(CC(O)=O)C=C1</t>
  </si>
  <si>
    <t>NCL-00024665</t>
  </si>
  <si>
    <t>DLS-X0858</t>
  </si>
  <si>
    <t>BrC1=CC(CO)=NC=C1</t>
  </si>
  <si>
    <t>NCL-00024670</t>
  </si>
  <si>
    <t>DLS-X0859</t>
  </si>
  <si>
    <t>BrC1=CC(COC)=NC=C1</t>
  </si>
  <si>
    <t>NCL-00024674</t>
  </si>
  <si>
    <t>DLS-X0860</t>
  </si>
  <si>
    <t>BrC1=CC(OC)=C(CO)C=C1</t>
  </si>
  <si>
    <t>NCL-00024662</t>
  </si>
  <si>
    <t>DLS-X0861</t>
  </si>
  <si>
    <t>BrC1=CC(O)=C(C(O)=O)C=C1</t>
  </si>
  <si>
    <t>NCL-00024667</t>
  </si>
  <si>
    <t>DLS-X0862</t>
  </si>
  <si>
    <t>BrC1=CN(CCOC)N=C1</t>
  </si>
  <si>
    <t>NCL-00024673</t>
  </si>
  <si>
    <t>DLS-X0863</t>
  </si>
  <si>
    <t>O=C1N(CCO)C=CC(Br)=C1</t>
  </si>
  <si>
    <t>NCL-00024672</t>
  </si>
  <si>
    <t>DLS-X0865</t>
  </si>
  <si>
    <t>CC(=O)NCC(=O)NCC#CBr</t>
  </si>
  <si>
    <t>NCL-00025345</t>
  </si>
  <si>
    <t>DLS-X0866</t>
  </si>
  <si>
    <t>CC(N[C@H](C(NCC#CBr)=O)Cc1ccc(O)cc1)=O</t>
  </si>
  <si>
    <t>NCL-00024905</t>
  </si>
  <si>
    <t>DLS-X0867</t>
  </si>
  <si>
    <t>CC(=O)N[C@@H](Cc1ccccc1)C(=O)NCC#CBr</t>
  </si>
  <si>
    <t>NCL-00024907</t>
  </si>
  <si>
    <t>DLS-X0868</t>
  </si>
  <si>
    <t>CC(=O)N[C@@H](CCCCN)C(=O)NCC#CBr</t>
  </si>
  <si>
    <t>NCL-00024978</t>
  </si>
  <si>
    <t>DLS-X0869</t>
  </si>
  <si>
    <t>CC(=O)N[C@@H](CO)C(=O)NCC#CBr</t>
  </si>
  <si>
    <t>NCL-00025057</t>
  </si>
  <si>
    <t>DLS-X0870</t>
  </si>
  <si>
    <t>CC(=O)N[C@@H](CCC(=O)O)C(=O)NCC#CBr</t>
  </si>
  <si>
    <t>NCL-00025059</t>
  </si>
  <si>
    <t>DLS-X0871</t>
  </si>
  <si>
    <t>C[C@H](NC(=O)C)C(=O)NCC#CBr</t>
  </si>
  <si>
    <t>NCL-00025067</t>
  </si>
  <si>
    <t>DLS-X0872</t>
  </si>
  <si>
    <t>CC(=O)NCCCC[C@H](NC(=O)C)C(=O)NCc1ccc(cc1)Br</t>
  </si>
  <si>
    <t>NCL-00025267</t>
  </si>
  <si>
    <t>DLS-X0873</t>
  </si>
  <si>
    <t>CC([C@@H](C(NCC#CBr)=O)NC(C)=O)C</t>
  </si>
  <si>
    <t>NCL-00024897</t>
  </si>
  <si>
    <t>DLS-X0874</t>
  </si>
  <si>
    <t>CC[C@@H]([C@@H](C(NCC#CBr)=O)NC(C)=O)C</t>
  </si>
  <si>
    <t>NCL-00024976</t>
  </si>
  <si>
    <t>DLS-X0875</t>
  </si>
  <si>
    <t>CC(=O)N1CCC[C@H]1C(=O)NCC#CBr</t>
  </si>
  <si>
    <t>NCL-00024977</t>
  </si>
  <si>
    <t>DLS-X0876</t>
  </si>
  <si>
    <t>O=C(C)N[C@H](C(NCC#CBr)=O)CCSC</t>
  </si>
  <si>
    <t>NCL-00024979</t>
  </si>
  <si>
    <t>DLS-X0877</t>
  </si>
  <si>
    <t>C[C@H]([C@@H](C(NCC#CBr)=O)NC(C)=O)O</t>
  </si>
  <si>
    <t>NCL-00025058</t>
  </si>
  <si>
    <t>DLS-X0878</t>
  </si>
  <si>
    <t>CC(=O)N[C@@H](CCC(=O)N)C(=O)NCC#CBr</t>
  </si>
  <si>
    <t>NCL-00025065</t>
  </si>
  <si>
    <t>DLS-X0879</t>
  </si>
  <si>
    <t>CC(=O)NCCCC[C@H](NC(=O)C)C(=O)NCC#CBr</t>
  </si>
  <si>
    <t>NCL-00025066</t>
  </si>
  <si>
    <t>DLS-X0880</t>
  </si>
  <si>
    <t>CC(N[C@H](C(NCC#CBr)=O)CC(N)=O)=O</t>
  </si>
  <si>
    <t>NCL-00025412</t>
  </si>
  <si>
    <t>DLS-X0881</t>
  </si>
  <si>
    <t>CC(N[C@H](C(NCC#CBr)=O)CC(O)=O)=O</t>
  </si>
  <si>
    <t>NCL-00025413</t>
  </si>
  <si>
    <t>DLS-X0882</t>
  </si>
  <si>
    <t>CC(N[C@@H](CC1=CNC2=C1C=CC=C2)C(NCC#CBr)=O)=O</t>
  </si>
  <si>
    <t>NCL-00024982</t>
  </si>
  <si>
    <t>DLS-X0883</t>
  </si>
  <si>
    <t>CC(N[C@@H](CC1=C[NH2+]C=N1)C(NCC#CBr)=O)=O</t>
  </si>
  <si>
    <t>NCL-00025550</t>
  </si>
  <si>
    <t>DLS-X0884</t>
  </si>
  <si>
    <t>CC(N[C@@H](CC(C)C)C(NCC#CBr)=O)=O</t>
  </si>
  <si>
    <t>NCL-00024906</t>
  </si>
  <si>
    <t>DLS-X0885</t>
  </si>
  <si>
    <t>CC(N[C@@H](CCCC[NH3+])C(NCC#CBr)=O)=O</t>
  </si>
  <si>
    <t>NCL-00024978-002</t>
  </si>
  <si>
    <t>DLS-X0886</t>
  </si>
  <si>
    <t>CC(N[C@@H](CCCNC(N)=N)C(NCC#CBr)=O)=O</t>
  </si>
  <si>
    <t>NCL-00025551</t>
  </si>
  <si>
    <t>DLS-X0887</t>
  </si>
  <si>
    <t>NC1=CC(=O)NN1</t>
  </si>
  <si>
    <t>Z1245635875</t>
  </si>
  <si>
    <t>DLS-X0888</t>
  </si>
  <si>
    <t>BrC=1C=CC=NC1</t>
  </si>
  <si>
    <t>Z1250132521</t>
  </si>
  <si>
    <t>DLS-X0889</t>
  </si>
  <si>
    <t>CN1CCC(O)C1</t>
  </si>
  <si>
    <t>Z1506115273</t>
  </si>
  <si>
    <t>DLS-X0890</t>
  </si>
  <si>
    <t>C1=CNN=N1</t>
  </si>
  <si>
    <t>Z1198386795</t>
  </si>
  <si>
    <t>DLS-X0891</t>
  </si>
  <si>
    <t>CCC(=N)N</t>
  </si>
  <si>
    <t>Z1741969146</t>
  </si>
  <si>
    <t>DLS-X0892</t>
  </si>
  <si>
    <t>C=1C=NNC1</t>
  </si>
  <si>
    <t>Z1741966780</t>
  </si>
  <si>
    <t>DLS-X0893</t>
  </si>
  <si>
    <t>O=C1N=CC=CN1</t>
  </si>
  <si>
    <t>Z1201023052</t>
  </si>
  <si>
    <t>DLS-X0896</t>
  </si>
  <si>
    <t>C1CNCCN1</t>
  </si>
  <si>
    <t>Z1245537944</t>
  </si>
  <si>
    <t>DLS-X0897</t>
  </si>
  <si>
    <t>OC(=O)C1CCN1</t>
  </si>
  <si>
    <t>Z1318268680</t>
  </si>
  <si>
    <t>DLS-X0899</t>
  </si>
  <si>
    <t>O=S1(=O)CCN1</t>
  </si>
  <si>
    <t>Z425449766</t>
  </si>
  <si>
    <t>DLS-X0901</t>
  </si>
  <si>
    <t>NCC(=O)O</t>
  </si>
  <si>
    <t>Z955123660</t>
  </si>
  <si>
    <t>DLS-X0902</t>
  </si>
  <si>
    <t>OC(=O)C=1C=CSC1</t>
  </si>
  <si>
    <t>Z166605460</t>
  </si>
  <si>
    <t>DLS-X0903</t>
  </si>
  <si>
    <t>NC=1C=CC=CN1</t>
  </si>
  <si>
    <t>Z275118248</t>
  </si>
  <si>
    <t>DLS-X0904</t>
  </si>
  <si>
    <t>OC1CCCCC1</t>
  </si>
  <si>
    <t>Z1954801734</t>
  </si>
  <si>
    <t>DLS-X0906</t>
  </si>
  <si>
    <t>CCOC(=O)N</t>
  </si>
  <si>
    <t>Z33546369</t>
  </si>
  <si>
    <t>DLS-X0907</t>
  </si>
  <si>
    <t>OCC1CC1</t>
  </si>
  <si>
    <t>Z1259087003</t>
  </si>
  <si>
    <t>DLS-X0908</t>
  </si>
  <si>
    <t>OC=1C=CC=CC1</t>
  </si>
  <si>
    <t>Z966690946</t>
  </si>
  <si>
    <t>DLS-X0909</t>
  </si>
  <si>
    <t>NC(=O)C1CCC1</t>
  </si>
  <si>
    <t>Z33546656</t>
  </si>
  <si>
    <t>DLS-X0911</t>
  </si>
  <si>
    <t>NC1=NC=CN1</t>
  </si>
  <si>
    <t>Z1741961236</t>
  </si>
  <si>
    <t>DLS-X0912</t>
  </si>
  <si>
    <t>O=C1CCNN1</t>
  </si>
  <si>
    <t>Z2935001239</t>
  </si>
  <si>
    <t>DLS-X0913</t>
  </si>
  <si>
    <t>NC(=O)CC#N</t>
  </si>
  <si>
    <t>Z56896153</t>
  </si>
  <si>
    <t>DLS-X0914</t>
  </si>
  <si>
    <t>CC(=O)NC(=O)N</t>
  </si>
  <si>
    <t>Z1262398400</t>
  </si>
  <si>
    <t>DLS-X0915</t>
  </si>
  <si>
    <t>OC(=O)C1CCC1</t>
  </si>
  <si>
    <t>Z1270212509</t>
  </si>
  <si>
    <t>DLS-X0916</t>
  </si>
  <si>
    <t>C1CNCCOC1</t>
  </si>
  <si>
    <t>Z1198107508</t>
  </si>
  <si>
    <t>DLS-X0917</t>
  </si>
  <si>
    <t>OC1CS(=O)(=O)C1</t>
  </si>
  <si>
    <t>Z3241250482</t>
  </si>
  <si>
    <t>DLS-X0919</t>
  </si>
  <si>
    <t>O=C1CCON1</t>
  </si>
  <si>
    <t>Z3235036808</t>
  </si>
  <si>
    <t>DLS-X0920</t>
  </si>
  <si>
    <t>NCC1CCCO1</t>
  </si>
  <si>
    <t>Z57127565</t>
  </si>
  <si>
    <t>DLS-X0921</t>
  </si>
  <si>
    <t>NC1CCCC1</t>
  </si>
  <si>
    <t>Z1741971800</t>
  </si>
  <si>
    <t>DLS-X0922</t>
  </si>
  <si>
    <t>O=C1CNCCN1</t>
  </si>
  <si>
    <t>Z56968535</t>
  </si>
  <si>
    <t>DLS-X0923</t>
  </si>
  <si>
    <t>NC=1N=CC=CN1</t>
  </si>
  <si>
    <t>Z1741968196</t>
  </si>
  <si>
    <t>DLS-X0924</t>
  </si>
  <si>
    <t>N#CC=1C=CON1</t>
  </si>
  <si>
    <t>Z1436620465</t>
  </si>
  <si>
    <t>DLS-X0925</t>
  </si>
  <si>
    <t>CC(C)C(=NO)N</t>
  </si>
  <si>
    <t>Z1741972444</t>
  </si>
  <si>
    <t>DLS-X0927</t>
  </si>
  <si>
    <t>NC=1C=CC=NN1</t>
  </si>
  <si>
    <t>Z1480642703</t>
  </si>
  <si>
    <t>DLS-X0928</t>
  </si>
  <si>
    <t>CC(N)CC(=O)N</t>
  </si>
  <si>
    <t>Z1459435569</t>
  </si>
  <si>
    <t>DLS-X0929</t>
  </si>
  <si>
    <t>CN1C=NC(N)=C1</t>
  </si>
  <si>
    <t>Z2692604705</t>
  </si>
  <si>
    <t>DLS-X0930</t>
  </si>
  <si>
    <t>C1CCOC1</t>
  </si>
  <si>
    <t>Z955123562</t>
  </si>
  <si>
    <t>DLS-X0931</t>
  </si>
  <si>
    <t>OCC=1C=CNN1</t>
  </si>
  <si>
    <t>Z3225843273</t>
  </si>
  <si>
    <t>DLS-X0932</t>
  </si>
  <si>
    <t>O=C1CCCCN1</t>
  </si>
  <si>
    <t>Z1201023039</t>
  </si>
  <si>
    <t>DLS-X0934</t>
  </si>
  <si>
    <t>CC(C)CCCN</t>
  </si>
  <si>
    <t>Z3219863192</t>
  </si>
  <si>
    <t>DLS-X0935</t>
  </si>
  <si>
    <t>OP(=O)(O)O</t>
  </si>
  <si>
    <t>Z1954805639</t>
  </si>
  <si>
    <t>DLS-X0936</t>
  </si>
  <si>
    <t>CC(C)NC(=O)N</t>
  </si>
  <si>
    <t>Z56887677</t>
  </si>
  <si>
    <t>DLS-X0937</t>
  </si>
  <si>
    <t>C1=CNC=N1</t>
  </si>
  <si>
    <t>Z1245636370</t>
  </si>
  <si>
    <t>DLS-X0938</t>
  </si>
  <si>
    <t>NC=1C=CNN1</t>
  </si>
  <si>
    <t>Z241119328</t>
  </si>
  <si>
    <t>DLS-X0939</t>
  </si>
  <si>
    <t>C1COCCN1</t>
  </si>
  <si>
    <t>Z3234810942</t>
  </si>
  <si>
    <t>DLS-X0940</t>
  </si>
  <si>
    <t>C=1C=CN=CC1</t>
  </si>
  <si>
    <t>Z940713324</t>
  </si>
  <si>
    <t>DLS-X0941</t>
  </si>
  <si>
    <t>BrC=1C=NNC1</t>
  </si>
  <si>
    <t>Z275169750</t>
  </si>
  <si>
    <t>DLS-X0942</t>
  </si>
  <si>
    <t>CCC(=O)O</t>
  </si>
  <si>
    <t>Z955123616</t>
  </si>
  <si>
    <t>DLS-X0943</t>
  </si>
  <si>
    <t>CC1=NN=NN1</t>
  </si>
  <si>
    <t>Z56761437</t>
  </si>
  <si>
    <t>DLS-X0944</t>
  </si>
  <si>
    <t>CCC(=O)NO</t>
  </si>
  <si>
    <t>Z59181971</t>
  </si>
  <si>
    <t>DLS-X0945</t>
  </si>
  <si>
    <t>O=C1NCCN1</t>
  </si>
  <si>
    <t>Z1741976468</t>
  </si>
  <si>
    <t>DLS-X0946</t>
  </si>
  <si>
    <t>OB(O)C1CCC1</t>
  </si>
  <si>
    <t>Z1741980935</t>
  </si>
  <si>
    <t>DLS-X0947</t>
  </si>
  <si>
    <t>OCC1CCCN1</t>
  </si>
  <si>
    <t>Z1333717631</t>
  </si>
  <si>
    <t>DLS-X0948</t>
  </si>
  <si>
    <t>N#CC1CC1</t>
  </si>
  <si>
    <t>Z1245735215</t>
  </si>
  <si>
    <t>DLS-X0949</t>
  </si>
  <si>
    <t>NC(=O)C1(N)CC1</t>
  </si>
  <si>
    <t>Z1415893881</t>
  </si>
  <si>
    <t>DLS-X0951</t>
  </si>
  <si>
    <t>NCC1=COC=N1</t>
  </si>
  <si>
    <t>Z1962142017</t>
  </si>
  <si>
    <t>DLS-X0952</t>
  </si>
  <si>
    <t>NCC1CC1</t>
  </si>
  <si>
    <t>Z1198394159</t>
  </si>
  <si>
    <t>DLS-X0953</t>
  </si>
  <si>
    <t>NC=1C=CON1</t>
  </si>
  <si>
    <t>Z1741972704</t>
  </si>
  <si>
    <t>DLS-X0954</t>
  </si>
  <si>
    <t>CC(=O)C(=O)O</t>
  </si>
  <si>
    <t>Z1741977082</t>
  </si>
  <si>
    <t>DLS-X0955</t>
  </si>
  <si>
    <t>CNC(=O)[C@@H](C)N</t>
  </si>
  <si>
    <t>Z1346385420</t>
  </si>
  <si>
    <t>DLS-X0956</t>
  </si>
  <si>
    <t>NC1CCNC1=O</t>
  </si>
  <si>
    <t>Z3234814534</t>
  </si>
  <si>
    <t>DLS-X0957</t>
  </si>
  <si>
    <t>CC[C@H](N)C(=O)N</t>
  </si>
  <si>
    <t>Z1450533799</t>
  </si>
  <si>
    <t>DLS-X0958</t>
  </si>
  <si>
    <t>OC=1C=CN=NC1</t>
  </si>
  <si>
    <t>Z1741975221</t>
  </si>
  <si>
    <t>DLS-X0959</t>
  </si>
  <si>
    <t>NCC=1C=CSC1</t>
  </si>
  <si>
    <t>Z1262255347</t>
  </si>
  <si>
    <t>DLS-X0960</t>
  </si>
  <si>
    <t>OC1CNC1</t>
  </si>
  <si>
    <t>Z1262327449</t>
  </si>
  <si>
    <t>DLS-X0961</t>
  </si>
  <si>
    <t>CC(N)C#C</t>
  </si>
  <si>
    <t>Z1954800314</t>
  </si>
  <si>
    <t>DLS-X0963</t>
  </si>
  <si>
    <t>O[C@H]1COC[C@H]1O</t>
  </si>
  <si>
    <t>Z3235034972</t>
  </si>
  <si>
    <t>DLS-X0965</t>
  </si>
  <si>
    <t>Cc1cc2ccccc2nc1N</t>
  </si>
  <si>
    <t>SF001</t>
  </si>
  <si>
    <t>DLS-X0966</t>
  </si>
  <si>
    <t>c1cnc2cccnc2c1</t>
  </si>
  <si>
    <t>SF002</t>
  </si>
  <si>
    <t>DLS-X0968</t>
  </si>
  <si>
    <t>c1cc2ccccc2[nH]1</t>
  </si>
  <si>
    <t>SF004</t>
  </si>
  <si>
    <t>DLS-X0970</t>
  </si>
  <si>
    <t>Cn1c(N)nc2ccccc12</t>
  </si>
  <si>
    <t>SF006</t>
  </si>
  <si>
    <t>DLS-X0971</t>
  </si>
  <si>
    <t>Cc1nc(cs1)-c1ccccc1</t>
  </si>
  <si>
    <t>SF007</t>
  </si>
  <si>
    <t>DLS-X0972</t>
  </si>
  <si>
    <t>Cc1cc(n[nH]1)-c1ccccc1</t>
  </si>
  <si>
    <t>SF008</t>
  </si>
  <si>
    <t>DLS-X0973</t>
  </si>
  <si>
    <t>Brc1ccc(cc1)-c1ccon1</t>
  </si>
  <si>
    <t>SF009</t>
  </si>
  <si>
    <t>DLS-X0974</t>
  </si>
  <si>
    <t>COc1ccccc1N1CCNCC1</t>
  </si>
  <si>
    <t>SF010</t>
  </si>
  <si>
    <t>DLS-X0975</t>
  </si>
  <si>
    <t>COc1ccccc1C1CCNCC1</t>
  </si>
  <si>
    <t>SF011</t>
  </si>
  <si>
    <t>DLS-X0976</t>
  </si>
  <si>
    <t>Oc1ccccc1N1CCCCC1</t>
  </si>
  <si>
    <t>SF012</t>
  </si>
  <si>
    <t>DLS-X0977</t>
  </si>
  <si>
    <t>CS(=O)(=O)c1ccc(cc1)N1CCNCC1</t>
  </si>
  <si>
    <t>SF013</t>
  </si>
  <si>
    <t>DLS-X0978</t>
  </si>
  <si>
    <t>O=C1CNCCN1c1ccccc1</t>
  </si>
  <si>
    <t>SF014</t>
  </si>
  <si>
    <t>DLS-X0979</t>
  </si>
  <si>
    <t>O=C1CCCc2occc12</t>
  </si>
  <si>
    <t>SF015</t>
  </si>
  <si>
    <t>DLS-X0980</t>
  </si>
  <si>
    <t>NC1CCc2ccccc12</t>
  </si>
  <si>
    <t>SF016</t>
  </si>
  <si>
    <t>DLS-X0981</t>
  </si>
  <si>
    <t>N[C@@H]1[C@H](CO)Cc2ccccc12</t>
  </si>
  <si>
    <t>SF017</t>
  </si>
  <si>
    <t>DLS-X0982</t>
  </si>
  <si>
    <t>O=c1[nH]ncc2c3ccccc3oc12</t>
  </si>
  <si>
    <t>SF018</t>
  </si>
  <si>
    <t>DLS-X0983</t>
  </si>
  <si>
    <t>O=C1NC(=O)C2(CCc3ccccc23)N1</t>
  </si>
  <si>
    <t>SF019</t>
  </si>
  <si>
    <t>DLS-X0984</t>
  </si>
  <si>
    <t>CS(=O)(=O)c1ccc(OC(F)(F)F)cc1</t>
  </si>
  <si>
    <t>SF020</t>
  </si>
  <si>
    <t>DLS-X0985</t>
  </si>
  <si>
    <t>Cc1cnc(cn1)C(F)(F)F</t>
  </si>
  <si>
    <t>SF021</t>
  </si>
  <si>
    <t>DLS-X0986</t>
  </si>
  <si>
    <t>CN1CC(=O)NC1=O</t>
  </si>
  <si>
    <t>SF022</t>
  </si>
  <si>
    <t>DLS-X0987</t>
  </si>
  <si>
    <t>Cc1cc(N)no1</t>
  </si>
  <si>
    <t>SF023</t>
  </si>
  <si>
    <t>DLS-X0988</t>
  </si>
  <si>
    <t>COc1ccccc1CC1CCNCC1</t>
  </si>
  <si>
    <t>SF024</t>
  </si>
  <si>
    <t>DLS-X0989</t>
  </si>
  <si>
    <t>Fc1ccc(CC2CCCNC2)cc1</t>
  </si>
  <si>
    <t>SF025</t>
  </si>
  <si>
    <t>DLS-X0990</t>
  </si>
  <si>
    <t>c1ccc(cc1)-c1ccncc1</t>
  </si>
  <si>
    <t>SF026</t>
  </si>
  <si>
    <t>DLS-X0991</t>
  </si>
  <si>
    <t>NC(c1ccccc1)c1ccccc1</t>
  </si>
  <si>
    <t>SF027</t>
  </si>
  <si>
    <t>DLS-X0992</t>
  </si>
  <si>
    <t>C1CN(CCN1)c1ccnc2ccccc12</t>
  </si>
  <si>
    <t>SF028</t>
  </si>
  <si>
    <t>DLS-X0993</t>
  </si>
  <si>
    <t>O=c1ccc2CCCCc2[nH]1</t>
  </si>
  <si>
    <t>SF029</t>
  </si>
  <si>
    <t>DLS-X0994</t>
  </si>
  <si>
    <t>CC1(C)OC(=O)c2cc(Br)c(O)cc2O1</t>
  </si>
  <si>
    <t>SF030</t>
  </si>
  <si>
    <t>DLS-X0995</t>
  </si>
  <si>
    <t>CC(=O)c1ccc2NCCCc2c1</t>
  </si>
  <si>
    <t>SF031</t>
  </si>
  <si>
    <t>DLS-X0996</t>
  </si>
  <si>
    <t>CC(=O)c1ccc2CCNCc2c1</t>
  </si>
  <si>
    <t>SF032</t>
  </si>
  <si>
    <t>DLS-X0997</t>
  </si>
  <si>
    <t>O=C1NC2(CCCC2)Nc2ccccc12</t>
  </si>
  <si>
    <t>SF033</t>
  </si>
  <si>
    <t>DLS-X0999</t>
  </si>
  <si>
    <t>O1[C@H]2C=C[C@@H]1c1ccccc21</t>
  </si>
  <si>
    <t>SF035</t>
  </si>
  <si>
    <t>DLS-X1000</t>
  </si>
  <si>
    <t>N#Cc1ccc2ncsc2c1</t>
  </si>
  <si>
    <t>SF036</t>
  </si>
  <si>
    <t>DLS-X1001</t>
  </si>
  <si>
    <t>Nc1ccc(SC(F)F)cc1</t>
  </si>
  <si>
    <t>SF037</t>
  </si>
  <si>
    <t>DLS-X1002</t>
  </si>
  <si>
    <t>CCc1ccc(NC2=NCCCS2)cc1</t>
  </si>
  <si>
    <t>SF038</t>
  </si>
  <si>
    <t>DLS-X1003</t>
  </si>
  <si>
    <t>Nc1nnc([nH]1)-c1cccs1</t>
  </si>
  <si>
    <t>SF039</t>
  </si>
  <si>
    <t>DLS-X1004</t>
  </si>
  <si>
    <t>CCn1cnc2ccccc12</t>
  </si>
  <si>
    <t>SF040</t>
  </si>
  <si>
    <t>DLS-X1005</t>
  </si>
  <si>
    <t>CCCN1C(=O)CC(=O)NC1=S</t>
  </si>
  <si>
    <t>SF041</t>
  </si>
  <si>
    <t>DLS-X1006</t>
  </si>
  <si>
    <t>Cc1ccc(C)n1Cc1ccccc1Cl</t>
  </si>
  <si>
    <t>SF042</t>
  </si>
  <si>
    <t>DLS-X1008</t>
  </si>
  <si>
    <t>N(c1nncs1)c1ccccc1</t>
  </si>
  <si>
    <t>SF044</t>
  </si>
  <si>
    <t>DLS-X1009</t>
  </si>
  <si>
    <t>CC1CCc2sc(cc2C1)C(O)=O</t>
  </si>
  <si>
    <t>SF045</t>
  </si>
  <si>
    <t>DLS-X1011</t>
  </si>
  <si>
    <t>COc1ccc(CN2CCNCC2)cc1F</t>
  </si>
  <si>
    <t>SF047</t>
  </si>
  <si>
    <t>DLS-X1013</t>
  </si>
  <si>
    <t>CC(=O)c1sc(nc1C)-c1ccc(O)cc1</t>
  </si>
  <si>
    <t>SF049</t>
  </si>
  <si>
    <t>DLS-X1014</t>
  </si>
  <si>
    <t>O=C(N1CCNCC1)c1ccncc1</t>
  </si>
  <si>
    <t>SF050</t>
  </si>
  <si>
    <t>DLS-X1016</t>
  </si>
  <si>
    <t>CCN(CC)c1cccc(C)c1</t>
  </si>
  <si>
    <t>SF052</t>
  </si>
  <si>
    <t>DLS-X1017</t>
  </si>
  <si>
    <t>O=C(CN1CCNCC1)c1ccccc1</t>
  </si>
  <si>
    <t>SF053</t>
  </si>
  <si>
    <t>DLS-X1019</t>
  </si>
  <si>
    <t>C1CNc2cccnc2C1</t>
  </si>
  <si>
    <t>SF055</t>
  </si>
  <si>
    <t>DLS-X1020</t>
  </si>
  <si>
    <t>COc1cccc(NC2=NCCCCC2)c1</t>
  </si>
  <si>
    <t>SF056</t>
  </si>
  <si>
    <t>DLS-X1021</t>
  </si>
  <si>
    <t>OC(=O)C1CCN(CC1)c1ncccn1</t>
  </si>
  <si>
    <t>SF057</t>
  </si>
  <si>
    <t>DLS-X1022</t>
  </si>
  <si>
    <t>O=C(N1CCOCC1)c1ccc(cc1)C#N</t>
  </si>
  <si>
    <t>SF058</t>
  </si>
  <si>
    <t>DLS-X1023</t>
  </si>
  <si>
    <t>Oc1ccc(cc1)C1CCNCC1</t>
  </si>
  <si>
    <t>SF059</t>
  </si>
  <si>
    <t>DLS-X1024</t>
  </si>
  <si>
    <t>Fc1ccccc1C(=O)N1CCNCC1</t>
  </si>
  <si>
    <t>SF060</t>
  </si>
  <si>
    <t>DLS-X1025</t>
  </si>
  <si>
    <t>COC(=O)c1c(C)nc([nH]c1=O)C1CC1</t>
  </si>
  <si>
    <t>SF061</t>
  </si>
  <si>
    <t>DLS-X1026</t>
  </si>
  <si>
    <t>O=S1(=O)CCC(C1)C#N</t>
  </si>
  <si>
    <t>SF062</t>
  </si>
  <si>
    <t>DLS-X1027</t>
  </si>
  <si>
    <t>OC(=O)c1cnc(s1)-c1ccccc1</t>
  </si>
  <si>
    <t>SF063</t>
  </si>
  <si>
    <t>DLS-X1028</t>
  </si>
  <si>
    <t>N#CCCN1CCc2ccccc12</t>
  </si>
  <si>
    <t>SF064</t>
  </si>
  <si>
    <t>DLS-X1029</t>
  </si>
  <si>
    <t>OC(=O)c1cccc(Nc2ncccn2)c1</t>
  </si>
  <si>
    <t>SF065</t>
  </si>
  <si>
    <t>DLS-X1030</t>
  </si>
  <si>
    <t>O=C(Nc1ccccc1)C1CC1</t>
  </si>
  <si>
    <t>SF066</t>
  </si>
  <si>
    <t>DLS-X1031</t>
  </si>
  <si>
    <t>Oc1nnc(o1)-c1ccccc1</t>
  </si>
  <si>
    <t>SF067</t>
  </si>
  <si>
    <t>DLS-X1032</t>
  </si>
  <si>
    <t>Cc1nccn1Cc1cccc(c1)C#N</t>
  </si>
  <si>
    <t>SF068</t>
  </si>
  <si>
    <t>DLS-X1033</t>
  </si>
  <si>
    <t>CC(CN)N1CCc2sccc2C1</t>
  </si>
  <si>
    <t>SF069</t>
  </si>
  <si>
    <t>DLS-X1034</t>
  </si>
  <si>
    <t>NCC1(CCOCC1)c1ccccc1</t>
  </si>
  <si>
    <t>SF070</t>
  </si>
  <si>
    <t>DLS-X1035</t>
  </si>
  <si>
    <t>Oc1cnc(nc1)-c1ccccc1</t>
  </si>
  <si>
    <t>SF071</t>
  </si>
  <si>
    <t>DLS-X1036</t>
  </si>
  <si>
    <t>Cc1cc(C)c2c(n1)n(C)[nH]c2=O</t>
  </si>
  <si>
    <t>SF072</t>
  </si>
  <si>
    <t>DLS-X1037</t>
  </si>
  <si>
    <t>COc1ccc(cc1)C1=CCNCC1</t>
  </si>
  <si>
    <t>SF073</t>
  </si>
  <si>
    <t>DLS-X1038</t>
  </si>
  <si>
    <t>Cn1c(CO)nc2ccccc12</t>
  </si>
  <si>
    <t>SF074</t>
  </si>
  <si>
    <t>DLS-X1039</t>
  </si>
  <si>
    <t>CN(C)c1cc(CN)ccn1</t>
  </si>
  <si>
    <t>SF075</t>
  </si>
  <si>
    <t>DLS-X1040</t>
  </si>
  <si>
    <t>Oc1ccccc1C(=O)NC1CC1</t>
  </si>
  <si>
    <t>SF076</t>
  </si>
  <si>
    <t>DLS-X1041</t>
  </si>
  <si>
    <t>C1CN(CCN1)c1nc2ccccc2s1</t>
  </si>
  <si>
    <t>SF077</t>
  </si>
  <si>
    <t>DLS-X1042</t>
  </si>
  <si>
    <t>OC(=O)C1CCCN(C1)C(=O)N1CCCC1</t>
  </si>
  <si>
    <t>SF078</t>
  </si>
  <si>
    <t>DLS-X1045</t>
  </si>
  <si>
    <t>Nc1ccc(cc1C(O)=O)-c1ccccc1</t>
  </si>
  <si>
    <t>SF081</t>
  </si>
  <si>
    <t>DLS-X1046</t>
  </si>
  <si>
    <t>Clc1ccccc1C(=O)CN1CCCC1</t>
  </si>
  <si>
    <t>SF082</t>
  </si>
  <si>
    <t>DLS-X1047</t>
  </si>
  <si>
    <t>CCc1nccn1CC(O)=O</t>
  </si>
  <si>
    <t>SF083</t>
  </si>
  <si>
    <t>DLS-X1048</t>
  </si>
  <si>
    <t>CS(=O)(=O)Nc1ccc(cc1)C(O)=O</t>
  </si>
  <si>
    <t>SF084</t>
  </si>
  <si>
    <t>DLS-X1049</t>
  </si>
  <si>
    <t>OC(=O)c1ccc(CN2CCOCC2)cc1</t>
  </si>
  <si>
    <t>SF085</t>
  </si>
  <si>
    <t>DLS-X1050</t>
  </si>
  <si>
    <t>OC(=O)CC1CCC(=O)N1</t>
  </si>
  <si>
    <t>SF086</t>
  </si>
  <si>
    <t>DLS-X1051</t>
  </si>
  <si>
    <t>FC1(F)CNCC(F)(F)O1</t>
  </si>
  <si>
    <t>SF087</t>
  </si>
  <si>
    <t>DLS-X1052</t>
  </si>
  <si>
    <t>Fc1ccc2c(c[nH]c2c1)C1CCNCC1</t>
  </si>
  <si>
    <t>SF088</t>
  </si>
  <si>
    <t>DLS-X1053</t>
  </si>
  <si>
    <t>Oc1ccc(cc1)-n1cncn1</t>
  </si>
  <si>
    <t>SF089</t>
  </si>
  <si>
    <t>DLS-X1054</t>
  </si>
  <si>
    <t>Cn1nc(cc1O)C(F)(F)F</t>
  </si>
  <si>
    <t>SF090</t>
  </si>
  <si>
    <t>DLS-X1055</t>
  </si>
  <si>
    <t>O=C1CCC(=O)N(N1)c1ccccc1</t>
  </si>
  <si>
    <t>SF091</t>
  </si>
  <si>
    <t>DLS-X1056</t>
  </si>
  <si>
    <t>Clc1ccc(SCC2=NNC(=O)C2)cc1</t>
  </si>
  <si>
    <t>SF092</t>
  </si>
  <si>
    <t>DLS-X1057</t>
  </si>
  <si>
    <t>OCC1CCN(CC1)C(=O)c1ccccc1</t>
  </si>
  <si>
    <t>SF093</t>
  </si>
  <si>
    <t>DLS-X1058</t>
  </si>
  <si>
    <t>Fc1ccc(NC2=NC(=O)CS2)cc1</t>
  </si>
  <si>
    <t>SF094</t>
  </si>
  <si>
    <t>DLS-X1059</t>
  </si>
  <si>
    <t>Cc1ccc(CCNc2ccccc2)cn1</t>
  </si>
  <si>
    <t>SF095</t>
  </si>
  <si>
    <t>DLS-X1060</t>
  </si>
  <si>
    <t>O=C1NC(=O)\C(N1)=C/c1cccs1</t>
  </si>
  <si>
    <t>SF096</t>
  </si>
  <si>
    <t>DLS-X1061</t>
  </si>
  <si>
    <t>COc1ccc2NCCC(=O)N(C)Cc2c1OCC=C</t>
  </si>
  <si>
    <t>FMOOA000478a</t>
  </si>
  <si>
    <t>DLS-X1062</t>
  </si>
  <si>
    <t>CCNC(=O)N[C@H]1[C@H](O)[C@@H]2O[C@H]1c3ccccc23</t>
  </si>
  <si>
    <t>FMOOA000479a</t>
  </si>
  <si>
    <t>DLS-X1063</t>
  </si>
  <si>
    <t>O[C@H]1[C@@H](CNC(=O)C2CCC2)[C@H]3O[C@@H]1c4ccccc34</t>
  </si>
  <si>
    <t>FMOOA000480a</t>
  </si>
  <si>
    <t>DLS-X1064</t>
  </si>
  <si>
    <t>COC1CN(CC(=O)OC)S(=O)(=O)c2ccccc12</t>
  </si>
  <si>
    <t>FMOOA000481a</t>
  </si>
  <si>
    <t>DLS-X1065</t>
  </si>
  <si>
    <t>CC[C@@H]1[C@H](OC)c2ccccc2S(=O)(=O)N1CCOC</t>
  </si>
  <si>
    <t>FMOOA000482a</t>
  </si>
  <si>
    <t>DLS-X1066</t>
  </si>
  <si>
    <t>Cc1cc(C(=O)N2C[C@H](O)[C@@H]3C[C@H]2CC[C@@H]3O)n(C)n1</t>
  </si>
  <si>
    <t>FMOOA000483a</t>
  </si>
  <si>
    <t>DLS-X1067</t>
  </si>
  <si>
    <t>CN1C[C@H](O)[C@@H]2C[C@H]1Cc3c2n(C)c4ccccc34</t>
  </si>
  <si>
    <t>FMOOA000484a</t>
  </si>
  <si>
    <t>DLS-X1068</t>
  </si>
  <si>
    <t>O[C@@H]1CC[C@@H]2C[C@H]1[C@@H](O)CN2C(=O)NCc3ccccc3</t>
  </si>
  <si>
    <t>FMOOA000485a</t>
  </si>
  <si>
    <t>DLS-X1069</t>
  </si>
  <si>
    <t>CC(C)N1C[C@H](O)[C@@H]2C[C@H]1CC[C@H]2O</t>
  </si>
  <si>
    <t>FMOOA000486a</t>
  </si>
  <si>
    <t>DLS-X1070</t>
  </si>
  <si>
    <t>CO[C@H]1CN([C@@H]2CC[C@@H](O)[C@H]1C2)S(=O)(=O)C</t>
  </si>
  <si>
    <t>FMOOA000487a</t>
  </si>
  <si>
    <t>DLS-X1071</t>
  </si>
  <si>
    <t>NC(=O)CN1C[C@H](Oc2ccccn2)[C@H]3C[C@@H]1CC[C@H]3O</t>
  </si>
  <si>
    <t>FMOOA000488a</t>
  </si>
  <si>
    <t>DLS-X1072</t>
  </si>
  <si>
    <t>CC(=O)N1[C@@H]2CC[C@@](O)(CC2)C1CO</t>
  </si>
  <si>
    <t>FMOOA000489a</t>
  </si>
  <si>
    <t>DLS-X1073</t>
  </si>
  <si>
    <t>O=C1CCNc2ccsc2CN1CC3CC3</t>
  </si>
  <si>
    <t>FMOOA000490a</t>
  </si>
  <si>
    <t>DLS-X1074</t>
  </si>
  <si>
    <t>O[C@H]1[C@H](NC(=O)C2CCC2)[C@H]3O[C@@H]1c4ccccc34</t>
  </si>
  <si>
    <t>FMOOA000491a</t>
  </si>
  <si>
    <t>DLS-X1075</t>
  </si>
  <si>
    <t>CCNC(=O)NC[C@@H]1[C@H](O)[C@@H]2O[C@H]1c3ccccc23</t>
  </si>
  <si>
    <t>FMOOA000492a</t>
  </si>
  <si>
    <t>DLS-X1076</t>
  </si>
  <si>
    <t>CC[C@@H]1[C@@H]2OC(=O)CN1S(=O)(=O)c3ccccc23</t>
  </si>
  <si>
    <t>FMOOA000493a</t>
  </si>
  <si>
    <t>DLS-X1077</t>
  </si>
  <si>
    <t>CC[C@@H]1[C@H](O)c2ccccc2S(=O)(=O)N1CCO</t>
  </si>
  <si>
    <t>FMOOA000494a</t>
  </si>
  <si>
    <t>DLS-X1078</t>
  </si>
  <si>
    <t>O[C@H]1CC[C@H]2C[C@H]1[C@@H](O)CN2C(=O)\C=C\c3ccccc3</t>
  </si>
  <si>
    <t>FMOOA000495a</t>
  </si>
  <si>
    <t>DLS-X1079</t>
  </si>
  <si>
    <t>O[C@@H]1CN[C@@H]2C[C@H]1c3[nH]c4ccccc4c3C2</t>
  </si>
  <si>
    <t>FMOOA000496a</t>
  </si>
  <si>
    <t>DLS-X1080</t>
  </si>
  <si>
    <t>CS(=O)(=O)N1C[C@H](O)[C@@H]2C[C@@H]1CC[C@H]2O</t>
  </si>
  <si>
    <t>FMOOA000497a</t>
  </si>
  <si>
    <t>DLS-X1081</t>
  </si>
  <si>
    <t>O[C@@H]1CC[C@@H]2C[C@H]1[C@@H](O)CN2CCc3ccccc3</t>
  </si>
  <si>
    <t>FMOOA000498a</t>
  </si>
  <si>
    <t>DLS-X1082</t>
  </si>
  <si>
    <t>COCC(=O)N1C[C@H](OC)[C@@H]2C[C@H]1CC[C@H]2OC</t>
  </si>
  <si>
    <t>FMOOA000499a</t>
  </si>
  <si>
    <t>DLS-X1083</t>
  </si>
  <si>
    <t>CO[C@@H]1CC[C@H]2C[C@@H]1[C@H](CN2)Oc3ccccn3</t>
  </si>
  <si>
    <t>FMOOA000500a</t>
  </si>
  <si>
    <t>DLS-X1084</t>
  </si>
  <si>
    <t>CCOC(=O)CC(=O)N1[C@@H]2CC[C@@](O)(CC2)C1CO</t>
  </si>
  <si>
    <t>FMOOA000501a</t>
  </si>
  <si>
    <t>DLS-X1085</t>
  </si>
  <si>
    <t>COCC(=O)N1C[C@H](O)CN(Cc2ccccc2)C(=O)C1</t>
  </si>
  <si>
    <t>FMOOA000502a</t>
  </si>
  <si>
    <t>DLS-X1086</t>
  </si>
  <si>
    <t>CC(C)C(=O)N[C@H]1[C@H](OC(=O)C)[C@@H]2O[C@H]1c3ccccc23</t>
  </si>
  <si>
    <t>FMOOA000503a</t>
  </si>
  <si>
    <t>DLS-X1087</t>
  </si>
  <si>
    <t>CO[C@@H]1CCN(CC[C@@H]1C(=O)O)C(=O)OCC(C)C</t>
  </si>
  <si>
    <t>FMOOA000504a</t>
  </si>
  <si>
    <t>DLS-X1088</t>
  </si>
  <si>
    <t>O=C1CN2CC(N1)c3ccccc3S2(=O)=O</t>
  </si>
  <si>
    <t>FMOOA000505a</t>
  </si>
  <si>
    <t>DLS-X1089</t>
  </si>
  <si>
    <t>O[C@H]1CN(CC2CC2)[C@@H]3C[C@@H]1c4[nH]c5ccccc5c4C3</t>
  </si>
  <si>
    <t>FMOOA000506a</t>
  </si>
  <si>
    <t>DLS-X1090</t>
  </si>
  <si>
    <t>O[C@H]1CC[C@H]2C[C@H]1[C@@H](O)CN2C(=O)COc3ccccc3</t>
  </si>
  <si>
    <t>FMOOA000507a</t>
  </si>
  <si>
    <t>DLS-X1091</t>
  </si>
  <si>
    <t>O=C1NC[C@H]2CCN(CC[C@H]12)C3CCOCC3</t>
  </si>
  <si>
    <t>FMOOA000508a</t>
  </si>
  <si>
    <t>DLS-X1093</t>
  </si>
  <si>
    <t>O[C@@H]1CC[C@@H]2C[C@H]1[C@@H](O)CN2c3ccccn3</t>
  </si>
  <si>
    <t>FMOOA000510a</t>
  </si>
  <si>
    <t>DLS-X1094</t>
  </si>
  <si>
    <t>CO[C@H]1CN([C@@H]2CC[C@@H](OC)[C@H]1C2)C(=O)c3ocnc3C</t>
  </si>
  <si>
    <t>FMOOA000511a</t>
  </si>
  <si>
    <t>DLS-X1095</t>
  </si>
  <si>
    <t>CO[C@@H]1CC[C@H]2C[C@@H]1[C@H](CN2C)Oc3ccccn3</t>
  </si>
  <si>
    <t>FMOOA000512a</t>
  </si>
  <si>
    <t>DLS-X1096</t>
  </si>
  <si>
    <t>OCC1N([C@@H]2CC[C@@]1(O)CC2)C(=O)Cc3cccs3</t>
  </si>
  <si>
    <t>FMOOA000513a</t>
  </si>
  <si>
    <t>DLS-X1097</t>
  </si>
  <si>
    <t>COc1ccc(cc1)C(=O)N2CC(=O)NCC(C)(C)C2</t>
  </si>
  <si>
    <t>FMOOA000514a</t>
  </si>
  <si>
    <t>DLS-X1098</t>
  </si>
  <si>
    <t>CC(=O)N1C[C@@H](CO)[C@@H]2Oc3c(F)cccc3[C@H]12</t>
  </si>
  <si>
    <t>FMOOA000515a</t>
  </si>
  <si>
    <t>DLS-X1099</t>
  </si>
  <si>
    <t>CNC(=O)[C@H]1CCN(CC[C@H]1OC)C2CCN(C)CC2</t>
  </si>
  <si>
    <t>FMOOA000516a</t>
  </si>
  <si>
    <t>DLS-X1100</t>
  </si>
  <si>
    <t>CN1C2CN(CC1=O)S(=O)(=O)c3ccccc23</t>
  </si>
  <si>
    <t>FMOOA000517a</t>
  </si>
  <si>
    <t>DLS-X1101</t>
  </si>
  <si>
    <t>COC(=O)N1C[C@H](O)[C@H]2C[C@@H]1Cc3c2[nH]c4ccccc34</t>
  </si>
  <si>
    <t>FMOOA000518a</t>
  </si>
  <si>
    <t>DLS-X1102</t>
  </si>
  <si>
    <t>COC(=O)N1C[C@H](O)[C@@H]2C[C@H]1CC[C@@H]2O</t>
  </si>
  <si>
    <t>FMOOA000519a</t>
  </si>
  <si>
    <t>DLS-X1103</t>
  </si>
  <si>
    <t>COC1CN(C(C)C)S(=O)(=O)c2ccccc12</t>
  </si>
  <si>
    <t>FMOOA000520a</t>
  </si>
  <si>
    <t>DLS-X1104</t>
  </si>
  <si>
    <t>CO[C@H]1CN(C)[C@H]2C[C@@H]1c3[nH]c4ccccc4c3C2</t>
  </si>
  <si>
    <t>FMOOA000521a</t>
  </si>
  <si>
    <t>DLS-X1105</t>
  </si>
  <si>
    <t>CNC(=O)CN1C[C@H](O)[C@@H]2C[C@H]1CC[C@H]2O</t>
  </si>
  <si>
    <t>FMOOA000522a</t>
  </si>
  <si>
    <t>DLS-X1106</t>
  </si>
  <si>
    <t>CO[C@@H]1CC[C@@H]2C[C@H]1[C@H](CN2S(=O)(=O)C)OC</t>
  </si>
  <si>
    <t>FMOOA000523a</t>
  </si>
  <si>
    <t>DLS-X1107</t>
  </si>
  <si>
    <t>OCC1N(CC2CC2)[C@@H]3CC[C@@]1(O)CC3</t>
  </si>
  <si>
    <t>FMOOA000524a</t>
  </si>
  <si>
    <t>DLS-X1108</t>
  </si>
  <si>
    <t>O[C@@]12CC[C@@H](CC1)N3C2COC3=O</t>
  </si>
  <si>
    <t>FMOOA000525a</t>
  </si>
  <si>
    <t>DLS-X1109</t>
  </si>
  <si>
    <t>CN1Cc2ccccc2N(CC(C)(C)O)CCC1=O</t>
  </si>
  <si>
    <t>FMOOA000526a</t>
  </si>
  <si>
    <t>DLS-X1110</t>
  </si>
  <si>
    <t>CCOC(=O)[C@@H]1CN([C@@H]2[C@H]1Oc3c(C)cccc23)C(=O)C</t>
  </si>
  <si>
    <t>FMOOA000527a</t>
  </si>
  <si>
    <t>DLS-X1111</t>
  </si>
  <si>
    <t>OCCN1CC(O)c2ccccc2S1(=O)=O</t>
  </si>
  <si>
    <t>FMOOA000528a</t>
  </si>
  <si>
    <t>DLS-X1112</t>
  </si>
  <si>
    <t>CC[C@@H]1[C@@H](O)c2ccccc2S(=O)(=O)N1CC(=O)OC</t>
  </si>
  <si>
    <t>FMOOA000529a</t>
  </si>
  <si>
    <t>DLS-X1113</t>
  </si>
  <si>
    <t>O=C(N1CC[C@@H]2CNC(=O)[C@H]2CC1)c3ccccc3</t>
  </si>
  <si>
    <t>FMOOA000530a</t>
  </si>
  <si>
    <t>DLS-X1114</t>
  </si>
  <si>
    <t>O[C@H]1CC[C@@H]2C[C@H]1[C@@H](O)CN2C(=O)Nc3ccccc3</t>
  </si>
  <si>
    <t>FMOOA000531a</t>
  </si>
  <si>
    <t>DLS-X1115</t>
  </si>
  <si>
    <t>O[C@H]1CC[C@@H]2C[C@H]1[C@@H](O)CN2c3ccccn3</t>
  </si>
  <si>
    <t>FMOOA000532a</t>
  </si>
  <si>
    <t>DLS-X1116</t>
  </si>
  <si>
    <t>CO[C@H]1CN[C@@H]2CC[C@@H](O)[C@H]1C2</t>
  </si>
  <si>
    <t>FMOOA000533a</t>
  </si>
  <si>
    <t>DLS-X1117</t>
  </si>
  <si>
    <t>CO[C@H]1CN([C@@H]2CC[C@@H](O)[C@H]1C2)C(=O)C3CCC3</t>
  </si>
  <si>
    <t>FMOOA000534a</t>
  </si>
  <si>
    <t>DLS-X1118</t>
  </si>
  <si>
    <t>CO[C@H]1CN(C)[C@H]2C[C@@H]1c3c(C2)c4ccccc4n3C</t>
  </si>
  <si>
    <t>FMOOA000535a</t>
  </si>
  <si>
    <t>DLS-X1119</t>
  </si>
  <si>
    <t>OCC1N(C2CCOCC2)[C@@H]3CC[C@@]1(O)CC3</t>
  </si>
  <si>
    <t>FMOOA000536a</t>
  </si>
  <si>
    <t>DLS-X1120</t>
  </si>
  <si>
    <t>OCC1N([C@@H]2CC[C@@]1(O)CC2)C(=O)Nc3ccccc3</t>
  </si>
  <si>
    <t>FMOOA000537a</t>
  </si>
  <si>
    <t>DLS-X1121</t>
  </si>
  <si>
    <t>CCC[C@@H]1CN(CCOC)C(=O)c2cccnc2O1</t>
  </si>
  <si>
    <t>FMOOA000538a</t>
  </si>
  <si>
    <t>DLS-X1122</t>
  </si>
  <si>
    <t>CC(=O)N1C[C@@H](CO)[C@@H]2Oc3ccc(Cl)cc3[C@H]12</t>
  </si>
  <si>
    <t>FMOOA000539a</t>
  </si>
  <si>
    <t>DLS-X1123</t>
  </si>
  <si>
    <t>NC(=O)CN1CC(O)c2ccccc2S1(=O)=O</t>
  </si>
  <si>
    <t>FMOOA000540a</t>
  </si>
  <si>
    <t>DLS-X1124</t>
  </si>
  <si>
    <t>CC[C@@H]1[C@@H](O)c2ccccc2S(=O)(=O)N1CCO</t>
  </si>
  <si>
    <t>FMOOA000541a</t>
  </si>
  <si>
    <t>DLS-X1125</t>
  </si>
  <si>
    <t>O=C1NC[C@H]2CCN(CC[C@H]12)S(=O)(=O)c3ccccc3</t>
  </si>
  <si>
    <t>FMOOA000542a</t>
  </si>
  <si>
    <t>DLS-X1126</t>
  </si>
  <si>
    <t>CC(C)N1CC(O)c2ccccc2S1(=O)=O</t>
  </si>
  <si>
    <t>FMOOA000543a</t>
  </si>
  <si>
    <t>DLS-X1127</t>
  </si>
  <si>
    <t>CNC(=O)CN1C[C@H](O)[C@@H]2C[C@H]1CC[C@@H]2O</t>
  </si>
  <si>
    <t>FMOOA000544a</t>
  </si>
  <si>
    <t>DLS-X1128</t>
  </si>
  <si>
    <t>CCOC(=O)CN1C[C@H](OC)[C@@H]2C[C@H]1CC[C@H]2O</t>
  </si>
  <si>
    <t>FMOOA000545a</t>
  </si>
  <si>
    <t>DLS-X1129</t>
  </si>
  <si>
    <t>COCC(=O)N1C[C@H](OC)[C@@H]2C[C@H]1CC[C@H]2O</t>
  </si>
  <si>
    <t>FMOOA000546a</t>
  </si>
  <si>
    <t>DLS-X1130</t>
  </si>
  <si>
    <t>CO[C@H]1CN(Cc2nccn2C)[C@@H]3CC[C@@H](OC)[C@H]1C3</t>
  </si>
  <si>
    <t>FMOOA000547a</t>
  </si>
  <si>
    <t>DLS-X1131</t>
  </si>
  <si>
    <t>OCC1N(Cc2ccccn2)[C@@H]3CC[C@@]1(O)CC3</t>
  </si>
  <si>
    <t>FMOOA000548a</t>
  </si>
  <si>
    <t>DLS-X1132</t>
  </si>
  <si>
    <t>OCC1N([C@@H]2CC[C@@]1(O)CC2)S(=O)(=O)c3ccccc3</t>
  </si>
  <si>
    <t>FMOOA000549a</t>
  </si>
  <si>
    <t>DLS-X1133</t>
  </si>
  <si>
    <t>OC[C@@H]1CN([C@@H]2[C@H]1Oc3ccccc23)C(=O)C4CCC4</t>
  </si>
  <si>
    <t>FMOOA000550a</t>
  </si>
  <si>
    <t>DLS-X1134</t>
  </si>
  <si>
    <t>CCOC(=O)N1C[C@H]([C@@H]2Oc3ccccc3[C@H]12)C(=O)N</t>
  </si>
  <si>
    <t>FMOOA000551a</t>
  </si>
  <si>
    <t>DLS-X1135</t>
  </si>
  <si>
    <t>COC1CN(CCO)S(=O)(=O)c2ccccc12</t>
  </si>
  <si>
    <t>FMOOA000552a</t>
  </si>
  <si>
    <t>DLS-X1136</t>
  </si>
  <si>
    <t>CC[C@@H]1[C@@H](O)c2ccccc2S(=O)(=O)N1CC(=O)N</t>
  </si>
  <si>
    <t>FMOOA000553a</t>
  </si>
  <si>
    <t>DLS-X1137</t>
  </si>
  <si>
    <t>O=C(OCc1ccccc1)N2CC[C@@H]3CNC(=O)[C@H]3CC2</t>
  </si>
  <si>
    <t>FMOOA000554a</t>
  </si>
  <si>
    <t>DLS-X1138</t>
  </si>
  <si>
    <t>O[C@H]1CN[C@@H]2C[C@H]1c3[nH]c4ccccc4c3C2</t>
  </si>
  <si>
    <t>FMOOA000555a</t>
  </si>
  <si>
    <t>DLS-X1139</t>
  </si>
  <si>
    <t>Cc1oc(C)c(c1)C(=O)N2C[C@H](O)[C@@H]3C[C@H]2CC[C@H]3O</t>
  </si>
  <si>
    <t>FMOOA000556a</t>
  </si>
  <si>
    <t>DLS-X1140</t>
  </si>
  <si>
    <t>CNC(=O)CN1C[C@H](OC)[C@@H]2C[C@H]1CC[C@H]2O</t>
  </si>
  <si>
    <t>FMOOA000557a</t>
  </si>
  <si>
    <t>DLS-X1141</t>
  </si>
  <si>
    <t>CO[C@H]1CN([C@@H]2CC[C@@H](O)[C@H]1C2)C(=O)c3c(C)onc3C</t>
  </si>
  <si>
    <t>FMOOA000558a</t>
  </si>
  <si>
    <t>DLS-X1142</t>
  </si>
  <si>
    <t>CO[C@H]1CN[C@H]2C[C@@H]1c3[nH]c4ccc(OC)cc4c3C2</t>
  </si>
  <si>
    <t>FMOOA000559a</t>
  </si>
  <si>
    <t>DLS-X1143</t>
  </si>
  <si>
    <t>OCC1N(CCc2ccccc2)[C@@H]3CC[C@@]1(O)CC3</t>
  </si>
  <si>
    <t>FMOOA000560a</t>
  </si>
  <si>
    <t>DLS-X1144</t>
  </si>
  <si>
    <t>COCC(=O)N1[C@@H]2CC[C@@](O)(CC2)C1CO</t>
  </si>
  <si>
    <t>FMOOA000561a</t>
  </si>
  <si>
    <t>DLS-X1145</t>
  </si>
  <si>
    <t>OC[C@@H]1CN([C@@H]2[C@H]1Oc3ccccc23)C(=O)c4ccccc4</t>
  </si>
  <si>
    <t>FMOOA000562a</t>
  </si>
  <si>
    <t>DLS-X1146</t>
  </si>
  <si>
    <t>CCN1C(=O)CN([C@H]2[C@H](O)[C@@H]3O[C@H]2c4ccccc34)C1=O</t>
  </si>
  <si>
    <t>FMOOA000563a</t>
  </si>
  <si>
    <t>DLS-X1147</t>
  </si>
  <si>
    <t>CC[C@H]1NS(=O)(=O)c2ccccc2[C@@H]1O</t>
  </si>
  <si>
    <t>FMOOA000564a</t>
  </si>
  <si>
    <t>DLS-X1148</t>
  </si>
  <si>
    <t>CC[C@@H]1[C@H](O)c2ccccc2S(=O)(=O)N1CC(=O)NC</t>
  </si>
  <si>
    <t>FMOOA000565a</t>
  </si>
  <si>
    <t>DLS-X1149</t>
  </si>
  <si>
    <t>COC(=O)N1C[C@@H](O)[C@H]2C[C@@H]1Cc3c2[nH]c4ccccc34</t>
  </si>
  <si>
    <t>FMOOA000566a</t>
  </si>
  <si>
    <t>DLS-X1150</t>
  </si>
  <si>
    <t>NC(=O)CN1C[C@H](O)[C@@H]2C[C@@H]1Cc3c2[nH]c4ccccc34</t>
  </si>
  <si>
    <t>FMOOA000567a</t>
  </si>
  <si>
    <t>DLS-X1151</t>
  </si>
  <si>
    <t>COC(=O)N1C[C@H](O)[C@@H]2C[C@H]1CC[C@H]2O</t>
  </si>
  <si>
    <t>FMOOA000568a</t>
  </si>
  <si>
    <t>DLS-X1152</t>
  </si>
  <si>
    <t>O[C@@H]1CC[C@@H]2C[C@H]1[C@@H](O)CN2CC3CC3</t>
  </si>
  <si>
    <t>FMOOA000569a</t>
  </si>
  <si>
    <t>DLS-X1153</t>
  </si>
  <si>
    <t>CCNC(=O)N1C[C@H](OC)[C@@H]2C[C@H]1CC[C@H]2O</t>
  </si>
  <si>
    <t>FMOOA000570a</t>
  </si>
  <si>
    <t>DLS-X1154</t>
  </si>
  <si>
    <t>CC(=O)N1C[C@H](Oc2ccccn2)[C@H]3C[C@@H]1CC[C@H]3O</t>
  </si>
  <si>
    <t>FMOOA000571a</t>
  </si>
  <si>
    <t>DLS-X1155</t>
  </si>
  <si>
    <t>OCC1N(Cc2ccc(F)cc2)[C@@H]3CC[C@@]1(O)CC3</t>
  </si>
  <si>
    <t>FMOOA000572a</t>
  </si>
  <si>
    <t>DLS-X1156</t>
  </si>
  <si>
    <t>O[C@H]1CN[C@H]2CC[C@H]([C@@H]1C2)N3CCOCC3</t>
  </si>
  <si>
    <t>FMOOA000573a</t>
  </si>
  <si>
    <t>DLS-X1157</t>
  </si>
  <si>
    <t>CN1C[C@H](O)[C@H]2C[C@@H]1CC[C@H]2N3CCOCC3</t>
  </si>
  <si>
    <t>FMOOA000574a</t>
  </si>
  <si>
    <t>DLS-X1158</t>
  </si>
  <si>
    <t>COCC1N([C@@H]2CC[C@@]1(O)CC2)C(=O)c3cc(C)nn3C</t>
  </si>
  <si>
    <t>FMOOA000575a</t>
  </si>
  <si>
    <t>DLS-X1159</t>
  </si>
  <si>
    <t>NC(=O)CN1[C@@H]2CC[C@@](O)(CC2)C1CN3CCOCC3</t>
  </si>
  <si>
    <t>FMOOA000576a</t>
  </si>
  <si>
    <t>DLS-X1160</t>
  </si>
  <si>
    <t>O[C@H]1CO[C@@H]2CC[C@@H](NCc3ccccc3)[C@@H]1C2</t>
  </si>
  <si>
    <t>FMOOA000577a</t>
  </si>
  <si>
    <t>DLS-X1161</t>
  </si>
  <si>
    <t>OC(=O)C1=CCCOc2ccccc12</t>
  </si>
  <si>
    <t>FMOOA000578a</t>
  </si>
  <si>
    <t>DLS-X1162</t>
  </si>
  <si>
    <t>O=C1CCN2[C@@H]3[C@H](COc4ccccc34)CN12</t>
  </si>
  <si>
    <t>FMOOA000579a</t>
  </si>
  <si>
    <t>DLS-X1163</t>
  </si>
  <si>
    <t>CN(C)C(=O)N1[C@@H]2CC[C@]3(CC2)OC(=O)N(C)CC13</t>
  </si>
  <si>
    <t>FMOOA000580a</t>
  </si>
  <si>
    <t>DLS-X1164</t>
  </si>
  <si>
    <t>CNC(=O)CN1CC2N[C@@H]3CC[C@]2(CC3)OC1=O</t>
  </si>
  <si>
    <t>FMOOA000581a</t>
  </si>
  <si>
    <t>DLS-X1165</t>
  </si>
  <si>
    <t>CO[C@H]1CO[C@@H]2CC[C@@H](Nc3ccccc3)[C@H]1C2</t>
  </si>
  <si>
    <t>FMOOA000582a</t>
  </si>
  <si>
    <t>DLS-X1166</t>
  </si>
  <si>
    <t>CCNC(=O)N1[C@@H]2CC[C@@](O)(CC2)[C@@H]1[C@@H](O)CC</t>
  </si>
  <si>
    <t>FMOOA000583a</t>
  </si>
  <si>
    <t>DLS-X1167</t>
  </si>
  <si>
    <t>CN(C)[C@@H]1CC[C@@H]2C[C@@H]1[C@H](O)CO2</t>
  </si>
  <si>
    <t>FMOOA000584a</t>
  </si>
  <si>
    <t>DLS-X1168</t>
  </si>
  <si>
    <t>Cn1ccnc1CN[C@@H]2CC[C@@H]3C[C@@H]2[C@@H](O)CO3</t>
  </si>
  <si>
    <t>FMOOA000585a</t>
  </si>
  <si>
    <t>DLS-X1169</t>
  </si>
  <si>
    <t>CC(=O)N1C[C@H](O)[C@H]2C[C@@H]1CC[C@H]2N3CCOCC3</t>
  </si>
  <si>
    <t>FMOOA000586a</t>
  </si>
  <si>
    <t>DLS-X1170</t>
  </si>
  <si>
    <t>COCC1N([C@@H]2CC[C@@]1(O)CC2)C(=O)OC</t>
  </si>
  <si>
    <t>FMOOA000587a</t>
  </si>
  <si>
    <t>DLS-X1171</t>
  </si>
  <si>
    <t>CNC(=O)CN1[C@@H]2CC[C@@](O)(CC2)C1CN3CCOCC3</t>
  </si>
  <si>
    <t>FMOOA000588a</t>
  </si>
  <si>
    <t>DLS-X1172</t>
  </si>
  <si>
    <t>CN(Cc1ccccc1)[C@@H]2CC[C@@H]3C[C@@H]2[C@@H](O)CO3</t>
  </si>
  <si>
    <t>FMOOA000589a</t>
  </si>
  <si>
    <t>DLS-X1173</t>
  </si>
  <si>
    <t>COCCN1Cc2cc(OC)ccc2NCCC1=O</t>
  </si>
  <si>
    <t>FMOOA000590a</t>
  </si>
  <si>
    <t>DLS-X1174</t>
  </si>
  <si>
    <t>CCOC(=O)[C@H]1[C@@H](O)C(=O)NC12CCNCC2</t>
  </si>
  <si>
    <t>FMOOA000591a</t>
  </si>
  <si>
    <t>DLS-X1175</t>
  </si>
  <si>
    <t>O=C1N[C@@H]2CC[C@@H]3C[C@H]2[C@H](CN3)O1</t>
  </si>
  <si>
    <t>FMOOA000592a</t>
  </si>
  <si>
    <t>DLS-X1176</t>
  </si>
  <si>
    <t>CNC(=O)CN1CC2N(C)[C@@H]3CC[C@]2(CC3)OC1=O</t>
  </si>
  <si>
    <t>FMOOA000593a</t>
  </si>
  <si>
    <t>DLS-X1177</t>
  </si>
  <si>
    <t>CN1[C@@H]2CC[C@@](O)(CC2)[C@@H]1[C@@H](O)c3ccccc3</t>
  </si>
  <si>
    <t>FMOOA000594a</t>
  </si>
  <si>
    <t>DLS-X1178</t>
  </si>
  <si>
    <t>CC[C@H](O)[C@@H]1N([C@@H]2CC[C@@]1(O)CC2)S(=O)(=O)C</t>
  </si>
  <si>
    <t>FMOOA000595a</t>
  </si>
  <si>
    <t>DLS-X1179</t>
  </si>
  <si>
    <t>O[C@@H]1CO[C@@H]2CC[C@@H](NCC3CC3)[C@@H]1C2</t>
  </si>
  <si>
    <t>FMOOA000596a</t>
  </si>
  <si>
    <t>DLS-X1180</t>
  </si>
  <si>
    <t>Cc1cc(CN[C@@H]2CC[C@@H]3C[C@@H]2[C@@H](O)CO3)n(C)n1</t>
  </si>
  <si>
    <t>FMOOA000597a</t>
  </si>
  <si>
    <t>DLS-X1181</t>
  </si>
  <si>
    <t>COC(=O)N1C[C@H](O)[C@H]2C[C@@H]1CC[C@H]2N3CCOCC3</t>
  </si>
  <si>
    <t>FMOOA000598a</t>
  </si>
  <si>
    <t>DLS-X1182</t>
  </si>
  <si>
    <t>COCC1N([C@@H]2CC[C@@]1(O)CC2)C(=O)NC3CCCC3</t>
  </si>
  <si>
    <t>FMOOA000599a</t>
  </si>
  <si>
    <t>DLS-X1183</t>
  </si>
  <si>
    <t>OCC(=O)N1[C@@H]2CC[C@@](O)(CC2)C1CN3CCOCC3</t>
  </si>
  <si>
    <t>FMOOA000600a</t>
  </si>
  <si>
    <t>DLS-X1184</t>
  </si>
  <si>
    <t>CN1C[C@H]2CN(C)c3ccccc3[C@@H]2NCCC1=O</t>
  </si>
  <si>
    <t>FMOOA000601a</t>
  </si>
  <si>
    <t>DLS-X1185</t>
  </si>
  <si>
    <t>CN1C[C@@H]2CN3N(CCC3=O)[C@@H]2c4ccccc14</t>
  </si>
  <si>
    <t>FMOOA000602a</t>
  </si>
  <si>
    <t>DLS-X1186</t>
  </si>
  <si>
    <t>CNC(=O)[C@@H]1[C@@H](O)C(=O)N(C)C12CCNCC2</t>
  </si>
  <si>
    <t>FMOOA000603a</t>
  </si>
  <si>
    <t>DLS-X1187</t>
  </si>
  <si>
    <t>CN1C[C@@H]2OC(=O)N[C@@H]3CC[C@@H]1C[C@@H]23</t>
  </si>
  <si>
    <t>FMOOA000604a</t>
  </si>
  <si>
    <t>DLS-X1188</t>
  </si>
  <si>
    <t>NC(=O)CN1CC2N[C@@H]3CC[C@]2(CC3)OC1=O</t>
  </si>
  <si>
    <t>FMOOA000605a</t>
  </si>
  <si>
    <t>DLS-X1189</t>
  </si>
  <si>
    <t>O[C@H]([C@@H]1N(CC2CC2)[C@@H]3CC[C@@]1(O)CC3)c4ccccc4</t>
  </si>
  <si>
    <t>FMOOA000606a</t>
  </si>
  <si>
    <t>DLS-X1190</t>
  </si>
  <si>
    <t>CC[C@@H]1OC(=O)N2[C@@H]3CC[C@@](O)(CC3)[C@H]12</t>
  </si>
  <si>
    <t>FMOOA000607a</t>
  </si>
  <si>
    <t>DLS-X1191</t>
  </si>
  <si>
    <t>CC(=O)N[C@@H]1CC[C@@H]2C[C@@H]1[C@H](O)CO2</t>
  </si>
  <si>
    <t>FMOOA000608a</t>
  </si>
  <si>
    <t>DLS-X1192</t>
  </si>
  <si>
    <t>O[C@H]1CO[C@@H]2CC[C@@H](NC3Cc4ccccc4C3)[C@@H]1C2</t>
  </si>
  <si>
    <t>FMOOA000609a</t>
  </si>
  <si>
    <t>p43_no_id_1</t>
  </si>
  <si>
    <t>CN(C)C(CCN1)C1=O</t>
  </si>
  <si>
    <t>EN300-1664134</t>
  </si>
  <si>
    <t>p43_no_id_2</t>
  </si>
  <si>
    <t>CC1(CC2)SCC(C(Nc3ccccc3)=O)N1C2=O</t>
  </si>
  <si>
    <t>Z27781727</t>
  </si>
  <si>
    <t>p43_no_id_3</t>
  </si>
  <si>
    <t>O=C(c1ccccc1)N1CCOCC1</t>
  </si>
  <si>
    <t>ZINC000000110505</t>
  </si>
  <si>
    <t>p43_no_id_4</t>
  </si>
  <si>
    <t>O=C(NC1CCCCC1)N1CCOCC1</t>
  </si>
  <si>
    <t>ZINC000000395231</t>
  </si>
  <si>
    <t>p43_no_id_5</t>
  </si>
  <si>
    <t>p43_no_id_6</t>
  </si>
  <si>
    <t>OC(=O)C=1C=CC(Cl)=CC1</t>
  </si>
  <si>
    <t>ZINC000000156865</t>
  </si>
  <si>
    <t>SMILES_nosalt</t>
  </si>
  <si>
    <t>Binding_site</t>
  </si>
  <si>
    <t>Soak_time</t>
  </si>
  <si>
    <t>Fragment</t>
  </si>
  <si>
    <t>Pair</t>
  </si>
  <si>
    <t>Isoform</t>
  </si>
  <si>
    <t>Used to calculate average map?</t>
  </si>
  <si>
    <t>Hit in P43 crystals?</t>
  </si>
  <si>
    <t>P43_binding_site</t>
  </si>
  <si>
    <t>P43_dataset</t>
  </si>
  <si>
    <t>C121</t>
  </si>
  <si>
    <t>A</t>
  </si>
  <si>
    <t>B</t>
  </si>
  <si>
    <t>Adenine</t>
  </si>
  <si>
    <t>C</t>
  </si>
  <si>
    <t>SSRL BEAMLINE BL12-2</t>
  </si>
  <si>
    <t>c2_no_id_01</t>
  </si>
  <si>
    <t>c2_no_id_02</t>
  </si>
  <si>
    <t>c2_no_id_03</t>
  </si>
  <si>
    <t>c2_no_id_04</t>
  </si>
  <si>
    <t>c2_no_id_05</t>
  </si>
  <si>
    <t>c2_no_id_06</t>
  </si>
  <si>
    <t>c2_no_id_07</t>
  </si>
  <si>
    <t>c2_no_id_08</t>
  </si>
  <si>
    <t>c2_no_id_09</t>
  </si>
  <si>
    <t>c2_no_id_10</t>
  </si>
  <si>
    <t>c2_no_id_11</t>
  </si>
  <si>
    <t>c2_no_id_12</t>
  </si>
  <si>
    <t>c2_no_id_13</t>
  </si>
  <si>
    <t>c2_no_id_14</t>
  </si>
  <si>
    <t>c2_no_id_15</t>
  </si>
  <si>
    <t>c2_no_id_16</t>
  </si>
  <si>
    <t>c2_no_id_17</t>
  </si>
  <si>
    <t>c2_no_id_18</t>
  </si>
  <si>
    <t>c2_no_id_19</t>
  </si>
  <si>
    <t>c2_no_id_20</t>
  </si>
  <si>
    <t>c2_no_id_21</t>
  </si>
  <si>
    <t>c2_no_id_22</t>
  </si>
  <si>
    <t>c2_no_id_23</t>
  </si>
  <si>
    <t>c2_no_id_24</t>
  </si>
  <si>
    <t>c2_no_id_25</t>
  </si>
  <si>
    <t>c2_no_id_26</t>
  </si>
  <si>
    <t>c2_no_id_27</t>
  </si>
  <si>
    <t>c2_no_id_28</t>
  </si>
  <si>
    <t>c2_no_id_29</t>
  </si>
  <si>
    <t>c2_no_id_30</t>
  </si>
  <si>
    <t>c2_no_id_31</t>
  </si>
  <si>
    <t>c2_no_id_32</t>
  </si>
  <si>
    <t>c2_no_id_33</t>
  </si>
  <si>
    <t>c2_no_id_34</t>
  </si>
  <si>
    <t>c2_no_id_35</t>
  </si>
  <si>
    <t>c2_no_id_36</t>
  </si>
  <si>
    <t>c2_no_id_37</t>
  </si>
  <si>
    <t>c2_no_id_38</t>
  </si>
  <si>
    <t>c2_no_id_39</t>
  </si>
  <si>
    <t>c2_no_id_40</t>
  </si>
  <si>
    <t>c2_no_id_41</t>
  </si>
  <si>
    <t>c2_no_id_42</t>
  </si>
  <si>
    <t>c2_no_id_43</t>
  </si>
  <si>
    <t>UCSF-C0001</t>
  </si>
  <si>
    <t>UCSF-C0002</t>
  </si>
  <si>
    <t>UCSF-C0003</t>
  </si>
  <si>
    <t>UCSF-C0004</t>
  </si>
  <si>
    <t>P121</t>
  </si>
  <si>
    <t>E</t>
  </si>
  <si>
    <t>UCSF-C0005</t>
  </si>
  <si>
    <t>UCSF-C0006</t>
  </si>
  <si>
    <t>UCSF-C0007</t>
  </si>
  <si>
    <t>UCSF-C0008</t>
  </si>
  <si>
    <t>D</t>
  </si>
  <si>
    <t>UCSF-C0009</t>
  </si>
  <si>
    <t>UCSF-C0010</t>
  </si>
  <si>
    <t>P2 other</t>
  </si>
  <si>
    <t>UCSF-C0011</t>
  </si>
  <si>
    <t>UCSF-C0012</t>
  </si>
  <si>
    <t>UCSF-C0013</t>
  </si>
  <si>
    <t>UCSF-C0014</t>
  </si>
  <si>
    <t>UCSF-C0015</t>
  </si>
  <si>
    <t>UCSF-C0016</t>
  </si>
  <si>
    <t>UCSF-C0017</t>
  </si>
  <si>
    <t>UCSF-C0018</t>
  </si>
  <si>
    <t>UCSF-C0019</t>
  </si>
  <si>
    <t>UCSF-C0020</t>
  </si>
  <si>
    <t>UCSF-C0021</t>
  </si>
  <si>
    <t>UCSF-C0022</t>
  </si>
  <si>
    <t>C2 other</t>
  </si>
  <si>
    <t>UCSF-C0023</t>
  </si>
  <si>
    <t>UCSF-C0024</t>
  </si>
  <si>
    <t>UCSF-C0025</t>
  </si>
  <si>
    <t>UCSF-C0026</t>
  </si>
  <si>
    <t>UCSF-C0027</t>
  </si>
  <si>
    <t>UCSF-C0028</t>
  </si>
  <si>
    <t>UCSF-C0029</t>
  </si>
  <si>
    <t>UCSF-C0030</t>
  </si>
  <si>
    <t>UCSF-C0031</t>
  </si>
  <si>
    <t>UCSF-C0032</t>
  </si>
  <si>
    <t>UCSF-C0033</t>
  </si>
  <si>
    <t>UCSF-C0034</t>
  </si>
  <si>
    <t>UCSF-C0035</t>
  </si>
  <si>
    <t>UCSF-C0036</t>
  </si>
  <si>
    <t>UCSF-C0037</t>
  </si>
  <si>
    <t>UCSF-C0038</t>
  </si>
  <si>
    <t>UCSF-C0039</t>
  </si>
  <si>
    <t>UCSF-C0040</t>
  </si>
  <si>
    <t>UCSF-C0041</t>
  </si>
  <si>
    <t>UCSF-C0042</t>
  </si>
  <si>
    <t>UCSF-C0043</t>
  </si>
  <si>
    <t>UCSF-C0044</t>
  </si>
  <si>
    <t>UCSF-C0045</t>
  </si>
  <si>
    <t>UCSF-C0046</t>
  </si>
  <si>
    <t>UCSF-C0047</t>
  </si>
  <si>
    <t>UCSF-C0048</t>
  </si>
  <si>
    <t>UCSF-C0049</t>
  </si>
  <si>
    <t>UCSF-C0050</t>
  </si>
  <si>
    <t>UCSF-C0051</t>
  </si>
  <si>
    <t>UCSF-C0052</t>
  </si>
  <si>
    <t>UCSF-C0053</t>
  </si>
  <si>
    <t>UCSF-C0054</t>
  </si>
  <si>
    <t>UCSF-C0055</t>
  </si>
  <si>
    <t>UCSF-C0056</t>
  </si>
  <si>
    <t>UCSF-C0057</t>
  </si>
  <si>
    <t>UCSF-C0059</t>
  </si>
  <si>
    <t>UCSF-C0060</t>
  </si>
  <si>
    <t>UCSF-C0061</t>
  </si>
  <si>
    <t>UCSF-C0062</t>
  </si>
  <si>
    <t>UCSF-C0063</t>
  </si>
  <si>
    <t>UCSF-C0064</t>
  </si>
  <si>
    <t>UCSF-C0065</t>
  </si>
  <si>
    <t>UCSF-C0066</t>
  </si>
  <si>
    <t>UCSF-C0067</t>
  </si>
  <si>
    <t>UCSF-C0068</t>
  </si>
  <si>
    <t>UCSF-C0069</t>
  </si>
  <si>
    <t>UCSF-C0070</t>
  </si>
  <si>
    <t>UCSF-C0071</t>
  </si>
  <si>
    <t>UCSF-C0072</t>
  </si>
  <si>
    <t>UCSF-C0073</t>
  </si>
  <si>
    <t>UCSF-C0074</t>
  </si>
  <si>
    <t>UCSF-C0075</t>
  </si>
  <si>
    <t>UCSF-C0076</t>
  </si>
  <si>
    <t>UCSF-C0077</t>
  </si>
  <si>
    <t>UCSF-C0078</t>
  </si>
  <si>
    <t>UCSF-C0079</t>
  </si>
  <si>
    <t>UCSF-C0080</t>
  </si>
  <si>
    <t>UCSF-C0081</t>
  </si>
  <si>
    <t>UCSF-C0082</t>
  </si>
  <si>
    <t>UCSF-C0083</t>
  </si>
  <si>
    <t>UCSF-C0084</t>
  </si>
  <si>
    <t>UCSF-C0085</t>
  </si>
  <si>
    <t>UCSF-C0086</t>
  </si>
  <si>
    <t>UCSF-C0087</t>
  </si>
  <si>
    <t>UCSF-C0088</t>
  </si>
  <si>
    <t>UCSF-C0089</t>
  </si>
  <si>
    <t>UCSF-C0090</t>
  </si>
  <si>
    <t>UCSF-C0091</t>
  </si>
  <si>
    <t>UCSF-C0092</t>
  </si>
  <si>
    <t>UCSF-C0093</t>
  </si>
  <si>
    <t>UCSF-C0094</t>
  </si>
  <si>
    <t>UCSF-C0095</t>
  </si>
  <si>
    <t>UCSF-C0096</t>
  </si>
  <si>
    <t>UCSF-C0097</t>
  </si>
  <si>
    <t>UCSF-C0098</t>
  </si>
  <si>
    <t>UCSF-C0099</t>
  </si>
  <si>
    <t>UCSF-C0100</t>
  </si>
  <si>
    <t>UCSF-C0101</t>
  </si>
  <si>
    <t>UCSF-C0103</t>
  </si>
  <si>
    <t>UCSF-C0104</t>
  </si>
  <si>
    <t>UCSF-C0105</t>
  </si>
  <si>
    <t>UCSF-C0106</t>
  </si>
  <si>
    <t>UCSF-C0107</t>
  </si>
  <si>
    <t>UCSF-C0108</t>
  </si>
  <si>
    <t>UCSF-C0114</t>
  </si>
  <si>
    <t>UCSF-C0115</t>
  </si>
  <si>
    <t>UCSF-C0116</t>
  </si>
  <si>
    <t>UCSF-C0117</t>
  </si>
  <si>
    <t>UCSF-C0118</t>
  </si>
  <si>
    <t>UCSF-C0119</t>
  </si>
  <si>
    <t>UCSF-C0121</t>
  </si>
  <si>
    <t>UCSF-C0122</t>
  </si>
  <si>
    <t>UCSF-C0123</t>
  </si>
  <si>
    <t>UCSF-C0124</t>
  </si>
  <si>
    <t>UCSF-C0125</t>
  </si>
  <si>
    <t>UCSF-C0126</t>
  </si>
  <si>
    <t>UCSF-C0127</t>
  </si>
  <si>
    <t>UCSF-C0128</t>
  </si>
  <si>
    <t>UCSF-C0129</t>
  </si>
  <si>
    <t>UCSF-C0130</t>
  </si>
  <si>
    <t>UCSF-C0131</t>
  </si>
  <si>
    <t>UCSF-C0132</t>
  </si>
  <si>
    <t>UCSF-C0133</t>
  </si>
  <si>
    <t>UCSF-C0134</t>
  </si>
  <si>
    <t>UCSF-C0135</t>
  </si>
  <si>
    <t>UCSF-C0136</t>
  </si>
  <si>
    <t>UCSF-C0138</t>
  </si>
  <si>
    <t>UCSF-C0139</t>
  </si>
  <si>
    <t>UCSF-C0140</t>
  </si>
  <si>
    <t>UCSF-C0141</t>
  </si>
  <si>
    <t>UCSF-C0142</t>
  </si>
  <si>
    <t>UCSF-C0143</t>
  </si>
  <si>
    <t>UCSF-C0144</t>
  </si>
  <si>
    <t>UCSF-C0145</t>
  </si>
  <si>
    <t>UCSF-C0146</t>
  </si>
  <si>
    <t>UCSF-C0147</t>
  </si>
  <si>
    <t>UCSF-C0148</t>
  </si>
  <si>
    <t>UCSF-C0149</t>
  </si>
  <si>
    <t>UCSF-C0153</t>
  </si>
  <si>
    <t>UCSF-C0154</t>
  </si>
  <si>
    <t>UCSF-C0155</t>
  </si>
  <si>
    <t>UCSF-C0157</t>
  </si>
  <si>
    <t>UCSF-C0158</t>
  </si>
  <si>
    <t>Cl.Cl.NCCC1=CNC=N1</t>
  </si>
  <si>
    <t>UCSF-C0159</t>
  </si>
  <si>
    <t>UCSF-C0167</t>
  </si>
  <si>
    <t>UCSF-C0168</t>
  </si>
  <si>
    <t>UCSF-C0169</t>
  </si>
  <si>
    <t>UCSF-C0170</t>
  </si>
  <si>
    <t>UCSF-C0171</t>
  </si>
  <si>
    <t>UCSF-C0173</t>
  </si>
  <si>
    <t>UCSF-C0175</t>
  </si>
  <si>
    <t>UCSF-C0176</t>
  </si>
  <si>
    <t>UCSF-C0177</t>
  </si>
  <si>
    <t>UCSF-C0178</t>
  </si>
  <si>
    <t>UCSF-C0179</t>
  </si>
  <si>
    <t>UCSF-C0180</t>
  </si>
  <si>
    <t>ZINC000140450372</t>
  </si>
  <si>
    <t>UCSF-C0182</t>
  </si>
  <si>
    <t>UCSF-C0183</t>
  </si>
  <si>
    <t>UCSF-C0184</t>
  </si>
  <si>
    <t>OC(=O)CN1C=2C=CC=CC2C(=O)C=3C=CC=CC13</t>
  </si>
  <si>
    <t>ZINC000003878688</t>
  </si>
  <si>
    <t>UCSF-C0185</t>
  </si>
  <si>
    <t>UCSF-C0186</t>
  </si>
  <si>
    <t>UCSF-C0187</t>
  </si>
  <si>
    <t>UCSF-C0188</t>
  </si>
  <si>
    <t>UCSF-C0190</t>
  </si>
  <si>
    <t>UCSF-C0191</t>
  </si>
  <si>
    <t>UCSF-C0192</t>
  </si>
  <si>
    <t>UCSF-C0193</t>
  </si>
  <si>
    <t>UCSF-C0195</t>
  </si>
  <si>
    <t>UCSF-C0196</t>
  </si>
  <si>
    <t>UCSF-C0197</t>
  </si>
  <si>
    <t>UCSF-C0198</t>
  </si>
  <si>
    <t>UCSF-C0204</t>
  </si>
  <si>
    <t>UCSF-C0205</t>
  </si>
  <si>
    <t>UCSF-C0206</t>
  </si>
  <si>
    <t>UCSF-C0207</t>
  </si>
  <si>
    <t>UCSF-C0209</t>
  </si>
  <si>
    <t>UCSF-C0210</t>
  </si>
  <si>
    <t>UCSF-C0211</t>
  </si>
  <si>
    <t>UCSF-C0212</t>
  </si>
  <si>
    <t>UCSF-C0213</t>
  </si>
  <si>
    <t>UCSF-C0214</t>
  </si>
  <si>
    <t>UCSF-C0215</t>
  </si>
  <si>
    <t>UCSF-C0216</t>
  </si>
  <si>
    <t>UCSF-C0217</t>
  </si>
  <si>
    <t>UCSF-C0218</t>
  </si>
  <si>
    <t>UCSF-C0219</t>
  </si>
  <si>
    <t>UCSF-C0220</t>
  </si>
  <si>
    <t>UCSF-C0221</t>
  </si>
  <si>
    <t>[Na+].[O-]C(=O)C1=CSC=N1</t>
  </si>
  <si>
    <t>ZINC1494948</t>
  </si>
  <si>
    <t>UCSF-C0222</t>
  </si>
  <si>
    <t>UCSF-C0223</t>
  </si>
  <si>
    <t>UCSF-C0224</t>
  </si>
  <si>
    <t>UCSF-C0225</t>
  </si>
  <si>
    <t>UCSF-C0226</t>
  </si>
  <si>
    <t>UCSF-C0227</t>
  </si>
  <si>
    <t>UCSF-C0228</t>
  </si>
  <si>
    <t>UCSF-C0229</t>
  </si>
  <si>
    <t>UCSF-C0230</t>
  </si>
  <si>
    <t>UCSF-C0231</t>
  </si>
  <si>
    <t>UCSF-C0232</t>
  </si>
  <si>
    <t>UCSF-C0233</t>
  </si>
  <si>
    <t>UCSF-C0234</t>
  </si>
  <si>
    <t>UCSF-C0235</t>
  </si>
  <si>
    <t>UCSF-C0236</t>
  </si>
  <si>
    <t>UCSF-C0237</t>
  </si>
  <si>
    <t>UCSF-C0238</t>
  </si>
  <si>
    <t>UCSF-C0239</t>
  </si>
  <si>
    <t>UCSF-C0240</t>
  </si>
  <si>
    <t>UCSF-C0241</t>
  </si>
  <si>
    <t>UCSF-C0243</t>
  </si>
  <si>
    <t>UCSF-C0244</t>
  </si>
  <si>
    <t>UCSF-C0245</t>
  </si>
  <si>
    <t>UCSF-C0246</t>
  </si>
  <si>
    <t>UCSF-C0247</t>
  </si>
  <si>
    <t>UCSF-C0248</t>
  </si>
  <si>
    <t>UCSF-C0249</t>
  </si>
  <si>
    <t>UCSF-C0250</t>
  </si>
  <si>
    <t>UCSF-C0251</t>
  </si>
  <si>
    <t>UCSF-C0252</t>
  </si>
  <si>
    <t>UCSF-C0253</t>
  </si>
  <si>
    <t>UCSF-C0254</t>
  </si>
  <si>
    <t>UCSF-C0255</t>
  </si>
  <si>
    <t>UCSF-C0256</t>
  </si>
  <si>
    <t>UCSF-C0258</t>
  </si>
  <si>
    <t>UCSF-C0259</t>
  </si>
  <si>
    <t>UCSF-C0260</t>
  </si>
  <si>
    <t>UCSF-C0261</t>
  </si>
  <si>
    <t>UCSF-C0263</t>
  </si>
  <si>
    <t>UCSF-C0264</t>
  </si>
  <si>
    <t>UCSF-C0265</t>
  </si>
  <si>
    <t>UCSF-C0266</t>
  </si>
  <si>
    <t>UCSF-C0267</t>
  </si>
  <si>
    <t>UCSF-C0270</t>
  </si>
  <si>
    <t>UCSF-C0271</t>
  </si>
  <si>
    <t>UCSF-C0272</t>
  </si>
  <si>
    <t>UCSF-C0273</t>
  </si>
  <si>
    <t>UCSF-C0274</t>
  </si>
  <si>
    <t>UCSF-C0275</t>
  </si>
  <si>
    <t>UCSF-C0276</t>
  </si>
  <si>
    <t>UCSF-C0277</t>
  </si>
  <si>
    <t>UCSF-C0278</t>
  </si>
  <si>
    <t>UCSF-C0280</t>
  </si>
  <si>
    <t>UCSF-C0281</t>
  </si>
  <si>
    <t>UCSF-C0282</t>
  </si>
  <si>
    <t>UCSF-C0283</t>
  </si>
  <si>
    <t>UCSF-C0284</t>
  </si>
  <si>
    <t>UCSF-C0285</t>
  </si>
  <si>
    <t>UCSF-C0286</t>
  </si>
  <si>
    <t>UCSF-C0287</t>
  </si>
  <si>
    <t>UCSF-C0288</t>
  </si>
  <si>
    <t>UCSF-C0289</t>
  </si>
  <si>
    <t>UCSF-C0290</t>
  </si>
  <si>
    <t>UCSF-C0291</t>
  </si>
  <si>
    <t>UCSF-C0292</t>
  </si>
  <si>
    <t>UCSF-C0293</t>
  </si>
  <si>
    <t>UCSF-C0294</t>
  </si>
  <si>
    <t>UCSF-C0296</t>
  </si>
  <si>
    <t>UCSF-C0297</t>
  </si>
  <si>
    <t>UCSF-C0299</t>
  </si>
  <si>
    <t>UCSF-C0300</t>
  </si>
  <si>
    <t>UCSF-C0301</t>
  </si>
  <si>
    <t>UCSF-C0302</t>
  </si>
  <si>
    <t>UCSF-C0303</t>
  </si>
  <si>
    <t>UCSF-C0305</t>
  </si>
  <si>
    <t>UCSF-C0306</t>
  </si>
  <si>
    <t>UCSF-C0307</t>
  </si>
  <si>
    <t>UCSF-C0308</t>
  </si>
  <si>
    <t>UCSF-C0310</t>
  </si>
  <si>
    <t>UCSF-C0311</t>
  </si>
  <si>
    <t>UCSF-C0312</t>
  </si>
  <si>
    <t>UCSF-C0313</t>
  </si>
  <si>
    <t>UCSF-C0314</t>
  </si>
  <si>
    <t>UCSF-C0316</t>
  </si>
  <si>
    <t>UCSF-C0317</t>
  </si>
  <si>
    <t>UCSF-C0318</t>
  </si>
  <si>
    <t>UCSF-C0319</t>
  </si>
  <si>
    <t>UCSF-C0321</t>
  </si>
  <si>
    <t>UCSF-C0322</t>
  </si>
  <si>
    <t>UCSF-C0323</t>
  </si>
  <si>
    <t>UCSF-C0324</t>
  </si>
  <si>
    <t>Cl.NC1=NC=C(CC=2C=CC=CC2)S1</t>
  </si>
  <si>
    <t>ZINC63264</t>
  </si>
  <si>
    <t>UCSF-C0325</t>
  </si>
  <si>
    <t>UCSF-C0328</t>
  </si>
  <si>
    <t>UCSF-C0329</t>
  </si>
  <si>
    <t>UCSF-C0330</t>
  </si>
  <si>
    <t>UCSF-C0331</t>
  </si>
  <si>
    <t>UCSF-C0332</t>
  </si>
  <si>
    <t>UCSF-C0333</t>
  </si>
  <si>
    <t>UCSF-C0334</t>
  </si>
  <si>
    <t>UCSF-C0335</t>
  </si>
  <si>
    <t>UCSF-C0336</t>
  </si>
  <si>
    <t>UCSF-C0337</t>
  </si>
  <si>
    <t>UCSF-C0338</t>
  </si>
  <si>
    <t>UCSF-C0339</t>
  </si>
  <si>
    <t>UCSF-C0340</t>
  </si>
  <si>
    <t>UCSF-C0341</t>
  </si>
  <si>
    <t>Cl.FC(F)(F)C=1C=CN=C(N1)C2CCCN2</t>
  </si>
  <si>
    <t>UNKNOWN</t>
  </si>
  <si>
    <t>UCSF-C0342</t>
  </si>
  <si>
    <t>UCSF-C0343</t>
  </si>
  <si>
    <t>Cl.NCCC1=CNC=2C=CC(F)=CC12</t>
  </si>
  <si>
    <t>ZINC77278</t>
  </si>
  <si>
    <t>UCSF-C0344</t>
  </si>
  <si>
    <t>UCSF-C0345</t>
  </si>
  <si>
    <t>UCSF-C0346</t>
  </si>
  <si>
    <t>UCSF-C0347</t>
  </si>
  <si>
    <t>UCSF-C0348</t>
  </si>
  <si>
    <t>UCSF-C0350</t>
  </si>
  <si>
    <t>UCSF-C0351</t>
  </si>
  <si>
    <t>UCSF-C0352</t>
  </si>
  <si>
    <t>UCSF-C0353</t>
  </si>
  <si>
    <t>UCSF-C0354</t>
  </si>
  <si>
    <t>UCSF-C0355</t>
  </si>
  <si>
    <t>UCSF-C0356</t>
  </si>
  <si>
    <t>UCSF-C0357</t>
  </si>
  <si>
    <t>UCSF-C0358</t>
  </si>
  <si>
    <t>UCSF-C0359</t>
  </si>
  <si>
    <t>UCSF-C0360</t>
  </si>
  <si>
    <t>UCSF-C0361</t>
  </si>
  <si>
    <t>UCSF-C0363</t>
  </si>
  <si>
    <t>UCSF-C0364</t>
  </si>
  <si>
    <t>UCSF-C0365</t>
  </si>
  <si>
    <t>UCSF-C0366</t>
  </si>
  <si>
    <t>UCSF-C0367</t>
  </si>
  <si>
    <t>UCSF-C0368</t>
  </si>
  <si>
    <t>UCSF-C0369</t>
  </si>
  <si>
    <t>UCSF-C0370</t>
  </si>
  <si>
    <t>UCSF-C0371</t>
  </si>
  <si>
    <t>UCSF-C0372</t>
  </si>
  <si>
    <t>UCSF-C0373</t>
  </si>
  <si>
    <t>UCSF-C0374</t>
  </si>
  <si>
    <t>UCSF-C0375</t>
  </si>
  <si>
    <t>UCSF-C0376</t>
  </si>
  <si>
    <t>UCSF-C0377</t>
  </si>
  <si>
    <t>UCSF-C0378</t>
  </si>
  <si>
    <t>UCSF-C0379</t>
  </si>
  <si>
    <t>UCSF-C0380</t>
  </si>
  <si>
    <t>UCSF-C0381</t>
  </si>
  <si>
    <t>UCSF-C0382</t>
  </si>
  <si>
    <t>UCSF-C0383</t>
  </si>
  <si>
    <t>UCSF-C0384</t>
  </si>
  <si>
    <t>UCSF-C0385</t>
  </si>
  <si>
    <t>UCSF-C0386</t>
  </si>
  <si>
    <t>UCSF-C0387</t>
  </si>
  <si>
    <t>UCSF-C0388</t>
  </si>
  <si>
    <t>UCSF-C0389</t>
  </si>
  <si>
    <t>UCSF-C0390</t>
  </si>
  <si>
    <t>UCSF-C0391</t>
  </si>
  <si>
    <t>UCSF-C0392</t>
  </si>
  <si>
    <t>UCSF-C0393</t>
  </si>
  <si>
    <t>UCSF-C0394</t>
  </si>
  <si>
    <t>UCSF-C0395</t>
  </si>
  <si>
    <t>UCSF-C0396</t>
  </si>
  <si>
    <t>UCSF-C0397</t>
  </si>
  <si>
    <t>UCSF-C0398</t>
  </si>
  <si>
    <t>UCSF-C0399</t>
  </si>
  <si>
    <t>UCSF-C0400</t>
  </si>
  <si>
    <t>UCSF-C0401</t>
  </si>
  <si>
    <t>UCSF-C0402</t>
  </si>
  <si>
    <t>Ligand-protein distances (Å)</t>
  </si>
  <si>
    <t>Adenine subsite classification</t>
  </si>
  <si>
    <t>Oxyanion subsite classification</t>
  </si>
  <si>
    <t>Model</t>
  </si>
  <si>
    <t>Specific_site</t>
  </si>
  <si>
    <t>General_site</t>
  </si>
  <si>
    <t>LIG_D22-OD</t>
  </si>
  <si>
    <t>LIG_I23-N</t>
  </si>
  <si>
    <t>LIG_A154-O</t>
  </si>
  <si>
    <t>min_adenine_subsite</t>
  </si>
  <si>
    <t>adenine_subsite?</t>
  </si>
  <si>
    <t>LIG_F156-N</t>
  </si>
  <si>
    <t>LIG_D157-N</t>
  </si>
  <si>
    <t>min_oxyanion_subsite</t>
  </si>
  <si>
    <t>oxyanion_subsite?</t>
  </si>
  <si>
    <t>LIG_F156-ring</t>
  </si>
  <si>
    <t>LIG_K11-N</t>
  </si>
  <si>
    <t>Symmetry_mate?</t>
  </si>
  <si>
    <t>LIG_adenine_pyrimidine</t>
  </si>
  <si>
    <t>LIG_proximal_ribose_OH</t>
  </si>
  <si>
    <t>LIG_upper</t>
  </si>
  <si>
    <t>LIG_lower</t>
  </si>
  <si>
    <t>LIG_phosphate_O</t>
  </si>
  <si>
    <t>LIG_terminal_ribose_ring</t>
  </si>
  <si>
    <t>LIG_N40-ND2</t>
  </si>
  <si>
    <t>LIG_outer</t>
  </si>
  <si>
    <t>LIG_K90-CA</t>
  </si>
  <si>
    <t>Number of H-bonds</t>
  </si>
  <si>
    <t>Adenine_class</t>
  </si>
  <si>
    <t>Oxyanion_class</t>
  </si>
  <si>
    <t>Fragment direction</t>
  </si>
  <si>
    <t>UCSF-P0305_A</t>
  </si>
  <si>
    <t>Oxyanion</t>
  </si>
  <si>
    <t>UCSF-P0226_A</t>
  </si>
  <si>
    <t>Outer</t>
  </si>
  <si>
    <t>DLS-X1015_A</t>
  </si>
  <si>
    <t>UCSF-P0231_A</t>
  </si>
  <si>
    <t>Phosphate</t>
  </si>
  <si>
    <t>UCSF-P0437_A</t>
  </si>
  <si>
    <t>UCSF-P0441_A</t>
  </si>
  <si>
    <t>UCSF-P0319_A</t>
  </si>
  <si>
    <t>UCSF-P0436_A</t>
  </si>
  <si>
    <t>UCSF-P0417_A</t>
  </si>
  <si>
    <t>UCSF-P0354_A</t>
  </si>
  <si>
    <t>UCSF-P0394_A</t>
  </si>
  <si>
    <t>UCSF-P0139_A</t>
  </si>
  <si>
    <t>CN(CCC(=O)O)C=1N=CN=C2NC=CC12.OC(=O)C(F)(F)F</t>
  </si>
  <si>
    <t>UCSF-P0277_A</t>
  </si>
  <si>
    <t>UCSF-P0587_A</t>
  </si>
  <si>
    <t>UCSF-P0411_A</t>
  </si>
  <si>
    <t>UCSF-P0375_A</t>
  </si>
  <si>
    <t>UCSF-P0348_A</t>
  </si>
  <si>
    <t>UCSF-P0404_A</t>
  </si>
  <si>
    <t>UCSF-P0255_A</t>
  </si>
  <si>
    <t>UCSF-P0213_A</t>
  </si>
  <si>
    <t>DLS-X1012_A</t>
  </si>
  <si>
    <t>UCSF-P0223_A</t>
  </si>
  <si>
    <t>UCSF-P0178_A</t>
  </si>
  <si>
    <t>UCSF-P0439_A</t>
  </si>
  <si>
    <t>UCSF-P0358_A</t>
  </si>
  <si>
    <t>DLS-X0805_A</t>
  </si>
  <si>
    <t>UCSF-P0326_A</t>
  </si>
  <si>
    <t>DLS-X0855_A</t>
  </si>
  <si>
    <t>UCSF-P0546_A</t>
  </si>
  <si>
    <t>DLS-X0766_A</t>
  </si>
  <si>
    <t>UCSF-P0371_A</t>
  </si>
  <si>
    <t>DLS-X0253_A</t>
  </si>
  <si>
    <t>DLS-X0727_A</t>
  </si>
  <si>
    <t>UCSF-P0415_A</t>
  </si>
  <si>
    <t>UCSF-P0344_A</t>
  </si>
  <si>
    <t>UCSF-P0193_A</t>
  </si>
  <si>
    <t>DLS-X0950_A</t>
  </si>
  <si>
    <t>UCSF-P0347_A</t>
  </si>
  <si>
    <t>DLS-X0864_A</t>
  </si>
  <si>
    <t>DLS-X0465_A</t>
  </si>
  <si>
    <t>UCSF-P0179_A</t>
  </si>
  <si>
    <t>UCSF-P0204_A</t>
  </si>
  <si>
    <t>UCSF-P0564_A</t>
  </si>
  <si>
    <t>Excluded</t>
  </si>
  <si>
    <t>DLS-X0628_A</t>
  </si>
  <si>
    <t>UCSF-P0373_A</t>
  </si>
  <si>
    <t>UCSF-P0357_A</t>
  </si>
  <si>
    <t>UCSF-P0455_A</t>
  </si>
  <si>
    <t>UCSF-P0182_A</t>
  </si>
  <si>
    <t>DLS-X0574_A</t>
  </si>
  <si>
    <t>UCSF-P0188_A</t>
  </si>
  <si>
    <t>UCSF-P0302_A</t>
  </si>
  <si>
    <t>UCSF-P0567_A</t>
  </si>
  <si>
    <t>DLS-EU0960_A</t>
  </si>
  <si>
    <t>Pyrophosphate_loop</t>
  </si>
  <si>
    <t>DLS-EU0241_A</t>
  </si>
  <si>
    <t>UCSF-P0301_A</t>
  </si>
  <si>
    <t>UCSF-P0161_A</t>
  </si>
  <si>
    <t>adenine</t>
  </si>
  <si>
    <t>UCSF-P0576_A</t>
  </si>
  <si>
    <t>No H-bond</t>
  </si>
  <si>
    <t>UCSF-P0392_A</t>
  </si>
  <si>
    <t>UCSF-P0224_A</t>
  </si>
  <si>
    <t>UCSF-P0115_A</t>
  </si>
  <si>
    <t>DLS-EU0293_A</t>
  </si>
  <si>
    <t>DLS-X0711_A</t>
  </si>
  <si>
    <t>DLS-EU0034_A</t>
  </si>
  <si>
    <t>UCSF-P0137_A</t>
  </si>
  <si>
    <t>UCSF-P0284_A</t>
  </si>
  <si>
    <t>UCSF-P0588_A</t>
  </si>
  <si>
    <t>UCSF-P0163_A</t>
  </si>
  <si>
    <t>UCSF-P0159_A</t>
  </si>
  <si>
    <t>UCSF-P0148_A</t>
  </si>
  <si>
    <t>UCSF-P0584_A</t>
  </si>
  <si>
    <t>DLS-X0910_A</t>
  </si>
  <si>
    <t>DLS-X0742_A</t>
  </si>
  <si>
    <t>UCSF-P0124_A</t>
  </si>
  <si>
    <t>UCSF-P0590_A</t>
  </si>
  <si>
    <t>UCSF-P0138_A</t>
  </si>
  <si>
    <t>UCSF-P0142_A</t>
  </si>
  <si>
    <t>UCSF-P0306_A</t>
  </si>
  <si>
    <t>UCSF-P0131_A</t>
  </si>
  <si>
    <t>DLS-X0895_A</t>
  </si>
  <si>
    <t>DLS-X0282_A</t>
  </si>
  <si>
    <t>DLS-EU0087_A</t>
  </si>
  <si>
    <t>DLS-X0689_A</t>
  </si>
  <si>
    <t>DLS-X0849_A</t>
  </si>
  <si>
    <t>UCSF-P0321_A</t>
  </si>
  <si>
    <t>UCSF-P0282_A</t>
  </si>
  <si>
    <t>DLS-EU0342_A</t>
  </si>
  <si>
    <t>UCSF-P0116_A</t>
  </si>
  <si>
    <t>UCSF-P0510_A</t>
  </si>
  <si>
    <t>DLS-X0722_A</t>
  </si>
  <si>
    <t>DLS-EU0238_A</t>
  </si>
  <si>
    <t>UCSF-P0228_A</t>
  </si>
  <si>
    <t>UCSF-P0365_A</t>
  </si>
  <si>
    <t>UCSF-P0328_A</t>
  </si>
  <si>
    <t>DLS-X0290_A</t>
  </si>
  <si>
    <t>DLS-EU0046_A</t>
  </si>
  <si>
    <t>UCSF-P1493_A</t>
  </si>
  <si>
    <t>UCSF-P0387_A</t>
  </si>
  <si>
    <t>UCSF-P0565_A</t>
  </si>
  <si>
    <t>UCSF-P0472_A</t>
  </si>
  <si>
    <t>UCSF-P0385_A</t>
  </si>
  <si>
    <t>UCSF-P0212_A</t>
  </si>
  <si>
    <t>ZINC001741972726</t>
  </si>
  <si>
    <t>UCSF-P0379_A</t>
  </si>
  <si>
    <t>UCSF-P0360_A</t>
  </si>
  <si>
    <t>UCSF-P0180_A</t>
  </si>
  <si>
    <t>DLS-X0421_A</t>
  </si>
  <si>
    <t>UCSF-P0380_A</t>
  </si>
  <si>
    <t>DLS-X0662_A</t>
  </si>
  <si>
    <t>DLS-X0626_A</t>
  </si>
  <si>
    <t>UCSF-P0568_A</t>
  </si>
  <si>
    <t>DLS-X0918_A</t>
  </si>
  <si>
    <t>DLS-X0592_A</t>
  </si>
  <si>
    <t>UCSF-P0453_A</t>
  </si>
  <si>
    <t>UCSF-P0509_A</t>
  </si>
  <si>
    <t>Lower</t>
  </si>
  <si>
    <t>UCSF-P0396_A</t>
  </si>
  <si>
    <t>DLS-X1018_A</t>
  </si>
  <si>
    <t>UCSF-P0527_A</t>
  </si>
  <si>
    <t>DLS-EU0424_A</t>
  </si>
  <si>
    <t>DLS-X0962_A</t>
  </si>
  <si>
    <t>ZINC000295447114</t>
  </si>
  <si>
    <t>UCSF-P0337_A</t>
  </si>
  <si>
    <t>UCSF-P0496_A</t>
  </si>
  <si>
    <t>UCSF-P1494_A</t>
  </si>
  <si>
    <t>UCSF-P0206_A</t>
  </si>
  <si>
    <t>UCSF-P0338_A</t>
  </si>
  <si>
    <t>DLS-X0681_A</t>
  </si>
  <si>
    <t>DLS-EU0291_A</t>
  </si>
  <si>
    <t>UCSF-P0123_A</t>
  </si>
  <si>
    <t>UCSF-P0451_A</t>
  </si>
  <si>
    <t>DLS-X0587_A</t>
  </si>
  <si>
    <t>UCSF-P0402_A</t>
  </si>
  <si>
    <t>UCSF-P0398_A</t>
  </si>
  <si>
    <t>DLS-X0142_A</t>
  </si>
  <si>
    <t>DLS-X0837_A</t>
  </si>
  <si>
    <t>DLS-X0926_A</t>
  </si>
  <si>
    <t>DLS-EU0144_A</t>
  </si>
  <si>
    <t>DLS-EU0056_A</t>
  </si>
  <si>
    <t>UCSF-P0397_A</t>
  </si>
  <si>
    <t>UCSF-P0333_A</t>
  </si>
  <si>
    <t>DLS-X0844_A</t>
  </si>
  <si>
    <t>DLS-X0933_A</t>
  </si>
  <si>
    <t>Cl.N=C1NCCCN1</t>
  </si>
  <si>
    <t>DLS-X0104_A</t>
  </si>
  <si>
    <t>DLS-X0591_A</t>
  </si>
  <si>
    <t>UCSF-P0132_A</t>
  </si>
  <si>
    <t>DLS-EU0844_A</t>
  </si>
  <si>
    <t>UCSF-P0361_A</t>
  </si>
  <si>
    <t>DLS-X0685_A</t>
  </si>
  <si>
    <t>DLS-X0524_A</t>
  </si>
  <si>
    <t>UCSF-P0271_A</t>
  </si>
  <si>
    <t>UCSF-P0341_A</t>
  </si>
  <si>
    <t>DLS-X0900_A</t>
  </si>
  <si>
    <t>DLS-X0631_A</t>
  </si>
  <si>
    <t>DLS-EU0172_A</t>
  </si>
  <si>
    <t>DLS-EU0860_A</t>
  </si>
  <si>
    <t>DLS-X0969_A</t>
  </si>
  <si>
    <t>UCSF-P0346_A</t>
  </si>
  <si>
    <t>DLS-X0905_A</t>
  </si>
  <si>
    <t>DLS-X0967_A</t>
  </si>
  <si>
    <t>UCSF-P0433_A</t>
  </si>
  <si>
    <t>ZINC000840267872</t>
  </si>
  <si>
    <t>UCSF-P0345_A</t>
  </si>
  <si>
    <t>DLS-EU0906_A</t>
  </si>
  <si>
    <t>DLS-X0371_A</t>
  </si>
  <si>
    <t>UCSF-P0303_A</t>
  </si>
  <si>
    <t>DLS-X0438_A</t>
  </si>
  <si>
    <t>DLS-X0299_A</t>
  </si>
  <si>
    <t>DLS-X0724_A</t>
  </si>
  <si>
    <t>UCSF-P0572_A</t>
  </si>
  <si>
    <t>DLS-X0471_A</t>
  </si>
  <si>
    <t>UCSF-P0263_A</t>
  </si>
  <si>
    <t>UCSF-P0190_A</t>
  </si>
  <si>
    <t>DLS-X0128_A</t>
  </si>
  <si>
    <t>DLS-EU0716_A</t>
  </si>
  <si>
    <t>DLS-EU0815_A</t>
  </si>
  <si>
    <t>DLS-EU0123_A</t>
  </si>
  <si>
    <t>UCSF-P0283_A</t>
  </si>
  <si>
    <t>DLS-EU0704_A</t>
  </si>
  <si>
    <t>UCSF-P0522_A</t>
  </si>
  <si>
    <t>UCSF-P0555_A</t>
  </si>
  <si>
    <t>UCSF-P0412_A</t>
  </si>
  <si>
    <t>DLS-EU0481_A</t>
  </si>
  <si>
    <t>DLS-EU0569_A</t>
  </si>
  <si>
    <t>UCSF-P0381_B</t>
  </si>
  <si>
    <t>DLS-X0962_B</t>
  </si>
  <si>
    <t>DLS-X0159_B</t>
  </si>
  <si>
    <t>DLS-X0852_B</t>
  </si>
  <si>
    <t>DLS-X0676_B</t>
  </si>
  <si>
    <t>UCSF-P0227_A</t>
  </si>
  <si>
    <t>UCSF-P1494_B</t>
  </si>
  <si>
    <t>ZINC000111834284</t>
  </si>
  <si>
    <t>DLS-X0796_B</t>
  </si>
  <si>
    <t>ZINC000056754502</t>
  </si>
  <si>
    <t>DLS-X0814_B</t>
  </si>
  <si>
    <t>DLS-X0158_B</t>
  </si>
  <si>
    <t>DLS-X0737_B</t>
  </si>
  <si>
    <t>DLS-X0910_B</t>
  </si>
  <si>
    <t>DLS-EU0046_B</t>
  </si>
  <si>
    <t>DLS-X0598_A</t>
  </si>
  <si>
    <t>DLS-X0729_A</t>
  </si>
  <si>
    <t>DLS-X0918_B</t>
  </si>
  <si>
    <t>Catalytic_loop</t>
  </si>
  <si>
    <t>UCSF-P0309_B</t>
  </si>
  <si>
    <t>DLS-X0905_B</t>
  </si>
  <si>
    <t>DLS-X0423_B</t>
  </si>
  <si>
    <t>DLS-X0516_A</t>
  </si>
  <si>
    <t>ZINC000056931884</t>
  </si>
  <si>
    <t>DLS-X0091_B</t>
  </si>
  <si>
    <t>DLS-X0792_A</t>
  </si>
  <si>
    <t>DLS-EU0526_A</t>
  </si>
  <si>
    <t>DLS-X0822_A</t>
  </si>
  <si>
    <t>ZINC000234855762</t>
  </si>
  <si>
    <t>DLS-X0173_B</t>
  </si>
  <si>
    <t>DLS-X0228_A</t>
  </si>
  <si>
    <t>DLS-X0228_B</t>
  </si>
  <si>
    <t>DLS-X0797_B</t>
  </si>
  <si>
    <t>UCSF-P0378_B</t>
  </si>
  <si>
    <t>ZINC000385446074</t>
  </si>
  <si>
    <t>DLS-X0334_A</t>
  </si>
  <si>
    <t>ZINC002418194150</t>
  </si>
  <si>
    <t>UCSF-P0371_B</t>
  </si>
  <si>
    <t>ZINC001405445720</t>
  </si>
  <si>
    <t>DLS-X0380_B</t>
  </si>
  <si>
    <t>DLS-X0600_A</t>
  </si>
  <si>
    <t>DLS-X0417_B</t>
  </si>
  <si>
    <t>DLS-X0766_B</t>
  </si>
  <si>
    <t>DLS-X0436_B</t>
  </si>
  <si>
    <t>ZINC000235352033</t>
  </si>
  <si>
    <t>ZINC000197513748</t>
  </si>
  <si>
    <t>DLS-X0729_B</t>
  </si>
  <si>
    <t>DLS-X0933_B</t>
  </si>
  <si>
    <t>DLS-X0259_A</t>
  </si>
  <si>
    <t>DLS-X0496_A</t>
  </si>
  <si>
    <t>DLS-X0216_A</t>
  </si>
  <si>
    <t>DLS-X0301_B</t>
  </si>
  <si>
    <t>UCSF-P0444_A</t>
  </si>
  <si>
    <t>DLS-X0548_A</t>
  </si>
  <si>
    <t>UCSF-P0570_A</t>
  </si>
  <si>
    <t>UCSF-P0511_A</t>
  </si>
  <si>
    <t>DLS-X0469_B</t>
  </si>
  <si>
    <t>UCSF-P0343_B</t>
  </si>
  <si>
    <t>DLS-X0655_B</t>
  </si>
  <si>
    <t>DLS-X1092_B</t>
  </si>
  <si>
    <t>DLS-X0548_B</t>
  </si>
  <si>
    <t>UCSF-P0582_A</t>
  </si>
  <si>
    <t>UCSF-P0482_B</t>
  </si>
  <si>
    <t>ZINC000276614452</t>
  </si>
  <si>
    <t>DLS-EU0744_B</t>
  </si>
  <si>
    <t>Tab</t>
  </si>
  <si>
    <t>Description</t>
  </si>
  <si>
    <t xml:space="preserve">Describes the data collection strategy for the X-ray diffraction data reported in this work. </t>
  </si>
  <si>
    <t>Table listing fragments screened in duplicate against P43 crystals (due to the presence of the same fragment in different libraries).</t>
  </si>
  <si>
    <t>Dimple_rfree</t>
  </si>
  <si>
    <t xml:space="preserve">Table listing all fragments screened against P43 crystals. Including hits and non-hits. </t>
  </si>
  <si>
    <t>Table listing all fragments screened against C2 crystals. Including hits and non-hits. Compounds that were also hits in the P43 crystals are annotated.</t>
  </si>
  <si>
    <t>Binding site classification for all fragments presented in this work. Distances used to classify fragments were calculated using Pymol.</t>
  </si>
  <si>
    <t>695975 (42356)</t>
  </si>
  <si>
    <t>703578 (42170)</t>
  </si>
  <si>
    <t>691060 (43181)</t>
  </si>
  <si>
    <t>655145 (41853)</t>
  </si>
  <si>
    <t>744910 (39358)</t>
  </si>
  <si>
    <t>762423 (17573)</t>
  </si>
  <si>
    <t>645475 (41391)</t>
  </si>
  <si>
    <t>129252 (3)</t>
  </si>
  <si>
    <t>126874 (5)</t>
  </si>
  <si>
    <t>123757 (23)</t>
  </si>
  <si>
    <t>116432 (22)</t>
  </si>
  <si>
    <t>135890 (895)</t>
  </si>
  <si>
    <t>150288 (1108)</t>
  </si>
  <si>
    <t>111968 (31)</t>
  </si>
  <si>
    <t>5.5 (3.7)</t>
  </si>
  <si>
    <t>5.8 (3.7)</t>
  </si>
  <si>
    <t>4.47 (0.09)</t>
  </si>
  <si>
    <t>4.73 (0.11)</t>
  </si>
  <si>
    <t>5.37 (0.11)</t>
  </si>
  <si>
    <t>5.94 (0.12)</t>
  </si>
  <si>
    <t>6.99 (0.15)</t>
  </si>
  <si>
    <t>4.34 (0.11)</t>
  </si>
  <si>
    <t>0.1025 (1.263)</t>
  </si>
  <si>
    <t>0.09335 (1.466)</t>
  </si>
  <si>
    <t>0.08183 (1.345)</t>
  </si>
  <si>
    <t>0.101 (1.055)</t>
  </si>
  <si>
    <t>0.09063 (1.049)</t>
  </si>
  <si>
    <t>0.08023 (0.9098)</t>
  </si>
  <si>
    <t>0.1102 (1.214)</t>
  </si>
  <si>
    <t>0.1123 (1.504)</t>
  </si>
  <si>
    <t>0.1022 (1.716)</t>
  </si>
  <si>
    <t>0.0894 (1.583)</t>
  </si>
  <si>
    <t>0.1104 (1.238)</t>
  </si>
  <si>
    <t>0.0993 (1.262)</t>
  </si>
  <si>
    <t>0.08786 (1.222)</t>
  </si>
  <si>
    <t>0.1204 (1.415)</t>
  </si>
  <si>
    <t>0.04514 (0.8014)</t>
  </si>
  <si>
    <t>0.04091 (0.8793)</t>
  </si>
  <si>
    <t>0.03558 (0.8192)</t>
  </si>
  <si>
    <t>0.04401 (0.6362)</t>
  </si>
  <si>
    <t>0.03995 (0.6849)</t>
  </si>
  <si>
    <t>0.03526 (0.8083)</t>
  </si>
  <si>
    <t>0.04791 (0.7139)</t>
  </si>
  <si>
    <t>0.996 (0.494)</t>
  </si>
  <si>
    <t>0.997 (0.508)</t>
  </si>
  <si>
    <t>0.998 (0.494)</t>
  </si>
  <si>
    <t>0.997 (0.601)</t>
  </si>
  <si>
    <t>0.968 (0.488)</t>
  </si>
  <si>
    <t>0.995 (0.568)</t>
  </si>
  <si>
    <t>0.997 (0.399)</t>
  </si>
  <si>
    <t>0.996 (0.56)</t>
  </si>
  <si>
    <t>0.999 (0.813)</t>
  </si>
  <si>
    <t>0.999 (0.821)</t>
  </si>
  <si>
    <t>0.999 (0.867)</t>
  </si>
  <si>
    <t>5797 (41)</t>
  </si>
  <si>
    <t>6922 (65)</t>
  </si>
  <si>
    <t>0.1761 (1.1171)</t>
  </si>
  <si>
    <t>0.1705 (1.5368)</t>
  </si>
  <si>
    <t>0.1627 (1.0419)</t>
  </si>
  <si>
    <t>0.1604 (0.8849)</t>
  </si>
  <si>
    <t>0.1656 (0.4763)</t>
  </si>
  <si>
    <t>0.1544 (0.4010)</t>
  </si>
  <si>
    <t>0.1737 (0.7185)</t>
  </si>
  <si>
    <t>0.2009 (0.5036)</t>
  </si>
  <si>
    <t>0.1828 (0.4117)</t>
  </si>
  <si>
    <t>0.494 (0.273)</t>
  </si>
  <si>
    <t>0.499 (0.156)</t>
  </si>
  <si>
    <t>0.472 (0.097)</t>
  </si>
  <si>
    <t>0.494 (0.001)</t>
  </si>
  <si>
    <t>Data reduction and refinement statistics for the non-fragment structures reported in this work.</t>
  </si>
  <si>
    <t>Data reduction and refinement statistics for the fragment structures determined using C2 crystals at UCSF. PDB codes and links to fragalysis deposition are included.</t>
  </si>
  <si>
    <t>Data reduction and refinement statistics for the fragment structures determined using P43 crystals at UCSF. PDB codes and links to fragalysis deposition are included.</t>
  </si>
  <si>
    <t>Data reduction and refinement statistics for the fragment structures determined using P43 crystals at XChem. PDB codes and links to fragalysis deposition are included.</t>
  </si>
  <si>
    <t>1. fragment_summary</t>
  </si>
  <si>
    <t>2. sequences</t>
  </si>
  <si>
    <t>3. x-ray_strategy</t>
  </si>
  <si>
    <t>4. x-ray_stats_non-fragments</t>
  </si>
  <si>
    <t>5. x-ray_stats_C2@UCSF</t>
  </si>
  <si>
    <t>6. x-ray_stats_P43@UCSF</t>
  </si>
  <si>
    <t>7. x-ray_stats_P43@XChem</t>
  </si>
  <si>
    <t>8. P43_all_datasets</t>
  </si>
  <si>
    <t>9. P43_duplicate_compounds</t>
  </si>
  <si>
    <t>10. C2_all_datasets</t>
  </si>
  <si>
    <t xml:space="preserve">Summarizes the crystallographic fragment screens. Number of compounds screened, and hits, are broken down by library, screening location and crystal system. </t>
  </si>
  <si>
    <t>Screened library</t>
  </si>
  <si>
    <t>SMILES</t>
  </si>
  <si>
    <t>ZINC-ID / Name</t>
  </si>
  <si>
    <t>Rank</t>
  </si>
  <si>
    <t>DOCK Score</t>
  </si>
  <si>
    <t>RMSD [Å]</t>
  </si>
  <si>
    <t>Docked compounds confirmed by soaking</t>
  </si>
  <si>
    <t>In-Human</t>
  </si>
  <si>
    <t>Kinetin (ZINC000000001601)</t>
  </si>
  <si>
    <t>N.D.</t>
  </si>
  <si>
    <t>Verdiperstat (ZINC000034618676)</t>
  </si>
  <si>
    <t>Isoxanthopterin (ZINC000014419577)</t>
  </si>
  <si>
    <t>--</t>
  </si>
  <si>
    <t>ZINC15 - fragments</t>
  </si>
  <si>
    <t>NC=1N=CN=C2N(CCCC3CCOC3)C=NC12</t>
  </si>
  <si>
    <t>ZINC000400552187</t>
  </si>
  <si>
    <t>NC1=C2N=CN=C2N(CCCC3COCC3)C=N1</t>
  </si>
  <si>
    <t>CC1=NC(CN2C=NC=3C(N)=NC=NC23)=CS1</t>
  </si>
  <si>
    <t>ZINC000089254160</t>
  </si>
  <si>
    <t>COC=1C=C(CN2C=NC=3C(N)=NC=NC23)ON1</t>
  </si>
  <si>
    <t>NC=1N=CN=C2N(C[C@H]3CCCO3)C=NC12</t>
  </si>
  <si>
    <t>ZINC000082473428</t>
  </si>
  <si>
    <t>NC1=C2N=CN=C2N(C[C@@H]3OCCC3)C=N1</t>
  </si>
  <si>
    <t>ZINC15 - In-stock fragments</t>
  </si>
  <si>
    <t>Control</t>
  </si>
  <si>
    <t>Docked compounds not confirmed by soaking</t>
  </si>
  <si>
    <t>Chrysophanol (ZINC000003861630)</t>
  </si>
  <si>
    <t>N.D</t>
  </si>
  <si>
    <t>Diaveridine (ZINC000000024946)</t>
  </si>
  <si>
    <t>Irsogladine (ZINC000000002645)</t>
  </si>
  <si>
    <t>N6-Benzyladenine (ZINC000000043479)</t>
  </si>
  <si>
    <t>PP2 (ZINC000001383151)</t>
  </si>
  <si>
    <t>Pterin (ZINC000017819771)</t>
  </si>
  <si>
    <t>Temozolomide (ZINC000001482184)</t>
  </si>
  <si>
    <t>n/a</t>
  </si>
  <si>
    <t>XChem screening hits</t>
  </si>
  <si>
    <t>ZINC157953</t>
  </si>
  <si>
    <t>ZINC508336</t>
  </si>
  <si>
    <t>ZINC74942043</t>
  </si>
  <si>
    <t>ZINC323233</t>
  </si>
  <si>
    <t>ZINC69044</t>
  </si>
  <si>
    <t>ZINC571755</t>
  </si>
  <si>
    <t>Z239130552</t>
  </si>
  <si>
    <t>Probing fragment all</t>
  </si>
  <si>
    <t>ZINC585134740</t>
  </si>
  <si>
    <t>OC(=O)[C@@H]1CCC[C@@H]1C1=CSC=C1</t>
  </si>
  <si>
    <t>ZINC19483176</t>
  </si>
  <si>
    <t>SpotXplorer</t>
  </si>
  <si>
    <t>~5500</t>
  </si>
  <si>
    <t>PDB ID</t>
  </si>
  <si>
    <t>12. solution_binding</t>
  </si>
  <si>
    <t>Solution binding data for selected fragments reported in this work. Docked compounds that were not confirmed by soaking are also listed.</t>
  </si>
  <si>
    <t>docking_in-human</t>
  </si>
  <si>
    <t>Datasets processed</t>
  </si>
  <si>
    <t>Note</t>
  </si>
  <si>
    <t>Only TFA bound in structure</t>
  </si>
  <si>
    <t>Includes the Mac1 amino acid sequences used for crystallography, and a summary of the previously reported Mac1 structures.</t>
  </si>
  <si>
    <t>Data S1</t>
  </si>
  <si>
    <t>Significantly different (p &lt; 0.05)</t>
  </si>
  <si>
    <t>∆Tma ANOVA p value</t>
  </si>
  <si>
    <t>*</t>
  </si>
  <si>
    <t>Docking</t>
  </si>
  <si>
    <t>DSF</t>
  </si>
  <si>
    <t>ITC</t>
  </si>
  <si>
    <t>Peptide displacement (HTRF)</t>
  </si>
  <si>
    <t>Kd (mM)</t>
  </si>
  <si>
    <t>Kd estimated standard error (mM)</t>
  </si>
  <si>
    <t>IC50 (µM)</t>
  </si>
  <si>
    <t>IC50 estimated standard error (µM)</t>
  </si>
  <si>
    <t>% competition at top screening concentration</t>
  </si>
  <si>
    <t>Top screening concentration (mM)</t>
  </si>
  <si>
    <t>Top compound screening concentration (mM)</t>
  </si>
  <si>
    <t>∆Tma at top screening concentration</t>
  </si>
  <si>
    <t>Tma2 at top screening concentration</t>
  </si>
  <si>
    <t>Tma1 at top screening concentration</t>
  </si>
  <si>
    <t>Tma1 standard deviation</t>
  </si>
  <si>
    <t>Tma2 standard deviation</t>
  </si>
  <si>
    <t>11. fragment_hits_classified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</si>
</sst>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E+00"/>
  </numFmts>
  <fonts count="22">
    <font>
      <sz val="10"/>
      <color rgb="FF000000"/>
      <name val="Arial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24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Roboto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theme="1"/>
      <name val="Arial"/>
      <family val="2"/>
    </font>
    <font>
      <b/>
      <sz val="9"/>
      <color rgb="FF000000"/>
      <name val="Arial"/>
      <family val="2"/>
    </font>
    <font>
      <sz val="10"/>
      <color rgb="FFFF0000"/>
      <name val="Arial"/>
      <family val="2"/>
    </font>
    <font>
      <b/>
      <sz val="18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 applyFont="1" applyAlignment="1"/>
    <xf numFmtId="0" fontId="1" fillId="0" borderId="0" xfId="0" applyFont="1" applyAlignment="1"/>
    <xf numFmtId="49" fontId="2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/>
    <xf numFmtId="4" fontId="3" fillId="0" borderId="0" xfId="0" applyNumberFormat="1" applyFont="1" applyAlignment="1"/>
    <xf numFmtId="4" fontId="3" fillId="0" borderId="0" xfId="0" applyNumberFormat="1" applyFont="1"/>
    <xf numFmtId="0" fontId="2" fillId="2" borderId="0" xfId="0" applyFont="1" applyFill="1" applyAlignment="1"/>
    <xf numFmtId="0" fontId="3" fillId="2" borderId="0" xfId="0" applyFont="1" applyFill="1"/>
    <xf numFmtId="0" fontId="3" fillId="0" borderId="0" xfId="0" applyFont="1"/>
    <xf numFmtId="0" fontId="2" fillId="2" borderId="0" xfId="0" applyFont="1" applyFill="1"/>
    <xf numFmtId="0" fontId="2" fillId="0" borderId="0" xfId="0" applyFont="1"/>
    <xf numFmtId="4" fontId="2" fillId="0" borderId="0" xfId="0" applyNumberFormat="1" applyFont="1"/>
    <xf numFmtId="0" fontId="2" fillId="3" borderId="0" xfId="0" applyFont="1" applyFill="1" applyAlignment="1">
      <alignment wrapText="1"/>
    </xf>
    <xf numFmtId="0" fontId="3" fillId="3" borderId="0" xfId="0" applyFont="1" applyFill="1"/>
    <xf numFmtId="0" fontId="2" fillId="3" borderId="0" xfId="0" applyFont="1" applyFill="1" applyAlignment="1"/>
    <xf numFmtId="0" fontId="5" fillId="4" borderId="0" xfId="0" applyFont="1" applyFill="1" applyAlignment="1"/>
    <xf numFmtId="0" fontId="6" fillId="4" borderId="0" xfId="0" applyFont="1" applyFill="1"/>
    <xf numFmtId="0" fontId="5" fillId="5" borderId="0" xfId="0" applyFont="1" applyFill="1" applyAlignment="1"/>
    <xf numFmtId="0" fontId="3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/>
    <xf numFmtId="0" fontId="8" fillId="0" borderId="0" xfId="0" applyFont="1" applyAlignment="1"/>
    <xf numFmtId="0" fontId="8" fillId="0" borderId="0" xfId="0" applyFont="1" applyAlignment="1">
      <alignment horizontal="right"/>
    </xf>
    <xf numFmtId="0" fontId="1" fillId="5" borderId="0" xfId="0" applyFont="1" applyFill="1" applyAlignment="1"/>
    <xf numFmtId="0" fontId="6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6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 applyAlignment="1"/>
    <xf numFmtId="0" fontId="3" fillId="0" borderId="0" xfId="0" applyFont="1" applyAlignment="1"/>
    <xf numFmtId="0" fontId="18" fillId="0" borderId="0" xfId="0" applyFont="1" applyAlignment="1">
      <alignment horizontal="left"/>
    </xf>
    <xf numFmtId="0" fontId="1" fillId="4" borderId="0" xfId="0" applyFont="1" applyFill="1" applyAlignment="1"/>
    <xf numFmtId="0" fontId="19" fillId="4" borderId="0" xfId="0" applyFont="1" applyFill="1" applyAlignment="1">
      <alignment horizontal="left"/>
    </xf>
    <xf numFmtId="0" fontId="1" fillId="5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/>
    <xf numFmtId="0" fontId="19" fillId="6" borderId="0" xfId="0" applyFont="1" applyFill="1" applyAlignment="1">
      <alignment horizontal="left"/>
    </xf>
    <xf numFmtId="0" fontId="1" fillId="0" borderId="0" xfId="0" applyFont="1" applyAlignment="1">
      <alignment wrapText="1"/>
    </xf>
    <xf numFmtId="0" fontId="8" fillId="0" borderId="0" xfId="0" applyFont="1" applyAlignment="1"/>
    <xf numFmtId="0" fontId="8" fillId="0" borderId="0" xfId="0" applyFont="1" applyAlignment="1">
      <alignment horizontal="right"/>
    </xf>
    <xf numFmtId="0" fontId="4" fillId="0" borderId="0" xfId="0" applyFont="1" applyFill="1" applyAlignment="1"/>
    <xf numFmtId="0" fontId="9" fillId="0" borderId="0" xfId="0" applyFont="1" applyFill="1" applyAlignment="1"/>
    <xf numFmtId="0" fontId="10" fillId="0" borderId="0" xfId="0" applyFont="1" applyFill="1" applyAlignment="1"/>
    <xf numFmtId="0" fontId="10" fillId="0" borderId="0" xfId="0" applyFont="1" applyFill="1" applyAlignment="1">
      <alignment horizontal="right"/>
    </xf>
    <xf numFmtId="0" fontId="8" fillId="0" borderId="0" xfId="0" applyFont="1" applyFill="1" applyAlignment="1"/>
    <xf numFmtId="0" fontId="3" fillId="0" borderId="0" xfId="0" applyFont="1" applyFill="1" applyAlignment="1">
      <alignment horizontal="right"/>
    </xf>
    <xf numFmtId="0" fontId="3" fillId="0" borderId="0" xfId="0" applyFont="1" applyFill="1" applyAlignment="1"/>
    <xf numFmtId="0" fontId="2" fillId="7" borderId="0" xfId="0" applyFont="1" applyFill="1" applyAlignment="1"/>
    <xf numFmtId="2" fontId="8" fillId="0" borderId="0" xfId="0" applyNumberFormat="1" applyFont="1" applyAlignment="1">
      <alignment horizontal="right"/>
    </xf>
    <xf numFmtId="2" fontId="3" fillId="0" borderId="0" xfId="0" applyNumberFormat="1" applyFont="1" applyAlignment="1"/>
    <xf numFmtId="0" fontId="5" fillId="7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top"/>
    </xf>
    <xf numFmtId="0" fontId="21" fillId="0" borderId="0" xfId="0" applyFont="1" applyAlignment="1"/>
    <xf numFmtId="0" fontId="8" fillId="0" borderId="0" xfId="0" applyFont="1" applyFill="1" applyAlignment="1">
      <alignment vertical="top"/>
    </xf>
    <xf numFmtId="0" fontId="5" fillId="8" borderId="0" xfId="0" applyFont="1" applyFill="1" applyAlignment="1">
      <alignment vertical="top"/>
    </xf>
    <xf numFmtId="0" fontId="5" fillId="0" borderId="1" xfId="0" applyFont="1" applyBorder="1" applyAlignment="1">
      <alignment horizontal="center" vertical="top"/>
    </xf>
    <xf numFmtId="1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164" fontId="8" fillId="0" borderId="1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1" fontId="8" fillId="0" borderId="1" xfId="0" applyNumberFormat="1" applyFont="1" applyBorder="1" applyAlignment="1">
      <alignment horizontal="center" vertical="top"/>
    </xf>
    <xf numFmtId="164" fontId="8" fillId="0" borderId="1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 vertical="top"/>
    </xf>
    <xf numFmtId="1" fontId="6" fillId="0" borderId="1" xfId="0" applyNumberFormat="1" applyFont="1" applyBorder="1" applyAlignment="1">
      <alignment horizontal="center" vertical="top"/>
    </xf>
    <xf numFmtId="165" fontId="6" fillId="0" borderId="1" xfId="0" applyNumberFormat="1" applyFont="1" applyBorder="1" applyAlignment="1">
      <alignment horizontal="center" vertical="top"/>
    </xf>
    <xf numFmtId="165" fontId="8" fillId="0" borderId="1" xfId="0" applyNumberFormat="1" applyFont="1" applyBorder="1" applyAlignment="1">
      <alignment horizontal="center" vertical="top"/>
    </xf>
    <xf numFmtId="166" fontId="8" fillId="0" borderId="1" xfId="0" applyNumberFormat="1" applyFont="1" applyBorder="1" applyAlignment="1">
      <alignment horizontal="center" vertical="top"/>
    </xf>
    <xf numFmtId="164" fontId="6" fillId="0" borderId="1" xfId="0" applyNumberFormat="1" applyFont="1" applyBorder="1" applyAlignment="1">
      <alignment horizontal="center" vertical="top"/>
    </xf>
    <xf numFmtId="164" fontId="8" fillId="0" borderId="0" xfId="0" applyNumberFormat="1" applyFont="1" applyFill="1" applyBorder="1" applyAlignment="1">
      <alignment horizontal="center" vertical="top"/>
    </xf>
    <xf numFmtId="167" fontId="8" fillId="0" borderId="1" xfId="0" applyNumberFormat="1" applyFont="1" applyBorder="1" applyAlignment="1">
      <alignment horizontal="center"/>
    </xf>
    <xf numFmtId="0" fontId="8" fillId="7" borderId="0" xfId="0" applyFont="1" applyFill="1" applyAlignment="1"/>
    <xf numFmtId="0" fontId="8" fillId="9" borderId="0" xfId="0" applyFont="1" applyFill="1" applyAlignment="1"/>
    <xf numFmtId="0" fontId="8" fillId="10" borderId="0" xfId="0" applyFont="1" applyFill="1" applyAlignment="1"/>
    <xf numFmtId="0" fontId="8" fillId="7" borderId="5" xfId="0" applyFont="1" applyFill="1" applyBorder="1" applyAlignment="1"/>
    <xf numFmtId="0" fontId="8" fillId="9" borderId="5" xfId="0" applyFont="1" applyFill="1" applyBorder="1" applyAlignment="1"/>
    <xf numFmtId="0" fontId="8" fillId="10" borderId="5" xfId="0" applyFont="1" applyFill="1" applyBorder="1" applyAlignment="1"/>
    <xf numFmtId="0" fontId="8" fillId="11" borderId="5" xfId="0" applyFont="1" applyFill="1" applyBorder="1" applyAlignment="1"/>
    <xf numFmtId="0" fontId="8" fillId="0" borderId="6" xfId="0" applyFont="1" applyBorder="1" applyAlignment="1"/>
    <xf numFmtId="0" fontId="8" fillId="9" borderId="0" xfId="0" applyFont="1" applyFill="1" applyAlignment="1">
      <alignment horizontal="center"/>
    </xf>
    <xf numFmtId="0" fontId="5" fillId="7" borderId="0" xfId="0" applyFont="1" applyFill="1" applyAlignment="1"/>
    <xf numFmtId="0" fontId="5" fillId="9" borderId="0" xfId="0" applyFont="1" applyFill="1" applyAlignment="1"/>
    <xf numFmtId="0" fontId="5" fillId="10" borderId="0" xfId="0" applyFont="1" applyFill="1" applyAlignment="1"/>
    <xf numFmtId="0" fontId="5" fillId="11" borderId="0" xfId="0" applyFont="1" applyFill="1" applyAlignment="1"/>
    <xf numFmtId="2" fontId="8" fillId="0" borderId="1" xfId="0" applyNumberFormat="1" applyFont="1" applyBorder="1" applyAlignment="1">
      <alignment horizontal="center" vertical="top"/>
    </xf>
    <xf numFmtId="0" fontId="5" fillId="0" borderId="0" xfId="0" applyFont="1" applyAlignment="1"/>
    <xf numFmtId="4" fontId="2" fillId="0" borderId="0" xfId="0" applyNumberFormat="1" applyFont="1" applyAlignment="1"/>
    <xf numFmtId="0" fontId="2" fillId="0" borderId="2" xfId="0" applyFont="1" applyBorder="1" applyAlignment="1">
      <alignment horizontal="center" vertical="top"/>
    </xf>
    <xf numFmtId="0" fontId="6" fillId="0" borderId="3" xfId="0" applyFont="1" applyBorder="1"/>
    <xf numFmtId="0" fontId="6" fillId="0" borderId="4" xfId="0" applyFont="1" applyBorder="1"/>
    <xf numFmtId="164" fontId="3" fillId="0" borderId="2" xfId="0" applyNumberFormat="1" applyFont="1" applyBorder="1" applyAlignment="1">
      <alignment horizontal="center" vertical="top"/>
    </xf>
    <xf numFmtId="164" fontId="2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48DA-3641-5F4B-A8D3-284FE8171105}">
  <dimension ref="A1:B14"/>
  <sheetViews>
    <sheetView tabSelected="1" workbookViewId="0"/>
  </sheetViews>
  <sheetFormatPr baseColWidth="10" defaultRowHeight="15.75" customHeight="1"/>
  <cols>
    <col min="1" max="1" width="27.5" customWidth="1"/>
    <col min="2" max="2" width="187.1640625" customWidth="1"/>
  </cols>
  <sheetData>
    <row r="1" spans="1:2" ht="25" customHeight="1">
      <c r="A1" s="68" t="s">
        <v>13127</v>
      </c>
    </row>
    <row r="2" spans="1:2" ht="15.75" customHeight="1">
      <c r="A2" s="62" t="s">
        <v>12978</v>
      </c>
      <c r="B2" s="70" t="s">
        <v>12979</v>
      </c>
    </row>
    <row r="3" spans="1:2" ht="15.75" customHeight="1">
      <c r="A3" s="63" t="s">
        <v>13059</v>
      </c>
      <c r="B3" s="63" t="s">
        <v>13069</v>
      </c>
    </row>
    <row r="4" spans="1:2" ht="15.75" customHeight="1">
      <c r="A4" s="63" t="s">
        <v>13060</v>
      </c>
      <c r="B4" s="63" t="s">
        <v>13126</v>
      </c>
    </row>
    <row r="5" spans="1:2" ht="15.75" customHeight="1">
      <c r="A5" s="63" t="s">
        <v>13061</v>
      </c>
      <c r="B5" s="63" t="s">
        <v>12980</v>
      </c>
    </row>
    <row r="6" spans="1:2" ht="15.75" customHeight="1">
      <c r="A6" s="63" t="s">
        <v>13062</v>
      </c>
      <c r="B6" s="63" t="s">
        <v>13055</v>
      </c>
    </row>
    <row r="7" spans="1:2" ht="15.75" customHeight="1">
      <c r="A7" s="69" t="s">
        <v>13063</v>
      </c>
      <c r="B7" s="63" t="s">
        <v>13056</v>
      </c>
    </row>
    <row r="8" spans="1:2" ht="15.75" customHeight="1">
      <c r="A8" s="69" t="s">
        <v>13064</v>
      </c>
      <c r="B8" s="63" t="s">
        <v>13057</v>
      </c>
    </row>
    <row r="9" spans="1:2" ht="15.75" customHeight="1">
      <c r="A9" s="69" t="s">
        <v>13065</v>
      </c>
      <c r="B9" s="63" t="s">
        <v>13058</v>
      </c>
    </row>
    <row r="10" spans="1:2" ht="15.75" customHeight="1">
      <c r="A10" s="69" t="s">
        <v>13066</v>
      </c>
      <c r="B10" s="63" t="s">
        <v>12983</v>
      </c>
    </row>
    <row r="11" spans="1:2" ht="15.75" customHeight="1">
      <c r="A11" s="69" t="s">
        <v>13067</v>
      </c>
      <c r="B11" s="63" t="s">
        <v>12981</v>
      </c>
    </row>
    <row r="12" spans="1:2" ht="15.75" customHeight="1">
      <c r="A12" s="69" t="s">
        <v>13068</v>
      </c>
      <c r="B12" s="63" t="s">
        <v>12984</v>
      </c>
    </row>
    <row r="13" spans="1:2" ht="15.75" customHeight="1">
      <c r="A13" s="69" t="s">
        <v>13147</v>
      </c>
      <c r="B13" s="63" t="s">
        <v>12985</v>
      </c>
    </row>
    <row r="14" spans="1:2" ht="15.75" customHeight="1">
      <c r="A14" s="69" t="s">
        <v>13120</v>
      </c>
      <c r="B14" s="63" t="s">
        <v>13121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4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0" sqref="K10"/>
    </sheetView>
  </sheetViews>
  <sheetFormatPr baseColWidth="10" defaultColWidth="14.5" defaultRowHeight="15.75" customHeight="1"/>
  <cols>
    <col min="1" max="1" width="26" customWidth="1"/>
    <col min="2" max="2" width="29.83203125" customWidth="1"/>
    <col min="3" max="3" width="26.6640625" customWidth="1"/>
    <col min="4" max="4" width="20.33203125" customWidth="1"/>
    <col min="5" max="5" width="18.1640625" customWidth="1"/>
    <col min="6" max="6" width="17.5" customWidth="1"/>
    <col min="7" max="7" width="12" customWidth="1"/>
    <col min="8" max="8" width="24.5" customWidth="1"/>
  </cols>
  <sheetData>
    <row r="1" spans="1:18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125</v>
      </c>
      <c r="F1" s="1" t="s">
        <v>13123</v>
      </c>
      <c r="G1" s="1" t="s">
        <v>4</v>
      </c>
      <c r="H1" s="3" t="s">
        <v>5</v>
      </c>
      <c r="I1" s="3" t="s">
        <v>6</v>
      </c>
      <c r="J1" s="4"/>
      <c r="K1" s="4"/>
      <c r="L1" s="4"/>
      <c r="M1" s="4"/>
      <c r="N1" s="4"/>
      <c r="O1" s="4"/>
      <c r="P1" s="4"/>
      <c r="Q1" s="4"/>
      <c r="R1" s="4"/>
    </row>
    <row r="2" spans="1:18" ht="15.75" customHeight="1">
      <c r="A2" s="4" t="s">
        <v>7</v>
      </c>
      <c r="B2" s="4" t="s">
        <v>8</v>
      </c>
      <c r="C2" s="4">
        <v>100</v>
      </c>
      <c r="D2" s="4">
        <v>91</v>
      </c>
      <c r="E2">
        <v>59</v>
      </c>
      <c r="F2" s="4">
        <v>38</v>
      </c>
      <c r="G2" s="4">
        <v>0</v>
      </c>
      <c r="H2" s="5">
        <f>(G2/F2)*100</f>
        <v>0</v>
      </c>
      <c r="I2" s="6">
        <f>(G2/$G$25)*100</f>
        <v>0</v>
      </c>
      <c r="L2" s="6"/>
      <c r="O2" s="6"/>
    </row>
    <row r="3" spans="1:18" ht="15.75" customHeight="1">
      <c r="A3" s="4" t="s">
        <v>7</v>
      </c>
      <c r="B3" s="4" t="s">
        <v>9</v>
      </c>
      <c r="C3" s="4">
        <v>100</v>
      </c>
      <c r="D3" s="4">
        <v>320</v>
      </c>
      <c r="E3">
        <v>309</v>
      </c>
      <c r="F3" s="4">
        <v>196</v>
      </c>
      <c r="G3" s="4">
        <v>13</v>
      </c>
      <c r="H3" s="5">
        <f>(G3/F3)*100</f>
        <v>6.6326530612244898</v>
      </c>
      <c r="I3" s="6">
        <f>(G3/$G$25)*100</f>
        <v>5.5555555555555554</v>
      </c>
      <c r="L3" s="6"/>
      <c r="O3" s="6"/>
    </row>
    <row r="4" spans="1:18" ht="15.75" customHeight="1">
      <c r="A4" s="7" t="s">
        <v>10</v>
      </c>
      <c r="B4" s="8"/>
      <c r="E4" s="11">
        <f>SUM(E2:E3)</f>
        <v>368</v>
      </c>
      <c r="F4" s="11">
        <f>SUM(F2:F3)</f>
        <v>234</v>
      </c>
      <c r="G4" s="11">
        <f>SUM(G2:G3)</f>
        <v>13</v>
      </c>
      <c r="H4" s="101">
        <f>(G4/F4)*100</f>
        <v>5.5555555555555554</v>
      </c>
      <c r="I4" s="12">
        <f>(G4/$G$25)*100</f>
        <v>5.5555555555555554</v>
      </c>
    </row>
    <row r="6" spans="1:18" ht="15.75" customHeight="1">
      <c r="A6" s="4" t="s">
        <v>11</v>
      </c>
      <c r="B6" s="4" t="s">
        <v>8</v>
      </c>
      <c r="C6" s="4">
        <v>100</v>
      </c>
      <c r="D6" s="4">
        <v>91</v>
      </c>
      <c r="E6">
        <v>89</v>
      </c>
      <c r="F6" s="4">
        <v>89</v>
      </c>
      <c r="G6" s="4">
        <v>8</v>
      </c>
      <c r="H6" s="5">
        <f>(G6/F6)*100</f>
        <v>8.9887640449438209</v>
      </c>
      <c r="I6" s="6">
        <f>(G6/$G$25)*100</f>
        <v>3.4188034188034191</v>
      </c>
      <c r="L6" s="6"/>
      <c r="O6" s="6"/>
      <c r="R6" s="6"/>
    </row>
    <row r="7" spans="1:18" ht="15.75" customHeight="1">
      <c r="A7" s="4" t="s">
        <v>11</v>
      </c>
      <c r="B7" s="4" t="s">
        <v>9</v>
      </c>
      <c r="C7" s="4">
        <v>100</v>
      </c>
      <c r="D7" s="4">
        <v>320</v>
      </c>
      <c r="E7">
        <v>318</v>
      </c>
      <c r="F7" s="4">
        <v>318</v>
      </c>
      <c r="G7" s="4">
        <v>89</v>
      </c>
      <c r="H7" s="5">
        <f>(G7/F7)*100</f>
        <v>27.987421383647799</v>
      </c>
      <c r="I7" s="6">
        <f>(G7/$G$25)*100</f>
        <v>38.034188034188034</v>
      </c>
      <c r="L7" s="6"/>
      <c r="O7" s="6"/>
      <c r="R7" s="6"/>
    </row>
    <row r="8" spans="1:18" ht="15.75" customHeight="1">
      <c r="A8" s="7" t="s">
        <v>12</v>
      </c>
      <c r="B8" s="8"/>
      <c r="E8" s="11">
        <f>SUM(E6:E7)</f>
        <v>407</v>
      </c>
      <c r="F8" s="11">
        <f>SUM(F6:F7)</f>
        <v>407</v>
      </c>
      <c r="G8" s="11">
        <f>SUM(G6:G7)</f>
        <v>97</v>
      </c>
      <c r="H8" s="101">
        <f>(G8/F8)*100</f>
        <v>23.832923832923832</v>
      </c>
      <c r="I8" s="12">
        <f>(G8/$G$25)*100</f>
        <v>41.452991452991455</v>
      </c>
    </row>
    <row r="10" spans="1:18" ht="15.75" customHeight="1">
      <c r="A10" s="4" t="s">
        <v>11</v>
      </c>
      <c r="B10" s="4" t="s">
        <v>13</v>
      </c>
      <c r="C10" s="4">
        <v>100</v>
      </c>
      <c r="D10" s="4">
        <v>60</v>
      </c>
      <c r="E10">
        <v>60</v>
      </c>
      <c r="F10" s="4">
        <v>60</v>
      </c>
      <c r="G10" s="4">
        <v>20</v>
      </c>
      <c r="H10" s="5">
        <f>(G10/F10)*100</f>
        <v>33.333333333333329</v>
      </c>
      <c r="I10" s="6">
        <f>(G10/$G$25)*100</f>
        <v>8.5470085470085468</v>
      </c>
      <c r="L10" s="6"/>
      <c r="O10" s="6"/>
      <c r="R10" s="6"/>
    </row>
    <row r="11" spans="1:18" ht="15.75" customHeight="1">
      <c r="A11" s="7" t="s">
        <v>14</v>
      </c>
      <c r="B11" s="8"/>
      <c r="E11" s="11">
        <f>SUM(E8,E10)</f>
        <v>467</v>
      </c>
      <c r="F11" s="11">
        <f>SUM(F8,F10)</f>
        <v>467</v>
      </c>
      <c r="G11" s="11">
        <f>SUM(G8,G10)</f>
        <v>117</v>
      </c>
      <c r="H11" s="101">
        <f>(G11/F11)*100</f>
        <v>25.053533190578158</v>
      </c>
      <c r="I11" s="12">
        <f>(G11/$G$25)*100</f>
        <v>50</v>
      </c>
    </row>
    <row r="13" spans="1:18" ht="15.75" customHeight="1">
      <c r="A13" s="4" t="s">
        <v>15</v>
      </c>
      <c r="B13" s="4" t="s">
        <v>16</v>
      </c>
      <c r="C13" s="4">
        <v>500</v>
      </c>
      <c r="D13" s="4">
        <v>687</v>
      </c>
      <c r="E13" s="41">
        <v>687</v>
      </c>
      <c r="F13" s="4">
        <v>680</v>
      </c>
      <c r="G13" s="4">
        <v>49</v>
      </c>
      <c r="H13" s="5">
        <f t="shared" ref="H13:H21" si="0">(G13/F13)*100</f>
        <v>7.2058823529411757</v>
      </c>
      <c r="I13" s="6">
        <f t="shared" ref="I13:I21" si="1">(G13/$G$25)*100</f>
        <v>20.94017094017094</v>
      </c>
      <c r="L13" s="6"/>
      <c r="O13" s="6"/>
      <c r="R13" s="6"/>
    </row>
    <row r="14" spans="1:18" ht="15.75" customHeight="1">
      <c r="A14" s="4" t="s">
        <v>15</v>
      </c>
      <c r="B14" s="4" t="s">
        <v>17</v>
      </c>
      <c r="C14" s="4">
        <v>250</v>
      </c>
      <c r="D14" s="4">
        <v>132</v>
      </c>
      <c r="E14">
        <v>132</v>
      </c>
      <c r="F14" s="4">
        <v>130</v>
      </c>
      <c r="G14" s="4">
        <v>1</v>
      </c>
      <c r="H14" s="5">
        <f t="shared" si="0"/>
        <v>0.76923076923076927</v>
      </c>
      <c r="I14" s="6">
        <f t="shared" si="1"/>
        <v>0.42735042735042739</v>
      </c>
      <c r="L14" s="6"/>
      <c r="O14" s="6"/>
      <c r="R14" s="6"/>
    </row>
    <row r="15" spans="1:18" ht="15.75" customHeight="1">
      <c r="A15" s="4" t="s">
        <v>15</v>
      </c>
      <c r="B15" s="4" t="s">
        <v>18</v>
      </c>
      <c r="C15" s="4">
        <v>100</v>
      </c>
      <c r="D15" s="4">
        <v>968</v>
      </c>
      <c r="E15">
        <v>968</v>
      </c>
      <c r="F15" s="4">
        <v>906</v>
      </c>
      <c r="G15" s="4">
        <v>24</v>
      </c>
      <c r="H15" s="5">
        <f t="shared" si="0"/>
        <v>2.6490066225165565</v>
      </c>
      <c r="I15" s="6">
        <f t="shared" si="1"/>
        <v>10.256410256410255</v>
      </c>
      <c r="L15" s="6"/>
      <c r="O15" s="6"/>
      <c r="R15" s="6"/>
    </row>
    <row r="16" spans="1:18" ht="15.75" customHeight="1">
      <c r="A16" s="4" t="s">
        <v>15</v>
      </c>
      <c r="B16" s="4" t="s">
        <v>19</v>
      </c>
      <c r="C16" s="4">
        <v>1000</v>
      </c>
      <c r="D16" s="4">
        <v>80</v>
      </c>
      <c r="E16">
        <v>78</v>
      </c>
      <c r="F16" s="4">
        <v>73</v>
      </c>
      <c r="G16" s="4">
        <v>9</v>
      </c>
      <c r="H16" s="5">
        <f t="shared" si="0"/>
        <v>12.328767123287671</v>
      </c>
      <c r="I16" s="6">
        <f t="shared" si="1"/>
        <v>3.8461538461538463</v>
      </c>
      <c r="L16" s="6"/>
      <c r="O16" s="6"/>
      <c r="R16" s="6"/>
    </row>
    <row r="17" spans="1:18" ht="15.75" customHeight="1">
      <c r="A17" s="4" t="s">
        <v>15</v>
      </c>
      <c r="B17" s="4" t="s">
        <v>20</v>
      </c>
      <c r="C17" s="4">
        <v>500</v>
      </c>
      <c r="D17" s="4">
        <v>31</v>
      </c>
      <c r="E17">
        <v>31</v>
      </c>
      <c r="F17" s="4">
        <v>32</v>
      </c>
      <c r="G17" s="4">
        <v>6</v>
      </c>
      <c r="H17" s="5">
        <f t="shared" si="0"/>
        <v>18.75</v>
      </c>
      <c r="I17" s="6">
        <f t="shared" si="1"/>
        <v>2.5641025641025639</v>
      </c>
      <c r="L17" s="6"/>
      <c r="O17" s="6"/>
      <c r="R17" s="6"/>
    </row>
    <row r="18" spans="1:18" ht="15.75" customHeight="1">
      <c r="A18" s="4" t="s">
        <v>15</v>
      </c>
      <c r="B18" s="4" t="s">
        <v>21</v>
      </c>
      <c r="C18" s="4">
        <v>500</v>
      </c>
      <c r="D18" s="4">
        <v>22</v>
      </c>
      <c r="E18">
        <v>21</v>
      </c>
      <c r="F18" s="4">
        <v>21</v>
      </c>
      <c r="G18" s="4">
        <v>0</v>
      </c>
      <c r="H18" s="5">
        <f t="shared" si="0"/>
        <v>0</v>
      </c>
      <c r="I18" s="6">
        <f t="shared" si="1"/>
        <v>0</v>
      </c>
      <c r="L18" s="6"/>
      <c r="O18" s="6"/>
      <c r="R18" s="6"/>
    </row>
    <row r="19" spans="1:18" ht="15.75" customHeight="1">
      <c r="A19" s="4" t="s">
        <v>15</v>
      </c>
      <c r="B19" s="4" t="s">
        <v>22</v>
      </c>
      <c r="C19" s="4">
        <v>500</v>
      </c>
      <c r="D19" s="4">
        <v>96</v>
      </c>
      <c r="E19">
        <v>96</v>
      </c>
      <c r="F19" s="4">
        <v>95</v>
      </c>
      <c r="G19" s="4">
        <v>5</v>
      </c>
      <c r="H19" s="5">
        <f t="shared" si="0"/>
        <v>5.2631578947368416</v>
      </c>
      <c r="I19" s="6">
        <f t="shared" si="1"/>
        <v>2.1367521367521367</v>
      </c>
      <c r="L19" s="6"/>
      <c r="O19" s="6"/>
      <c r="R19" s="6"/>
    </row>
    <row r="20" spans="1:18" ht="15.75" customHeight="1">
      <c r="A20" s="4" t="s">
        <v>15</v>
      </c>
      <c r="B20" s="4" t="s">
        <v>23</v>
      </c>
      <c r="C20" s="4">
        <v>500</v>
      </c>
      <c r="D20" s="4">
        <v>106</v>
      </c>
      <c r="E20">
        <v>106</v>
      </c>
      <c r="F20" s="4">
        <v>105</v>
      </c>
      <c r="G20" s="4">
        <v>10</v>
      </c>
      <c r="H20" s="5">
        <f t="shared" si="0"/>
        <v>9.5238095238095237</v>
      </c>
      <c r="I20" s="6">
        <f t="shared" si="1"/>
        <v>4.2735042735042734</v>
      </c>
      <c r="L20" s="6"/>
      <c r="R20" s="6"/>
    </row>
    <row r="21" spans="1:18" ht="15.75" customHeight="1">
      <c r="A21" s="7" t="s">
        <v>24</v>
      </c>
      <c r="B21" s="8"/>
      <c r="D21" s="100">
        <f>SUM(D13:D20)</f>
        <v>2122</v>
      </c>
      <c r="E21" s="100">
        <f>SUM(E13:E20)</f>
        <v>2119</v>
      </c>
      <c r="F21" s="11">
        <f>SUM(F13:F20)</f>
        <v>2042</v>
      </c>
      <c r="G21" s="11">
        <f>SUM(G13:G20)</f>
        <v>104</v>
      </c>
      <c r="H21" s="101">
        <f t="shared" si="0"/>
        <v>5.0930460333006859</v>
      </c>
      <c r="I21" s="12">
        <f t="shared" si="1"/>
        <v>44.444444444444443</v>
      </c>
    </row>
    <row r="23" spans="1:18" ht="15.75" customHeight="1">
      <c r="A23" s="7" t="s">
        <v>25</v>
      </c>
      <c r="B23" s="8"/>
      <c r="E23" s="9">
        <f>SUM(E11,E21)</f>
        <v>2586</v>
      </c>
      <c r="F23" s="9">
        <f>SUM(F11,F21)</f>
        <v>2509</v>
      </c>
      <c r="G23" s="9">
        <f>SUM(G11,G21)</f>
        <v>221</v>
      </c>
      <c r="H23" s="12">
        <f>(G23/F23)*100</f>
        <v>8.8082901554404138</v>
      </c>
      <c r="I23" s="6">
        <f>(G23/$G$25)*100</f>
        <v>94.444444444444443</v>
      </c>
    </row>
    <row r="25" spans="1:18" ht="15.75" customHeight="1">
      <c r="A25" s="7" t="s">
        <v>26</v>
      </c>
      <c r="B25" s="10"/>
      <c r="D25" s="11"/>
      <c r="E25" s="11">
        <f>SUM(E4,E11,E21)</f>
        <v>2954</v>
      </c>
      <c r="F25" s="11">
        <f>SUM(F4,F11,F21)</f>
        <v>2743</v>
      </c>
      <c r="G25" s="11">
        <f>SUM(G4,G11,G21)</f>
        <v>234</v>
      </c>
      <c r="H25" s="12">
        <f>(G25/F25)*100</f>
        <v>8.5308056872037916</v>
      </c>
      <c r="I25" s="12">
        <f>(G25/$G$25)*100</f>
        <v>100</v>
      </c>
      <c r="J25" s="11"/>
      <c r="K25" s="11"/>
      <c r="L25" s="12"/>
      <c r="M25" s="11"/>
      <c r="N25" s="11"/>
      <c r="O25" s="12"/>
      <c r="P25" s="11"/>
      <c r="Q25" s="11"/>
      <c r="R25" s="12"/>
    </row>
    <row r="27" spans="1:18" ht="39" customHeight="1">
      <c r="A27" s="13" t="s">
        <v>27</v>
      </c>
      <c r="B27" s="14"/>
    </row>
    <row r="28" spans="1:18" ht="15.75" customHeight="1">
      <c r="A28" s="4" t="s">
        <v>28</v>
      </c>
      <c r="C28" s="4">
        <v>34</v>
      </c>
    </row>
    <row r="29" spans="1:18" ht="15.75" customHeight="1">
      <c r="A29" s="4" t="s">
        <v>29</v>
      </c>
      <c r="C29" s="4">
        <v>5</v>
      </c>
    </row>
    <row r="30" spans="1:18" ht="15.75" customHeight="1">
      <c r="A30" s="4" t="s">
        <v>30</v>
      </c>
      <c r="C30" s="4">
        <v>0</v>
      </c>
    </row>
    <row r="32" spans="1:18" ht="15.75" customHeight="1">
      <c r="A32" s="15" t="s">
        <v>31</v>
      </c>
      <c r="B32" s="14"/>
    </row>
    <row r="33" spans="1:3" ht="15.75" customHeight="1">
      <c r="A33" s="4" t="s">
        <v>32</v>
      </c>
      <c r="C33" s="4">
        <v>234</v>
      </c>
    </row>
    <row r="34" spans="1:3" ht="15.75" customHeight="1">
      <c r="A34" s="4" t="s">
        <v>33</v>
      </c>
      <c r="C34" s="4">
        <v>59</v>
      </c>
    </row>
    <row r="35" spans="1:3" ht="15.75" customHeight="1">
      <c r="A35" s="4" t="s">
        <v>34</v>
      </c>
      <c r="C35" s="4">
        <v>38</v>
      </c>
    </row>
    <row r="36" spans="1:3" ht="15.75" customHeight="1">
      <c r="A36" s="4" t="s">
        <v>30</v>
      </c>
      <c r="C36" s="4">
        <v>5</v>
      </c>
    </row>
    <row r="37" spans="1:3" ht="15.75" customHeight="1">
      <c r="A37" s="4" t="s">
        <v>35</v>
      </c>
      <c r="C37" s="4">
        <v>8</v>
      </c>
    </row>
    <row r="38" spans="1:3" ht="15.75" customHeight="1">
      <c r="A38" s="4" t="s">
        <v>36</v>
      </c>
      <c r="C38" s="4">
        <v>54</v>
      </c>
    </row>
    <row r="44" spans="1:3" ht="15.75" customHeight="1">
      <c r="C44" s="52"/>
    </row>
  </sheetData>
  <conditionalFormatting sqref="L2:L3 O2:O3 L6:L7 O6:O7 L10 O10 L13:L20 O13:O17 O19">
    <cfRule type="colorScale" priority="1">
      <colorScale>
        <cfvo type="min"/>
        <cfvo type="max"/>
        <color rgb="FFFFFFFF"/>
        <color rgb="FFFFFFFF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8"/>
  <sheetViews>
    <sheetView workbookViewId="0"/>
  </sheetViews>
  <sheetFormatPr baseColWidth="10" defaultColWidth="14.5" defaultRowHeight="15.75" customHeight="1"/>
  <cols>
    <col min="1" max="1" width="21.5" customWidth="1"/>
    <col min="2" max="2" width="16.5" customWidth="1"/>
    <col min="4" max="4" width="14.5" customWidth="1"/>
  </cols>
  <sheetData>
    <row r="1" spans="1:9" ht="15.75" customHeight="1">
      <c r="A1" s="16" t="s">
        <v>37</v>
      </c>
      <c r="B1" s="17"/>
      <c r="C1" s="17"/>
    </row>
    <row r="2" spans="1:9" ht="15.75" customHeight="1">
      <c r="A2" s="3" t="s">
        <v>0</v>
      </c>
      <c r="B2" s="3" t="s">
        <v>38</v>
      </c>
      <c r="C2" s="3" t="s">
        <v>39</v>
      </c>
      <c r="D2" s="3" t="s">
        <v>40</v>
      </c>
    </row>
    <row r="3" spans="1:9" ht="15.75" customHeight="1">
      <c r="A3" s="4" t="s">
        <v>41</v>
      </c>
      <c r="B3" s="4" t="s">
        <v>42</v>
      </c>
      <c r="C3" s="4" t="s">
        <v>43</v>
      </c>
      <c r="D3" s="4" t="s">
        <v>44</v>
      </c>
    </row>
    <row r="4" spans="1:9" ht="15.75" customHeight="1">
      <c r="A4" s="4" t="s">
        <v>45</v>
      </c>
      <c r="B4" s="4" t="s">
        <v>42</v>
      </c>
      <c r="C4" s="4" t="s">
        <v>46</v>
      </c>
      <c r="D4" s="4" t="s">
        <v>47</v>
      </c>
    </row>
    <row r="5" spans="1:9" ht="15.75" customHeight="1">
      <c r="A5" s="4" t="s">
        <v>48</v>
      </c>
      <c r="B5" s="4" t="s">
        <v>49</v>
      </c>
      <c r="C5" s="4" t="s">
        <v>46</v>
      </c>
      <c r="D5" s="4" t="s">
        <v>47</v>
      </c>
    </row>
    <row r="8" spans="1:9" ht="15.75" customHeight="1">
      <c r="A8" s="18" t="s">
        <v>50</v>
      </c>
      <c r="B8" s="19"/>
      <c r="C8" s="19"/>
    </row>
    <row r="9" spans="1:9" ht="15.75" customHeight="1">
      <c r="A9" s="20" t="s">
        <v>51</v>
      </c>
      <c r="B9" s="21" t="s">
        <v>52</v>
      </c>
      <c r="C9" s="21" t="s">
        <v>53</v>
      </c>
      <c r="D9" s="21" t="s">
        <v>54</v>
      </c>
      <c r="E9" s="21" t="s">
        <v>55</v>
      </c>
      <c r="F9" s="21" t="s">
        <v>56</v>
      </c>
      <c r="G9" s="21" t="s">
        <v>39</v>
      </c>
      <c r="H9" s="21" t="s">
        <v>57</v>
      </c>
      <c r="I9" s="3" t="s">
        <v>58</v>
      </c>
    </row>
    <row r="10" spans="1:9" ht="15.75" customHeight="1">
      <c r="A10" s="21" t="s">
        <v>59</v>
      </c>
      <c r="B10" s="22" t="s">
        <v>60</v>
      </c>
      <c r="C10" s="23">
        <v>2</v>
      </c>
      <c r="D10" s="23">
        <v>2.0099999999999998</v>
      </c>
      <c r="E10" s="22" t="s">
        <v>61</v>
      </c>
      <c r="F10" s="22" t="s">
        <v>62</v>
      </c>
      <c r="G10" s="22" t="s">
        <v>43</v>
      </c>
      <c r="H10" s="22" t="s">
        <v>63</v>
      </c>
    </row>
    <row r="11" spans="1:9" ht="15.75" customHeight="1">
      <c r="A11" s="21" t="s">
        <v>64</v>
      </c>
      <c r="B11" s="22" t="s">
        <v>60</v>
      </c>
      <c r="C11" s="23">
        <v>2</v>
      </c>
      <c r="D11" s="23">
        <v>1.5</v>
      </c>
      <c r="E11" s="22" t="s">
        <v>65</v>
      </c>
      <c r="F11" s="22" t="s">
        <v>62</v>
      </c>
      <c r="G11" s="22" t="s">
        <v>43</v>
      </c>
      <c r="H11" s="22" t="s">
        <v>66</v>
      </c>
    </row>
    <row r="12" spans="1:9" ht="15.75" customHeight="1">
      <c r="A12" s="21" t="s">
        <v>67</v>
      </c>
      <c r="B12" s="22" t="s">
        <v>68</v>
      </c>
      <c r="C12" s="23">
        <v>2</v>
      </c>
      <c r="D12" s="23">
        <v>1.45</v>
      </c>
      <c r="E12" s="22" t="s">
        <v>69</v>
      </c>
      <c r="F12" s="22" t="s">
        <v>62</v>
      </c>
      <c r="G12" s="22" t="s">
        <v>43</v>
      </c>
      <c r="H12" s="22" t="s">
        <v>70</v>
      </c>
    </row>
    <row r="13" spans="1:9" ht="15.75" customHeight="1">
      <c r="A13" s="21" t="s">
        <v>71</v>
      </c>
      <c r="B13" s="22" t="s">
        <v>68</v>
      </c>
      <c r="C13" s="23">
        <v>1</v>
      </c>
      <c r="D13" s="23">
        <v>1.07</v>
      </c>
      <c r="E13" s="22" t="s">
        <v>72</v>
      </c>
      <c r="F13" s="22" t="s">
        <v>62</v>
      </c>
      <c r="G13" s="22" t="s">
        <v>43</v>
      </c>
      <c r="H13" s="22" t="s">
        <v>73</v>
      </c>
    </row>
    <row r="14" spans="1:9" ht="15.75" customHeight="1">
      <c r="A14" s="21" t="s">
        <v>74</v>
      </c>
      <c r="B14" s="22" t="s">
        <v>41</v>
      </c>
      <c r="C14" s="23">
        <v>1</v>
      </c>
      <c r="D14" s="23">
        <v>1.35</v>
      </c>
      <c r="E14" s="22" t="s">
        <v>75</v>
      </c>
      <c r="F14" s="22" t="s">
        <v>62</v>
      </c>
      <c r="G14" s="22" t="s">
        <v>43</v>
      </c>
      <c r="H14" s="22" t="s">
        <v>76</v>
      </c>
    </row>
    <row r="15" spans="1:9" ht="15.75" customHeight="1">
      <c r="A15" s="21" t="s">
        <v>77</v>
      </c>
      <c r="B15" s="22" t="s">
        <v>78</v>
      </c>
      <c r="C15" s="23">
        <v>4</v>
      </c>
      <c r="D15" s="23">
        <v>2.2000000000000002</v>
      </c>
      <c r="E15" s="22" t="s">
        <v>79</v>
      </c>
      <c r="F15" s="22" t="s">
        <v>80</v>
      </c>
      <c r="G15" s="22" t="s">
        <v>81</v>
      </c>
      <c r="H15" s="22" t="s">
        <v>66</v>
      </c>
    </row>
    <row r="16" spans="1:9" ht="15.75" customHeight="1">
      <c r="A16" s="21" t="s">
        <v>82</v>
      </c>
      <c r="B16" s="22" t="s">
        <v>83</v>
      </c>
      <c r="C16" s="23">
        <v>1</v>
      </c>
      <c r="D16" s="23">
        <v>0.95</v>
      </c>
      <c r="E16" s="22" t="s">
        <v>84</v>
      </c>
      <c r="F16" s="22" t="s">
        <v>85</v>
      </c>
      <c r="G16" s="22" t="s">
        <v>86</v>
      </c>
      <c r="H16" s="22" t="s">
        <v>76</v>
      </c>
    </row>
    <row r="17" spans="1:9" ht="15.75" customHeight="1">
      <c r="A17" s="21" t="s">
        <v>87</v>
      </c>
      <c r="B17" s="22" t="s">
        <v>83</v>
      </c>
      <c r="C17" s="23">
        <v>5</v>
      </c>
      <c r="D17" s="23">
        <v>2.2000000000000002</v>
      </c>
      <c r="E17" s="22" t="s">
        <v>88</v>
      </c>
      <c r="F17" s="22" t="s">
        <v>89</v>
      </c>
      <c r="G17" s="22" t="s">
        <v>90</v>
      </c>
      <c r="H17" s="22" t="s">
        <v>91</v>
      </c>
    </row>
    <row r="18" spans="1:9" ht="15.75" customHeight="1">
      <c r="A18" s="21" t="s">
        <v>92</v>
      </c>
      <c r="B18" s="22" t="s">
        <v>83</v>
      </c>
      <c r="C18" s="23">
        <v>2</v>
      </c>
      <c r="D18" s="23">
        <v>1.57</v>
      </c>
      <c r="E18" s="22" t="s">
        <v>93</v>
      </c>
      <c r="F18" s="22" t="s">
        <v>80</v>
      </c>
      <c r="G18" s="22" t="s">
        <v>94</v>
      </c>
      <c r="H18" s="22" t="s">
        <v>66</v>
      </c>
    </row>
    <row r="19" spans="1:9" ht="15.75" customHeight="1">
      <c r="A19" s="21" t="s">
        <v>95</v>
      </c>
      <c r="B19" s="22" t="s">
        <v>68</v>
      </c>
      <c r="C19" s="23">
        <v>4</v>
      </c>
      <c r="D19" s="23">
        <v>2</v>
      </c>
      <c r="E19" s="22" t="s">
        <v>96</v>
      </c>
      <c r="F19" s="22" t="s">
        <v>80</v>
      </c>
      <c r="G19" s="22" t="s">
        <v>94</v>
      </c>
      <c r="H19" s="22" t="s">
        <v>97</v>
      </c>
    </row>
    <row r="21" spans="1:9" ht="15.75" customHeight="1">
      <c r="A21" s="24" t="s">
        <v>98</v>
      </c>
      <c r="B21" s="19"/>
      <c r="C21" s="19"/>
    </row>
    <row r="22" spans="1:9" ht="15.75" customHeight="1">
      <c r="A22" s="21" t="s">
        <v>99</v>
      </c>
      <c r="B22" s="22" t="s">
        <v>41</v>
      </c>
      <c r="C22" s="23">
        <v>1</v>
      </c>
      <c r="D22" s="23">
        <v>0.77</v>
      </c>
      <c r="E22" s="22" t="s">
        <v>100</v>
      </c>
      <c r="F22" s="22" t="s">
        <v>62</v>
      </c>
      <c r="G22" s="22" t="s">
        <v>43</v>
      </c>
      <c r="H22" s="22" t="s">
        <v>76</v>
      </c>
    </row>
    <row r="23" spans="1:9" ht="15.75" customHeight="1">
      <c r="A23" s="1" t="s">
        <v>101</v>
      </c>
      <c r="B23" s="25" t="s">
        <v>41</v>
      </c>
      <c r="C23" s="25">
        <v>1</v>
      </c>
      <c r="D23" s="25">
        <v>1.5</v>
      </c>
      <c r="E23" s="22" t="s">
        <v>102</v>
      </c>
      <c r="F23" s="22" t="s">
        <v>62</v>
      </c>
      <c r="G23" s="22" t="s">
        <v>43</v>
      </c>
      <c r="H23" s="25" t="s">
        <v>76</v>
      </c>
      <c r="I23" s="25" t="s">
        <v>103</v>
      </c>
    </row>
    <row r="24" spans="1:9" ht="15.75" customHeight="1">
      <c r="A24" s="1" t="s">
        <v>104</v>
      </c>
      <c r="B24" s="25" t="s">
        <v>41</v>
      </c>
      <c r="C24" s="25">
        <v>1</v>
      </c>
      <c r="D24" s="25">
        <v>0.93</v>
      </c>
      <c r="E24" s="22" t="s">
        <v>105</v>
      </c>
      <c r="F24" s="22" t="s">
        <v>62</v>
      </c>
      <c r="G24" s="22" t="s">
        <v>43</v>
      </c>
      <c r="H24" s="25" t="s">
        <v>76</v>
      </c>
      <c r="I24" s="25" t="s">
        <v>106</v>
      </c>
    </row>
    <row r="25" spans="1:9" ht="15.75" customHeight="1">
      <c r="A25" s="1" t="s">
        <v>107</v>
      </c>
      <c r="B25" s="22" t="s">
        <v>108</v>
      </c>
      <c r="C25" s="23">
        <v>2</v>
      </c>
      <c r="D25" s="23">
        <v>0.85</v>
      </c>
      <c r="E25" s="22" t="s">
        <v>109</v>
      </c>
      <c r="F25" s="22" t="s">
        <v>110</v>
      </c>
      <c r="G25" s="22" t="s">
        <v>46</v>
      </c>
      <c r="H25" s="22" t="s">
        <v>76</v>
      </c>
    </row>
    <row r="26" spans="1:9" ht="15.75" customHeight="1">
      <c r="A26" s="1" t="s">
        <v>111</v>
      </c>
      <c r="B26" s="22" t="s">
        <v>108</v>
      </c>
      <c r="C26" s="23">
        <v>2</v>
      </c>
      <c r="D26" s="22">
        <v>0.88</v>
      </c>
      <c r="E26" s="22" t="s">
        <v>112</v>
      </c>
      <c r="F26" s="22" t="s">
        <v>110</v>
      </c>
      <c r="G26" s="22" t="s">
        <v>46</v>
      </c>
      <c r="H26" s="22" t="s">
        <v>66</v>
      </c>
    </row>
    <row r="28" spans="1:9" ht="15.75" customHeight="1">
      <c r="A28" s="25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3"/>
  <sheetViews>
    <sheetView workbookViewId="0">
      <selection activeCell="I33" sqref="I33"/>
    </sheetView>
  </sheetViews>
  <sheetFormatPr baseColWidth="10" defaultColWidth="14.5" defaultRowHeight="15.75" customHeight="1"/>
  <cols>
    <col min="1" max="1" width="23.33203125" customWidth="1"/>
    <col min="2" max="2" width="22.5" customWidth="1"/>
    <col min="3" max="3" width="16.5" customWidth="1"/>
    <col min="6" max="6" width="22.5" customWidth="1"/>
    <col min="7" max="7" width="20" customWidth="1"/>
    <col min="8" max="8" width="16.5" customWidth="1"/>
    <col min="9" max="9" width="28.33203125" customWidth="1"/>
    <col min="10" max="10" width="24.5" customWidth="1"/>
    <col min="11" max="11" width="18.5" customWidth="1"/>
    <col min="12" max="12" width="17.5" customWidth="1"/>
    <col min="13" max="13" width="19.5" customWidth="1"/>
  </cols>
  <sheetData>
    <row r="1" spans="1:13" ht="15.75" customHeight="1">
      <c r="A1" s="26" t="s">
        <v>114</v>
      </c>
      <c r="B1" s="26" t="s">
        <v>115</v>
      </c>
      <c r="C1" s="26" t="s">
        <v>116</v>
      </c>
      <c r="D1" s="27" t="s">
        <v>117</v>
      </c>
      <c r="E1" s="27" t="s">
        <v>118</v>
      </c>
      <c r="F1" s="27" t="s">
        <v>119</v>
      </c>
      <c r="G1" s="27" t="s">
        <v>120</v>
      </c>
      <c r="H1" s="27" t="s">
        <v>121</v>
      </c>
      <c r="I1" s="26" t="s">
        <v>122</v>
      </c>
      <c r="J1" s="26" t="s">
        <v>123</v>
      </c>
      <c r="K1" s="27" t="s">
        <v>124</v>
      </c>
      <c r="L1" s="1" t="s">
        <v>125</v>
      </c>
      <c r="M1" s="1" t="s">
        <v>126</v>
      </c>
    </row>
    <row r="2" spans="1:13" ht="15.75" customHeight="1">
      <c r="A2" s="53" t="s">
        <v>127</v>
      </c>
      <c r="B2" s="54" t="s">
        <v>128</v>
      </c>
      <c r="C2" s="54" t="s">
        <v>129</v>
      </c>
      <c r="D2" s="55">
        <v>100</v>
      </c>
      <c r="E2" s="55">
        <v>17</v>
      </c>
      <c r="F2" s="55">
        <v>100</v>
      </c>
      <c r="G2" s="54" t="s">
        <v>130</v>
      </c>
      <c r="H2" s="55">
        <v>0.86</v>
      </c>
      <c r="I2" s="54" t="s">
        <v>131</v>
      </c>
      <c r="J2" s="56" t="s">
        <v>132</v>
      </c>
      <c r="K2" s="55">
        <v>5</v>
      </c>
      <c r="L2" s="57">
        <v>10</v>
      </c>
      <c r="M2" s="55" t="s">
        <v>133</v>
      </c>
    </row>
    <row r="3" spans="1:13" ht="15.75" customHeight="1">
      <c r="A3" s="53" t="s">
        <v>127</v>
      </c>
      <c r="B3" s="54" t="s">
        <v>134</v>
      </c>
      <c r="C3" s="54" t="s">
        <v>129</v>
      </c>
      <c r="D3" s="55">
        <v>100</v>
      </c>
      <c r="E3" s="55">
        <v>11.111000000000001</v>
      </c>
      <c r="F3" s="55">
        <v>100</v>
      </c>
      <c r="G3" s="54" t="s">
        <v>130</v>
      </c>
      <c r="H3" s="55">
        <v>3.6</v>
      </c>
      <c r="I3" s="54" t="s">
        <v>131</v>
      </c>
      <c r="J3" s="56" t="s">
        <v>132</v>
      </c>
      <c r="K3" s="55">
        <v>0.1</v>
      </c>
      <c r="L3" s="57">
        <v>10</v>
      </c>
      <c r="M3" s="55" t="s">
        <v>133</v>
      </c>
    </row>
    <row r="4" spans="1:13" ht="15.75" customHeight="1">
      <c r="A4" s="53" t="s">
        <v>127</v>
      </c>
      <c r="B4" s="54" t="s">
        <v>135</v>
      </c>
      <c r="C4" s="54" t="s">
        <v>129</v>
      </c>
      <c r="D4" s="55">
        <v>310</v>
      </c>
      <c r="E4" s="55">
        <v>11.111000000000001</v>
      </c>
      <c r="F4" s="54" t="s">
        <v>136</v>
      </c>
      <c r="G4" s="54" t="s">
        <v>137</v>
      </c>
      <c r="H4" s="55">
        <v>1.3</v>
      </c>
      <c r="I4" s="54" t="s">
        <v>131</v>
      </c>
      <c r="J4" s="56" t="s">
        <v>132</v>
      </c>
      <c r="K4" s="55">
        <v>0.05</v>
      </c>
      <c r="L4" s="57">
        <v>38</v>
      </c>
      <c r="M4" s="55" t="s">
        <v>133</v>
      </c>
    </row>
    <row r="5" spans="1:13" ht="15.75" customHeight="1">
      <c r="A5" s="53" t="s">
        <v>127</v>
      </c>
      <c r="B5" s="54" t="s">
        <v>138</v>
      </c>
      <c r="C5" s="54" t="s">
        <v>139</v>
      </c>
      <c r="D5" s="55">
        <v>100</v>
      </c>
      <c r="E5" s="55">
        <v>12.657999999999999</v>
      </c>
      <c r="F5" s="55">
        <v>2.5</v>
      </c>
      <c r="G5" s="54" t="s">
        <v>140</v>
      </c>
      <c r="H5" s="55">
        <v>1.2</v>
      </c>
      <c r="I5" s="54" t="s">
        <v>131</v>
      </c>
      <c r="J5" s="54" t="s">
        <v>141</v>
      </c>
      <c r="K5" s="55">
        <v>0.2</v>
      </c>
      <c r="L5" s="55">
        <v>183</v>
      </c>
      <c r="M5" s="55">
        <v>9</v>
      </c>
    </row>
    <row r="6" spans="1:13" ht="15.75" customHeight="1">
      <c r="A6" s="53" t="s">
        <v>142</v>
      </c>
      <c r="B6" s="54" t="s">
        <v>138</v>
      </c>
      <c r="C6" s="54" t="s">
        <v>143</v>
      </c>
      <c r="D6" s="55">
        <v>100</v>
      </c>
      <c r="E6" s="55">
        <v>16</v>
      </c>
      <c r="F6" s="55">
        <v>100</v>
      </c>
      <c r="G6" s="54" t="s">
        <v>144</v>
      </c>
      <c r="H6" s="55">
        <v>0.88</v>
      </c>
      <c r="I6" s="54" t="s">
        <v>145</v>
      </c>
      <c r="J6" s="54" t="s">
        <v>146</v>
      </c>
      <c r="K6" s="55">
        <v>1.4999999999999999E-2</v>
      </c>
      <c r="L6" s="54">
        <v>1</v>
      </c>
      <c r="M6" s="55" t="s">
        <v>133</v>
      </c>
    </row>
    <row r="7" spans="1:13" ht="15.75" customHeight="1">
      <c r="A7" s="53" t="s">
        <v>147</v>
      </c>
      <c r="B7" s="54" t="s">
        <v>128</v>
      </c>
      <c r="C7" s="54" t="s">
        <v>129</v>
      </c>
      <c r="D7" s="55">
        <v>100</v>
      </c>
      <c r="E7" s="55">
        <v>17</v>
      </c>
      <c r="F7" s="55">
        <v>100</v>
      </c>
      <c r="G7" s="54" t="s">
        <v>130</v>
      </c>
      <c r="H7" s="55">
        <v>0.86</v>
      </c>
      <c r="I7" s="54" t="s">
        <v>131</v>
      </c>
      <c r="J7" s="56" t="s">
        <v>148</v>
      </c>
      <c r="K7" s="55">
        <v>5</v>
      </c>
      <c r="L7" s="54">
        <v>1</v>
      </c>
      <c r="M7" s="55" t="s">
        <v>133</v>
      </c>
    </row>
    <row r="8" spans="1:13" ht="15.75" customHeight="1">
      <c r="A8" s="53" t="s">
        <v>147</v>
      </c>
      <c r="B8" s="58" t="s">
        <v>134</v>
      </c>
      <c r="C8" s="58" t="s">
        <v>129</v>
      </c>
      <c r="D8" s="57">
        <v>100</v>
      </c>
      <c r="E8" s="57">
        <v>11.111000000000001</v>
      </c>
      <c r="F8" s="57">
        <v>100</v>
      </c>
      <c r="G8" s="58" t="s">
        <v>130</v>
      </c>
      <c r="H8" s="55">
        <v>1.3</v>
      </c>
      <c r="I8" s="58" t="s">
        <v>131</v>
      </c>
      <c r="J8" s="56" t="s">
        <v>148</v>
      </c>
      <c r="K8" s="57">
        <v>0.1</v>
      </c>
      <c r="L8" s="58">
        <v>1</v>
      </c>
      <c r="M8" s="55" t="s">
        <v>133</v>
      </c>
    </row>
    <row r="9" spans="1:13" ht="15.75" customHeight="1">
      <c r="A9" s="53" t="s">
        <v>149</v>
      </c>
      <c r="B9" s="54" t="s">
        <v>138</v>
      </c>
      <c r="C9" s="54" t="s">
        <v>143</v>
      </c>
      <c r="D9" s="55">
        <v>100</v>
      </c>
      <c r="E9" s="55">
        <v>16</v>
      </c>
      <c r="F9" s="55">
        <v>100</v>
      </c>
      <c r="G9" s="54" t="s">
        <v>144</v>
      </c>
      <c r="H9" s="55">
        <v>0.88</v>
      </c>
      <c r="I9" s="54" t="s">
        <v>145</v>
      </c>
      <c r="J9" s="54" t="s">
        <v>146</v>
      </c>
      <c r="K9" s="55">
        <v>1.4999999999999999E-2</v>
      </c>
      <c r="L9" s="55">
        <v>1</v>
      </c>
      <c r="M9" s="55" t="s">
        <v>133</v>
      </c>
    </row>
    <row r="10" spans="1:13" ht="15.75" customHeight="1">
      <c r="A10" s="53" t="s">
        <v>45</v>
      </c>
      <c r="B10" s="54" t="s">
        <v>138</v>
      </c>
      <c r="C10" s="54" t="s">
        <v>150</v>
      </c>
      <c r="D10" s="55">
        <v>100</v>
      </c>
      <c r="E10" s="55">
        <v>14</v>
      </c>
      <c r="F10" s="55">
        <v>30</v>
      </c>
      <c r="G10" s="54" t="s">
        <v>137</v>
      </c>
      <c r="H10" s="55">
        <v>1</v>
      </c>
      <c r="I10" s="54" t="s">
        <v>145</v>
      </c>
      <c r="J10" s="54" t="s">
        <v>141</v>
      </c>
      <c r="K10" s="55">
        <v>0.1</v>
      </c>
      <c r="L10" s="55">
        <v>134</v>
      </c>
      <c r="M10" s="55">
        <v>28</v>
      </c>
    </row>
    <row r="11" spans="1:13" ht="15.75" customHeight="1">
      <c r="A11" s="53" t="s">
        <v>45</v>
      </c>
      <c r="B11" s="54" t="s">
        <v>138</v>
      </c>
      <c r="C11" s="54" t="s">
        <v>129</v>
      </c>
      <c r="D11" s="55">
        <v>100</v>
      </c>
      <c r="E11" s="55">
        <v>14</v>
      </c>
      <c r="F11" s="55">
        <v>100</v>
      </c>
      <c r="G11" s="54" t="s">
        <v>130</v>
      </c>
      <c r="H11" s="55">
        <v>1.04</v>
      </c>
      <c r="I11" s="54" t="s">
        <v>131</v>
      </c>
      <c r="J11" s="54" t="s">
        <v>141</v>
      </c>
      <c r="K11" s="55">
        <v>0.2</v>
      </c>
      <c r="L11" s="57">
        <f>308+185</f>
        <v>493</v>
      </c>
      <c r="M11" s="57">
        <f>87+4</f>
        <v>91</v>
      </c>
    </row>
    <row r="12" spans="1:13" ht="15.75" customHeight="1">
      <c r="A12" s="53" t="s">
        <v>45</v>
      </c>
      <c r="B12" s="54" t="s">
        <v>138</v>
      </c>
      <c r="C12" s="54" t="s">
        <v>143</v>
      </c>
      <c r="D12" s="55">
        <v>100</v>
      </c>
      <c r="E12" s="55">
        <v>16</v>
      </c>
      <c r="F12" s="55">
        <v>100</v>
      </c>
      <c r="G12" s="54" t="s">
        <v>144</v>
      </c>
      <c r="H12" s="55">
        <v>0.88</v>
      </c>
      <c r="I12" s="54" t="s">
        <v>145</v>
      </c>
      <c r="J12" s="54" t="s">
        <v>146</v>
      </c>
      <c r="K12" s="55">
        <v>1.4999999999999999E-2</v>
      </c>
      <c r="L12" s="55">
        <v>24</v>
      </c>
      <c r="M12" s="55">
        <v>2</v>
      </c>
    </row>
    <row r="13" spans="1:13" ht="15.75" customHeight="1">
      <c r="A13" s="53" t="s">
        <v>151</v>
      </c>
      <c r="B13" s="58" t="s">
        <v>138</v>
      </c>
      <c r="C13" s="58" t="s">
        <v>152</v>
      </c>
      <c r="D13" s="57">
        <v>100</v>
      </c>
      <c r="E13" s="57">
        <v>13.53</v>
      </c>
      <c r="F13" s="57">
        <v>100</v>
      </c>
      <c r="G13" s="58" t="s">
        <v>153</v>
      </c>
      <c r="H13" s="57">
        <v>1.0900000000000001</v>
      </c>
      <c r="I13" s="56" t="s">
        <v>154</v>
      </c>
      <c r="J13" s="58" t="s">
        <v>155</v>
      </c>
      <c r="K13" s="57">
        <v>0.04</v>
      </c>
      <c r="L13" s="57">
        <v>2120</v>
      </c>
      <c r="M13" s="55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000"/>
  <sheetViews>
    <sheetView workbookViewId="0">
      <pane xSplit="1" topLeftCell="B1" activePane="topRight" state="frozen"/>
      <selection pane="topRight" activeCell="E2" sqref="E2"/>
    </sheetView>
  </sheetViews>
  <sheetFormatPr baseColWidth="10" defaultColWidth="14.5" defaultRowHeight="15.75" customHeight="1"/>
  <cols>
    <col min="1" max="1" width="31.1640625" customWidth="1"/>
  </cols>
  <sheetData>
    <row r="1" spans="1:6" ht="15.75" customHeight="1">
      <c r="A1" s="3" t="s">
        <v>156</v>
      </c>
      <c r="B1" s="28" t="s">
        <v>157</v>
      </c>
      <c r="C1" s="28" t="s">
        <v>158</v>
      </c>
      <c r="D1" s="28" t="s">
        <v>159</v>
      </c>
      <c r="E1" s="28" t="s">
        <v>160</v>
      </c>
      <c r="F1" s="28" t="s">
        <v>161</v>
      </c>
    </row>
    <row r="2" spans="1:6" ht="15.75" customHeight="1">
      <c r="A2" s="3" t="s">
        <v>162</v>
      </c>
      <c r="B2" s="29" t="s">
        <v>99</v>
      </c>
      <c r="C2" s="29" t="s">
        <v>101</v>
      </c>
      <c r="D2" s="29" t="s">
        <v>104</v>
      </c>
      <c r="E2" s="29" t="s">
        <v>107</v>
      </c>
      <c r="F2" s="29" t="s">
        <v>111</v>
      </c>
    </row>
    <row r="3" spans="1:6" ht="15.75" customHeight="1">
      <c r="A3" s="3" t="s">
        <v>163</v>
      </c>
      <c r="B3" s="28">
        <v>0.72919999999999996</v>
      </c>
      <c r="C3" s="28">
        <v>1.0329999999999999</v>
      </c>
      <c r="D3" s="28">
        <v>0.77490000000000003</v>
      </c>
      <c r="E3" s="28">
        <v>1.0329999999999999</v>
      </c>
      <c r="F3" s="28">
        <v>0.77490000000000003</v>
      </c>
    </row>
    <row r="4" spans="1:6" ht="15.75" customHeight="1">
      <c r="A4" s="3" t="s">
        <v>164</v>
      </c>
      <c r="B4" s="28" t="s">
        <v>165</v>
      </c>
      <c r="C4" s="28" t="s">
        <v>166</v>
      </c>
      <c r="D4" s="28" t="s">
        <v>167</v>
      </c>
      <c r="E4" s="28" t="s">
        <v>168</v>
      </c>
      <c r="F4" s="28" t="s">
        <v>169</v>
      </c>
    </row>
    <row r="5" spans="1:6" ht="15.75" customHeight="1">
      <c r="A5" s="3" t="s">
        <v>170</v>
      </c>
      <c r="B5" s="28" t="s">
        <v>171</v>
      </c>
      <c r="C5" s="28" t="s">
        <v>171</v>
      </c>
      <c r="D5" s="28" t="s">
        <v>171</v>
      </c>
      <c r="E5" s="28" t="s">
        <v>172</v>
      </c>
      <c r="F5" s="28" t="s">
        <v>172</v>
      </c>
    </row>
    <row r="6" spans="1:6" ht="15.75" customHeight="1">
      <c r="A6" s="3" t="s">
        <v>173</v>
      </c>
      <c r="B6" s="28" t="s">
        <v>174</v>
      </c>
      <c r="C6" s="28" t="s">
        <v>175</v>
      </c>
      <c r="D6" s="28" t="s">
        <v>176</v>
      </c>
      <c r="E6" s="28" t="s">
        <v>177</v>
      </c>
      <c r="F6" s="28" t="s">
        <v>178</v>
      </c>
    </row>
    <row r="7" spans="1:6" ht="15.75" customHeight="1">
      <c r="A7" s="3" t="s">
        <v>179</v>
      </c>
      <c r="B7" s="28" t="s">
        <v>180</v>
      </c>
      <c r="C7" s="28" t="s">
        <v>181</v>
      </c>
      <c r="D7" s="28" t="s">
        <v>182</v>
      </c>
      <c r="E7" s="28" t="s">
        <v>183</v>
      </c>
      <c r="F7" s="28" t="s">
        <v>184</v>
      </c>
    </row>
    <row r="8" spans="1:6" ht="15.75" customHeight="1">
      <c r="A8" s="3" t="s">
        <v>185</v>
      </c>
      <c r="B8" s="28" t="s">
        <v>186</v>
      </c>
      <c r="C8" s="28" t="s">
        <v>187</v>
      </c>
      <c r="D8" s="28" t="s">
        <v>188</v>
      </c>
      <c r="E8" s="28" t="s">
        <v>189</v>
      </c>
      <c r="F8" s="28" t="s">
        <v>190</v>
      </c>
    </row>
    <row r="9" spans="1:6" ht="15.75" customHeight="1">
      <c r="A9" s="3" t="s">
        <v>191</v>
      </c>
      <c r="B9" s="28" t="s">
        <v>192</v>
      </c>
      <c r="C9" s="28" t="s">
        <v>193</v>
      </c>
      <c r="D9" s="28" t="s">
        <v>194</v>
      </c>
      <c r="E9" s="28" t="s">
        <v>195</v>
      </c>
      <c r="F9" s="28" t="s">
        <v>196</v>
      </c>
    </row>
    <row r="10" spans="1:6" ht="15.75" customHeight="1">
      <c r="A10" s="3" t="s">
        <v>197</v>
      </c>
      <c r="B10" s="28" t="s">
        <v>198</v>
      </c>
      <c r="C10" s="28" t="s">
        <v>199</v>
      </c>
      <c r="D10" s="28" t="s">
        <v>200</v>
      </c>
      <c r="E10" s="28" t="s">
        <v>201</v>
      </c>
      <c r="F10" s="28" t="s">
        <v>202</v>
      </c>
    </row>
    <row r="11" spans="1:6" ht="15.75" customHeight="1">
      <c r="A11" s="3" t="s">
        <v>203</v>
      </c>
      <c r="B11" s="28" t="s">
        <v>204</v>
      </c>
      <c r="C11" s="28" t="s">
        <v>205</v>
      </c>
      <c r="D11" s="28" t="s">
        <v>206</v>
      </c>
      <c r="E11" s="28" t="s">
        <v>207</v>
      </c>
      <c r="F11" s="28" t="s">
        <v>208</v>
      </c>
    </row>
    <row r="12" spans="1:6" ht="15.75" customHeight="1">
      <c r="A12" s="3" t="s">
        <v>209</v>
      </c>
      <c r="B12" s="28">
        <v>6.76</v>
      </c>
      <c r="C12" s="28">
        <v>23.18</v>
      </c>
      <c r="D12" s="28">
        <v>11.26</v>
      </c>
      <c r="E12" s="28">
        <v>8.2799999999999994</v>
      </c>
      <c r="F12" s="28">
        <v>7.99</v>
      </c>
    </row>
    <row r="13" spans="1:6" ht="15.75" customHeight="1">
      <c r="A13" s="3" t="s">
        <v>210</v>
      </c>
      <c r="B13" s="28" t="s">
        <v>211</v>
      </c>
      <c r="C13" s="28" t="s">
        <v>212</v>
      </c>
      <c r="D13" s="28" t="s">
        <v>213</v>
      </c>
      <c r="E13" s="28" t="s">
        <v>214</v>
      </c>
      <c r="F13" s="28" t="s">
        <v>215</v>
      </c>
    </row>
    <row r="14" spans="1:6" ht="15.75" customHeight="1">
      <c r="A14" s="3" t="s">
        <v>216</v>
      </c>
      <c r="B14" s="28" t="s">
        <v>217</v>
      </c>
      <c r="C14" s="28" t="s">
        <v>218</v>
      </c>
      <c r="D14" s="28" t="s">
        <v>219</v>
      </c>
      <c r="E14" s="28" t="s">
        <v>220</v>
      </c>
      <c r="F14" s="28" t="s">
        <v>221</v>
      </c>
    </row>
    <row r="15" spans="1:6" ht="15.75" customHeight="1">
      <c r="A15" s="3" t="s">
        <v>222</v>
      </c>
      <c r="B15" s="28" t="s">
        <v>223</v>
      </c>
      <c r="C15" s="28" t="s">
        <v>224</v>
      </c>
      <c r="D15" s="28" t="s">
        <v>225</v>
      </c>
      <c r="E15" s="28" t="s">
        <v>226</v>
      </c>
      <c r="F15" s="28" t="s">
        <v>227</v>
      </c>
    </row>
    <row r="16" spans="1:6" ht="15.75" customHeight="1">
      <c r="A16" s="3" t="s">
        <v>228</v>
      </c>
      <c r="B16" s="28" t="s">
        <v>229</v>
      </c>
      <c r="C16" s="28" t="s">
        <v>230</v>
      </c>
      <c r="D16" s="28" t="s">
        <v>231</v>
      </c>
      <c r="E16" s="28" t="s">
        <v>232</v>
      </c>
      <c r="F16" s="28" t="s">
        <v>233</v>
      </c>
    </row>
    <row r="17" spans="1:6" ht="15.75" customHeight="1">
      <c r="A17" s="3" t="s">
        <v>234</v>
      </c>
      <c r="B17" s="28" t="s">
        <v>235</v>
      </c>
      <c r="C17" s="28" t="s">
        <v>236</v>
      </c>
      <c r="D17" s="28" t="s">
        <v>237</v>
      </c>
      <c r="E17" s="28" t="s">
        <v>238</v>
      </c>
      <c r="F17" s="28" t="s">
        <v>239</v>
      </c>
    </row>
    <row r="18" spans="1:6" ht="15.75" customHeight="1">
      <c r="A18" s="3" t="s">
        <v>240</v>
      </c>
      <c r="B18" s="28" t="s">
        <v>241</v>
      </c>
      <c r="C18" s="28" t="s">
        <v>242</v>
      </c>
      <c r="D18" s="28" t="s">
        <v>243</v>
      </c>
      <c r="E18" s="28" t="s">
        <v>244</v>
      </c>
      <c r="F18" s="28" t="s">
        <v>245</v>
      </c>
    </row>
    <row r="19" spans="1:6" ht="15.75" customHeight="1">
      <c r="A19" s="3" t="s">
        <v>246</v>
      </c>
      <c r="B19" s="28" t="s">
        <v>247</v>
      </c>
      <c r="C19" s="28" t="s">
        <v>248</v>
      </c>
      <c r="D19" s="28" t="s">
        <v>249</v>
      </c>
      <c r="E19" s="28" t="s">
        <v>250</v>
      </c>
      <c r="F19" s="28" t="s">
        <v>251</v>
      </c>
    </row>
    <row r="20" spans="1:6" ht="15.75" customHeight="1">
      <c r="A20" s="3" t="s">
        <v>252</v>
      </c>
      <c r="B20" s="28" t="s">
        <v>253</v>
      </c>
      <c r="C20" s="28" t="s">
        <v>254</v>
      </c>
      <c r="D20" s="28" t="s">
        <v>255</v>
      </c>
      <c r="E20" s="28" t="s">
        <v>256</v>
      </c>
      <c r="F20" s="28" t="s">
        <v>257</v>
      </c>
    </row>
    <row r="21" spans="1:6" ht="15.75" customHeight="1">
      <c r="A21" s="3" t="s">
        <v>258</v>
      </c>
      <c r="B21" s="28" t="s">
        <v>259</v>
      </c>
      <c r="C21" s="28" t="s">
        <v>260</v>
      </c>
      <c r="D21" s="28" t="s">
        <v>261</v>
      </c>
      <c r="E21" s="28" t="s">
        <v>262</v>
      </c>
      <c r="F21" s="28" t="s">
        <v>263</v>
      </c>
    </row>
    <row r="22" spans="1:6" ht="15.75" customHeight="1">
      <c r="A22" s="3" t="s">
        <v>264</v>
      </c>
      <c r="B22" s="28" t="s">
        <v>265</v>
      </c>
      <c r="C22" s="28" t="s">
        <v>266</v>
      </c>
      <c r="D22" s="28" t="s">
        <v>267</v>
      </c>
      <c r="E22" s="28" t="s">
        <v>268</v>
      </c>
      <c r="F22" s="28" t="s">
        <v>269</v>
      </c>
    </row>
    <row r="23" spans="1:6" ht="15.75" customHeight="1">
      <c r="A23" s="3" t="s">
        <v>270</v>
      </c>
      <c r="B23" s="28" t="s">
        <v>271</v>
      </c>
      <c r="C23" s="28" t="s">
        <v>272</v>
      </c>
      <c r="D23" s="28" t="s">
        <v>273</v>
      </c>
      <c r="E23" s="28" t="s">
        <v>274</v>
      </c>
      <c r="F23" s="28" t="s">
        <v>275</v>
      </c>
    </row>
    <row r="24" spans="1:6" ht="15.75" customHeight="1">
      <c r="A24" s="3" t="s">
        <v>276</v>
      </c>
      <c r="B24" s="28">
        <v>2310</v>
      </c>
      <c r="C24" s="28">
        <v>1584</v>
      </c>
      <c r="D24" s="28">
        <v>1788</v>
      </c>
      <c r="E24" s="28">
        <v>3730</v>
      </c>
      <c r="F24" s="28">
        <v>3604</v>
      </c>
    </row>
    <row r="25" spans="1:6" ht="15.75" customHeight="1">
      <c r="A25" s="3" t="s">
        <v>277</v>
      </c>
      <c r="B25" s="28">
        <v>1994</v>
      </c>
      <c r="C25" s="28">
        <v>1502</v>
      </c>
      <c r="D25" s="28">
        <v>1487</v>
      </c>
      <c r="E25" s="28">
        <v>2985</v>
      </c>
      <c r="F25" s="28">
        <v>2905</v>
      </c>
    </row>
    <row r="26" spans="1:6" ht="15.75" customHeight="1">
      <c r="A26" s="3" t="s">
        <v>278</v>
      </c>
      <c r="B26" s="30"/>
      <c r="C26" s="30"/>
      <c r="D26" s="28">
        <v>8</v>
      </c>
      <c r="E26" s="30"/>
      <c r="F26" s="28">
        <v>36</v>
      </c>
    </row>
    <row r="27" spans="1:6" ht="15.75" customHeight="1">
      <c r="A27" s="3" t="s">
        <v>279</v>
      </c>
      <c r="B27" s="28">
        <v>316</v>
      </c>
      <c r="C27" s="28">
        <v>82</v>
      </c>
      <c r="D27" s="28">
        <v>293</v>
      </c>
      <c r="E27" s="28">
        <v>745</v>
      </c>
      <c r="F27" s="28">
        <v>663</v>
      </c>
    </row>
    <row r="28" spans="1:6" ht="15.75" customHeight="1">
      <c r="A28" s="3" t="s">
        <v>280</v>
      </c>
      <c r="B28" s="28">
        <v>170</v>
      </c>
      <c r="C28" s="28">
        <v>168</v>
      </c>
      <c r="D28" s="28">
        <v>173</v>
      </c>
      <c r="E28" s="28">
        <v>338</v>
      </c>
      <c r="F28" s="28">
        <v>338</v>
      </c>
    </row>
    <row r="29" spans="1:6" ht="15.75" customHeight="1">
      <c r="A29" s="3" t="s">
        <v>281</v>
      </c>
      <c r="B29" s="28">
        <v>6.0000000000000001E-3</v>
      </c>
      <c r="C29" s="28">
        <v>8.0000000000000002E-3</v>
      </c>
      <c r="D29" s="28">
        <v>7.0000000000000001E-3</v>
      </c>
      <c r="E29" s="28">
        <v>8.0000000000000002E-3</v>
      </c>
      <c r="F29" s="28">
        <v>8.9999999999999993E-3</v>
      </c>
    </row>
    <row r="30" spans="1:6" ht="15.75" customHeight="1">
      <c r="A30" s="3" t="s">
        <v>282</v>
      </c>
      <c r="B30" s="28">
        <v>0.96</v>
      </c>
      <c r="C30" s="28">
        <v>1.07</v>
      </c>
      <c r="D30" s="28">
        <v>1.07</v>
      </c>
      <c r="E30" s="28">
        <v>1.1299999999999999</v>
      </c>
      <c r="F30" s="28">
        <v>1.24</v>
      </c>
    </row>
    <row r="31" spans="1:6" ht="15.75" customHeight="1">
      <c r="A31" s="3" t="s">
        <v>283</v>
      </c>
      <c r="B31" s="28">
        <v>99.4</v>
      </c>
      <c r="C31" s="28">
        <v>98.8</v>
      </c>
      <c r="D31" s="28">
        <v>99.37</v>
      </c>
      <c r="E31" s="28">
        <v>99.7</v>
      </c>
      <c r="F31" s="28">
        <v>99.1</v>
      </c>
    </row>
    <row r="32" spans="1:6" ht="15.75" customHeight="1">
      <c r="A32" s="3" t="s">
        <v>284</v>
      </c>
      <c r="B32" s="28">
        <v>0.6</v>
      </c>
      <c r="C32" s="28">
        <v>1.2</v>
      </c>
      <c r="D32" s="28">
        <v>0.63</v>
      </c>
      <c r="E32" s="28">
        <v>0.3</v>
      </c>
      <c r="F32" s="28">
        <v>0.9</v>
      </c>
    </row>
    <row r="33" spans="1:6" ht="15.75" customHeight="1">
      <c r="A33" s="3" t="s">
        <v>285</v>
      </c>
      <c r="B33" s="28">
        <v>0</v>
      </c>
      <c r="C33" s="28">
        <v>0</v>
      </c>
      <c r="D33" s="28">
        <v>0</v>
      </c>
      <c r="E33" s="28">
        <v>0</v>
      </c>
      <c r="F33" s="28">
        <v>0</v>
      </c>
    </row>
    <row r="34" spans="1:6" ht="15.75" customHeight="1">
      <c r="A34" s="3" t="s">
        <v>286</v>
      </c>
      <c r="B34" s="28">
        <v>0.89</v>
      </c>
      <c r="C34" s="28">
        <v>1.19</v>
      </c>
      <c r="D34" s="28">
        <v>1.25</v>
      </c>
      <c r="E34" s="28">
        <v>0.6</v>
      </c>
      <c r="F34" s="28">
        <v>1.23</v>
      </c>
    </row>
    <row r="35" spans="1:6" ht="15.75" customHeight="1">
      <c r="A35" s="3" t="s">
        <v>287</v>
      </c>
      <c r="B35" s="28">
        <v>4.9800000000000004</v>
      </c>
      <c r="C35" s="28">
        <v>5.95</v>
      </c>
      <c r="D35" s="28">
        <v>4.3099999999999996</v>
      </c>
      <c r="E35" s="28">
        <v>3.31</v>
      </c>
      <c r="F35" s="28">
        <v>2.7</v>
      </c>
    </row>
    <row r="36" spans="1:6" ht="15.75" customHeight="1">
      <c r="A36" s="3" t="s">
        <v>288</v>
      </c>
      <c r="B36" s="28">
        <v>10.1</v>
      </c>
      <c r="C36" s="28">
        <v>30.93</v>
      </c>
      <c r="D36" s="28">
        <v>19.23</v>
      </c>
      <c r="E36" s="28">
        <v>14.79</v>
      </c>
      <c r="F36" s="28">
        <v>14.2</v>
      </c>
    </row>
    <row r="37" spans="1:6" ht="15.75" customHeight="1">
      <c r="A37" s="3" t="s">
        <v>277</v>
      </c>
      <c r="B37" s="28">
        <v>8.06</v>
      </c>
      <c r="C37" s="28">
        <v>30.19</v>
      </c>
      <c r="D37" s="28">
        <v>16.09</v>
      </c>
      <c r="E37" s="28">
        <v>11.25</v>
      </c>
      <c r="F37" s="28">
        <v>10.85</v>
      </c>
    </row>
    <row r="38" spans="1:6" ht="15.75" customHeight="1">
      <c r="A38" s="3" t="s">
        <v>278</v>
      </c>
      <c r="B38" s="30"/>
      <c r="C38" s="30"/>
      <c r="D38" s="28">
        <v>16.760000000000002</v>
      </c>
      <c r="E38" s="30"/>
      <c r="F38" s="28">
        <v>7.34</v>
      </c>
    </row>
    <row r="39" spans="1:6" ht="15.75" customHeight="1">
      <c r="A39" s="3" t="s">
        <v>279</v>
      </c>
      <c r="B39" s="28">
        <v>23.03</v>
      </c>
      <c r="C39" s="28">
        <v>44.49</v>
      </c>
      <c r="D39" s="28">
        <v>35.26</v>
      </c>
      <c r="E39" s="28">
        <v>28.95</v>
      </c>
      <c r="F39" s="28">
        <v>29.24</v>
      </c>
    </row>
    <row r="40" spans="1:6" ht="15.75" customHeight="1">
      <c r="A40" s="11"/>
    </row>
    <row r="41" spans="1:6" ht="15.75" customHeight="1">
      <c r="A41" s="11"/>
    </row>
    <row r="42" spans="1:6" ht="15.75" customHeight="1">
      <c r="A42" s="11"/>
    </row>
    <row r="43" spans="1:6" ht="15.75" customHeight="1">
      <c r="A43" s="11"/>
    </row>
    <row r="44" spans="1:6" ht="15.75" customHeight="1">
      <c r="A44" s="11"/>
    </row>
    <row r="45" spans="1:6" ht="15.75" customHeight="1">
      <c r="A45" s="11"/>
    </row>
    <row r="46" spans="1:6" ht="15.75" customHeight="1">
      <c r="A46" s="11"/>
    </row>
    <row r="47" spans="1:6" ht="15.75" customHeight="1">
      <c r="A47" s="11"/>
    </row>
    <row r="48" spans="1:6" ht="15.75" customHeight="1">
      <c r="A48" s="11"/>
    </row>
    <row r="49" spans="1:1" ht="15.75" customHeight="1">
      <c r="A49" s="11"/>
    </row>
    <row r="50" spans="1:1" ht="15.75" customHeight="1">
      <c r="A50" s="11"/>
    </row>
    <row r="51" spans="1:1" ht="15.75" customHeight="1">
      <c r="A51" s="11"/>
    </row>
    <row r="52" spans="1:1" ht="15.75" customHeight="1">
      <c r="A52" s="11"/>
    </row>
    <row r="53" spans="1:1" ht="15.75" customHeight="1">
      <c r="A53" s="11"/>
    </row>
    <row r="54" spans="1:1" ht="15.75" customHeight="1">
      <c r="A54" s="11"/>
    </row>
    <row r="55" spans="1:1" ht="15.75" customHeight="1">
      <c r="A55" s="11"/>
    </row>
    <row r="56" spans="1:1" ht="15.75" customHeight="1">
      <c r="A56" s="11"/>
    </row>
    <row r="57" spans="1:1" ht="15.75" customHeight="1">
      <c r="A57" s="11"/>
    </row>
    <row r="58" spans="1:1" ht="15.75" customHeight="1">
      <c r="A58" s="11"/>
    </row>
    <row r="59" spans="1:1" ht="15.75" customHeight="1">
      <c r="A59" s="11"/>
    </row>
    <row r="60" spans="1:1" ht="15.75" customHeight="1">
      <c r="A60" s="11"/>
    </row>
    <row r="61" spans="1:1" ht="15.75" customHeight="1">
      <c r="A61" s="11"/>
    </row>
    <row r="62" spans="1:1" ht="15.75" customHeight="1">
      <c r="A62" s="11"/>
    </row>
    <row r="63" spans="1:1" ht="15.75" customHeight="1">
      <c r="A63" s="11"/>
    </row>
    <row r="64" spans="1:1" ht="15.75" customHeight="1">
      <c r="A64" s="11"/>
    </row>
    <row r="65" spans="1:1" ht="15.75" customHeight="1">
      <c r="A65" s="11"/>
    </row>
    <row r="66" spans="1:1" ht="15.75" customHeight="1">
      <c r="A66" s="11"/>
    </row>
    <row r="67" spans="1:1" ht="15.75" customHeight="1">
      <c r="A67" s="11"/>
    </row>
    <row r="68" spans="1:1" ht="15.75" customHeight="1">
      <c r="A68" s="11"/>
    </row>
    <row r="69" spans="1:1" ht="15.75" customHeight="1">
      <c r="A69" s="11"/>
    </row>
    <row r="70" spans="1:1" ht="15.75" customHeight="1">
      <c r="A70" s="11"/>
    </row>
    <row r="71" spans="1:1" ht="15.75" customHeight="1">
      <c r="A71" s="11"/>
    </row>
    <row r="72" spans="1:1" ht="15.75" customHeight="1">
      <c r="A72" s="11"/>
    </row>
    <row r="73" spans="1:1" ht="15.75" customHeight="1">
      <c r="A73" s="11"/>
    </row>
    <row r="74" spans="1:1" ht="15.75" customHeight="1">
      <c r="A74" s="11"/>
    </row>
    <row r="75" spans="1:1" ht="15.75" customHeight="1">
      <c r="A75" s="11"/>
    </row>
    <row r="76" spans="1:1" ht="15.75" customHeight="1">
      <c r="A76" s="11"/>
    </row>
    <row r="77" spans="1:1" ht="15.75" customHeight="1">
      <c r="A77" s="11"/>
    </row>
    <row r="78" spans="1:1" ht="15.75" customHeight="1">
      <c r="A78" s="11"/>
    </row>
    <row r="79" spans="1:1" ht="15.75" customHeight="1">
      <c r="A79" s="11"/>
    </row>
    <row r="80" spans="1:1" ht="15.75" customHeight="1">
      <c r="A80" s="11"/>
    </row>
    <row r="81" spans="1:1" ht="15.75" customHeight="1">
      <c r="A81" s="11"/>
    </row>
    <row r="82" spans="1:1" ht="15.75" customHeight="1">
      <c r="A82" s="11"/>
    </row>
    <row r="83" spans="1:1" ht="15.75" customHeight="1">
      <c r="A83" s="11"/>
    </row>
    <row r="84" spans="1:1" ht="13">
      <c r="A84" s="11"/>
    </row>
    <row r="85" spans="1:1" ht="13">
      <c r="A85" s="11"/>
    </row>
    <row r="86" spans="1:1" ht="13">
      <c r="A86" s="11"/>
    </row>
    <row r="87" spans="1:1" ht="13">
      <c r="A87" s="11"/>
    </row>
    <row r="88" spans="1:1" ht="13">
      <c r="A88" s="11"/>
    </row>
    <row r="89" spans="1:1" ht="13">
      <c r="A89" s="11"/>
    </row>
    <row r="90" spans="1:1" ht="13">
      <c r="A90" s="11"/>
    </row>
    <row r="91" spans="1:1" ht="13">
      <c r="A91" s="11"/>
    </row>
    <row r="92" spans="1:1" ht="13">
      <c r="A92" s="11"/>
    </row>
    <row r="93" spans="1:1" ht="13">
      <c r="A93" s="11"/>
    </row>
    <row r="94" spans="1:1" ht="13">
      <c r="A94" s="11"/>
    </row>
    <row r="95" spans="1:1" ht="13">
      <c r="A95" s="11"/>
    </row>
    <row r="96" spans="1:1" ht="13">
      <c r="A96" s="11"/>
    </row>
    <row r="97" spans="1:1" ht="13">
      <c r="A97" s="11"/>
    </row>
    <row r="98" spans="1:1" ht="13">
      <c r="A98" s="11"/>
    </row>
    <row r="99" spans="1:1" ht="13">
      <c r="A99" s="11"/>
    </row>
    <row r="100" spans="1:1" ht="13">
      <c r="A100" s="11"/>
    </row>
    <row r="101" spans="1:1" ht="13">
      <c r="A101" s="11"/>
    </row>
    <row r="102" spans="1:1" ht="13">
      <c r="A102" s="11"/>
    </row>
    <row r="103" spans="1:1" ht="13">
      <c r="A103" s="11"/>
    </row>
    <row r="104" spans="1:1" ht="13">
      <c r="A104" s="11"/>
    </row>
    <row r="105" spans="1:1" ht="13">
      <c r="A105" s="11"/>
    </row>
    <row r="106" spans="1:1" ht="13">
      <c r="A106" s="11"/>
    </row>
    <row r="107" spans="1:1" ht="13">
      <c r="A107" s="11"/>
    </row>
    <row r="108" spans="1:1" ht="13">
      <c r="A108" s="11"/>
    </row>
    <row r="109" spans="1:1" ht="13">
      <c r="A109" s="11"/>
    </row>
    <row r="110" spans="1:1" ht="13">
      <c r="A110" s="11"/>
    </row>
    <row r="111" spans="1:1" ht="13">
      <c r="A111" s="11"/>
    </row>
    <row r="112" spans="1:1" ht="13">
      <c r="A112" s="11"/>
    </row>
    <row r="113" spans="1:1" ht="13">
      <c r="A113" s="11"/>
    </row>
    <row r="114" spans="1:1" ht="13">
      <c r="A114" s="11"/>
    </row>
    <row r="115" spans="1:1" ht="13">
      <c r="A115" s="11"/>
    </row>
    <row r="116" spans="1:1" ht="13">
      <c r="A116" s="11"/>
    </row>
    <row r="117" spans="1:1" ht="13">
      <c r="A117" s="11"/>
    </row>
    <row r="118" spans="1:1" ht="13">
      <c r="A118" s="11"/>
    </row>
    <row r="119" spans="1:1" ht="13">
      <c r="A119" s="11"/>
    </row>
    <row r="120" spans="1:1" ht="13">
      <c r="A120" s="11"/>
    </row>
    <row r="121" spans="1:1" ht="13">
      <c r="A121" s="11"/>
    </row>
    <row r="122" spans="1:1" ht="13">
      <c r="A122" s="11"/>
    </row>
    <row r="123" spans="1:1" ht="13">
      <c r="A123" s="11"/>
    </row>
    <row r="124" spans="1:1" ht="13">
      <c r="A124" s="11"/>
    </row>
    <row r="125" spans="1:1" ht="13">
      <c r="A125" s="11"/>
    </row>
    <row r="126" spans="1:1" ht="13">
      <c r="A126" s="11"/>
    </row>
    <row r="127" spans="1:1" ht="13">
      <c r="A127" s="11"/>
    </row>
    <row r="128" spans="1:1" ht="13">
      <c r="A128" s="11"/>
    </row>
    <row r="129" spans="1:1" ht="13">
      <c r="A129" s="11"/>
    </row>
    <row r="130" spans="1:1" ht="13">
      <c r="A130" s="11"/>
    </row>
    <row r="131" spans="1:1" ht="13">
      <c r="A131" s="11"/>
    </row>
    <row r="132" spans="1:1" ht="13">
      <c r="A132" s="11"/>
    </row>
    <row r="133" spans="1:1" ht="13">
      <c r="A133" s="11"/>
    </row>
    <row r="134" spans="1:1" ht="13">
      <c r="A134" s="11"/>
    </row>
    <row r="135" spans="1:1" ht="13">
      <c r="A135" s="11"/>
    </row>
    <row r="136" spans="1:1" ht="13">
      <c r="A136" s="11"/>
    </row>
    <row r="137" spans="1:1" ht="13">
      <c r="A137" s="11"/>
    </row>
    <row r="138" spans="1:1" ht="13">
      <c r="A138" s="11"/>
    </row>
    <row r="139" spans="1:1" ht="13">
      <c r="A139" s="11"/>
    </row>
    <row r="140" spans="1:1" ht="13">
      <c r="A140" s="11"/>
    </row>
    <row r="141" spans="1:1" ht="13">
      <c r="A141" s="11"/>
    </row>
    <row r="142" spans="1:1" ht="13">
      <c r="A142" s="11"/>
    </row>
    <row r="143" spans="1:1" ht="13">
      <c r="A143" s="11"/>
    </row>
    <row r="144" spans="1:1" ht="13">
      <c r="A144" s="11"/>
    </row>
    <row r="145" spans="1:1" ht="13">
      <c r="A145" s="11"/>
    </row>
    <row r="146" spans="1:1" ht="13">
      <c r="A146" s="11"/>
    </row>
    <row r="147" spans="1:1" ht="13">
      <c r="A147" s="11"/>
    </row>
    <row r="148" spans="1:1" ht="13">
      <c r="A148" s="11"/>
    </row>
    <row r="149" spans="1:1" ht="13">
      <c r="A149" s="11"/>
    </row>
    <row r="150" spans="1:1" ht="13">
      <c r="A150" s="11"/>
    </row>
    <row r="151" spans="1:1" ht="13">
      <c r="A151" s="11"/>
    </row>
    <row r="152" spans="1:1" ht="13">
      <c r="A152" s="11"/>
    </row>
    <row r="153" spans="1:1" ht="13">
      <c r="A153" s="11"/>
    </row>
    <row r="154" spans="1:1" ht="13">
      <c r="A154" s="11"/>
    </row>
    <row r="155" spans="1:1" ht="13">
      <c r="A155" s="11"/>
    </row>
    <row r="156" spans="1:1" ht="13">
      <c r="A156" s="11"/>
    </row>
    <row r="157" spans="1:1" ht="13">
      <c r="A157" s="11"/>
    </row>
    <row r="158" spans="1:1" ht="13">
      <c r="A158" s="11"/>
    </row>
    <row r="159" spans="1:1" ht="13">
      <c r="A159" s="11"/>
    </row>
    <row r="160" spans="1:1" ht="13">
      <c r="A160" s="11"/>
    </row>
    <row r="161" spans="1:1" ht="13">
      <c r="A161" s="11"/>
    </row>
    <row r="162" spans="1:1" ht="13">
      <c r="A162" s="11"/>
    </row>
    <row r="163" spans="1:1" ht="13">
      <c r="A163" s="11"/>
    </row>
    <row r="164" spans="1:1" ht="13">
      <c r="A164" s="11"/>
    </row>
    <row r="165" spans="1:1" ht="13">
      <c r="A165" s="11"/>
    </row>
    <row r="166" spans="1:1" ht="13">
      <c r="A166" s="11"/>
    </row>
    <row r="167" spans="1:1" ht="13">
      <c r="A167" s="11"/>
    </row>
    <row r="168" spans="1:1" ht="13">
      <c r="A168" s="11"/>
    </row>
    <row r="169" spans="1:1" ht="13">
      <c r="A169" s="11"/>
    </row>
    <row r="170" spans="1:1" ht="13">
      <c r="A170" s="11"/>
    </row>
    <row r="171" spans="1:1" ht="13">
      <c r="A171" s="11"/>
    </row>
    <row r="172" spans="1:1" ht="13">
      <c r="A172" s="11"/>
    </row>
    <row r="173" spans="1:1" ht="13">
      <c r="A173" s="11"/>
    </row>
    <row r="174" spans="1:1" ht="13">
      <c r="A174" s="11"/>
    </row>
    <row r="175" spans="1:1" ht="13">
      <c r="A175" s="11"/>
    </row>
    <row r="176" spans="1:1" ht="13">
      <c r="A176" s="11"/>
    </row>
    <row r="177" spans="1:1" ht="13">
      <c r="A177" s="11"/>
    </row>
    <row r="178" spans="1:1" ht="13">
      <c r="A178" s="11"/>
    </row>
    <row r="179" spans="1:1" ht="13">
      <c r="A179" s="11"/>
    </row>
    <row r="180" spans="1:1" ht="13">
      <c r="A180" s="11"/>
    </row>
    <row r="181" spans="1:1" ht="13">
      <c r="A181" s="11"/>
    </row>
    <row r="182" spans="1:1" ht="13">
      <c r="A182" s="11"/>
    </row>
    <row r="183" spans="1:1" ht="13">
      <c r="A183" s="11"/>
    </row>
    <row r="184" spans="1:1" ht="13">
      <c r="A184" s="11"/>
    </row>
    <row r="185" spans="1:1" ht="13">
      <c r="A185" s="11"/>
    </row>
    <row r="186" spans="1:1" ht="13">
      <c r="A186" s="11"/>
    </row>
    <row r="187" spans="1:1" ht="13">
      <c r="A187" s="11"/>
    </row>
    <row r="188" spans="1:1" ht="13">
      <c r="A188" s="11"/>
    </row>
    <row r="189" spans="1:1" ht="13">
      <c r="A189" s="11"/>
    </row>
    <row r="190" spans="1:1" ht="13">
      <c r="A190" s="11"/>
    </row>
    <row r="191" spans="1:1" ht="13">
      <c r="A191" s="11"/>
    </row>
    <row r="192" spans="1:1" ht="13">
      <c r="A192" s="11"/>
    </row>
    <row r="193" spans="1:1" ht="13">
      <c r="A193" s="11"/>
    </row>
    <row r="194" spans="1:1" ht="13">
      <c r="A194" s="11"/>
    </row>
    <row r="195" spans="1:1" ht="13">
      <c r="A195" s="11"/>
    </row>
    <row r="196" spans="1:1" ht="13">
      <c r="A196" s="11"/>
    </row>
    <row r="197" spans="1:1" ht="13">
      <c r="A197" s="11"/>
    </row>
    <row r="198" spans="1:1" ht="13">
      <c r="A198" s="11"/>
    </row>
    <row r="199" spans="1:1" ht="13">
      <c r="A199" s="11"/>
    </row>
    <row r="200" spans="1:1" ht="13">
      <c r="A200" s="11"/>
    </row>
    <row r="201" spans="1:1" ht="13">
      <c r="A201" s="11"/>
    </row>
    <row r="202" spans="1:1" ht="13">
      <c r="A202" s="11"/>
    </row>
    <row r="203" spans="1:1" ht="13">
      <c r="A203" s="11"/>
    </row>
    <row r="204" spans="1:1" ht="13">
      <c r="A204" s="11"/>
    </row>
    <row r="205" spans="1:1" ht="13">
      <c r="A205" s="11"/>
    </row>
    <row r="206" spans="1:1" ht="13">
      <c r="A206" s="11"/>
    </row>
    <row r="207" spans="1:1" ht="13">
      <c r="A207" s="11"/>
    </row>
    <row r="208" spans="1:1" ht="13">
      <c r="A208" s="11"/>
    </row>
    <row r="209" spans="1:1" ht="13">
      <c r="A209" s="11"/>
    </row>
    <row r="210" spans="1:1" ht="13">
      <c r="A210" s="11"/>
    </row>
    <row r="211" spans="1:1" ht="13">
      <c r="A211" s="11"/>
    </row>
    <row r="212" spans="1:1" ht="13">
      <c r="A212" s="11"/>
    </row>
    <row r="213" spans="1:1" ht="13">
      <c r="A213" s="11"/>
    </row>
    <row r="214" spans="1:1" ht="13">
      <c r="A214" s="11"/>
    </row>
    <row r="215" spans="1:1" ht="13">
      <c r="A215" s="11"/>
    </row>
    <row r="216" spans="1:1" ht="13">
      <c r="A216" s="11"/>
    </row>
    <row r="217" spans="1:1" ht="13">
      <c r="A217" s="11"/>
    </row>
    <row r="218" spans="1:1" ht="13">
      <c r="A218" s="11"/>
    </row>
    <row r="219" spans="1:1" ht="13">
      <c r="A219" s="11"/>
    </row>
    <row r="220" spans="1:1" ht="13">
      <c r="A220" s="11"/>
    </row>
    <row r="221" spans="1:1" ht="13">
      <c r="A221" s="11"/>
    </row>
    <row r="222" spans="1:1" ht="13">
      <c r="A222" s="11"/>
    </row>
    <row r="223" spans="1:1" ht="13">
      <c r="A223" s="11"/>
    </row>
    <row r="224" spans="1:1" ht="13">
      <c r="A224" s="11"/>
    </row>
    <row r="225" spans="1:1" ht="13">
      <c r="A225" s="11"/>
    </row>
    <row r="226" spans="1:1" ht="13">
      <c r="A226" s="11"/>
    </row>
    <row r="227" spans="1:1" ht="13">
      <c r="A227" s="11"/>
    </row>
    <row r="228" spans="1:1" ht="13">
      <c r="A228" s="11"/>
    </row>
    <row r="229" spans="1:1" ht="13">
      <c r="A229" s="11"/>
    </row>
    <row r="230" spans="1:1" ht="13">
      <c r="A230" s="11"/>
    </row>
    <row r="231" spans="1:1" ht="13">
      <c r="A231" s="11"/>
    </row>
    <row r="232" spans="1:1" ht="13">
      <c r="A232" s="11"/>
    </row>
    <row r="233" spans="1:1" ht="13">
      <c r="A233" s="11"/>
    </row>
    <row r="234" spans="1:1" ht="13">
      <c r="A234" s="11"/>
    </row>
    <row r="235" spans="1:1" ht="13">
      <c r="A235" s="11"/>
    </row>
    <row r="236" spans="1:1" ht="13">
      <c r="A236" s="11"/>
    </row>
    <row r="237" spans="1:1" ht="13">
      <c r="A237" s="11"/>
    </row>
    <row r="238" spans="1:1" ht="13">
      <c r="A238" s="11"/>
    </row>
    <row r="239" spans="1:1" ht="13">
      <c r="A239" s="11"/>
    </row>
    <row r="240" spans="1:1" ht="13">
      <c r="A240" s="11"/>
    </row>
    <row r="241" spans="1:1" ht="13">
      <c r="A241" s="11"/>
    </row>
    <row r="242" spans="1:1" ht="13">
      <c r="A242" s="11"/>
    </row>
    <row r="243" spans="1:1" ht="13">
      <c r="A243" s="11"/>
    </row>
    <row r="244" spans="1:1" ht="13">
      <c r="A244" s="11"/>
    </row>
    <row r="245" spans="1:1" ht="13">
      <c r="A245" s="11"/>
    </row>
    <row r="246" spans="1:1" ht="13">
      <c r="A246" s="11"/>
    </row>
    <row r="247" spans="1:1" ht="13">
      <c r="A247" s="11"/>
    </row>
    <row r="248" spans="1:1" ht="13">
      <c r="A248" s="11"/>
    </row>
    <row r="249" spans="1:1" ht="13">
      <c r="A249" s="11"/>
    </row>
    <row r="250" spans="1:1" ht="13">
      <c r="A250" s="11"/>
    </row>
    <row r="251" spans="1:1" ht="13">
      <c r="A251" s="11"/>
    </row>
    <row r="252" spans="1:1" ht="13">
      <c r="A252" s="11"/>
    </row>
    <row r="253" spans="1:1" ht="13">
      <c r="A253" s="11"/>
    </row>
    <row r="254" spans="1:1" ht="13">
      <c r="A254" s="11"/>
    </row>
    <row r="255" spans="1:1" ht="13">
      <c r="A255" s="11"/>
    </row>
    <row r="256" spans="1:1" ht="13">
      <c r="A256" s="11"/>
    </row>
    <row r="257" spans="1:1" ht="13">
      <c r="A257" s="11"/>
    </row>
    <row r="258" spans="1:1" ht="13">
      <c r="A258" s="11"/>
    </row>
    <row r="259" spans="1:1" ht="13">
      <c r="A259" s="11"/>
    </row>
    <row r="260" spans="1:1" ht="13">
      <c r="A260" s="11"/>
    </row>
    <row r="261" spans="1:1" ht="13">
      <c r="A261" s="11"/>
    </row>
    <row r="262" spans="1:1" ht="13">
      <c r="A262" s="11"/>
    </row>
    <row r="263" spans="1:1" ht="13">
      <c r="A263" s="11"/>
    </row>
    <row r="264" spans="1:1" ht="13">
      <c r="A264" s="11"/>
    </row>
    <row r="265" spans="1:1" ht="13">
      <c r="A265" s="11"/>
    </row>
    <row r="266" spans="1:1" ht="13">
      <c r="A266" s="11"/>
    </row>
    <row r="267" spans="1:1" ht="13">
      <c r="A267" s="11"/>
    </row>
    <row r="268" spans="1:1" ht="13">
      <c r="A268" s="11"/>
    </row>
    <row r="269" spans="1:1" ht="13">
      <c r="A269" s="11"/>
    </row>
    <row r="270" spans="1:1" ht="13">
      <c r="A270" s="11"/>
    </row>
    <row r="271" spans="1:1" ht="13">
      <c r="A271" s="11"/>
    </row>
    <row r="272" spans="1:1" ht="13">
      <c r="A272" s="11"/>
    </row>
    <row r="273" spans="1:1" ht="13">
      <c r="A273" s="11"/>
    </row>
    <row r="274" spans="1:1" ht="13">
      <c r="A274" s="11"/>
    </row>
    <row r="275" spans="1:1" ht="13">
      <c r="A275" s="11"/>
    </row>
    <row r="276" spans="1:1" ht="13">
      <c r="A276" s="11"/>
    </row>
    <row r="277" spans="1:1" ht="13">
      <c r="A277" s="11"/>
    </row>
    <row r="278" spans="1:1" ht="13">
      <c r="A278" s="11"/>
    </row>
    <row r="279" spans="1:1" ht="13">
      <c r="A279" s="11"/>
    </row>
    <row r="280" spans="1:1" ht="13">
      <c r="A280" s="11"/>
    </row>
    <row r="281" spans="1:1" ht="13">
      <c r="A281" s="11"/>
    </row>
    <row r="282" spans="1:1" ht="13">
      <c r="A282" s="11"/>
    </row>
    <row r="283" spans="1:1" ht="13">
      <c r="A283" s="11"/>
    </row>
    <row r="284" spans="1:1" ht="13">
      <c r="A284" s="11"/>
    </row>
    <row r="285" spans="1:1" ht="13">
      <c r="A285" s="11"/>
    </row>
    <row r="286" spans="1:1" ht="13">
      <c r="A286" s="11"/>
    </row>
    <row r="287" spans="1:1" ht="13">
      <c r="A287" s="11"/>
    </row>
    <row r="288" spans="1:1" ht="13">
      <c r="A288" s="11"/>
    </row>
    <row r="289" spans="1:1" ht="13">
      <c r="A289" s="11"/>
    </row>
    <row r="290" spans="1:1" ht="13">
      <c r="A290" s="11"/>
    </row>
    <row r="291" spans="1:1" ht="13">
      <c r="A291" s="11"/>
    </row>
    <row r="292" spans="1:1" ht="13">
      <c r="A292" s="11"/>
    </row>
    <row r="293" spans="1:1" ht="13">
      <c r="A293" s="11"/>
    </row>
    <row r="294" spans="1:1" ht="13">
      <c r="A294" s="11"/>
    </row>
    <row r="295" spans="1:1" ht="13">
      <c r="A295" s="11"/>
    </row>
    <row r="296" spans="1:1" ht="13">
      <c r="A296" s="11"/>
    </row>
    <row r="297" spans="1:1" ht="13">
      <c r="A297" s="11"/>
    </row>
    <row r="298" spans="1:1" ht="13">
      <c r="A298" s="11"/>
    </row>
    <row r="299" spans="1:1" ht="13">
      <c r="A299" s="11"/>
    </row>
    <row r="300" spans="1:1" ht="13">
      <c r="A300" s="11"/>
    </row>
    <row r="301" spans="1:1" ht="13">
      <c r="A301" s="11"/>
    </row>
    <row r="302" spans="1:1" ht="13">
      <c r="A302" s="11"/>
    </row>
    <row r="303" spans="1:1" ht="13">
      <c r="A303" s="11"/>
    </row>
    <row r="304" spans="1:1" ht="13">
      <c r="A304" s="11"/>
    </row>
    <row r="305" spans="1:1" ht="13">
      <c r="A305" s="11"/>
    </row>
    <row r="306" spans="1:1" ht="13">
      <c r="A306" s="11"/>
    </row>
    <row r="307" spans="1:1" ht="13">
      <c r="A307" s="11"/>
    </row>
    <row r="308" spans="1:1" ht="13">
      <c r="A308" s="11"/>
    </row>
    <row r="309" spans="1:1" ht="13">
      <c r="A309" s="11"/>
    </row>
    <row r="310" spans="1:1" ht="13">
      <c r="A310" s="11"/>
    </row>
    <row r="311" spans="1:1" ht="13">
      <c r="A311" s="11"/>
    </row>
    <row r="312" spans="1:1" ht="13">
      <c r="A312" s="11"/>
    </row>
    <row r="313" spans="1:1" ht="13">
      <c r="A313" s="11"/>
    </row>
    <row r="314" spans="1:1" ht="13">
      <c r="A314" s="11"/>
    </row>
    <row r="315" spans="1:1" ht="13">
      <c r="A315" s="11"/>
    </row>
    <row r="316" spans="1:1" ht="13">
      <c r="A316" s="11"/>
    </row>
    <row r="317" spans="1:1" ht="13">
      <c r="A317" s="11"/>
    </row>
    <row r="318" spans="1:1" ht="13">
      <c r="A318" s="11"/>
    </row>
    <row r="319" spans="1:1" ht="13">
      <c r="A319" s="11"/>
    </row>
    <row r="320" spans="1:1" ht="13">
      <c r="A320" s="11"/>
    </row>
    <row r="321" spans="1:1" ht="13">
      <c r="A321" s="11"/>
    </row>
    <row r="322" spans="1:1" ht="13">
      <c r="A322" s="11"/>
    </row>
    <row r="323" spans="1:1" ht="13">
      <c r="A323" s="11"/>
    </row>
    <row r="324" spans="1:1" ht="13">
      <c r="A324" s="11"/>
    </row>
    <row r="325" spans="1:1" ht="13">
      <c r="A325" s="11"/>
    </row>
    <row r="326" spans="1:1" ht="13">
      <c r="A326" s="11"/>
    </row>
    <row r="327" spans="1:1" ht="13">
      <c r="A327" s="11"/>
    </row>
    <row r="328" spans="1:1" ht="13">
      <c r="A328" s="11"/>
    </row>
    <row r="329" spans="1:1" ht="13">
      <c r="A329" s="11"/>
    </row>
    <row r="330" spans="1:1" ht="13">
      <c r="A330" s="11"/>
    </row>
    <row r="331" spans="1:1" ht="13">
      <c r="A331" s="11"/>
    </row>
    <row r="332" spans="1:1" ht="13">
      <c r="A332" s="11"/>
    </row>
    <row r="333" spans="1:1" ht="13">
      <c r="A333" s="11"/>
    </row>
    <row r="334" spans="1:1" ht="13">
      <c r="A334" s="11"/>
    </row>
    <row r="335" spans="1:1" ht="13">
      <c r="A335" s="11"/>
    </row>
    <row r="336" spans="1:1" ht="13">
      <c r="A336" s="11"/>
    </row>
    <row r="337" spans="1:1" ht="13">
      <c r="A337" s="11"/>
    </row>
    <row r="338" spans="1:1" ht="13">
      <c r="A338" s="11"/>
    </row>
    <row r="339" spans="1:1" ht="13">
      <c r="A339" s="11"/>
    </row>
    <row r="340" spans="1:1" ht="13">
      <c r="A340" s="11"/>
    </row>
    <row r="341" spans="1:1" ht="13">
      <c r="A341" s="11"/>
    </row>
    <row r="342" spans="1:1" ht="13">
      <c r="A342" s="11"/>
    </row>
    <row r="343" spans="1:1" ht="13">
      <c r="A343" s="11"/>
    </row>
    <row r="344" spans="1:1" ht="13">
      <c r="A344" s="11"/>
    </row>
    <row r="345" spans="1:1" ht="13">
      <c r="A345" s="11"/>
    </row>
    <row r="346" spans="1:1" ht="13">
      <c r="A346" s="11"/>
    </row>
    <row r="347" spans="1:1" ht="13">
      <c r="A347" s="11"/>
    </row>
    <row r="348" spans="1:1" ht="13">
      <c r="A348" s="11"/>
    </row>
    <row r="349" spans="1:1" ht="13">
      <c r="A349" s="11"/>
    </row>
    <row r="350" spans="1:1" ht="13">
      <c r="A350" s="11"/>
    </row>
    <row r="351" spans="1:1" ht="13">
      <c r="A351" s="11"/>
    </row>
    <row r="352" spans="1:1" ht="13">
      <c r="A352" s="11"/>
    </row>
    <row r="353" spans="1:1" ht="13">
      <c r="A353" s="11"/>
    </row>
    <row r="354" spans="1:1" ht="13">
      <c r="A354" s="11"/>
    </row>
    <row r="355" spans="1:1" ht="13">
      <c r="A355" s="11"/>
    </row>
    <row r="356" spans="1:1" ht="13">
      <c r="A356" s="11"/>
    </row>
    <row r="357" spans="1:1" ht="13">
      <c r="A357" s="11"/>
    </row>
    <row r="358" spans="1:1" ht="13">
      <c r="A358" s="11"/>
    </row>
    <row r="359" spans="1:1" ht="13">
      <c r="A359" s="11"/>
    </row>
    <row r="360" spans="1:1" ht="13">
      <c r="A360" s="11"/>
    </row>
    <row r="361" spans="1:1" ht="13">
      <c r="A361" s="11"/>
    </row>
    <row r="362" spans="1:1" ht="13">
      <c r="A362" s="11"/>
    </row>
    <row r="363" spans="1:1" ht="13">
      <c r="A363" s="11"/>
    </row>
    <row r="364" spans="1:1" ht="13">
      <c r="A364" s="11"/>
    </row>
    <row r="365" spans="1:1" ht="13">
      <c r="A365" s="11"/>
    </row>
    <row r="366" spans="1:1" ht="13">
      <c r="A366" s="11"/>
    </row>
    <row r="367" spans="1:1" ht="13">
      <c r="A367" s="11"/>
    </row>
    <row r="368" spans="1:1" ht="13">
      <c r="A368" s="11"/>
    </row>
    <row r="369" spans="1:1" ht="13">
      <c r="A369" s="11"/>
    </row>
    <row r="370" spans="1:1" ht="13">
      <c r="A370" s="11"/>
    </row>
    <row r="371" spans="1:1" ht="13">
      <c r="A371" s="11"/>
    </row>
    <row r="372" spans="1:1" ht="13">
      <c r="A372" s="11"/>
    </row>
    <row r="373" spans="1:1" ht="13">
      <c r="A373" s="11"/>
    </row>
    <row r="374" spans="1:1" ht="13">
      <c r="A374" s="11"/>
    </row>
    <row r="375" spans="1:1" ht="13">
      <c r="A375" s="11"/>
    </row>
    <row r="376" spans="1:1" ht="13">
      <c r="A376" s="11"/>
    </row>
    <row r="377" spans="1:1" ht="13">
      <c r="A377" s="11"/>
    </row>
    <row r="378" spans="1:1" ht="13">
      <c r="A378" s="11"/>
    </row>
    <row r="379" spans="1:1" ht="13">
      <c r="A379" s="11"/>
    </row>
    <row r="380" spans="1:1" ht="13">
      <c r="A380" s="11"/>
    </row>
    <row r="381" spans="1:1" ht="13">
      <c r="A381" s="11"/>
    </row>
    <row r="382" spans="1:1" ht="13">
      <c r="A382" s="11"/>
    </row>
    <row r="383" spans="1:1" ht="13">
      <c r="A383" s="11"/>
    </row>
    <row r="384" spans="1:1" ht="13">
      <c r="A384" s="11"/>
    </row>
    <row r="385" spans="1:1" ht="13">
      <c r="A385" s="11"/>
    </row>
    <row r="386" spans="1:1" ht="13">
      <c r="A386" s="11"/>
    </row>
    <row r="387" spans="1:1" ht="13">
      <c r="A387" s="11"/>
    </row>
    <row r="388" spans="1:1" ht="13">
      <c r="A388" s="11"/>
    </row>
    <row r="389" spans="1:1" ht="13">
      <c r="A389" s="11"/>
    </row>
    <row r="390" spans="1:1" ht="13">
      <c r="A390" s="11"/>
    </row>
    <row r="391" spans="1:1" ht="13">
      <c r="A391" s="11"/>
    </row>
    <row r="392" spans="1:1" ht="13">
      <c r="A392" s="11"/>
    </row>
    <row r="393" spans="1:1" ht="13">
      <c r="A393" s="11"/>
    </row>
    <row r="394" spans="1:1" ht="13">
      <c r="A394" s="11"/>
    </row>
    <row r="395" spans="1:1" ht="13">
      <c r="A395" s="11"/>
    </row>
    <row r="396" spans="1:1" ht="13">
      <c r="A396" s="11"/>
    </row>
    <row r="397" spans="1:1" ht="13">
      <c r="A397" s="11"/>
    </row>
    <row r="398" spans="1:1" ht="13">
      <c r="A398" s="11"/>
    </row>
    <row r="399" spans="1:1" ht="13">
      <c r="A399" s="11"/>
    </row>
    <row r="400" spans="1:1" ht="13">
      <c r="A400" s="11"/>
    </row>
    <row r="401" spans="1:1" ht="13">
      <c r="A401" s="11"/>
    </row>
    <row r="402" spans="1:1" ht="13">
      <c r="A402" s="11"/>
    </row>
    <row r="403" spans="1:1" ht="13">
      <c r="A403" s="11"/>
    </row>
    <row r="404" spans="1:1" ht="13">
      <c r="A404" s="11"/>
    </row>
    <row r="405" spans="1:1" ht="13">
      <c r="A405" s="11"/>
    </row>
    <row r="406" spans="1:1" ht="13">
      <c r="A406" s="11"/>
    </row>
    <row r="407" spans="1:1" ht="13">
      <c r="A407" s="11"/>
    </row>
    <row r="408" spans="1:1" ht="13">
      <c r="A408" s="11"/>
    </row>
    <row r="409" spans="1:1" ht="13">
      <c r="A409" s="11"/>
    </row>
    <row r="410" spans="1:1" ht="13">
      <c r="A410" s="11"/>
    </row>
    <row r="411" spans="1:1" ht="13">
      <c r="A411" s="11"/>
    </row>
    <row r="412" spans="1:1" ht="13">
      <c r="A412" s="11"/>
    </row>
    <row r="413" spans="1:1" ht="13">
      <c r="A413" s="11"/>
    </row>
    <row r="414" spans="1:1" ht="13">
      <c r="A414" s="11"/>
    </row>
    <row r="415" spans="1:1" ht="13">
      <c r="A415" s="11"/>
    </row>
    <row r="416" spans="1:1" ht="13">
      <c r="A416" s="11"/>
    </row>
    <row r="417" spans="1:1" ht="13">
      <c r="A417" s="11"/>
    </row>
    <row r="418" spans="1:1" ht="13">
      <c r="A418" s="11"/>
    </row>
    <row r="419" spans="1:1" ht="13">
      <c r="A419" s="11"/>
    </row>
    <row r="420" spans="1:1" ht="13">
      <c r="A420" s="11"/>
    </row>
    <row r="421" spans="1:1" ht="13">
      <c r="A421" s="11"/>
    </row>
    <row r="422" spans="1:1" ht="13">
      <c r="A422" s="11"/>
    </row>
    <row r="423" spans="1:1" ht="13">
      <c r="A423" s="11"/>
    </row>
    <row r="424" spans="1:1" ht="13">
      <c r="A424" s="11"/>
    </row>
    <row r="425" spans="1:1" ht="13">
      <c r="A425" s="11"/>
    </row>
    <row r="426" spans="1:1" ht="13">
      <c r="A426" s="11"/>
    </row>
    <row r="427" spans="1:1" ht="13">
      <c r="A427" s="11"/>
    </row>
    <row r="428" spans="1:1" ht="13">
      <c r="A428" s="11"/>
    </row>
    <row r="429" spans="1:1" ht="13">
      <c r="A429" s="11"/>
    </row>
    <row r="430" spans="1:1" ht="13">
      <c r="A430" s="11"/>
    </row>
    <row r="431" spans="1:1" ht="13">
      <c r="A431" s="11"/>
    </row>
    <row r="432" spans="1:1" ht="13">
      <c r="A432" s="11"/>
    </row>
    <row r="433" spans="1:1" ht="13">
      <c r="A433" s="11"/>
    </row>
    <row r="434" spans="1:1" ht="13">
      <c r="A434" s="11"/>
    </row>
    <row r="435" spans="1:1" ht="13">
      <c r="A435" s="11"/>
    </row>
    <row r="436" spans="1:1" ht="13">
      <c r="A436" s="11"/>
    </row>
    <row r="437" spans="1:1" ht="13">
      <c r="A437" s="11"/>
    </row>
    <row r="438" spans="1:1" ht="13">
      <c r="A438" s="11"/>
    </row>
    <row r="439" spans="1:1" ht="13">
      <c r="A439" s="11"/>
    </row>
    <row r="440" spans="1:1" ht="13">
      <c r="A440" s="11"/>
    </row>
    <row r="441" spans="1:1" ht="13">
      <c r="A441" s="11"/>
    </row>
    <row r="442" spans="1:1" ht="13">
      <c r="A442" s="11"/>
    </row>
    <row r="443" spans="1:1" ht="13">
      <c r="A443" s="11"/>
    </row>
    <row r="444" spans="1:1" ht="13">
      <c r="A444" s="11"/>
    </row>
    <row r="445" spans="1:1" ht="13">
      <c r="A445" s="11"/>
    </row>
    <row r="446" spans="1:1" ht="13">
      <c r="A446" s="11"/>
    </row>
    <row r="447" spans="1:1" ht="13">
      <c r="A447" s="11"/>
    </row>
    <row r="448" spans="1:1" ht="13">
      <c r="A448" s="11"/>
    </row>
    <row r="449" spans="1:1" ht="13">
      <c r="A449" s="11"/>
    </row>
    <row r="450" spans="1:1" ht="13">
      <c r="A450" s="11"/>
    </row>
    <row r="451" spans="1:1" ht="13">
      <c r="A451" s="11"/>
    </row>
    <row r="452" spans="1:1" ht="13">
      <c r="A452" s="11"/>
    </row>
    <row r="453" spans="1:1" ht="13">
      <c r="A453" s="11"/>
    </row>
    <row r="454" spans="1:1" ht="13">
      <c r="A454" s="11"/>
    </row>
    <row r="455" spans="1:1" ht="13">
      <c r="A455" s="11"/>
    </row>
    <row r="456" spans="1:1" ht="13">
      <c r="A456" s="11"/>
    </row>
    <row r="457" spans="1:1" ht="13">
      <c r="A457" s="11"/>
    </row>
    <row r="458" spans="1:1" ht="13">
      <c r="A458" s="11"/>
    </row>
    <row r="459" spans="1:1" ht="13">
      <c r="A459" s="11"/>
    </row>
    <row r="460" spans="1:1" ht="13">
      <c r="A460" s="11"/>
    </row>
    <row r="461" spans="1:1" ht="13">
      <c r="A461" s="11"/>
    </row>
    <row r="462" spans="1:1" ht="13">
      <c r="A462" s="11"/>
    </row>
    <row r="463" spans="1:1" ht="13">
      <c r="A463" s="11"/>
    </row>
    <row r="464" spans="1:1" ht="13">
      <c r="A464" s="11"/>
    </row>
    <row r="465" spans="1:1" ht="13">
      <c r="A465" s="11"/>
    </row>
    <row r="466" spans="1:1" ht="13">
      <c r="A466" s="11"/>
    </row>
    <row r="467" spans="1:1" ht="13">
      <c r="A467" s="11"/>
    </row>
    <row r="468" spans="1:1" ht="13">
      <c r="A468" s="11"/>
    </row>
    <row r="469" spans="1:1" ht="13">
      <c r="A469" s="11"/>
    </row>
    <row r="470" spans="1:1" ht="13">
      <c r="A470" s="11"/>
    </row>
    <row r="471" spans="1:1" ht="13">
      <c r="A471" s="11"/>
    </row>
    <row r="472" spans="1:1" ht="13">
      <c r="A472" s="11"/>
    </row>
    <row r="473" spans="1:1" ht="13">
      <c r="A473" s="11"/>
    </row>
    <row r="474" spans="1:1" ht="13">
      <c r="A474" s="11"/>
    </row>
    <row r="475" spans="1:1" ht="13">
      <c r="A475" s="11"/>
    </row>
    <row r="476" spans="1:1" ht="13">
      <c r="A476" s="11"/>
    </row>
    <row r="477" spans="1:1" ht="13">
      <c r="A477" s="11"/>
    </row>
    <row r="478" spans="1:1" ht="13">
      <c r="A478" s="11"/>
    </row>
    <row r="479" spans="1:1" ht="13">
      <c r="A479" s="11"/>
    </row>
    <row r="480" spans="1:1" ht="13">
      <c r="A480" s="11"/>
    </row>
    <row r="481" spans="1:1" ht="13">
      <c r="A481" s="11"/>
    </row>
    <row r="482" spans="1:1" ht="13">
      <c r="A482" s="11"/>
    </row>
    <row r="483" spans="1:1" ht="13">
      <c r="A483" s="11"/>
    </row>
    <row r="484" spans="1:1" ht="13">
      <c r="A484" s="11"/>
    </row>
    <row r="485" spans="1:1" ht="13">
      <c r="A485" s="11"/>
    </row>
    <row r="486" spans="1:1" ht="13">
      <c r="A486" s="11"/>
    </row>
    <row r="487" spans="1:1" ht="13">
      <c r="A487" s="11"/>
    </row>
    <row r="488" spans="1:1" ht="13">
      <c r="A488" s="11"/>
    </row>
    <row r="489" spans="1:1" ht="13">
      <c r="A489" s="11"/>
    </row>
    <row r="490" spans="1:1" ht="13">
      <c r="A490" s="11"/>
    </row>
    <row r="491" spans="1:1" ht="13">
      <c r="A491" s="11"/>
    </row>
    <row r="492" spans="1:1" ht="13">
      <c r="A492" s="11"/>
    </row>
    <row r="493" spans="1:1" ht="13">
      <c r="A493" s="11"/>
    </row>
    <row r="494" spans="1:1" ht="13">
      <c r="A494" s="11"/>
    </row>
    <row r="495" spans="1:1" ht="13">
      <c r="A495" s="11"/>
    </row>
    <row r="496" spans="1:1" ht="13">
      <c r="A496" s="11"/>
    </row>
    <row r="497" spans="1:1" ht="13">
      <c r="A497" s="11"/>
    </row>
    <row r="498" spans="1:1" ht="13">
      <c r="A498" s="11"/>
    </row>
    <row r="499" spans="1:1" ht="13">
      <c r="A499" s="11"/>
    </row>
    <row r="500" spans="1:1" ht="13">
      <c r="A500" s="11"/>
    </row>
    <row r="501" spans="1:1" ht="13">
      <c r="A501" s="11"/>
    </row>
    <row r="502" spans="1:1" ht="13">
      <c r="A502" s="11"/>
    </row>
    <row r="503" spans="1:1" ht="13">
      <c r="A503" s="11"/>
    </row>
    <row r="504" spans="1:1" ht="13">
      <c r="A504" s="11"/>
    </row>
    <row r="505" spans="1:1" ht="13">
      <c r="A505" s="11"/>
    </row>
    <row r="506" spans="1:1" ht="13">
      <c r="A506" s="11"/>
    </row>
    <row r="507" spans="1:1" ht="13">
      <c r="A507" s="11"/>
    </row>
    <row r="508" spans="1:1" ht="13">
      <c r="A508" s="11"/>
    </row>
    <row r="509" spans="1:1" ht="13">
      <c r="A509" s="11"/>
    </row>
    <row r="510" spans="1:1" ht="13">
      <c r="A510" s="11"/>
    </row>
    <row r="511" spans="1:1" ht="13">
      <c r="A511" s="11"/>
    </row>
    <row r="512" spans="1:1" ht="13">
      <c r="A512" s="11"/>
    </row>
    <row r="513" spans="1:1" ht="13">
      <c r="A513" s="11"/>
    </row>
    <row r="514" spans="1:1" ht="13">
      <c r="A514" s="11"/>
    </row>
    <row r="515" spans="1:1" ht="13">
      <c r="A515" s="11"/>
    </row>
    <row r="516" spans="1:1" ht="13">
      <c r="A516" s="11"/>
    </row>
    <row r="517" spans="1:1" ht="13">
      <c r="A517" s="11"/>
    </row>
    <row r="518" spans="1:1" ht="13">
      <c r="A518" s="11"/>
    </row>
    <row r="519" spans="1:1" ht="13">
      <c r="A519" s="11"/>
    </row>
    <row r="520" spans="1:1" ht="13">
      <c r="A520" s="11"/>
    </row>
    <row r="521" spans="1:1" ht="13">
      <c r="A521" s="11"/>
    </row>
    <row r="522" spans="1:1" ht="13">
      <c r="A522" s="11"/>
    </row>
    <row r="523" spans="1:1" ht="13">
      <c r="A523" s="11"/>
    </row>
    <row r="524" spans="1:1" ht="13">
      <c r="A524" s="11"/>
    </row>
    <row r="525" spans="1:1" ht="13">
      <c r="A525" s="11"/>
    </row>
    <row r="526" spans="1:1" ht="13">
      <c r="A526" s="11"/>
    </row>
    <row r="527" spans="1:1" ht="13">
      <c r="A527" s="11"/>
    </row>
    <row r="528" spans="1:1" ht="13">
      <c r="A528" s="11"/>
    </row>
    <row r="529" spans="1:1" ht="13">
      <c r="A529" s="11"/>
    </row>
    <row r="530" spans="1:1" ht="13">
      <c r="A530" s="11"/>
    </row>
    <row r="531" spans="1:1" ht="13">
      <c r="A531" s="11"/>
    </row>
    <row r="532" spans="1:1" ht="13">
      <c r="A532" s="11"/>
    </row>
    <row r="533" spans="1:1" ht="13">
      <c r="A533" s="11"/>
    </row>
    <row r="534" spans="1:1" ht="13">
      <c r="A534" s="11"/>
    </row>
    <row r="535" spans="1:1" ht="13">
      <c r="A535" s="11"/>
    </row>
    <row r="536" spans="1:1" ht="13">
      <c r="A536" s="11"/>
    </row>
    <row r="537" spans="1:1" ht="13">
      <c r="A537" s="11"/>
    </row>
    <row r="538" spans="1:1" ht="13">
      <c r="A538" s="11"/>
    </row>
    <row r="539" spans="1:1" ht="13">
      <c r="A539" s="11"/>
    </row>
    <row r="540" spans="1:1" ht="13">
      <c r="A540" s="11"/>
    </row>
    <row r="541" spans="1:1" ht="13">
      <c r="A541" s="11"/>
    </row>
    <row r="542" spans="1:1" ht="13">
      <c r="A542" s="11"/>
    </row>
    <row r="543" spans="1:1" ht="13">
      <c r="A543" s="11"/>
    </row>
    <row r="544" spans="1:1" ht="13">
      <c r="A544" s="11"/>
    </row>
    <row r="545" spans="1:1" ht="13">
      <c r="A545" s="11"/>
    </row>
    <row r="546" spans="1:1" ht="13">
      <c r="A546" s="11"/>
    </row>
    <row r="547" spans="1:1" ht="13">
      <c r="A547" s="11"/>
    </row>
    <row r="548" spans="1:1" ht="13">
      <c r="A548" s="11"/>
    </row>
    <row r="549" spans="1:1" ht="13">
      <c r="A549" s="11"/>
    </row>
    <row r="550" spans="1:1" ht="13">
      <c r="A550" s="11"/>
    </row>
    <row r="551" spans="1:1" ht="13">
      <c r="A551" s="11"/>
    </row>
    <row r="552" spans="1:1" ht="13">
      <c r="A552" s="11"/>
    </row>
    <row r="553" spans="1:1" ht="13">
      <c r="A553" s="11"/>
    </row>
    <row r="554" spans="1:1" ht="13">
      <c r="A554" s="11"/>
    </row>
    <row r="555" spans="1:1" ht="13">
      <c r="A555" s="11"/>
    </row>
    <row r="556" spans="1:1" ht="13">
      <c r="A556" s="11"/>
    </row>
    <row r="557" spans="1:1" ht="13">
      <c r="A557" s="11"/>
    </row>
    <row r="558" spans="1:1" ht="13">
      <c r="A558" s="11"/>
    </row>
    <row r="559" spans="1:1" ht="13">
      <c r="A559" s="11"/>
    </row>
    <row r="560" spans="1:1" ht="13">
      <c r="A560" s="11"/>
    </row>
    <row r="561" spans="1:1" ht="13">
      <c r="A561" s="11"/>
    </row>
    <row r="562" spans="1:1" ht="13">
      <c r="A562" s="11"/>
    </row>
    <row r="563" spans="1:1" ht="13">
      <c r="A563" s="11"/>
    </row>
    <row r="564" spans="1:1" ht="13">
      <c r="A564" s="11"/>
    </row>
    <row r="565" spans="1:1" ht="13">
      <c r="A565" s="11"/>
    </row>
    <row r="566" spans="1:1" ht="13">
      <c r="A566" s="11"/>
    </row>
    <row r="567" spans="1:1" ht="13">
      <c r="A567" s="11"/>
    </row>
    <row r="568" spans="1:1" ht="13">
      <c r="A568" s="11"/>
    </row>
    <row r="569" spans="1:1" ht="13">
      <c r="A569" s="11"/>
    </row>
    <row r="570" spans="1:1" ht="13">
      <c r="A570" s="11"/>
    </row>
    <row r="571" spans="1:1" ht="13">
      <c r="A571" s="11"/>
    </row>
    <row r="572" spans="1:1" ht="13">
      <c r="A572" s="11"/>
    </row>
    <row r="573" spans="1:1" ht="13">
      <c r="A573" s="11"/>
    </row>
    <row r="574" spans="1:1" ht="13">
      <c r="A574" s="11"/>
    </row>
    <row r="575" spans="1:1" ht="13">
      <c r="A575" s="11"/>
    </row>
    <row r="576" spans="1:1" ht="13">
      <c r="A576" s="11"/>
    </row>
    <row r="577" spans="1:1" ht="13">
      <c r="A577" s="11"/>
    </row>
    <row r="578" spans="1:1" ht="13">
      <c r="A578" s="11"/>
    </row>
    <row r="579" spans="1:1" ht="13">
      <c r="A579" s="11"/>
    </row>
    <row r="580" spans="1:1" ht="13">
      <c r="A580" s="11"/>
    </row>
    <row r="581" spans="1:1" ht="13">
      <c r="A581" s="11"/>
    </row>
    <row r="582" spans="1:1" ht="13">
      <c r="A582" s="11"/>
    </row>
    <row r="583" spans="1:1" ht="13">
      <c r="A583" s="11"/>
    </row>
    <row r="584" spans="1:1" ht="13">
      <c r="A584" s="11"/>
    </row>
    <row r="585" spans="1:1" ht="13">
      <c r="A585" s="11"/>
    </row>
    <row r="586" spans="1:1" ht="13">
      <c r="A586" s="11"/>
    </row>
    <row r="587" spans="1:1" ht="13">
      <c r="A587" s="11"/>
    </row>
    <row r="588" spans="1:1" ht="13">
      <c r="A588" s="11"/>
    </row>
    <row r="589" spans="1:1" ht="13">
      <c r="A589" s="11"/>
    </row>
    <row r="590" spans="1:1" ht="13">
      <c r="A590" s="11"/>
    </row>
    <row r="591" spans="1:1" ht="13">
      <c r="A591" s="11"/>
    </row>
    <row r="592" spans="1:1" ht="13">
      <c r="A592" s="11"/>
    </row>
    <row r="593" spans="1:1" ht="13">
      <c r="A593" s="11"/>
    </row>
    <row r="594" spans="1:1" ht="13">
      <c r="A594" s="11"/>
    </row>
    <row r="595" spans="1:1" ht="13">
      <c r="A595" s="11"/>
    </row>
    <row r="596" spans="1:1" ht="13">
      <c r="A596" s="11"/>
    </row>
    <row r="597" spans="1:1" ht="13">
      <c r="A597" s="11"/>
    </row>
    <row r="598" spans="1:1" ht="13">
      <c r="A598" s="11"/>
    </row>
    <row r="599" spans="1:1" ht="13">
      <c r="A599" s="11"/>
    </row>
    <row r="600" spans="1:1" ht="13">
      <c r="A600" s="11"/>
    </row>
    <row r="601" spans="1:1" ht="13">
      <c r="A601" s="11"/>
    </row>
    <row r="602" spans="1:1" ht="13">
      <c r="A602" s="11"/>
    </row>
    <row r="603" spans="1:1" ht="13">
      <c r="A603" s="11"/>
    </row>
    <row r="604" spans="1:1" ht="13">
      <c r="A604" s="11"/>
    </row>
    <row r="605" spans="1:1" ht="13">
      <c r="A605" s="11"/>
    </row>
    <row r="606" spans="1:1" ht="13">
      <c r="A606" s="11"/>
    </row>
    <row r="607" spans="1:1" ht="13">
      <c r="A607" s="11"/>
    </row>
    <row r="608" spans="1:1" ht="13">
      <c r="A608" s="11"/>
    </row>
    <row r="609" spans="1:1" ht="13">
      <c r="A609" s="11"/>
    </row>
    <row r="610" spans="1:1" ht="13">
      <c r="A610" s="11"/>
    </row>
    <row r="611" spans="1:1" ht="13">
      <c r="A611" s="11"/>
    </row>
    <row r="612" spans="1:1" ht="13">
      <c r="A612" s="11"/>
    </row>
    <row r="613" spans="1:1" ht="13">
      <c r="A613" s="11"/>
    </row>
    <row r="614" spans="1:1" ht="13">
      <c r="A614" s="11"/>
    </row>
    <row r="615" spans="1:1" ht="13">
      <c r="A615" s="11"/>
    </row>
    <row r="616" spans="1:1" ht="13">
      <c r="A616" s="11"/>
    </row>
    <row r="617" spans="1:1" ht="13">
      <c r="A617" s="11"/>
    </row>
    <row r="618" spans="1:1" ht="13">
      <c r="A618" s="11"/>
    </row>
    <row r="619" spans="1:1" ht="13">
      <c r="A619" s="11"/>
    </row>
    <row r="620" spans="1:1" ht="13">
      <c r="A620" s="11"/>
    </row>
    <row r="621" spans="1:1" ht="13">
      <c r="A621" s="11"/>
    </row>
    <row r="622" spans="1:1" ht="13">
      <c r="A622" s="11"/>
    </row>
    <row r="623" spans="1:1" ht="13">
      <c r="A623" s="11"/>
    </row>
    <row r="624" spans="1:1" ht="13">
      <c r="A624" s="11"/>
    </row>
    <row r="625" spans="1:1" ht="13">
      <c r="A625" s="11"/>
    </row>
    <row r="626" spans="1:1" ht="13">
      <c r="A626" s="11"/>
    </row>
    <row r="627" spans="1:1" ht="13">
      <c r="A627" s="11"/>
    </row>
    <row r="628" spans="1:1" ht="13">
      <c r="A628" s="11"/>
    </row>
    <row r="629" spans="1:1" ht="13">
      <c r="A629" s="11"/>
    </row>
    <row r="630" spans="1:1" ht="13">
      <c r="A630" s="11"/>
    </row>
    <row r="631" spans="1:1" ht="13">
      <c r="A631" s="11"/>
    </row>
    <row r="632" spans="1:1" ht="13">
      <c r="A632" s="11"/>
    </row>
    <row r="633" spans="1:1" ht="13">
      <c r="A633" s="11"/>
    </row>
    <row r="634" spans="1:1" ht="13">
      <c r="A634" s="11"/>
    </row>
    <row r="635" spans="1:1" ht="13">
      <c r="A635" s="11"/>
    </row>
    <row r="636" spans="1:1" ht="13">
      <c r="A636" s="11"/>
    </row>
    <row r="637" spans="1:1" ht="13">
      <c r="A637" s="11"/>
    </row>
    <row r="638" spans="1:1" ht="13">
      <c r="A638" s="11"/>
    </row>
    <row r="639" spans="1:1" ht="13">
      <c r="A639" s="11"/>
    </row>
    <row r="640" spans="1:1" ht="13">
      <c r="A640" s="11"/>
    </row>
    <row r="641" spans="1:1" ht="13">
      <c r="A641" s="11"/>
    </row>
    <row r="642" spans="1:1" ht="13">
      <c r="A642" s="11"/>
    </row>
    <row r="643" spans="1:1" ht="13">
      <c r="A643" s="11"/>
    </row>
    <row r="644" spans="1:1" ht="13">
      <c r="A644" s="11"/>
    </row>
    <row r="645" spans="1:1" ht="13">
      <c r="A645" s="11"/>
    </row>
    <row r="646" spans="1:1" ht="13">
      <c r="A646" s="11"/>
    </row>
    <row r="647" spans="1:1" ht="13">
      <c r="A647" s="11"/>
    </row>
    <row r="648" spans="1:1" ht="13">
      <c r="A648" s="11"/>
    </row>
    <row r="649" spans="1:1" ht="13">
      <c r="A649" s="11"/>
    </row>
    <row r="650" spans="1:1" ht="13">
      <c r="A650" s="11"/>
    </row>
    <row r="651" spans="1:1" ht="13">
      <c r="A651" s="11"/>
    </row>
    <row r="652" spans="1:1" ht="13">
      <c r="A652" s="11"/>
    </row>
    <row r="653" spans="1:1" ht="13">
      <c r="A653" s="11"/>
    </row>
    <row r="654" spans="1:1" ht="13">
      <c r="A654" s="11"/>
    </row>
    <row r="655" spans="1:1" ht="13">
      <c r="A655" s="11"/>
    </row>
    <row r="656" spans="1:1" ht="13">
      <c r="A656" s="11"/>
    </row>
    <row r="657" spans="1:1" ht="13">
      <c r="A657" s="11"/>
    </row>
    <row r="658" spans="1:1" ht="13">
      <c r="A658" s="11"/>
    </row>
    <row r="659" spans="1:1" ht="13">
      <c r="A659" s="11"/>
    </row>
    <row r="660" spans="1:1" ht="13">
      <c r="A660" s="11"/>
    </row>
    <row r="661" spans="1:1" ht="13">
      <c r="A661" s="11"/>
    </row>
    <row r="662" spans="1:1" ht="13">
      <c r="A662" s="11"/>
    </row>
    <row r="663" spans="1:1" ht="13">
      <c r="A663" s="11"/>
    </row>
    <row r="664" spans="1:1" ht="13">
      <c r="A664" s="11"/>
    </row>
    <row r="665" spans="1:1" ht="13">
      <c r="A665" s="11"/>
    </row>
    <row r="666" spans="1:1" ht="13">
      <c r="A666" s="11"/>
    </row>
    <row r="667" spans="1:1" ht="13">
      <c r="A667" s="11"/>
    </row>
    <row r="668" spans="1:1" ht="13">
      <c r="A668" s="11"/>
    </row>
    <row r="669" spans="1:1" ht="13">
      <c r="A669" s="11"/>
    </row>
    <row r="670" spans="1:1" ht="13">
      <c r="A670" s="11"/>
    </row>
    <row r="671" spans="1:1" ht="13">
      <c r="A671" s="11"/>
    </row>
    <row r="672" spans="1:1" ht="13">
      <c r="A672" s="11"/>
    </row>
    <row r="673" spans="1:1" ht="13">
      <c r="A673" s="11"/>
    </row>
    <row r="674" spans="1:1" ht="13">
      <c r="A674" s="11"/>
    </row>
    <row r="675" spans="1:1" ht="13">
      <c r="A675" s="11"/>
    </row>
    <row r="676" spans="1:1" ht="13">
      <c r="A676" s="11"/>
    </row>
    <row r="677" spans="1:1" ht="13">
      <c r="A677" s="11"/>
    </row>
    <row r="678" spans="1:1" ht="13">
      <c r="A678" s="11"/>
    </row>
    <row r="679" spans="1:1" ht="13">
      <c r="A679" s="11"/>
    </row>
    <row r="680" spans="1:1" ht="13">
      <c r="A680" s="11"/>
    </row>
    <row r="681" spans="1:1" ht="13">
      <c r="A681" s="11"/>
    </row>
    <row r="682" spans="1:1" ht="13">
      <c r="A682" s="11"/>
    </row>
    <row r="683" spans="1:1" ht="13">
      <c r="A683" s="11"/>
    </row>
    <row r="684" spans="1:1" ht="13">
      <c r="A684" s="11"/>
    </row>
    <row r="685" spans="1:1" ht="13">
      <c r="A685" s="11"/>
    </row>
    <row r="686" spans="1:1" ht="13">
      <c r="A686" s="11"/>
    </row>
    <row r="687" spans="1:1" ht="13">
      <c r="A687" s="11"/>
    </row>
    <row r="688" spans="1:1" ht="13">
      <c r="A688" s="11"/>
    </row>
    <row r="689" spans="1:1" ht="13">
      <c r="A689" s="11"/>
    </row>
    <row r="690" spans="1:1" ht="13">
      <c r="A690" s="11"/>
    </row>
    <row r="691" spans="1:1" ht="13">
      <c r="A691" s="11"/>
    </row>
    <row r="692" spans="1:1" ht="13">
      <c r="A692" s="11"/>
    </row>
    <row r="693" spans="1:1" ht="13">
      <c r="A693" s="11"/>
    </row>
    <row r="694" spans="1:1" ht="13">
      <c r="A694" s="11"/>
    </row>
    <row r="695" spans="1:1" ht="13">
      <c r="A695" s="11"/>
    </row>
    <row r="696" spans="1:1" ht="13">
      <c r="A696" s="11"/>
    </row>
    <row r="697" spans="1:1" ht="13">
      <c r="A697" s="11"/>
    </row>
    <row r="698" spans="1:1" ht="13">
      <c r="A698" s="11"/>
    </row>
    <row r="699" spans="1:1" ht="13">
      <c r="A699" s="11"/>
    </row>
    <row r="700" spans="1:1" ht="13">
      <c r="A700" s="11"/>
    </row>
    <row r="701" spans="1:1" ht="13">
      <c r="A701" s="11"/>
    </row>
    <row r="702" spans="1:1" ht="13">
      <c r="A702" s="11"/>
    </row>
    <row r="703" spans="1:1" ht="13">
      <c r="A703" s="11"/>
    </row>
    <row r="704" spans="1:1" ht="13">
      <c r="A704" s="11"/>
    </row>
    <row r="705" spans="1:1" ht="13">
      <c r="A705" s="11"/>
    </row>
    <row r="706" spans="1:1" ht="13">
      <c r="A706" s="11"/>
    </row>
    <row r="707" spans="1:1" ht="13">
      <c r="A707" s="11"/>
    </row>
    <row r="708" spans="1:1" ht="13">
      <c r="A708" s="11"/>
    </row>
    <row r="709" spans="1:1" ht="13">
      <c r="A709" s="11"/>
    </row>
    <row r="710" spans="1:1" ht="13">
      <c r="A710" s="11"/>
    </row>
    <row r="711" spans="1:1" ht="13">
      <c r="A711" s="11"/>
    </row>
    <row r="712" spans="1:1" ht="13">
      <c r="A712" s="11"/>
    </row>
    <row r="713" spans="1:1" ht="13">
      <c r="A713" s="11"/>
    </row>
    <row r="714" spans="1:1" ht="13">
      <c r="A714" s="11"/>
    </row>
    <row r="715" spans="1:1" ht="13">
      <c r="A715" s="11"/>
    </row>
    <row r="716" spans="1:1" ht="13">
      <c r="A716" s="11"/>
    </row>
    <row r="717" spans="1:1" ht="13">
      <c r="A717" s="11"/>
    </row>
    <row r="718" spans="1:1" ht="13">
      <c r="A718" s="11"/>
    </row>
    <row r="719" spans="1:1" ht="13">
      <c r="A719" s="11"/>
    </row>
    <row r="720" spans="1:1" ht="13">
      <c r="A720" s="11"/>
    </row>
    <row r="721" spans="1:1" ht="13">
      <c r="A721" s="11"/>
    </row>
    <row r="722" spans="1:1" ht="13">
      <c r="A722" s="11"/>
    </row>
    <row r="723" spans="1:1" ht="13">
      <c r="A723" s="11"/>
    </row>
    <row r="724" spans="1:1" ht="13">
      <c r="A724" s="11"/>
    </row>
    <row r="725" spans="1:1" ht="13">
      <c r="A725" s="11"/>
    </row>
    <row r="726" spans="1:1" ht="13">
      <c r="A726" s="11"/>
    </row>
    <row r="727" spans="1:1" ht="13">
      <c r="A727" s="11"/>
    </row>
    <row r="728" spans="1:1" ht="13">
      <c r="A728" s="11"/>
    </row>
    <row r="729" spans="1:1" ht="13">
      <c r="A729" s="11"/>
    </row>
    <row r="730" spans="1:1" ht="13">
      <c r="A730" s="11"/>
    </row>
    <row r="731" spans="1:1" ht="13">
      <c r="A731" s="11"/>
    </row>
    <row r="732" spans="1:1" ht="13">
      <c r="A732" s="11"/>
    </row>
    <row r="733" spans="1:1" ht="13">
      <c r="A733" s="11"/>
    </row>
    <row r="734" spans="1:1" ht="13">
      <c r="A734" s="11"/>
    </row>
    <row r="735" spans="1:1" ht="13">
      <c r="A735" s="11"/>
    </row>
    <row r="736" spans="1:1" ht="13">
      <c r="A736" s="11"/>
    </row>
    <row r="737" spans="1:1" ht="13">
      <c r="A737" s="11"/>
    </row>
    <row r="738" spans="1:1" ht="13">
      <c r="A738" s="11"/>
    </row>
    <row r="739" spans="1:1" ht="13">
      <c r="A739" s="11"/>
    </row>
    <row r="740" spans="1:1" ht="13">
      <c r="A740" s="11"/>
    </row>
    <row r="741" spans="1:1" ht="13">
      <c r="A741" s="11"/>
    </row>
    <row r="742" spans="1:1" ht="13">
      <c r="A742" s="11"/>
    </row>
    <row r="743" spans="1:1" ht="13">
      <c r="A743" s="11"/>
    </row>
    <row r="744" spans="1:1" ht="13">
      <c r="A744" s="11"/>
    </row>
    <row r="745" spans="1:1" ht="13">
      <c r="A745" s="11"/>
    </row>
    <row r="746" spans="1:1" ht="13">
      <c r="A746" s="11"/>
    </row>
    <row r="747" spans="1:1" ht="13">
      <c r="A747" s="11"/>
    </row>
    <row r="748" spans="1:1" ht="13">
      <c r="A748" s="11"/>
    </row>
    <row r="749" spans="1:1" ht="13">
      <c r="A749" s="11"/>
    </row>
    <row r="750" spans="1:1" ht="13">
      <c r="A750" s="11"/>
    </row>
    <row r="751" spans="1:1" ht="13">
      <c r="A751" s="11"/>
    </row>
    <row r="752" spans="1:1" ht="13">
      <c r="A752" s="11"/>
    </row>
    <row r="753" spans="1:1" ht="13">
      <c r="A753" s="11"/>
    </row>
    <row r="754" spans="1:1" ht="13">
      <c r="A754" s="11"/>
    </row>
    <row r="755" spans="1:1" ht="13">
      <c r="A755" s="11"/>
    </row>
    <row r="756" spans="1:1" ht="13">
      <c r="A756" s="11"/>
    </row>
    <row r="757" spans="1:1" ht="13">
      <c r="A757" s="11"/>
    </row>
    <row r="758" spans="1:1" ht="13">
      <c r="A758" s="11"/>
    </row>
    <row r="759" spans="1:1" ht="13">
      <c r="A759" s="11"/>
    </row>
    <row r="760" spans="1:1" ht="13">
      <c r="A760" s="11"/>
    </row>
    <row r="761" spans="1:1" ht="13">
      <c r="A761" s="11"/>
    </row>
    <row r="762" spans="1:1" ht="13">
      <c r="A762" s="11"/>
    </row>
    <row r="763" spans="1:1" ht="13">
      <c r="A763" s="11"/>
    </row>
    <row r="764" spans="1:1" ht="13">
      <c r="A764" s="11"/>
    </row>
    <row r="765" spans="1:1" ht="13">
      <c r="A765" s="11"/>
    </row>
    <row r="766" spans="1:1" ht="13">
      <c r="A766" s="11"/>
    </row>
    <row r="767" spans="1:1" ht="13">
      <c r="A767" s="11"/>
    </row>
    <row r="768" spans="1:1" ht="13">
      <c r="A768" s="11"/>
    </row>
    <row r="769" spans="1:1" ht="13">
      <c r="A769" s="11"/>
    </row>
    <row r="770" spans="1:1" ht="13">
      <c r="A770" s="11"/>
    </row>
    <row r="771" spans="1:1" ht="13">
      <c r="A771" s="11"/>
    </row>
    <row r="772" spans="1:1" ht="13">
      <c r="A772" s="11"/>
    </row>
    <row r="773" spans="1:1" ht="13">
      <c r="A773" s="11"/>
    </row>
    <row r="774" spans="1:1" ht="13">
      <c r="A774" s="11"/>
    </row>
    <row r="775" spans="1:1" ht="13">
      <c r="A775" s="11"/>
    </row>
    <row r="776" spans="1:1" ht="13">
      <c r="A776" s="11"/>
    </row>
    <row r="777" spans="1:1" ht="13">
      <c r="A777" s="11"/>
    </row>
    <row r="778" spans="1:1" ht="13">
      <c r="A778" s="11"/>
    </row>
    <row r="779" spans="1:1" ht="13">
      <c r="A779" s="11"/>
    </row>
    <row r="780" spans="1:1" ht="13">
      <c r="A780" s="11"/>
    </row>
    <row r="781" spans="1:1" ht="13">
      <c r="A781" s="11"/>
    </row>
    <row r="782" spans="1:1" ht="13">
      <c r="A782" s="11"/>
    </row>
    <row r="783" spans="1:1" ht="13">
      <c r="A783" s="11"/>
    </row>
    <row r="784" spans="1:1" ht="13">
      <c r="A784" s="11"/>
    </row>
    <row r="785" spans="1:1" ht="13">
      <c r="A785" s="11"/>
    </row>
    <row r="786" spans="1:1" ht="13">
      <c r="A786" s="11"/>
    </row>
    <row r="787" spans="1:1" ht="13">
      <c r="A787" s="11"/>
    </row>
    <row r="788" spans="1:1" ht="13">
      <c r="A788" s="11"/>
    </row>
    <row r="789" spans="1:1" ht="13">
      <c r="A789" s="11"/>
    </row>
    <row r="790" spans="1:1" ht="13">
      <c r="A790" s="11"/>
    </row>
    <row r="791" spans="1:1" ht="13">
      <c r="A791" s="11"/>
    </row>
    <row r="792" spans="1:1" ht="13">
      <c r="A792" s="11"/>
    </row>
    <row r="793" spans="1:1" ht="13">
      <c r="A793" s="11"/>
    </row>
    <row r="794" spans="1:1" ht="13">
      <c r="A794" s="11"/>
    </row>
    <row r="795" spans="1:1" ht="13">
      <c r="A795" s="11"/>
    </row>
    <row r="796" spans="1:1" ht="13">
      <c r="A796" s="11"/>
    </row>
    <row r="797" spans="1:1" ht="13">
      <c r="A797" s="11"/>
    </row>
    <row r="798" spans="1:1" ht="13">
      <c r="A798" s="11"/>
    </row>
    <row r="799" spans="1:1" ht="13">
      <c r="A799" s="11"/>
    </row>
    <row r="800" spans="1:1" ht="13">
      <c r="A800" s="11"/>
    </row>
    <row r="801" spans="1:1" ht="13">
      <c r="A801" s="11"/>
    </row>
    <row r="802" spans="1:1" ht="13">
      <c r="A802" s="11"/>
    </row>
    <row r="803" spans="1:1" ht="13">
      <c r="A803" s="11"/>
    </row>
    <row r="804" spans="1:1" ht="13">
      <c r="A804" s="11"/>
    </row>
    <row r="805" spans="1:1" ht="13">
      <c r="A805" s="11"/>
    </row>
    <row r="806" spans="1:1" ht="13">
      <c r="A806" s="11"/>
    </row>
    <row r="807" spans="1:1" ht="13">
      <c r="A807" s="11"/>
    </row>
    <row r="808" spans="1:1" ht="13">
      <c r="A808" s="11"/>
    </row>
    <row r="809" spans="1:1" ht="13">
      <c r="A809" s="11"/>
    </row>
    <row r="810" spans="1:1" ht="13">
      <c r="A810" s="11"/>
    </row>
    <row r="811" spans="1:1" ht="13">
      <c r="A811" s="11"/>
    </row>
    <row r="812" spans="1:1" ht="13">
      <c r="A812" s="11"/>
    </row>
    <row r="813" spans="1:1" ht="13">
      <c r="A813" s="11"/>
    </row>
    <row r="814" spans="1:1" ht="13">
      <c r="A814" s="11"/>
    </row>
    <row r="815" spans="1:1" ht="13">
      <c r="A815" s="11"/>
    </row>
    <row r="816" spans="1:1" ht="13">
      <c r="A816" s="11"/>
    </row>
    <row r="817" spans="1:1" ht="13">
      <c r="A817" s="11"/>
    </row>
    <row r="818" spans="1:1" ht="13">
      <c r="A818" s="11"/>
    </row>
    <row r="819" spans="1:1" ht="13">
      <c r="A819" s="11"/>
    </row>
    <row r="820" spans="1:1" ht="13">
      <c r="A820" s="11"/>
    </row>
    <row r="821" spans="1:1" ht="13">
      <c r="A821" s="11"/>
    </row>
    <row r="822" spans="1:1" ht="13">
      <c r="A822" s="11"/>
    </row>
    <row r="823" spans="1:1" ht="13">
      <c r="A823" s="11"/>
    </row>
    <row r="824" spans="1:1" ht="13">
      <c r="A824" s="11"/>
    </row>
    <row r="825" spans="1:1" ht="13">
      <c r="A825" s="11"/>
    </row>
    <row r="826" spans="1:1" ht="13">
      <c r="A826" s="11"/>
    </row>
    <row r="827" spans="1:1" ht="13">
      <c r="A827" s="11"/>
    </row>
    <row r="828" spans="1:1" ht="13">
      <c r="A828" s="11"/>
    </row>
    <row r="829" spans="1:1" ht="13">
      <c r="A829" s="11"/>
    </row>
    <row r="830" spans="1:1" ht="13">
      <c r="A830" s="11"/>
    </row>
    <row r="831" spans="1:1" ht="13">
      <c r="A831" s="11"/>
    </row>
    <row r="832" spans="1:1" ht="13">
      <c r="A832" s="11"/>
    </row>
    <row r="833" spans="1:1" ht="13">
      <c r="A833" s="11"/>
    </row>
    <row r="834" spans="1:1" ht="13">
      <c r="A834" s="11"/>
    </row>
    <row r="835" spans="1:1" ht="13">
      <c r="A835" s="11"/>
    </row>
    <row r="836" spans="1:1" ht="13">
      <c r="A836" s="11"/>
    </row>
    <row r="837" spans="1:1" ht="13">
      <c r="A837" s="11"/>
    </row>
    <row r="838" spans="1:1" ht="13">
      <c r="A838" s="11"/>
    </row>
    <row r="839" spans="1:1" ht="13">
      <c r="A839" s="11"/>
    </row>
    <row r="840" spans="1:1" ht="13">
      <c r="A840" s="11"/>
    </row>
    <row r="841" spans="1:1" ht="13">
      <c r="A841" s="11"/>
    </row>
    <row r="842" spans="1:1" ht="13">
      <c r="A842" s="11"/>
    </row>
    <row r="843" spans="1:1" ht="13">
      <c r="A843" s="11"/>
    </row>
    <row r="844" spans="1:1" ht="13">
      <c r="A844" s="11"/>
    </row>
    <row r="845" spans="1:1" ht="13">
      <c r="A845" s="11"/>
    </row>
    <row r="846" spans="1:1" ht="13">
      <c r="A846" s="11"/>
    </row>
    <row r="847" spans="1:1" ht="13">
      <c r="A847" s="11"/>
    </row>
    <row r="848" spans="1:1" ht="13">
      <c r="A848" s="11"/>
    </row>
    <row r="849" spans="1:1" ht="13">
      <c r="A849" s="11"/>
    </row>
    <row r="850" spans="1:1" ht="13">
      <c r="A850" s="11"/>
    </row>
    <row r="851" spans="1:1" ht="13">
      <c r="A851" s="11"/>
    </row>
    <row r="852" spans="1:1" ht="13">
      <c r="A852" s="11"/>
    </row>
    <row r="853" spans="1:1" ht="13">
      <c r="A853" s="11"/>
    </row>
    <row r="854" spans="1:1" ht="13">
      <c r="A854" s="11"/>
    </row>
    <row r="855" spans="1:1" ht="13">
      <c r="A855" s="11"/>
    </row>
    <row r="856" spans="1:1" ht="13">
      <c r="A856" s="11"/>
    </row>
    <row r="857" spans="1:1" ht="13">
      <c r="A857" s="11"/>
    </row>
    <row r="858" spans="1:1" ht="13">
      <c r="A858" s="11"/>
    </row>
    <row r="859" spans="1:1" ht="13">
      <c r="A859" s="11"/>
    </row>
    <row r="860" spans="1:1" ht="13">
      <c r="A860" s="11"/>
    </row>
    <row r="861" spans="1:1" ht="13">
      <c r="A861" s="11"/>
    </row>
    <row r="862" spans="1:1" ht="13">
      <c r="A862" s="11"/>
    </row>
    <row r="863" spans="1:1" ht="13">
      <c r="A863" s="11"/>
    </row>
    <row r="864" spans="1:1" ht="13">
      <c r="A864" s="11"/>
    </row>
    <row r="865" spans="1:1" ht="13">
      <c r="A865" s="11"/>
    </row>
    <row r="866" spans="1:1" ht="13">
      <c r="A866" s="11"/>
    </row>
    <row r="867" spans="1:1" ht="13">
      <c r="A867" s="11"/>
    </row>
    <row r="868" spans="1:1" ht="13">
      <c r="A868" s="11"/>
    </row>
    <row r="869" spans="1:1" ht="13">
      <c r="A869" s="11"/>
    </row>
    <row r="870" spans="1:1" ht="13">
      <c r="A870" s="11"/>
    </row>
    <row r="871" spans="1:1" ht="13">
      <c r="A871" s="11"/>
    </row>
    <row r="872" spans="1:1" ht="13">
      <c r="A872" s="11"/>
    </row>
    <row r="873" spans="1:1" ht="13">
      <c r="A873" s="11"/>
    </row>
    <row r="874" spans="1:1" ht="13">
      <c r="A874" s="11"/>
    </row>
    <row r="875" spans="1:1" ht="13">
      <c r="A875" s="11"/>
    </row>
    <row r="876" spans="1:1" ht="13">
      <c r="A876" s="11"/>
    </row>
    <row r="877" spans="1:1" ht="13">
      <c r="A877" s="11"/>
    </row>
    <row r="878" spans="1:1" ht="13">
      <c r="A878" s="11"/>
    </row>
    <row r="879" spans="1:1" ht="13">
      <c r="A879" s="11"/>
    </row>
    <row r="880" spans="1:1" ht="13">
      <c r="A880" s="11"/>
    </row>
    <row r="881" spans="1:1" ht="13">
      <c r="A881" s="11"/>
    </row>
    <row r="882" spans="1:1" ht="13">
      <c r="A882" s="11"/>
    </row>
    <row r="883" spans="1:1" ht="13">
      <c r="A883" s="11"/>
    </row>
    <row r="884" spans="1:1" ht="13">
      <c r="A884" s="11"/>
    </row>
    <row r="885" spans="1:1" ht="13">
      <c r="A885" s="11"/>
    </row>
    <row r="886" spans="1:1" ht="13">
      <c r="A886" s="11"/>
    </row>
    <row r="887" spans="1:1" ht="13">
      <c r="A887" s="11"/>
    </row>
    <row r="888" spans="1:1" ht="13">
      <c r="A888" s="11"/>
    </row>
    <row r="889" spans="1:1" ht="13">
      <c r="A889" s="11"/>
    </row>
    <row r="890" spans="1:1" ht="13">
      <c r="A890" s="11"/>
    </row>
    <row r="891" spans="1:1" ht="13">
      <c r="A891" s="11"/>
    </row>
    <row r="892" spans="1:1" ht="13">
      <c r="A892" s="11"/>
    </row>
    <row r="893" spans="1:1" ht="13">
      <c r="A893" s="11"/>
    </row>
    <row r="894" spans="1:1" ht="13">
      <c r="A894" s="11"/>
    </row>
    <row r="895" spans="1:1" ht="13">
      <c r="A895" s="11"/>
    </row>
    <row r="896" spans="1:1" ht="13">
      <c r="A896" s="11"/>
    </row>
    <row r="897" spans="1:1" ht="13">
      <c r="A897" s="11"/>
    </row>
    <row r="898" spans="1:1" ht="13">
      <c r="A898" s="11"/>
    </row>
    <row r="899" spans="1:1" ht="13">
      <c r="A899" s="11"/>
    </row>
    <row r="900" spans="1:1" ht="13">
      <c r="A900" s="11"/>
    </row>
    <row r="901" spans="1:1" ht="13">
      <c r="A901" s="11"/>
    </row>
    <row r="902" spans="1:1" ht="13">
      <c r="A902" s="11"/>
    </row>
    <row r="903" spans="1:1" ht="13">
      <c r="A903" s="11"/>
    </row>
    <row r="904" spans="1:1" ht="13">
      <c r="A904" s="11"/>
    </row>
    <row r="905" spans="1:1" ht="13">
      <c r="A905" s="11"/>
    </row>
    <row r="906" spans="1:1" ht="13">
      <c r="A906" s="11"/>
    </row>
    <row r="907" spans="1:1" ht="13">
      <c r="A907" s="11"/>
    </row>
    <row r="908" spans="1:1" ht="13">
      <c r="A908" s="11"/>
    </row>
    <row r="909" spans="1:1" ht="13">
      <c r="A909" s="11"/>
    </row>
    <row r="910" spans="1:1" ht="13">
      <c r="A910" s="11"/>
    </row>
    <row r="911" spans="1:1" ht="13">
      <c r="A911" s="11"/>
    </row>
    <row r="912" spans="1:1" ht="13">
      <c r="A912" s="11"/>
    </row>
    <row r="913" spans="1:1" ht="13">
      <c r="A913" s="11"/>
    </row>
    <row r="914" spans="1:1" ht="13">
      <c r="A914" s="11"/>
    </row>
    <row r="915" spans="1:1" ht="13">
      <c r="A915" s="11"/>
    </row>
    <row r="916" spans="1:1" ht="13">
      <c r="A916" s="11"/>
    </row>
    <row r="917" spans="1:1" ht="13">
      <c r="A917" s="11"/>
    </row>
    <row r="918" spans="1:1" ht="13">
      <c r="A918" s="11"/>
    </row>
    <row r="919" spans="1:1" ht="13">
      <c r="A919" s="11"/>
    </row>
    <row r="920" spans="1:1" ht="13">
      <c r="A920" s="11"/>
    </row>
    <row r="921" spans="1:1" ht="13">
      <c r="A921" s="11"/>
    </row>
    <row r="922" spans="1:1" ht="13">
      <c r="A922" s="11"/>
    </row>
    <row r="923" spans="1:1" ht="13">
      <c r="A923" s="11"/>
    </row>
    <row r="924" spans="1:1" ht="13">
      <c r="A924" s="11"/>
    </row>
    <row r="925" spans="1:1" ht="13">
      <c r="A925" s="11"/>
    </row>
    <row r="926" spans="1:1" ht="13">
      <c r="A926" s="11"/>
    </row>
    <row r="927" spans="1:1" ht="13">
      <c r="A927" s="11"/>
    </row>
    <row r="928" spans="1:1" ht="13">
      <c r="A928" s="11"/>
    </row>
    <row r="929" spans="1:1" ht="13">
      <c r="A929" s="11"/>
    </row>
    <row r="930" spans="1:1" ht="13">
      <c r="A930" s="11"/>
    </row>
    <row r="931" spans="1:1" ht="13">
      <c r="A931" s="11"/>
    </row>
    <row r="932" spans="1:1" ht="13">
      <c r="A932" s="11"/>
    </row>
    <row r="933" spans="1:1" ht="13">
      <c r="A933" s="11"/>
    </row>
    <row r="934" spans="1:1" ht="13">
      <c r="A934" s="11"/>
    </row>
    <row r="935" spans="1:1" ht="13">
      <c r="A935" s="11"/>
    </row>
    <row r="936" spans="1:1" ht="13">
      <c r="A936" s="11"/>
    </row>
    <row r="937" spans="1:1" ht="13">
      <c r="A937" s="11"/>
    </row>
    <row r="938" spans="1:1" ht="13">
      <c r="A938" s="11"/>
    </row>
    <row r="939" spans="1:1" ht="13">
      <c r="A939" s="11"/>
    </row>
    <row r="940" spans="1:1" ht="13">
      <c r="A940" s="11"/>
    </row>
    <row r="941" spans="1:1" ht="13">
      <c r="A941" s="11"/>
    </row>
    <row r="942" spans="1:1" ht="13">
      <c r="A942" s="11"/>
    </row>
    <row r="943" spans="1:1" ht="13">
      <c r="A943" s="11"/>
    </row>
    <row r="944" spans="1:1" ht="13">
      <c r="A944" s="11"/>
    </row>
    <row r="945" spans="1:1" ht="13">
      <c r="A945" s="11"/>
    </row>
    <row r="946" spans="1:1" ht="13">
      <c r="A946" s="11"/>
    </row>
    <row r="947" spans="1:1" ht="13">
      <c r="A947" s="11"/>
    </row>
    <row r="948" spans="1:1" ht="13">
      <c r="A948" s="11"/>
    </row>
    <row r="949" spans="1:1" ht="13">
      <c r="A949" s="11"/>
    </row>
    <row r="950" spans="1:1" ht="13">
      <c r="A950" s="11"/>
    </row>
    <row r="951" spans="1:1" ht="13">
      <c r="A951" s="11"/>
    </row>
    <row r="952" spans="1:1" ht="13">
      <c r="A952" s="11"/>
    </row>
    <row r="953" spans="1:1" ht="13">
      <c r="A953" s="11"/>
    </row>
    <row r="954" spans="1:1" ht="13">
      <c r="A954" s="11"/>
    </row>
    <row r="955" spans="1:1" ht="13">
      <c r="A955" s="11"/>
    </row>
    <row r="956" spans="1:1" ht="13">
      <c r="A956" s="11"/>
    </row>
    <row r="957" spans="1:1" ht="13">
      <c r="A957" s="11"/>
    </row>
    <row r="958" spans="1:1" ht="13">
      <c r="A958" s="11"/>
    </row>
    <row r="959" spans="1:1" ht="13">
      <c r="A959" s="11"/>
    </row>
    <row r="960" spans="1:1" ht="13">
      <c r="A960" s="11"/>
    </row>
    <row r="961" spans="1:1" ht="13">
      <c r="A961" s="11"/>
    </row>
    <row r="962" spans="1:1" ht="13">
      <c r="A962" s="11"/>
    </row>
    <row r="963" spans="1:1" ht="13">
      <c r="A963" s="11"/>
    </row>
    <row r="964" spans="1:1" ht="13">
      <c r="A964" s="11"/>
    </row>
    <row r="965" spans="1:1" ht="13">
      <c r="A965" s="11"/>
    </row>
    <row r="966" spans="1:1" ht="13">
      <c r="A966" s="11"/>
    </row>
    <row r="967" spans="1:1" ht="13">
      <c r="A967" s="11"/>
    </row>
    <row r="968" spans="1:1" ht="13">
      <c r="A968" s="11"/>
    </row>
    <row r="969" spans="1:1" ht="13">
      <c r="A969" s="11"/>
    </row>
    <row r="970" spans="1:1" ht="13">
      <c r="A970" s="11"/>
    </row>
    <row r="971" spans="1:1" ht="13">
      <c r="A971" s="11"/>
    </row>
    <row r="972" spans="1:1" ht="13">
      <c r="A972" s="11"/>
    </row>
    <row r="973" spans="1:1" ht="13">
      <c r="A973" s="11"/>
    </row>
    <row r="974" spans="1:1" ht="13">
      <c r="A974" s="11"/>
    </row>
    <row r="975" spans="1:1" ht="13">
      <c r="A975" s="11"/>
    </row>
    <row r="976" spans="1:1" ht="13">
      <c r="A976" s="11"/>
    </row>
    <row r="977" spans="1:1" ht="13">
      <c r="A977" s="11"/>
    </row>
    <row r="978" spans="1:1" ht="13">
      <c r="A978" s="11"/>
    </row>
    <row r="979" spans="1:1" ht="13">
      <c r="A979" s="11"/>
    </row>
    <row r="980" spans="1:1" ht="13">
      <c r="A980" s="11"/>
    </row>
    <row r="981" spans="1:1" ht="13">
      <c r="A981" s="11"/>
    </row>
    <row r="982" spans="1:1" ht="13">
      <c r="A982" s="11"/>
    </row>
    <row r="983" spans="1:1" ht="13">
      <c r="A983" s="11"/>
    </row>
    <row r="984" spans="1:1" ht="13">
      <c r="A984" s="11"/>
    </row>
    <row r="985" spans="1:1" ht="13">
      <c r="A985" s="11"/>
    </row>
    <row r="986" spans="1:1" ht="13">
      <c r="A986" s="11"/>
    </row>
    <row r="987" spans="1:1" ht="13">
      <c r="A987" s="11"/>
    </row>
    <row r="988" spans="1:1" ht="13">
      <c r="A988" s="11"/>
    </row>
    <row r="989" spans="1:1" ht="13">
      <c r="A989" s="11"/>
    </row>
    <row r="990" spans="1:1" ht="13">
      <c r="A990" s="11"/>
    </row>
    <row r="991" spans="1:1" ht="13">
      <c r="A991" s="11"/>
    </row>
    <row r="992" spans="1:1" ht="13">
      <c r="A992" s="11"/>
    </row>
    <row r="993" spans="1:1" ht="13">
      <c r="A993" s="11"/>
    </row>
    <row r="994" spans="1:1" ht="13">
      <c r="A994" s="11"/>
    </row>
    <row r="995" spans="1:1" ht="13">
      <c r="A995" s="11"/>
    </row>
    <row r="996" spans="1:1" ht="13">
      <c r="A996" s="11"/>
    </row>
    <row r="997" spans="1:1" ht="13">
      <c r="A997" s="11"/>
    </row>
    <row r="998" spans="1:1" ht="13">
      <c r="A998" s="11"/>
    </row>
    <row r="999" spans="1:1" ht="13">
      <c r="A999" s="11"/>
    </row>
    <row r="1000" spans="1:1" ht="13">
      <c r="A1000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1"/>
  <sheetViews>
    <sheetView workbookViewId="0">
      <pane xSplit="1" topLeftCell="B1" activePane="topRight" state="frozen"/>
      <selection pane="topRight" activeCell="B2" sqref="B2:N4"/>
    </sheetView>
  </sheetViews>
  <sheetFormatPr baseColWidth="10" defaultColWidth="14.5" defaultRowHeight="15.75" customHeight="1"/>
  <sheetData>
    <row r="1" spans="1:14" ht="15.75" customHeight="1">
      <c r="A1" s="3" t="s">
        <v>1</v>
      </c>
      <c r="B1" s="28" t="s">
        <v>9</v>
      </c>
      <c r="C1" s="28" t="s">
        <v>9</v>
      </c>
      <c r="D1" s="28" t="s">
        <v>9</v>
      </c>
      <c r="E1" s="28" t="s">
        <v>9</v>
      </c>
      <c r="F1" s="28" t="s">
        <v>9</v>
      </c>
      <c r="G1" s="28" t="s">
        <v>9</v>
      </c>
      <c r="H1" s="28" t="s">
        <v>9</v>
      </c>
      <c r="I1" s="28" t="s">
        <v>9</v>
      </c>
      <c r="J1" s="28" t="s">
        <v>9</v>
      </c>
      <c r="K1" s="28" t="s">
        <v>9</v>
      </c>
      <c r="L1" s="28" t="s">
        <v>9</v>
      </c>
      <c r="M1" s="28" t="s">
        <v>9</v>
      </c>
      <c r="N1" s="28" t="s">
        <v>9</v>
      </c>
    </row>
    <row r="2" spans="1:14" ht="15.75" customHeight="1">
      <c r="A2" s="3" t="s">
        <v>289</v>
      </c>
      <c r="B2" s="28" t="s">
        <v>290</v>
      </c>
      <c r="C2" s="28" t="s">
        <v>290</v>
      </c>
      <c r="D2" s="28" t="s">
        <v>290</v>
      </c>
      <c r="E2" s="28" t="s">
        <v>290</v>
      </c>
      <c r="F2" s="28" t="s">
        <v>290</v>
      </c>
      <c r="G2" s="28" t="s">
        <v>290</v>
      </c>
      <c r="H2" s="28" t="s">
        <v>290</v>
      </c>
      <c r="I2" s="28" t="s">
        <v>290</v>
      </c>
      <c r="J2" s="28" t="s">
        <v>290</v>
      </c>
      <c r="K2" s="28" t="s">
        <v>290</v>
      </c>
      <c r="L2" s="28" t="s">
        <v>290</v>
      </c>
      <c r="M2" s="28" t="s">
        <v>290</v>
      </c>
      <c r="N2" s="28" t="s">
        <v>290</v>
      </c>
    </row>
    <row r="3" spans="1:14" ht="15.75" customHeight="1">
      <c r="A3" s="3" t="s">
        <v>162</v>
      </c>
      <c r="B3" s="29" t="s">
        <v>291</v>
      </c>
      <c r="C3" s="29" t="s">
        <v>292</v>
      </c>
      <c r="D3" s="29" t="s">
        <v>293</v>
      </c>
      <c r="E3" s="29" t="s">
        <v>294</v>
      </c>
      <c r="F3" s="29" t="s">
        <v>295</v>
      </c>
      <c r="G3" s="29" t="s">
        <v>296</v>
      </c>
      <c r="H3" s="29" t="s">
        <v>297</v>
      </c>
      <c r="I3" s="29" t="s">
        <v>298</v>
      </c>
      <c r="J3" s="29" t="s">
        <v>299</v>
      </c>
      <c r="K3" s="29" t="s">
        <v>300</v>
      </c>
      <c r="L3" s="29" t="s">
        <v>301</v>
      </c>
      <c r="M3" s="29" t="s">
        <v>302</v>
      </c>
      <c r="N3" s="29" t="s">
        <v>303</v>
      </c>
    </row>
    <row r="4" spans="1:14" ht="15.75" customHeight="1">
      <c r="A4" s="31" t="s">
        <v>304</v>
      </c>
      <c r="B4" s="28" t="s">
        <v>305</v>
      </c>
      <c r="C4" s="28" t="s">
        <v>306</v>
      </c>
      <c r="D4" s="28" t="s">
        <v>307</v>
      </c>
      <c r="E4" s="28" t="s">
        <v>308</v>
      </c>
      <c r="F4" s="28" t="s">
        <v>309</v>
      </c>
      <c r="G4" s="28" t="s">
        <v>310</v>
      </c>
      <c r="H4" s="28" t="s">
        <v>311</v>
      </c>
      <c r="I4" s="28" t="s">
        <v>312</v>
      </c>
      <c r="J4" s="28" t="s">
        <v>313</v>
      </c>
      <c r="K4" s="28" t="s">
        <v>314</v>
      </c>
      <c r="L4" s="28" t="s">
        <v>315</v>
      </c>
      <c r="M4" s="28" t="s">
        <v>316</v>
      </c>
      <c r="N4" s="28" t="s">
        <v>317</v>
      </c>
    </row>
    <row r="5" spans="1:14" ht="15.75" customHeight="1">
      <c r="A5" s="3" t="s">
        <v>156</v>
      </c>
      <c r="B5" s="28" t="s">
        <v>318</v>
      </c>
      <c r="C5" s="28" t="s">
        <v>319</v>
      </c>
      <c r="D5" s="28" t="s">
        <v>320</v>
      </c>
      <c r="E5" s="28" t="s">
        <v>321</v>
      </c>
      <c r="F5" s="28" t="s">
        <v>322</v>
      </c>
      <c r="G5" s="28" t="s">
        <v>323</v>
      </c>
      <c r="H5" s="28" t="s">
        <v>324</v>
      </c>
      <c r="I5" s="28" t="s">
        <v>325</v>
      </c>
      <c r="J5" s="28" t="s">
        <v>326</v>
      </c>
      <c r="K5" s="28" t="s">
        <v>327</v>
      </c>
      <c r="L5" s="28" t="s">
        <v>328</v>
      </c>
      <c r="M5" s="28" t="s">
        <v>329</v>
      </c>
      <c r="N5" s="28" t="s">
        <v>330</v>
      </c>
    </row>
    <row r="6" spans="1:14" ht="15.75" customHeight="1">
      <c r="A6" s="3" t="s">
        <v>331</v>
      </c>
      <c r="B6" s="32" t="str">
        <f t="shared" ref="B6:N6" si="0">CONCATENATE("https://fragalysis.diamond.ac.uk/viewer/react/preview/direct/target/Mac1/mols/",B4,"/L/P/C")</f>
        <v>https://fragalysis.diamond.ac.uk/viewer/react/preview/direct/target/Mac1/mols/ZINC000001612349/L/P/C</v>
      </c>
      <c r="C6" s="32" t="str">
        <f t="shared" si="0"/>
        <v>https://fragalysis.diamond.ac.uk/viewer/react/preview/direct/target/Mac1/mols/ZINC000002977810/L/P/C</v>
      </c>
      <c r="D6" s="32" t="str">
        <f t="shared" si="0"/>
        <v>https://fragalysis.diamond.ac.uk/viewer/react/preview/direct/target/Mac1/mols/ZINC000000149580/L/P/C</v>
      </c>
      <c r="E6" s="32" t="str">
        <f t="shared" si="0"/>
        <v>https://fragalysis.diamond.ac.uk/viewer/react/preview/direct/target/Mac1/mols/ZINC000000157088/L/P/C</v>
      </c>
      <c r="F6" s="32" t="str">
        <f t="shared" si="0"/>
        <v>https://fragalysis.diamond.ac.uk/viewer/react/preview/direct/target/Mac1/mols/ZINC000000332748/L/P/C</v>
      </c>
      <c r="G6" s="32" t="str">
        <f t="shared" si="0"/>
        <v>https://fragalysis.diamond.ac.uk/viewer/react/preview/direct/target/Mac1/mols/ZINC000013514509/L/P/C</v>
      </c>
      <c r="H6" s="32" t="str">
        <f t="shared" si="0"/>
        <v>https://fragalysis.diamond.ac.uk/viewer/react/preview/direct/target/Mac1/mols/ZINC000000154817/L/P/C</v>
      </c>
      <c r="I6" s="32" t="str">
        <f t="shared" si="0"/>
        <v>https://fragalysis.diamond.ac.uk/viewer/react/preview/direct/target/Mac1/mols/ZINC000002508153/L/P/C</v>
      </c>
      <c r="J6" s="32" t="str">
        <f t="shared" si="0"/>
        <v>https://fragalysis.diamond.ac.uk/viewer/react/preview/direct/target/Mac1/mols/ZINC000016052862/L/P/C</v>
      </c>
      <c r="K6" s="32" t="str">
        <f t="shared" si="0"/>
        <v>https://fragalysis.diamond.ac.uk/viewer/react/preview/direct/target/Mac1/mols/ZINC000000159004/L/P/C</v>
      </c>
      <c r="L6" s="32" t="str">
        <f t="shared" si="0"/>
        <v>https://fragalysis.diamond.ac.uk/viewer/react/preview/direct/target/Mac1/mols/ZINC000002582714/L/P/C</v>
      </c>
      <c r="M6" s="32" t="str">
        <f t="shared" si="0"/>
        <v>https://fragalysis.diamond.ac.uk/viewer/react/preview/direct/target/Mac1/mols/ZINC000002506130/L/P/C</v>
      </c>
      <c r="N6" s="32" t="str">
        <f t="shared" si="0"/>
        <v>https://fragalysis.diamond.ac.uk/viewer/react/preview/direct/target/Mac1/mols/ZINC000020269197/L/P/C</v>
      </c>
    </row>
    <row r="7" spans="1:14" ht="15.75" customHeight="1">
      <c r="A7" s="3" t="s">
        <v>163</v>
      </c>
      <c r="B7" s="28">
        <v>1.0329999999999999</v>
      </c>
      <c r="C7" s="28">
        <v>1.0329999999999999</v>
      </c>
      <c r="D7" s="28">
        <v>1.0329999999999999</v>
      </c>
      <c r="E7" s="28">
        <v>1.0329999999999999</v>
      </c>
      <c r="F7" s="28">
        <v>1.0329999999999999</v>
      </c>
      <c r="G7" s="28">
        <v>1.0329999999999999</v>
      </c>
      <c r="H7" s="28">
        <v>0.97946</v>
      </c>
      <c r="I7" s="28">
        <v>0.97946</v>
      </c>
      <c r="J7" s="28">
        <v>0.97946</v>
      </c>
      <c r="K7" s="28">
        <v>0.97946</v>
      </c>
      <c r="L7" s="28">
        <v>0.97946</v>
      </c>
      <c r="M7" s="28">
        <v>0.97946</v>
      </c>
      <c r="N7" s="28">
        <v>0.97946</v>
      </c>
    </row>
    <row r="8" spans="1:14" ht="15.75" customHeight="1">
      <c r="A8" s="3" t="s">
        <v>164</v>
      </c>
      <c r="B8" s="28" t="s">
        <v>332</v>
      </c>
      <c r="C8" s="28" t="s">
        <v>333</v>
      </c>
      <c r="D8" s="28" t="s">
        <v>334</v>
      </c>
      <c r="E8" s="28" t="s">
        <v>335</v>
      </c>
      <c r="F8" s="28" t="s">
        <v>336</v>
      </c>
      <c r="G8" s="28" t="s">
        <v>337</v>
      </c>
      <c r="H8" s="28" t="s">
        <v>338</v>
      </c>
      <c r="I8" s="28" t="s">
        <v>339</v>
      </c>
      <c r="J8" s="28" t="s">
        <v>340</v>
      </c>
      <c r="K8" s="28" t="s">
        <v>341</v>
      </c>
      <c r="L8" s="28" t="s">
        <v>342</v>
      </c>
      <c r="M8" s="28" t="s">
        <v>343</v>
      </c>
      <c r="N8" s="28" t="s">
        <v>344</v>
      </c>
    </row>
    <row r="9" spans="1:14" ht="15.75" customHeight="1">
      <c r="A9" s="3" t="s">
        <v>170</v>
      </c>
      <c r="B9" s="28" t="s">
        <v>171</v>
      </c>
      <c r="C9" s="28" t="s">
        <v>171</v>
      </c>
      <c r="D9" s="28" t="s">
        <v>171</v>
      </c>
      <c r="E9" s="28" t="s">
        <v>171</v>
      </c>
      <c r="F9" s="28" t="s">
        <v>171</v>
      </c>
      <c r="G9" s="28" t="s">
        <v>171</v>
      </c>
      <c r="H9" s="28" t="s">
        <v>171</v>
      </c>
      <c r="I9" s="28" t="s">
        <v>171</v>
      </c>
      <c r="J9" s="28" t="s">
        <v>171</v>
      </c>
      <c r="K9" s="28" t="s">
        <v>171</v>
      </c>
      <c r="L9" s="28" t="s">
        <v>171</v>
      </c>
      <c r="M9" s="28" t="s">
        <v>171</v>
      </c>
      <c r="N9" s="28" t="s">
        <v>171</v>
      </c>
    </row>
    <row r="10" spans="1:14" ht="15.75" customHeight="1">
      <c r="A10" s="3" t="s">
        <v>173</v>
      </c>
      <c r="B10" s="28" t="s">
        <v>345</v>
      </c>
      <c r="C10" s="28" t="s">
        <v>346</v>
      </c>
      <c r="D10" s="28" t="s">
        <v>347</v>
      </c>
      <c r="E10" s="28" t="s">
        <v>348</v>
      </c>
      <c r="F10" s="28" t="s">
        <v>349</v>
      </c>
      <c r="G10" s="28" t="s">
        <v>350</v>
      </c>
      <c r="H10" s="28" t="s">
        <v>351</v>
      </c>
      <c r="I10" s="28" t="s">
        <v>352</v>
      </c>
      <c r="J10" s="28" t="s">
        <v>353</v>
      </c>
      <c r="K10" s="28" t="s">
        <v>354</v>
      </c>
      <c r="L10" s="28" t="s">
        <v>355</v>
      </c>
      <c r="M10" s="28" t="s">
        <v>356</v>
      </c>
      <c r="N10" s="28" t="s">
        <v>357</v>
      </c>
    </row>
    <row r="11" spans="1:14" ht="15.75" customHeight="1">
      <c r="A11" s="3" t="s">
        <v>179</v>
      </c>
      <c r="B11" s="28" t="s">
        <v>358</v>
      </c>
      <c r="C11" s="28" t="s">
        <v>359</v>
      </c>
      <c r="D11" s="28" t="s">
        <v>360</v>
      </c>
      <c r="E11" s="28" t="s">
        <v>361</v>
      </c>
      <c r="F11" s="28" t="s">
        <v>362</v>
      </c>
      <c r="G11" s="28" t="s">
        <v>363</v>
      </c>
      <c r="H11" s="28" t="s">
        <v>364</v>
      </c>
      <c r="I11" s="28" t="s">
        <v>365</v>
      </c>
      <c r="J11" s="28" t="s">
        <v>366</v>
      </c>
      <c r="K11" s="28" t="s">
        <v>367</v>
      </c>
      <c r="L11" s="28" t="s">
        <v>368</v>
      </c>
      <c r="M11" s="28" t="s">
        <v>369</v>
      </c>
      <c r="N11" s="28" t="s">
        <v>370</v>
      </c>
    </row>
    <row r="12" spans="1:14" ht="15.75" customHeight="1">
      <c r="A12" s="3" t="s">
        <v>185</v>
      </c>
      <c r="B12" s="28" t="s">
        <v>371</v>
      </c>
      <c r="C12" s="28" t="s">
        <v>372</v>
      </c>
      <c r="D12" s="28" t="s">
        <v>373</v>
      </c>
      <c r="E12" s="28" t="s">
        <v>374</v>
      </c>
      <c r="F12" s="28" t="s">
        <v>375</v>
      </c>
      <c r="G12" s="28" t="s">
        <v>376</v>
      </c>
      <c r="H12" s="28" t="s">
        <v>377</v>
      </c>
      <c r="I12" s="28" t="s">
        <v>378</v>
      </c>
      <c r="J12" s="28" t="s">
        <v>379</v>
      </c>
      <c r="K12" s="28" t="s">
        <v>380</v>
      </c>
      <c r="L12" s="28" t="s">
        <v>381</v>
      </c>
      <c r="M12" s="28" t="s">
        <v>382</v>
      </c>
      <c r="N12" s="28" t="s">
        <v>383</v>
      </c>
    </row>
    <row r="13" spans="1:14" ht="15.75" customHeight="1">
      <c r="A13" s="3" t="s">
        <v>191</v>
      </c>
      <c r="B13" s="28" t="s">
        <v>384</v>
      </c>
      <c r="C13" s="28" t="s">
        <v>385</v>
      </c>
      <c r="D13" s="28" t="s">
        <v>386</v>
      </c>
      <c r="E13" s="28" t="s">
        <v>387</v>
      </c>
      <c r="F13" s="28" t="s">
        <v>388</v>
      </c>
      <c r="G13" s="28" t="s">
        <v>389</v>
      </c>
      <c r="H13" s="28" t="s">
        <v>390</v>
      </c>
      <c r="I13" s="28" t="s">
        <v>391</v>
      </c>
      <c r="J13" s="28" t="s">
        <v>392</v>
      </c>
      <c r="K13" s="28" t="s">
        <v>393</v>
      </c>
      <c r="L13" s="28" t="s">
        <v>394</v>
      </c>
      <c r="M13" s="28" t="s">
        <v>395</v>
      </c>
      <c r="N13" s="28" t="s">
        <v>396</v>
      </c>
    </row>
    <row r="14" spans="1:14" ht="15.75" customHeight="1">
      <c r="A14" s="3" t="s">
        <v>197</v>
      </c>
      <c r="B14" s="28" t="s">
        <v>397</v>
      </c>
      <c r="C14" s="28" t="s">
        <v>398</v>
      </c>
      <c r="D14" s="28" t="s">
        <v>399</v>
      </c>
      <c r="E14" s="28" t="s">
        <v>400</v>
      </c>
      <c r="F14" s="28" t="s">
        <v>401</v>
      </c>
      <c r="G14" s="28" t="s">
        <v>402</v>
      </c>
      <c r="H14" s="28" t="s">
        <v>403</v>
      </c>
      <c r="I14" s="28" t="s">
        <v>404</v>
      </c>
      <c r="J14" s="28" t="s">
        <v>405</v>
      </c>
      <c r="K14" s="28" t="s">
        <v>406</v>
      </c>
      <c r="L14" s="28" t="s">
        <v>407</v>
      </c>
      <c r="M14" s="28" t="s">
        <v>408</v>
      </c>
      <c r="N14" s="28" t="s">
        <v>409</v>
      </c>
    </row>
    <row r="15" spans="1:14" ht="15.75" customHeight="1">
      <c r="A15" s="3" t="s">
        <v>203</v>
      </c>
      <c r="B15" s="28" t="s">
        <v>410</v>
      </c>
      <c r="C15" s="28" t="s">
        <v>411</v>
      </c>
      <c r="D15" s="28" t="s">
        <v>412</v>
      </c>
      <c r="E15" s="28" t="s">
        <v>413</v>
      </c>
      <c r="F15" s="28" t="s">
        <v>414</v>
      </c>
      <c r="G15" s="28" t="s">
        <v>415</v>
      </c>
      <c r="H15" s="28" t="s">
        <v>416</v>
      </c>
      <c r="I15" s="28" t="s">
        <v>417</v>
      </c>
      <c r="J15" s="28" t="s">
        <v>418</v>
      </c>
      <c r="K15" s="28" t="s">
        <v>419</v>
      </c>
      <c r="L15" s="28" t="s">
        <v>420</v>
      </c>
      <c r="M15" s="28" t="s">
        <v>421</v>
      </c>
      <c r="N15" s="28" t="s">
        <v>422</v>
      </c>
    </row>
    <row r="16" spans="1:14" ht="15.75" customHeight="1">
      <c r="A16" s="3" t="s">
        <v>209</v>
      </c>
      <c r="B16" s="28">
        <v>12.64</v>
      </c>
      <c r="C16" s="28">
        <v>19.79</v>
      </c>
      <c r="D16" s="28">
        <v>16.07</v>
      </c>
      <c r="E16" s="28">
        <v>8.17</v>
      </c>
      <c r="F16" s="28">
        <v>15.76</v>
      </c>
      <c r="G16" s="28">
        <v>20.36</v>
      </c>
      <c r="H16" s="28">
        <v>8.1</v>
      </c>
      <c r="I16" s="28">
        <v>9.4600000000000009</v>
      </c>
      <c r="J16" s="28">
        <v>7.06</v>
      </c>
      <c r="K16" s="28">
        <v>18.899999999999999</v>
      </c>
      <c r="L16" s="28">
        <v>14.48</v>
      </c>
      <c r="M16" s="28">
        <v>10.29</v>
      </c>
      <c r="N16" s="28">
        <v>17.559999999999999</v>
      </c>
    </row>
    <row r="17" spans="1:14" ht="15.75" customHeight="1">
      <c r="A17" s="3" t="s">
        <v>210</v>
      </c>
      <c r="B17" s="28" t="s">
        <v>423</v>
      </c>
      <c r="C17" s="28" t="s">
        <v>424</v>
      </c>
      <c r="D17" s="28" t="s">
        <v>425</v>
      </c>
      <c r="E17" s="28" t="s">
        <v>426</v>
      </c>
      <c r="F17" s="28" t="s">
        <v>427</v>
      </c>
      <c r="G17" s="28" t="s">
        <v>428</v>
      </c>
      <c r="H17" s="28" t="s">
        <v>429</v>
      </c>
      <c r="I17" s="28" t="s">
        <v>430</v>
      </c>
      <c r="J17" s="28" t="s">
        <v>431</v>
      </c>
      <c r="K17" s="28" t="s">
        <v>432</v>
      </c>
      <c r="L17" s="28" t="s">
        <v>433</v>
      </c>
      <c r="M17" s="28" t="s">
        <v>434</v>
      </c>
      <c r="N17" s="28" t="s">
        <v>435</v>
      </c>
    </row>
    <row r="18" spans="1:14" ht="15.75" customHeight="1">
      <c r="A18" s="3" t="s">
        <v>216</v>
      </c>
      <c r="B18" s="28" t="s">
        <v>436</v>
      </c>
      <c r="C18" s="28" t="s">
        <v>437</v>
      </c>
      <c r="D18" s="28" t="s">
        <v>438</v>
      </c>
      <c r="E18" s="28" t="s">
        <v>439</v>
      </c>
      <c r="F18" s="28" t="s">
        <v>440</v>
      </c>
      <c r="G18" s="28" t="s">
        <v>441</v>
      </c>
      <c r="H18" s="28" t="s">
        <v>442</v>
      </c>
      <c r="I18" s="28" t="s">
        <v>443</v>
      </c>
      <c r="J18" s="28" t="s">
        <v>444</v>
      </c>
      <c r="K18" s="28" t="s">
        <v>445</v>
      </c>
      <c r="L18" s="28" t="s">
        <v>446</v>
      </c>
      <c r="M18" s="28" t="s">
        <v>447</v>
      </c>
      <c r="N18" s="28" t="s">
        <v>448</v>
      </c>
    </row>
    <row r="19" spans="1:14" ht="15.75" customHeight="1">
      <c r="A19" s="3" t="s">
        <v>222</v>
      </c>
      <c r="B19" s="28" t="s">
        <v>449</v>
      </c>
      <c r="C19" s="28" t="s">
        <v>450</v>
      </c>
      <c r="D19" s="28" t="s">
        <v>451</v>
      </c>
      <c r="E19" s="28" t="s">
        <v>452</v>
      </c>
      <c r="F19" s="28" t="s">
        <v>453</v>
      </c>
      <c r="G19" s="28" t="s">
        <v>454</v>
      </c>
      <c r="H19" s="28" t="s">
        <v>455</v>
      </c>
      <c r="I19" s="28" t="s">
        <v>456</v>
      </c>
      <c r="J19" s="28" t="s">
        <v>457</v>
      </c>
      <c r="K19" s="28" t="s">
        <v>458</v>
      </c>
      <c r="L19" s="28" t="s">
        <v>459</v>
      </c>
      <c r="M19" s="28" t="s">
        <v>460</v>
      </c>
      <c r="N19" s="28" t="s">
        <v>461</v>
      </c>
    </row>
    <row r="20" spans="1:14" ht="15.75" customHeight="1">
      <c r="A20" s="3" t="s">
        <v>228</v>
      </c>
      <c r="B20" s="28" t="s">
        <v>462</v>
      </c>
      <c r="C20" s="28" t="s">
        <v>463</v>
      </c>
      <c r="D20" s="28" t="s">
        <v>464</v>
      </c>
      <c r="E20" s="28" t="s">
        <v>465</v>
      </c>
      <c r="F20" s="28" t="s">
        <v>466</v>
      </c>
      <c r="G20" s="28" t="s">
        <v>467</v>
      </c>
      <c r="H20" s="28" t="s">
        <v>468</v>
      </c>
      <c r="I20" s="28" t="s">
        <v>469</v>
      </c>
      <c r="J20" s="28" t="s">
        <v>470</v>
      </c>
      <c r="K20" s="28" t="s">
        <v>471</v>
      </c>
      <c r="L20" s="28" t="s">
        <v>472</v>
      </c>
      <c r="M20" s="28" t="s">
        <v>473</v>
      </c>
      <c r="N20" s="28" t="s">
        <v>474</v>
      </c>
    </row>
    <row r="21" spans="1:14" ht="15.75" customHeight="1">
      <c r="A21" s="3" t="s">
        <v>234</v>
      </c>
      <c r="B21" s="28" t="s">
        <v>475</v>
      </c>
      <c r="C21" s="28" t="s">
        <v>476</v>
      </c>
      <c r="D21" s="28" t="s">
        <v>477</v>
      </c>
      <c r="E21" s="28" t="s">
        <v>478</v>
      </c>
      <c r="F21" s="28" t="s">
        <v>479</v>
      </c>
      <c r="G21" s="28" t="s">
        <v>480</v>
      </c>
      <c r="H21" s="28" t="s">
        <v>481</v>
      </c>
      <c r="I21" s="28" t="s">
        <v>482</v>
      </c>
      <c r="J21" s="28" t="s">
        <v>483</v>
      </c>
      <c r="K21" s="28" t="s">
        <v>484</v>
      </c>
      <c r="L21" s="28" t="s">
        <v>485</v>
      </c>
      <c r="M21" s="28" t="s">
        <v>486</v>
      </c>
      <c r="N21" s="28" t="s">
        <v>476</v>
      </c>
    </row>
    <row r="22" spans="1:14" ht="15.75" customHeight="1">
      <c r="A22" s="3" t="s">
        <v>240</v>
      </c>
      <c r="B22" s="28" t="s">
        <v>371</v>
      </c>
      <c r="C22" s="28" t="s">
        <v>487</v>
      </c>
      <c r="D22" s="28" t="s">
        <v>488</v>
      </c>
      <c r="E22" s="28" t="s">
        <v>489</v>
      </c>
      <c r="F22" s="28" t="s">
        <v>490</v>
      </c>
      <c r="G22" s="28" t="s">
        <v>491</v>
      </c>
      <c r="H22" s="28" t="s">
        <v>492</v>
      </c>
      <c r="I22" s="28" t="s">
        <v>493</v>
      </c>
      <c r="J22" s="28" t="s">
        <v>494</v>
      </c>
      <c r="K22" s="28" t="s">
        <v>495</v>
      </c>
      <c r="L22" s="28" t="s">
        <v>496</v>
      </c>
      <c r="M22" s="28" t="s">
        <v>497</v>
      </c>
      <c r="N22" s="28" t="s">
        <v>498</v>
      </c>
    </row>
    <row r="23" spans="1:14" ht="15.75" customHeight="1">
      <c r="A23" s="3" t="s">
        <v>246</v>
      </c>
      <c r="B23" s="28" t="s">
        <v>499</v>
      </c>
      <c r="C23" s="28" t="s">
        <v>500</v>
      </c>
      <c r="D23" s="28" t="s">
        <v>501</v>
      </c>
      <c r="E23" s="28" t="s">
        <v>502</v>
      </c>
      <c r="F23" s="28" t="s">
        <v>503</v>
      </c>
      <c r="G23" s="28" t="s">
        <v>504</v>
      </c>
      <c r="H23" s="28" t="s">
        <v>505</v>
      </c>
      <c r="I23" s="28" t="s">
        <v>506</v>
      </c>
      <c r="J23" s="28" t="s">
        <v>507</v>
      </c>
      <c r="K23" s="28" t="s">
        <v>508</v>
      </c>
      <c r="L23" s="28" t="s">
        <v>509</v>
      </c>
      <c r="M23" s="28" t="s">
        <v>510</v>
      </c>
      <c r="N23" s="28" t="s">
        <v>511</v>
      </c>
    </row>
    <row r="24" spans="1:14" ht="15.75" customHeight="1">
      <c r="A24" s="3" t="s">
        <v>252</v>
      </c>
      <c r="B24" s="28" t="s">
        <v>512</v>
      </c>
      <c r="C24" s="28" t="s">
        <v>513</v>
      </c>
      <c r="D24" s="28" t="s">
        <v>514</v>
      </c>
      <c r="E24" s="28" t="s">
        <v>515</v>
      </c>
      <c r="F24" s="28" t="s">
        <v>516</v>
      </c>
      <c r="G24" s="28" t="s">
        <v>517</v>
      </c>
      <c r="H24" s="28" t="s">
        <v>518</v>
      </c>
      <c r="I24" s="28" t="s">
        <v>519</v>
      </c>
      <c r="J24" s="28" t="s">
        <v>520</v>
      </c>
      <c r="K24" s="28" t="s">
        <v>521</v>
      </c>
      <c r="L24" s="28" t="s">
        <v>522</v>
      </c>
      <c r="M24" s="28" t="s">
        <v>523</v>
      </c>
      <c r="N24" s="28" t="s">
        <v>524</v>
      </c>
    </row>
    <row r="25" spans="1:14" ht="15.75" customHeight="1">
      <c r="A25" s="3" t="s">
        <v>258</v>
      </c>
      <c r="B25" s="28" t="s">
        <v>525</v>
      </c>
      <c r="C25" s="28" t="s">
        <v>526</v>
      </c>
      <c r="D25" s="28" t="s">
        <v>527</v>
      </c>
      <c r="E25" s="28" t="s">
        <v>528</v>
      </c>
      <c r="F25" s="28" t="s">
        <v>529</v>
      </c>
      <c r="G25" s="28" t="s">
        <v>530</v>
      </c>
      <c r="H25" s="28" t="s">
        <v>531</v>
      </c>
      <c r="I25" s="28" t="s">
        <v>532</v>
      </c>
      <c r="J25" s="28" t="s">
        <v>533</v>
      </c>
      <c r="K25" s="28" t="s">
        <v>534</v>
      </c>
      <c r="L25" s="28" t="s">
        <v>535</v>
      </c>
      <c r="M25" s="28" t="s">
        <v>536</v>
      </c>
      <c r="N25" s="28" t="s">
        <v>537</v>
      </c>
    </row>
    <row r="26" spans="1:14" ht="15.75" customHeight="1">
      <c r="A26" s="3" t="s">
        <v>264</v>
      </c>
      <c r="B26" s="28" t="s">
        <v>538</v>
      </c>
      <c r="C26" s="28" t="s">
        <v>539</v>
      </c>
      <c r="D26" s="28" t="s">
        <v>540</v>
      </c>
      <c r="E26" s="28" t="s">
        <v>541</v>
      </c>
      <c r="F26" s="28" t="s">
        <v>542</v>
      </c>
      <c r="G26" s="28" t="s">
        <v>543</v>
      </c>
      <c r="H26" s="28" t="s">
        <v>544</v>
      </c>
      <c r="I26" s="28" t="s">
        <v>545</v>
      </c>
      <c r="J26" s="28" t="s">
        <v>546</v>
      </c>
      <c r="K26" s="28" t="s">
        <v>547</v>
      </c>
      <c r="L26" s="28" t="s">
        <v>548</v>
      </c>
      <c r="M26" s="28" t="s">
        <v>549</v>
      </c>
      <c r="N26" s="28" t="s">
        <v>550</v>
      </c>
    </row>
    <row r="27" spans="1:14" ht="15.75" customHeight="1">
      <c r="A27" s="3" t="s">
        <v>270</v>
      </c>
      <c r="B27" s="28" t="s">
        <v>551</v>
      </c>
      <c r="C27" s="28" t="s">
        <v>552</v>
      </c>
      <c r="D27" s="28" t="s">
        <v>553</v>
      </c>
      <c r="E27" s="28" t="s">
        <v>554</v>
      </c>
      <c r="F27" s="28" t="s">
        <v>555</v>
      </c>
      <c r="G27" s="28" t="s">
        <v>556</v>
      </c>
      <c r="H27" s="28" t="s">
        <v>557</v>
      </c>
      <c r="I27" s="28" t="s">
        <v>558</v>
      </c>
      <c r="J27" s="28" t="s">
        <v>559</v>
      </c>
      <c r="K27" s="28" t="s">
        <v>560</v>
      </c>
      <c r="L27" s="28" t="s">
        <v>561</v>
      </c>
      <c r="M27" s="28" t="s">
        <v>562</v>
      </c>
      <c r="N27" s="28" t="s">
        <v>563</v>
      </c>
    </row>
    <row r="28" spans="1:14" ht="15.75" customHeight="1">
      <c r="A28" s="3" t="s">
        <v>276</v>
      </c>
      <c r="B28" s="28">
        <v>1589</v>
      </c>
      <c r="C28" s="28">
        <v>1470</v>
      </c>
      <c r="D28" s="28">
        <v>1471</v>
      </c>
      <c r="E28" s="28">
        <v>1720</v>
      </c>
      <c r="F28" s="28">
        <v>1496</v>
      </c>
      <c r="G28" s="28">
        <v>1462</v>
      </c>
      <c r="H28" s="28">
        <v>1713</v>
      </c>
      <c r="I28" s="28">
        <v>1679</v>
      </c>
      <c r="J28" s="28">
        <v>1700</v>
      </c>
      <c r="K28" s="28">
        <v>1475</v>
      </c>
      <c r="L28" s="28">
        <v>1576</v>
      </c>
      <c r="M28" s="28">
        <v>1674</v>
      </c>
      <c r="N28" s="28">
        <v>1489</v>
      </c>
    </row>
    <row r="29" spans="1:14" ht="15.75" customHeight="1">
      <c r="A29" s="3" t="s">
        <v>277</v>
      </c>
      <c r="B29" s="28">
        <v>1314</v>
      </c>
      <c r="C29" s="28">
        <v>1314</v>
      </c>
      <c r="D29" s="28">
        <v>1309</v>
      </c>
      <c r="E29" s="28">
        <v>1430</v>
      </c>
      <c r="F29" s="28">
        <v>1309</v>
      </c>
      <c r="G29" s="28">
        <v>1309</v>
      </c>
      <c r="H29" s="28">
        <v>1404</v>
      </c>
      <c r="I29" s="28">
        <v>1404</v>
      </c>
      <c r="J29" s="28">
        <v>1404</v>
      </c>
      <c r="K29" s="28">
        <v>1309</v>
      </c>
      <c r="L29" s="28">
        <v>1314</v>
      </c>
      <c r="M29" s="28">
        <v>1404</v>
      </c>
      <c r="N29" s="28">
        <v>1309</v>
      </c>
    </row>
    <row r="30" spans="1:14" ht="15.75" customHeight="1">
      <c r="A30" s="3" t="s">
        <v>278</v>
      </c>
      <c r="B30" s="28">
        <v>12</v>
      </c>
      <c r="C30" s="28">
        <v>13</v>
      </c>
      <c r="D30" s="28">
        <v>8</v>
      </c>
      <c r="E30" s="28">
        <v>10</v>
      </c>
      <c r="F30" s="28">
        <v>11</v>
      </c>
      <c r="G30" s="28">
        <v>12</v>
      </c>
      <c r="H30" s="28">
        <v>11</v>
      </c>
      <c r="I30" s="28">
        <v>13</v>
      </c>
      <c r="J30" s="28">
        <v>9</v>
      </c>
      <c r="K30" s="28">
        <v>15</v>
      </c>
      <c r="L30" s="28">
        <v>13</v>
      </c>
      <c r="M30" s="28">
        <v>15</v>
      </c>
      <c r="N30" s="28">
        <v>13</v>
      </c>
    </row>
    <row r="31" spans="1:14" ht="15.75" customHeight="1">
      <c r="A31" s="3" t="s">
        <v>279</v>
      </c>
      <c r="B31" s="28">
        <v>263</v>
      </c>
      <c r="C31" s="28">
        <v>143</v>
      </c>
      <c r="D31" s="28">
        <v>154</v>
      </c>
      <c r="E31" s="28">
        <v>280</v>
      </c>
      <c r="F31" s="28">
        <v>176</v>
      </c>
      <c r="G31" s="28">
        <v>141</v>
      </c>
      <c r="H31" s="28">
        <v>298</v>
      </c>
      <c r="I31" s="28">
        <v>262</v>
      </c>
      <c r="J31" s="28">
        <v>287</v>
      </c>
      <c r="K31" s="28">
        <v>151</v>
      </c>
      <c r="L31" s="28">
        <v>249</v>
      </c>
      <c r="M31" s="28">
        <v>255</v>
      </c>
      <c r="N31" s="28">
        <v>167</v>
      </c>
    </row>
    <row r="32" spans="1:14" ht="15.75" customHeight="1">
      <c r="A32" s="3" t="s">
        <v>280</v>
      </c>
      <c r="B32" s="28">
        <v>168</v>
      </c>
      <c r="C32" s="28">
        <v>168</v>
      </c>
      <c r="D32" s="28">
        <v>168</v>
      </c>
      <c r="E32" s="28">
        <v>173</v>
      </c>
      <c r="F32" s="28">
        <v>168</v>
      </c>
      <c r="G32" s="28">
        <v>168</v>
      </c>
      <c r="H32" s="28">
        <v>168</v>
      </c>
      <c r="I32" s="28">
        <v>168</v>
      </c>
      <c r="J32" s="28">
        <v>168</v>
      </c>
      <c r="K32" s="28">
        <v>168</v>
      </c>
      <c r="L32" s="28">
        <v>168</v>
      </c>
      <c r="M32" s="28">
        <v>168</v>
      </c>
      <c r="N32" s="28">
        <v>168</v>
      </c>
    </row>
    <row r="33" spans="1:14" ht="15.75" customHeight="1">
      <c r="A33" s="3" t="s">
        <v>281</v>
      </c>
      <c r="B33" s="28">
        <v>1.4999999999999999E-2</v>
      </c>
      <c r="C33" s="28">
        <v>1.4E-2</v>
      </c>
      <c r="D33" s="28">
        <v>1.4E-2</v>
      </c>
      <c r="E33" s="28">
        <v>1.6E-2</v>
      </c>
      <c r="F33" s="28">
        <v>1.4999999999999999E-2</v>
      </c>
      <c r="G33" s="28">
        <v>1.4E-2</v>
      </c>
      <c r="H33" s="28">
        <v>1.4999999999999999E-2</v>
      </c>
      <c r="I33" s="28">
        <v>1.4E-2</v>
      </c>
      <c r="J33" s="28">
        <v>1.4E-2</v>
      </c>
      <c r="K33" s="28">
        <v>1.4E-2</v>
      </c>
      <c r="L33" s="28">
        <v>1.4E-2</v>
      </c>
      <c r="M33" s="28">
        <v>1.4E-2</v>
      </c>
      <c r="N33" s="28">
        <v>1.4E-2</v>
      </c>
    </row>
    <row r="34" spans="1:14" ht="15.75" customHeight="1">
      <c r="A34" s="3" t="s">
        <v>282</v>
      </c>
      <c r="B34" s="28">
        <v>1.6</v>
      </c>
      <c r="C34" s="28">
        <v>1.62</v>
      </c>
      <c r="D34" s="28">
        <v>1.61</v>
      </c>
      <c r="E34" s="28">
        <v>1.71</v>
      </c>
      <c r="F34" s="28">
        <v>1.66</v>
      </c>
      <c r="G34" s="28">
        <v>1.57</v>
      </c>
      <c r="H34" s="28">
        <v>1.63</v>
      </c>
      <c r="I34" s="28">
        <v>1.62</v>
      </c>
      <c r="J34" s="28">
        <v>1.58</v>
      </c>
      <c r="K34" s="28">
        <v>1.68</v>
      </c>
      <c r="L34" s="28">
        <v>1.55</v>
      </c>
      <c r="M34" s="28">
        <v>1.61</v>
      </c>
      <c r="N34" s="28">
        <v>1.68</v>
      </c>
    </row>
    <row r="35" spans="1:14" ht="15.75" customHeight="1">
      <c r="A35" s="3" t="s">
        <v>283</v>
      </c>
      <c r="B35" s="28">
        <v>98.8</v>
      </c>
      <c r="C35" s="28">
        <v>99.4</v>
      </c>
      <c r="D35" s="28">
        <v>98.8</v>
      </c>
      <c r="E35" s="28">
        <v>98.83</v>
      </c>
      <c r="F35" s="28">
        <v>98.8</v>
      </c>
      <c r="G35" s="28">
        <v>98.8</v>
      </c>
      <c r="H35" s="28">
        <v>99.4</v>
      </c>
      <c r="I35" s="28">
        <v>98.8</v>
      </c>
      <c r="J35" s="28">
        <v>99.4</v>
      </c>
      <c r="K35" s="28">
        <v>98.8</v>
      </c>
      <c r="L35" s="28">
        <v>99.4</v>
      </c>
      <c r="M35" s="28">
        <v>98.8</v>
      </c>
      <c r="N35" s="28">
        <v>98.8</v>
      </c>
    </row>
    <row r="36" spans="1:14" ht="15.75" customHeight="1">
      <c r="A36" s="3" t="s">
        <v>284</v>
      </c>
      <c r="B36" s="28">
        <v>1.2</v>
      </c>
      <c r="C36" s="28">
        <v>0.6</v>
      </c>
      <c r="D36" s="28">
        <v>1.2</v>
      </c>
      <c r="E36" s="28">
        <v>1.17</v>
      </c>
      <c r="F36" s="28">
        <v>1.2</v>
      </c>
      <c r="G36" s="28">
        <v>1.2</v>
      </c>
      <c r="H36" s="28">
        <v>0.6</v>
      </c>
      <c r="I36" s="28">
        <v>1.2</v>
      </c>
      <c r="J36" s="28">
        <v>0.6</v>
      </c>
      <c r="K36" s="28">
        <v>1.2</v>
      </c>
      <c r="L36" s="28">
        <v>0.6</v>
      </c>
      <c r="M36" s="28">
        <v>1.2</v>
      </c>
      <c r="N36" s="28">
        <v>1.2</v>
      </c>
    </row>
    <row r="37" spans="1:14" ht="15.75" customHeight="1">
      <c r="A37" s="3" t="s">
        <v>285</v>
      </c>
      <c r="B37" s="28">
        <v>0</v>
      </c>
      <c r="C37" s="28">
        <v>0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</row>
    <row r="38" spans="1:14" ht="15.75" customHeight="1">
      <c r="A38" s="3" t="s">
        <v>286</v>
      </c>
      <c r="B38" s="28">
        <v>0</v>
      </c>
      <c r="C38" s="28">
        <v>1.38</v>
      </c>
      <c r="D38" s="28">
        <v>1.39</v>
      </c>
      <c r="E38" s="28">
        <v>1.27</v>
      </c>
      <c r="F38" s="28">
        <v>1.39</v>
      </c>
      <c r="G38" s="28">
        <v>1.39</v>
      </c>
      <c r="H38" s="28">
        <v>1.92</v>
      </c>
      <c r="I38" s="28">
        <v>1.92</v>
      </c>
      <c r="J38" s="28">
        <v>1.92</v>
      </c>
      <c r="K38" s="28">
        <v>1.39</v>
      </c>
      <c r="L38" s="28">
        <v>0</v>
      </c>
      <c r="M38" s="28">
        <v>1.92</v>
      </c>
      <c r="N38" s="28">
        <v>1.39</v>
      </c>
    </row>
    <row r="39" spans="1:14" ht="15.75" customHeight="1">
      <c r="A39" s="3" t="s">
        <v>287</v>
      </c>
      <c r="B39" s="28">
        <v>2.27</v>
      </c>
      <c r="C39" s="28">
        <v>3.79</v>
      </c>
      <c r="D39" s="28">
        <v>3.42</v>
      </c>
      <c r="E39" s="28">
        <v>2.42</v>
      </c>
      <c r="F39" s="28">
        <v>3.79</v>
      </c>
      <c r="G39" s="28">
        <v>2.65</v>
      </c>
      <c r="H39" s="28">
        <v>4.92</v>
      </c>
      <c r="I39" s="28">
        <v>4.57</v>
      </c>
      <c r="J39" s="28">
        <v>4.22</v>
      </c>
      <c r="K39" s="28">
        <v>5.68</v>
      </c>
      <c r="L39" s="28">
        <v>1.89</v>
      </c>
      <c r="M39" s="28">
        <v>2.81</v>
      </c>
      <c r="N39" s="28">
        <v>6.07</v>
      </c>
    </row>
    <row r="40" spans="1:14" ht="15.75" customHeight="1">
      <c r="A40" s="3" t="s">
        <v>288</v>
      </c>
      <c r="B40" s="28">
        <v>18.66</v>
      </c>
      <c r="C40" s="28">
        <v>27.46</v>
      </c>
      <c r="D40" s="28">
        <v>22.21</v>
      </c>
      <c r="E40" s="28">
        <v>12.83</v>
      </c>
      <c r="F40" s="28">
        <v>22.07</v>
      </c>
      <c r="G40" s="28">
        <v>26.51</v>
      </c>
      <c r="H40" s="28">
        <v>12.61</v>
      </c>
      <c r="I40" s="28">
        <v>14.01</v>
      </c>
      <c r="J40" s="28">
        <v>11.37</v>
      </c>
      <c r="K40" s="28">
        <v>25.34</v>
      </c>
      <c r="L40" s="28">
        <v>20.65</v>
      </c>
      <c r="M40" s="28">
        <v>15.34</v>
      </c>
      <c r="N40" s="28">
        <v>26.67</v>
      </c>
    </row>
    <row r="41" spans="1:14" ht="15.75" customHeight="1">
      <c r="A41" s="3" t="s">
        <v>277</v>
      </c>
      <c r="B41" s="28">
        <v>16.170000000000002</v>
      </c>
      <c r="C41" s="28">
        <v>26.32</v>
      </c>
      <c r="D41" s="28">
        <v>20.68</v>
      </c>
      <c r="E41" s="28">
        <v>10.81</v>
      </c>
      <c r="F41" s="28">
        <v>20.39</v>
      </c>
      <c r="G41" s="28">
        <v>25.29</v>
      </c>
      <c r="H41" s="28">
        <v>9.93</v>
      </c>
      <c r="I41" s="28">
        <v>12.23</v>
      </c>
      <c r="J41" s="28">
        <v>9.1300000000000008</v>
      </c>
      <c r="K41" s="28">
        <v>24.2</v>
      </c>
      <c r="L41" s="28">
        <v>18.34</v>
      </c>
      <c r="M41" s="28">
        <v>13.41</v>
      </c>
      <c r="N41" s="28">
        <v>25.44</v>
      </c>
    </row>
    <row r="42" spans="1:14" ht="15.75" customHeight="1">
      <c r="A42" s="3" t="s">
        <v>278</v>
      </c>
      <c r="B42" s="28">
        <v>35.22</v>
      </c>
      <c r="C42" s="28">
        <v>51.99</v>
      </c>
      <c r="D42" s="28">
        <v>52.86</v>
      </c>
      <c r="E42" s="28">
        <v>26.08</v>
      </c>
      <c r="F42" s="28">
        <v>43.06</v>
      </c>
      <c r="G42" s="28">
        <v>57.6</v>
      </c>
      <c r="H42" s="28">
        <v>41.12</v>
      </c>
      <c r="I42" s="28">
        <v>31.16</v>
      </c>
      <c r="J42" s="28">
        <v>28.02</v>
      </c>
      <c r="K42" s="28">
        <v>46.62</v>
      </c>
      <c r="L42" s="28">
        <v>39.1</v>
      </c>
      <c r="M42" s="28">
        <v>27.48</v>
      </c>
      <c r="N42" s="28">
        <v>37.72</v>
      </c>
    </row>
    <row r="43" spans="1:14" ht="15.75" customHeight="1">
      <c r="A43" s="3" t="s">
        <v>279</v>
      </c>
      <c r="B43" s="28">
        <v>30.36</v>
      </c>
      <c r="C43" s="28">
        <v>35.71</v>
      </c>
      <c r="D43" s="28">
        <v>33.56</v>
      </c>
      <c r="E43" s="28">
        <v>22.66</v>
      </c>
      <c r="F43" s="28">
        <v>33.28</v>
      </c>
      <c r="G43" s="28">
        <v>35.21</v>
      </c>
      <c r="H43" s="28">
        <v>24.19</v>
      </c>
      <c r="I43" s="28">
        <v>22.75</v>
      </c>
      <c r="J43" s="28">
        <v>21.81</v>
      </c>
      <c r="K43" s="28">
        <v>33.15</v>
      </c>
      <c r="L43" s="28">
        <v>31.86</v>
      </c>
      <c r="M43" s="28">
        <v>25.29</v>
      </c>
      <c r="N43" s="28">
        <v>35.39</v>
      </c>
    </row>
    <row r="44" spans="1:14" ht="15.75" customHeight="1">
      <c r="A44" s="11"/>
    </row>
    <row r="45" spans="1:14" ht="15.75" customHeight="1">
      <c r="A45" s="11"/>
    </row>
    <row r="46" spans="1:14" ht="15.75" customHeight="1">
      <c r="A46" s="11"/>
    </row>
    <row r="47" spans="1:14" ht="15.75" customHeight="1">
      <c r="A47" s="11"/>
    </row>
    <row r="48" spans="1:14" ht="15.75" customHeight="1">
      <c r="A48" s="11"/>
    </row>
    <row r="49" spans="1:1" ht="15.75" customHeight="1">
      <c r="A49" s="11"/>
    </row>
    <row r="50" spans="1:1" ht="15.75" customHeight="1">
      <c r="A50" s="11"/>
    </row>
    <row r="51" spans="1:1" ht="15.75" customHeight="1">
      <c r="A51" s="11"/>
    </row>
    <row r="52" spans="1:1" ht="15.75" customHeight="1">
      <c r="A52" s="11"/>
    </row>
    <row r="53" spans="1:1" ht="15.75" customHeight="1">
      <c r="A53" s="11"/>
    </row>
    <row r="54" spans="1:1" ht="15.75" customHeight="1">
      <c r="A54" s="11"/>
    </row>
    <row r="55" spans="1:1" ht="15.75" customHeight="1">
      <c r="A55" s="11"/>
    </row>
    <row r="56" spans="1:1" ht="15.75" customHeight="1">
      <c r="A56" s="11"/>
    </row>
    <row r="57" spans="1:1" ht="15.75" customHeight="1">
      <c r="A57" s="11"/>
    </row>
    <row r="58" spans="1:1" ht="15.75" customHeight="1">
      <c r="A58" s="11"/>
    </row>
    <row r="59" spans="1:1" ht="15.75" customHeight="1">
      <c r="A59" s="11"/>
    </row>
    <row r="60" spans="1:1" ht="15.75" customHeight="1">
      <c r="A60" s="11"/>
    </row>
    <row r="61" spans="1:1" ht="15.75" customHeight="1">
      <c r="A61" s="11"/>
    </row>
    <row r="62" spans="1:1" ht="15.75" customHeight="1">
      <c r="A62" s="11"/>
    </row>
    <row r="63" spans="1:1" ht="15.75" customHeight="1">
      <c r="A63" s="11"/>
    </row>
    <row r="64" spans="1:1" ht="15.75" customHeight="1">
      <c r="A64" s="11"/>
    </row>
    <row r="65" spans="1:1" ht="15.75" customHeight="1">
      <c r="A65" s="11"/>
    </row>
    <row r="66" spans="1:1" ht="15.75" customHeight="1">
      <c r="A66" s="11"/>
    </row>
    <row r="67" spans="1:1" ht="15.75" customHeight="1">
      <c r="A67" s="11"/>
    </row>
    <row r="68" spans="1:1" ht="15.75" customHeight="1">
      <c r="A68" s="11"/>
    </row>
    <row r="69" spans="1:1" ht="15.75" customHeight="1">
      <c r="A69" s="11"/>
    </row>
    <row r="70" spans="1:1" ht="15.75" customHeight="1">
      <c r="A70" s="11"/>
    </row>
    <row r="71" spans="1:1" ht="15.75" customHeight="1">
      <c r="A71" s="11"/>
    </row>
    <row r="72" spans="1:1" ht="15.75" customHeight="1">
      <c r="A72" s="11"/>
    </row>
    <row r="73" spans="1:1" ht="15.75" customHeight="1">
      <c r="A73" s="11"/>
    </row>
    <row r="74" spans="1:1" ht="15.75" customHeight="1">
      <c r="A74" s="11"/>
    </row>
    <row r="75" spans="1:1" ht="15.75" customHeight="1">
      <c r="A75" s="11"/>
    </row>
    <row r="76" spans="1:1" ht="15.75" customHeight="1">
      <c r="A76" s="11"/>
    </row>
    <row r="77" spans="1:1" ht="15.75" customHeight="1">
      <c r="A77" s="11"/>
    </row>
    <row r="78" spans="1:1" ht="15.75" customHeight="1">
      <c r="A78" s="11"/>
    </row>
    <row r="79" spans="1:1" ht="15.75" customHeight="1">
      <c r="A79" s="11"/>
    </row>
    <row r="80" spans="1:1" ht="15.75" customHeight="1">
      <c r="A80" s="11"/>
    </row>
    <row r="81" spans="1:1" ht="15.75" customHeight="1">
      <c r="A81" s="11"/>
    </row>
    <row r="82" spans="1:1" ht="15.75" customHeight="1">
      <c r="A82" s="11"/>
    </row>
    <row r="83" spans="1:1" ht="15.75" customHeight="1">
      <c r="A83" s="11"/>
    </row>
    <row r="84" spans="1:1" ht="13">
      <c r="A84" s="11"/>
    </row>
    <row r="85" spans="1:1" ht="13">
      <c r="A85" s="11"/>
    </row>
    <row r="86" spans="1:1" ht="13">
      <c r="A86" s="11"/>
    </row>
    <row r="87" spans="1:1" ht="13">
      <c r="A87" s="11"/>
    </row>
    <row r="88" spans="1:1" ht="13">
      <c r="A88" s="11"/>
    </row>
    <row r="89" spans="1:1" ht="13">
      <c r="A89" s="11"/>
    </row>
    <row r="90" spans="1:1" ht="13">
      <c r="A90" s="11"/>
    </row>
    <row r="91" spans="1:1" ht="13">
      <c r="A91" s="11"/>
    </row>
    <row r="92" spans="1:1" ht="13">
      <c r="A92" s="11"/>
    </row>
    <row r="93" spans="1:1" ht="13">
      <c r="A93" s="11"/>
    </row>
    <row r="94" spans="1:1" ht="13">
      <c r="A94" s="11"/>
    </row>
    <row r="95" spans="1:1" ht="13">
      <c r="A95" s="11"/>
    </row>
    <row r="96" spans="1:1" ht="13">
      <c r="A96" s="11"/>
    </row>
    <row r="97" spans="1:1" ht="13">
      <c r="A97" s="11"/>
    </row>
    <row r="98" spans="1:1" ht="13">
      <c r="A98" s="11"/>
    </row>
    <row r="99" spans="1:1" ht="13">
      <c r="A99" s="11"/>
    </row>
    <row r="100" spans="1:1" ht="13">
      <c r="A100" s="11"/>
    </row>
    <row r="101" spans="1:1" ht="13">
      <c r="A101" s="11"/>
    </row>
    <row r="102" spans="1:1" ht="13">
      <c r="A102" s="11"/>
    </row>
    <row r="103" spans="1:1" ht="13">
      <c r="A103" s="11"/>
    </row>
    <row r="104" spans="1:1" ht="13">
      <c r="A104" s="11"/>
    </row>
    <row r="105" spans="1:1" ht="13">
      <c r="A105" s="11"/>
    </row>
    <row r="106" spans="1:1" ht="13">
      <c r="A106" s="11"/>
    </row>
    <row r="107" spans="1:1" ht="13">
      <c r="A107" s="11"/>
    </row>
    <row r="108" spans="1:1" ht="13">
      <c r="A108" s="11"/>
    </row>
    <row r="109" spans="1:1" ht="13">
      <c r="A109" s="11"/>
    </row>
    <row r="110" spans="1:1" ht="13">
      <c r="A110" s="11"/>
    </row>
    <row r="111" spans="1:1" ht="13">
      <c r="A111" s="11"/>
    </row>
    <row r="112" spans="1:1" ht="13">
      <c r="A112" s="11"/>
    </row>
    <row r="113" spans="1:1" ht="13">
      <c r="A113" s="11"/>
    </row>
    <row r="114" spans="1:1" ht="13">
      <c r="A114" s="11"/>
    </row>
    <row r="115" spans="1:1" ht="13">
      <c r="A115" s="11"/>
    </row>
    <row r="116" spans="1:1" ht="13">
      <c r="A116" s="11"/>
    </row>
    <row r="117" spans="1:1" ht="13">
      <c r="A117" s="11"/>
    </row>
    <row r="118" spans="1:1" ht="13">
      <c r="A118" s="11"/>
    </row>
    <row r="119" spans="1:1" ht="13">
      <c r="A119" s="11"/>
    </row>
    <row r="120" spans="1:1" ht="13">
      <c r="A120" s="11"/>
    </row>
    <row r="121" spans="1:1" ht="13">
      <c r="A121" s="11"/>
    </row>
    <row r="122" spans="1:1" ht="13">
      <c r="A122" s="11"/>
    </row>
    <row r="123" spans="1:1" ht="13">
      <c r="A123" s="11"/>
    </row>
    <row r="124" spans="1:1" ht="13">
      <c r="A124" s="11"/>
    </row>
    <row r="125" spans="1:1" ht="13">
      <c r="A125" s="11"/>
    </row>
    <row r="126" spans="1:1" ht="13">
      <c r="A126" s="11"/>
    </row>
    <row r="127" spans="1:1" ht="13">
      <c r="A127" s="11"/>
    </row>
    <row r="128" spans="1:1" ht="13">
      <c r="A128" s="11"/>
    </row>
    <row r="129" spans="1:1" ht="13">
      <c r="A129" s="11"/>
    </row>
    <row r="130" spans="1:1" ht="13">
      <c r="A130" s="11"/>
    </row>
    <row r="131" spans="1:1" ht="13">
      <c r="A131" s="11"/>
    </row>
    <row r="132" spans="1:1" ht="13">
      <c r="A132" s="11"/>
    </row>
    <row r="133" spans="1:1" ht="13">
      <c r="A133" s="11"/>
    </row>
    <row r="134" spans="1:1" ht="13">
      <c r="A134" s="11"/>
    </row>
    <row r="135" spans="1:1" ht="13">
      <c r="A135" s="11"/>
    </row>
    <row r="136" spans="1:1" ht="13">
      <c r="A136" s="11"/>
    </row>
    <row r="137" spans="1:1" ht="13">
      <c r="A137" s="11"/>
    </row>
    <row r="138" spans="1:1" ht="13">
      <c r="A138" s="11"/>
    </row>
    <row r="139" spans="1:1" ht="13">
      <c r="A139" s="11"/>
    </row>
    <row r="140" spans="1:1" ht="13">
      <c r="A140" s="11"/>
    </row>
    <row r="141" spans="1:1" ht="13">
      <c r="A141" s="11"/>
    </row>
    <row r="142" spans="1:1" ht="13">
      <c r="A142" s="11"/>
    </row>
    <row r="143" spans="1:1" ht="13">
      <c r="A143" s="11"/>
    </row>
    <row r="144" spans="1:1" ht="13">
      <c r="A144" s="11"/>
    </row>
    <row r="145" spans="1:1" ht="13">
      <c r="A145" s="11"/>
    </row>
    <row r="146" spans="1:1" ht="13">
      <c r="A146" s="11"/>
    </row>
    <row r="147" spans="1:1" ht="13">
      <c r="A147" s="11"/>
    </row>
    <row r="148" spans="1:1" ht="13">
      <c r="A148" s="11"/>
    </row>
    <row r="149" spans="1:1" ht="13">
      <c r="A149" s="11"/>
    </row>
    <row r="150" spans="1:1" ht="13">
      <c r="A150" s="11"/>
    </row>
    <row r="151" spans="1:1" ht="13">
      <c r="A151" s="11"/>
    </row>
    <row r="152" spans="1:1" ht="13">
      <c r="A152" s="11"/>
    </row>
    <row r="153" spans="1:1" ht="13">
      <c r="A153" s="11"/>
    </row>
    <row r="154" spans="1:1" ht="13">
      <c r="A154" s="11"/>
    </row>
    <row r="155" spans="1:1" ht="13">
      <c r="A155" s="11"/>
    </row>
    <row r="156" spans="1:1" ht="13">
      <c r="A156" s="11"/>
    </row>
    <row r="157" spans="1:1" ht="13">
      <c r="A157" s="11"/>
    </row>
    <row r="158" spans="1:1" ht="13">
      <c r="A158" s="11"/>
    </row>
    <row r="159" spans="1:1" ht="13">
      <c r="A159" s="11"/>
    </row>
    <row r="160" spans="1:1" ht="13">
      <c r="A160" s="11"/>
    </row>
    <row r="161" spans="1:1" ht="13">
      <c r="A161" s="11"/>
    </row>
    <row r="162" spans="1:1" ht="13">
      <c r="A162" s="11"/>
    </row>
    <row r="163" spans="1:1" ht="13">
      <c r="A163" s="11"/>
    </row>
    <row r="164" spans="1:1" ht="13">
      <c r="A164" s="11"/>
    </row>
    <row r="165" spans="1:1" ht="13">
      <c r="A165" s="11"/>
    </row>
    <row r="166" spans="1:1" ht="13">
      <c r="A166" s="11"/>
    </row>
    <row r="167" spans="1:1" ht="13">
      <c r="A167" s="11"/>
    </row>
    <row r="168" spans="1:1" ht="13">
      <c r="A168" s="11"/>
    </row>
    <row r="169" spans="1:1" ht="13">
      <c r="A169" s="11"/>
    </row>
    <row r="170" spans="1:1" ht="13">
      <c r="A170" s="11"/>
    </row>
    <row r="171" spans="1:1" ht="13">
      <c r="A171" s="11"/>
    </row>
    <row r="172" spans="1:1" ht="13">
      <c r="A172" s="11"/>
    </row>
    <row r="173" spans="1:1" ht="13">
      <c r="A173" s="11"/>
    </row>
    <row r="174" spans="1:1" ht="13">
      <c r="A174" s="11"/>
    </row>
    <row r="175" spans="1:1" ht="13">
      <c r="A175" s="11"/>
    </row>
    <row r="176" spans="1:1" ht="13">
      <c r="A176" s="11"/>
    </row>
    <row r="177" spans="1:1" ht="13">
      <c r="A177" s="11"/>
    </row>
    <row r="178" spans="1:1" ht="13">
      <c r="A178" s="11"/>
    </row>
    <row r="179" spans="1:1" ht="13">
      <c r="A179" s="11"/>
    </row>
    <row r="180" spans="1:1" ht="13">
      <c r="A180" s="11"/>
    </row>
    <row r="181" spans="1:1" ht="13">
      <c r="A181" s="11"/>
    </row>
    <row r="182" spans="1:1" ht="13">
      <c r="A182" s="11"/>
    </row>
    <row r="183" spans="1:1" ht="13">
      <c r="A183" s="11"/>
    </row>
    <row r="184" spans="1:1" ht="13">
      <c r="A184" s="11"/>
    </row>
    <row r="185" spans="1:1" ht="13">
      <c r="A185" s="11"/>
    </row>
    <row r="186" spans="1:1" ht="13">
      <c r="A186" s="11"/>
    </row>
    <row r="187" spans="1:1" ht="13">
      <c r="A187" s="11"/>
    </row>
    <row r="188" spans="1:1" ht="13">
      <c r="A188" s="11"/>
    </row>
    <row r="189" spans="1:1" ht="13">
      <c r="A189" s="11"/>
    </row>
    <row r="190" spans="1:1" ht="13">
      <c r="A190" s="11"/>
    </row>
    <row r="191" spans="1:1" ht="13">
      <c r="A191" s="11"/>
    </row>
    <row r="192" spans="1:1" ht="13">
      <c r="A192" s="11"/>
    </row>
    <row r="193" spans="1:1" ht="13">
      <c r="A193" s="11"/>
    </row>
    <row r="194" spans="1:1" ht="13">
      <c r="A194" s="11"/>
    </row>
    <row r="195" spans="1:1" ht="13">
      <c r="A195" s="11"/>
    </row>
    <row r="196" spans="1:1" ht="13">
      <c r="A196" s="11"/>
    </row>
    <row r="197" spans="1:1" ht="13">
      <c r="A197" s="11"/>
    </row>
    <row r="198" spans="1:1" ht="13">
      <c r="A198" s="11"/>
    </row>
    <row r="199" spans="1:1" ht="13">
      <c r="A199" s="11"/>
    </row>
    <row r="200" spans="1:1" ht="13">
      <c r="A200" s="11"/>
    </row>
    <row r="201" spans="1:1" ht="13">
      <c r="A201" s="11"/>
    </row>
    <row r="202" spans="1:1" ht="13">
      <c r="A202" s="11"/>
    </row>
    <row r="203" spans="1:1" ht="13">
      <c r="A203" s="11"/>
    </row>
    <row r="204" spans="1:1" ht="13">
      <c r="A204" s="11"/>
    </row>
    <row r="205" spans="1:1" ht="13">
      <c r="A205" s="11"/>
    </row>
    <row r="206" spans="1:1" ht="13">
      <c r="A206" s="11"/>
    </row>
    <row r="207" spans="1:1" ht="13">
      <c r="A207" s="11"/>
    </row>
    <row r="208" spans="1:1" ht="13">
      <c r="A208" s="11"/>
    </row>
    <row r="209" spans="1:1" ht="13">
      <c r="A209" s="11"/>
    </row>
    <row r="210" spans="1:1" ht="13">
      <c r="A210" s="11"/>
    </row>
    <row r="211" spans="1:1" ht="13">
      <c r="A211" s="11"/>
    </row>
    <row r="212" spans="1:1" ht="13">
      <c r="A212" s="11"/>
    </row>
    <row r="213" spans="1:1" ht="13">
      <c r="A213" s="11"/>
    </row>
    <row r="214" spans="1:1" ht="13">
      <c r="A214" s="11"/>
    </row>
    <row r="215" spans="1:1" ht="13">
      <c r="A215" s="11"/>
    </row>
    <row r="216" spans="1:1" ht="13">
      <c r="A216" s="11"/>
    </row>
    <row r="217" spans="1:1" ht="13">
      <c r="A217" s="11"/>
    </row>
    <row r="218" spans="1:1" ht="13">
      <c r="A218" s="11"/>
    </row>
    <row r="219" spans="1:1" ht="13">
      <c r="A219" s="11"/>
    </row>
    <row r="220" spans="1:1" ht="13">
      <c r="A220" s="11"/>
    </row>
    <row r="221" spans="1:1" ht="13">
      <c r="A221" s="11"/>
    </row>
    <row r="222" spans="1:1" ht="13">
      <c r="A222" s="11"/>
    </row>
    <row r="223" spans="1:1" ht="13">
      <c r="A223" s="11"/>
    </row>
    <row r="224" spans="1:1" ht="13">
      <c r="A224" s="11"/>
    </row>
    <row r="225" spans="1:1" ht="13">
      <c r="A225" s="11"/>
    </row>
    <row r="226" spans="1:1" ht="13">
      <c r="A226" s="11"/>
    </row>
    <row r="227" spans="1:1" ht="13">
      <c r="A227" s="11"/>
    </row>
    <row r="228" spans="1:1" ht="13">
      <c r="A228" s="11"/>
    </row>
    <row r="229" spans="1:1" ht="13">
      <c r="A229" s="11"/>
    </row>
    <row r="230" spans="1:1" ht="13">
      <c r="A230" s="11"/>
    </row>
    <row r="231" spans="1:1" ht="13">
      <c r="A231" s="11"/>
    </row>
    <row r="232" spans="1:1" ht="13">
      <c r="A232" s="11"/>
    </row>
    <row r="233" spans="1:1" ht="13">
      <c r="A233" s="11"/>
    </row>
    <row r="234" spans="1:1" ht="13">
      <c r="A234" s="11"/>
    </row>
    <row r="235" spans="1:1" ht="13">
      <c r="A235" s="11"/>
    </row>
    <row r="236" spans="1:1" ht="13">
      <c r="A236" s="11"/>
    </row>
    <row r="237" spans="1:1" ht="13">
      <c r="A237" s="11"/>
    </row>
    <row r="238" spans="1:1" ht="13">
      <c r="A238" s="11"/>
    </row>
    <row r="239" spans="1:1" ht="13">
      <c r="A239" s="11"/>
    </row>
    <row r="240" spans="1:1" ht="13">
      <c r="A240" s="11"/>
    </row>
    <row r="241" spans="1:1" ht="13">
      <c r="A241" s="11"/>
    </row>
    <row r="242" spans="1:1" ht="13">
      <c r="A242" s="11"/>
    </row>
    <row r="243" spans="1:1" ht="13">
      <c r="A243" s="11"/>
    </row>
    <row r="244" spans="1:1" ht="13">
      <c r="A244" s="11"/>
    </row>
    <row r="245" spans="1:1" ht="13">
      <c r="A245" s="11"/>
    </row>
    <row r="246" spans="1:1" ht="13">
      <c r="A246" s="11"/>
    </row>
    <row r="247" spans="1:1" ht="13">
      <c r="A247" s="11"/>
    </row>
    <row r="248" spans="1:1" ht="13">
      <c r="A248" s="11"/>
    </row>
    <row r="249" spans="1:1" ht="13">
      <c r="A249" s="11"/>
    </row>
    <row r="250" spans="1:1" ht="13">
      <c r="A250" s="11"/>
    </row>
    <row r="251" spans="1:1" ht="13">
      <c r="A251" s="11"/>
    </row>
    <row r="252" spans="1:1" ht="13">
      <c r="A252" s="11"/>
    </row>
    <row r="253" spans="1:1" ht="13">
      <c r="A253" s="11"/>
    </row>
    <row r="254" spans="1:1" ht="13">
      <c r="A254" s="11"/>
    </row>
    <row r="255" spans="1:1" ht="13">
      <c r="A255" s="11"/>
    </row>
    <row r="256" spans="1:1" ht="13">
      <c r="A256" s="11"/>
    </row>
    <row r="257" spans="1:1" ht="13">
      <c r="A257" s="11"/>
    </row>
    <row r="258" spans="1:1" ht="13">
      <c r="A258" s="11"/>
    </row>
    <row r="259" spans="1:1" ht="13">
      <c r="A259" s="11"/>
    </row>
    <row r="260" spans="1:1" ht="13">
      <c r="A260" s="11"/>
    </row>
    <row r="261" spans="1:1" ht="13">
      <c r="A261" s="11"/>
    </row>
    <row r="262" spans="1:1" ht="13">
      <c r="A262" s="11"/>
    </row>
    <row r="263" spans="1:1" ht="13">
      <c r="A263" s="11"/>
    </row>
    <row r="264" spans="1:1" ht="13">
      <c r="A264" s="11"/>
    </row>
    <row r="265" spans="1:1" ht="13">
      <c r="A265" s="11"/>
    </row>
    <row r="266" spans="1:1" ht="13">
      <c r="A266" s="11"/>
    </row>
    <row r="267" spans="1:1" ht="13">
      <c r="A267" s="11"/>
    </row>
    <row r="268" spans="1:1" ht="13">
      <c r="A268" s="11"/>
    </row>
    <row r="269" spans="1:1" ht="13">
      <c r="A269" s="11"/>
    </row>
    <row r="270" spans="1:1" ht="13">
      <c r="A270" s="11"/>
    </row>
    <row r="271" spans="1:1" ht="13">
      <c r="A271" s="11"/>
    </row>
    <row r="272" spans="1:1" ht="13">
      <c r="A272" s="11"/>
    </row>
    <row r="273" spans="1:1" ht="13">
      <c r="A273" s="11"/>
    </row>
    <row r="274" spans="1:1" ht="13">
      <c r="A274" s="11"/>
    </row>
    <row r="275" spans="1:1" ht="13">
      <c r="A275" s="11"/>
    </row>
    <row r="276" spans="1:1" ht="13">
      <c r="A276" s="11"/>
    </row>
    <row r="277" spans="1:1" ht="13">
      <c r="A277" s="11"/>
    </row>
    <row r="278" spans="1:1" ht="13">
      <c r="A278" s="11"/>
    </row>
    <row r="279" spans="1:1" ht="13">
      <c r="A279" s="11"/>
    </row>
    <row r="280" spans="1:1" ht="13">
      <c r="A280" s="11"/>
    </row>
    <row r="281" spans="1:1" ht="13">
      <c r="A281" s="11"/>
    </row>
    <row r="282" spans="1:1" ht="13">
      <c r="A282" s="11"/>
    </row>
    <row r="283" spans="1:1" ht="13">
      <c r="A283" s="11"/>
    </row>
    <row r="284" spans="1:1" ht="13">
      <c r="A284" s="11"/>
    </row>
    <row r="285" spans="1:1" ht="13">
      <c r="A285" s="11"/>
    </row>
    <row r="286" spans="1:1" ht="13">
      <c r="A286" s="11"/>
    </row>
    <row r="287" spans="1:1" ht="13">
      <c r="A287" s="11"/>
    </row>
    <row r="288" spans="1:1" ht="13">
      <c r="A288" s="11"/>
    </row>
    <row r="289" spans="1:1" ht="13">
      <c r="A289" s="11"/>
    </row>
    <row r="290" spans="1:1" ht="13">
      <c r="A290" s="11"/>
    </row>
    <row r="291" spans="1:1" ht="13">
      <c r="A291" s="11"/>
    </row>
    <row r="292" spans="1:1" ht="13">
      <c r="A292" s="11"/>
    </row>
    <row r="293" spans="1:1" ht="13">
      <c r="A293" s="11"/>
    </row>
    <row r="294" spans="1:1" ht="13">
      <c r="A294" s="11"/>
    </row>
    <row r="295" spans="1:1" ht="13">
      <c r="A295" s="11"/>
    </row>
    <row r="296" spans="1:1" ht="13">
      <c r="A296" s="11"/>
    </row>
    <row r="297" spans="1:1" ht="13">
      <c r="A297" s="11"/>
    </row>
    <row r="298" spans="1:1" ht="13">
      <c r="A298" s="11"/>
    </row>
    <row r="299" spans="1:1" ht="13">
      <c r="A299" s="11"/>
    </row>
    <row r="300" spans="1:1" ht="13">
      <c r="A300" s="11"/>
    </row>
    <row r="301" spans="1:1" ht="13">
      <c r="A301" s="11"/>
    </row>
    <row r="302" spans="1:1" ht="13">
      <c r="A302" s="11"/>
    </row>
    <row r="303" spans="1:1" ht="13">
      <c r="A303" s="11"/>
    </row>
    <row r="304" spans="1:1" ht="13">
      <c r="A304" s="11"/>
    </row>
    <row r="305" spans="1:1" ht="13">
      <c r="A305" s="11"/>
    </row>
    <row r="306" spans="1:1" ht="13">
      <c r="A306" s="11"/>
    </row>
    <row r="307" spans="1:1" ht="13">
      <c r="A307" s="11"/>
    </row>
    <row r="308" spans="1:1" ht="13">
      <c r="A308" s="11"/>
    </row>
    <row r="309" spans="1:1" ht="13">
      <c r="A309" s="11"/>
    </row>
    <row r="310" spans="1:1" ht="13">
      <c r="A310" s="11"/>
    </row>
    <row r="311" spans="1:1" ht="13">
      <c r="A311" s="11"/>
    </row>
    <row r="312" spans="1:1" ht="13">
      <c r="A312" s="11"/>
    </row>
    <row r="313" spans="1:1" ht="13">
      <c r="A313" s="11"/>
    </row>
    <row r="314" spans="1:1" ht="13">
      <c r="A314" s="11"/>
    </row>
    <row r="315" spans="1:1" ht="13">
      <c r="A315" s="11"/>
    </row>
    <row r="316" spans="1:1" ht="13">
      <c r="A316" s="11"/>
    </row>
    <row r="317" spans="1:1" ht="13">
      <c r="A317" s="11"/>
    </row>
    <row r="318" spans="1:1" ht="13">
      <c r="A318" s="11"/>
    </row>
    <row r="319" spans="1:1" ht="13">
      <c r="A319" s="11"/>
    </row>
    <row r="320" spans="1:1" ht="13">
      <c r="A320" s="11"/>
    </row>
    <row r="321" spans="1:1" ht="13">
      <c r="A321" s="11"/>
    </row>
    <row r="322" spans="1:1" ht="13">
      <c r="A322" s="11"/>
    </row>
    <row r="323" spans="1:1" ht="13">
      <c r="A323" s="11"/>
    </row>
    <row r="324" spans="1:1" ht="13">
      <c r="A324" s="11"/>
    </row>
    <row r="325" spans="1:1" ht="13">
      <c r="A325" s="11"/>
    </row>
    <row r="326" spans="1:1" ht="13">
      <c r="A326" s="11"/>
    </row>
    <row r="327" spans="1:1" ht="13">
      <c r="A327" s="11"/>
    </row>
    <row r="328" spans="1:1" ht="13">
      <c r="A328" s="11"/>
    </row>
    <row r="329" spans="1:1" ht="13">
      <c r="A329" s="11"/>
    </row>
    <row r="330" spans="1:1" ht="13">
      <c r="A330" s="11"/>
    </row>
    <row r="331" spans="1:1" ht="13">
      <c r="A331" s="11"/>
    </row>
    <row r="332" spans="1:1" ht="13">
      <c r="A332" s="11"/>
    </row>
    <row r="333" spans="1:1" ht="13">
      <c r="A333" s="11"/>
    </row>
    <row r="334" spans="1:1" ht="13">
      <c r="A334" s="11"/>
    </row>
    <row r="335" spans="1:1" ht="13">
      <c r="A335" s="11"/>
    </row>
    <row r="336" spans="1:1" ht="13">
      <c r="A336" s="11"/>
    </row>
    <row r="337" spans="1:1" ht="13">
      <c r="A337" s="11"/>
    </row>
    <row r="338" spans="1:1" ht="13">
      <c r="A338" s="11"/>
    </row>
    <row r="339" spans="1:1" ht="13">
      <c r="A339" s="11"/>
    </row>
    <row r="340" spans="1:1" ht="13">
      <c r="A340" s="11"/>
    </row>
    <row r="341" spans="1:1" ht="13">
      <c r="A341" s="11"/>
    </row>
    <row r="342" spans="1:1" ht="13">
      <c r="A342" s="11"/>
    </row>
    <row r="343" spans="1:1" ht="13">
      <c r="A343" s="11"/>
    </row>
    <row r="344" spans="1:1" ht="13">
      <c r="A344" s="11"/>
    </row>
    <row r="345" spans="1:1" ht="13">
      <c r="A345" s="11"/>
    </row>
    <row r="346" spans="1:1" ht="13">
      <c r="A346" s="11"/>
    </row>
    <row r="347" spans="1:1" ht="13">
      <c r="A347" s="11"/>
    </row>
    <row r="348" spans="1:1" ht="13">
      <c r="A348" s="11"/>
    </row>
    <row r="349" spans="1:1" ht="13">
      <c r="A349" s="11"/>
    </row>
    <row r="350" spans="1:1" ht="13">
      <c r="A350" s="11"/>
    </row>
    <row r="351" spans="1:1" ht="13">
      <c r="A351" s="11"/>
    </row>
    <row r="352" spans="1:1" ht="13">
      <c r="A352" s="11"/>
    </row>
    <row r="353" spans="1:1" ht="13">
      <c r="A353" s="11"/>
    </row>
    <row r="354" spans="1:1" ht="13">
      <c r="A354" s="11"/>
    </row>
    <row r="355" spans="1:1" ht="13">
      <c r="A355" s="11"/>
    </row>
    <row r="356" spans="1:1" ht="13">
      <c r="A356" s="11"/>
    </row>
    <row r="357" spans="1:1" ht="13">
      <c r="A357" s="11"/>
    </row>
    <row r="358" spans="1:1" ht="13">
      <c r="A358" s="11"/>
    </row>
    <row r="359" spans="1:1" ht="13">
      <c r="A359" s="11"/>
    </row>
    <row r="360" spans="1:1" ht="13">
      <c r="A360" s="11"/>
    </row>
    <row r="361" spans="1:1" ht="13">
      <c r="A361" s="11"/>
    </row>
    <row r="362" spans="1:1" ht="13">
      <c r="A362" s="11"/>
    </row>
    <row r="363" spans="1:1" ht="13">
      <c r="A363" s="11"/>
    </row>
    <row r="364" spans="1:1" ht="13">
      <c r="A364" s="11"/>
    </row>
    <row r="365" spans="1:1" ht="13">
      <c r="A365" s="11"/>
    </row>
    <row r="366" spans="1:1" ht="13">
      <c r="A366" s="11"/>
    </row>
    <row r="367" spans="1:1" ht="13">
      <c r="A367" s="11"/>
    </row>
    <row r="368" spans="1:1" ht="13">
      <c r="A368" s="11"/>
    </row>
    <row r="369" spans="1:1" ht="13">
      <c r="A369" s="11"/>
    </row>
    <row r="370" spans="1:1" ht="13">
      <c r="A370" s="11"/>
    </row>
    <row r="371" spans="1:1" ht="13">
      <c r="A371" s="11"/>
    </row>
    <row r="372" spans="1:1" ht="13">
      <c r="A372" s="11"/>
    </row>
    <row r="373" spans="1:1" ht="13">
      <c r="A373" s="11"/>
    </row>
    <row r="374" spans="1:1" ht="13">
      <c r="A374" s="11"/>
    </row>
    <row r="375" spans="1:1" ht="13">
      <c r="A375" s="11"/>
    </row>
    <row r="376" spans="1:1" ht="13">
      <c r="A376" s="11"/>
    </row>
    <row r="377" spans="1:1" ht="13">
      <c r="A377" s="11"/>
    </row>
    <row r="378" spans="1:1" ht="13">
      <c r="A378" s="11"/>
    </row>
    <row r="379" spans="1:1" ht="13">
      <c r="A379" s="11"/>
    </row>
    <row r="380" spans="1:1" ht="13">
      <c r="A380" s="11"/>
    </row>
    <row r="381" spans="1:1" ht="13">
      <c r="A381" s="11"/>
    </row>
    <row r="382" spans="1:1" ht="13">
      <c r="A382" s="11"/>
    </row>
    <row r="383" spans="1:1" ht="13">
      <c r="A383" s="11"/>
    </row>
    <row r="384" spans="1:1" ht="13">
      <c r="A384" s="11"/>
    </row>
    <row r="385" spans="1:1" ht="13">
      <c r="A385" s="11"/>
    </row>
    <row r="386" spans="1:1" ht="13">
      <c r="A386" s="11"/>
    </row>
    <row r="387" spans="1:1" ht="13">
      <c r="A387" s="11"/>
    </row>
    <row r="388" spans="1:1" ht="13">
      <c r="A388" s="11"/>
    </row>
    <row r="389" spans="1:1" ht="13">
      <c r="A389" s="11"/>
    </row>
    <row r="390" spans="1:1" ht="13">
      <c r="A390" s="11"/>
    </row>
    <row r="391" spans="1:1" ht="13">
      <c r="A391" s="11"/>
    </row>
    <row r="392" spans="1:1" ht="13">
      <c r="A392" s="11"/>
    </row>
    <row r="393" spans="1:1" ht="13">
      <c r="A393" s="11"/>
    </row>
    <row r="394" spans="1:1" ht="13">
      <c r="A394" s="11"/>
    </row>
    <row r="395" spans="1:1" ht="13">
      <c r="A395" s="11"/>
    </row>
    <row r="396" spans="1:1" ht="13">
      <c r="A396" s="11"/>
    </row>
    <row r="397" spans="1:1" ht="13">
      <c r="A397" s="11"/>
    </row>
    <row r="398" spans="1:1" ht="13">
      <c r="A398" s="11"/>
    </row>
    <row r="399" spans="1:1" ht="13">
      <c r="A399" s="11"/>
    </row>
    <row r="400" spans="1:1" ht="13">
      <c r="A400" s="11"/>
    </row>
    <row r="401" spans="1:1" ht="13">
      <c r="A401" s="11"/>
    </row>
    <row r="402" spans="1:1" ht="13">
      <c r="A402" s="11"/>
    </row>
    <row r="403" spans="1:1" ht="13">
      <c r="A403" s="11"/>
    </row>
    <row r="404" spans="1:1" ht="13">
      <c r="A404" s="11"/>
    </row>
    <row r="405" spans="1:1" ht="13">
      <c r="A405" s="11"/>
    </row>
    <row r="406" spans="1:1" ht="13">
      <c r="A406" s="11"/>
    </row>
    <row r="407" spans="1:1" ht="13">
      <c r="A407" s="11"/>
    </row>
    <row r="408" spans="1:1" ht="13">
      <c r="A408" s="11"/>
    </row>
    <row r="409" spans="1:1" ht="13">
      <c r="A409" s="11"/>
    </row>
    <row r="410" spans="1:1" ht="13">
      <c r="A410" s="11"/>
    </row>
    <row r="411" spans="1:1" ht="13">
      <c r="A411" s="11"/>
    </row>
    <row r="412" spans="1:1" ht="13">
      <c r="A412" s="11"/>
    </row>
    <row r="413" spans="1:1" ht="13">
      <c r="A413" s="11"/>
    </row>
    <row r="414" spans="1:1" ht="13">
      <c r="A414" s="11"/>
    </row>
    <row r="415" spans="1:1" ht="13">
      <c r="A415" s="11"/>
    </row>
    <row r="416" spans="1:1" ht="13">
      <c r="A416" s="11"/>
    </row>
    <row r="417" spans="1:1" ht="13">
      <c r="A417" s="11"/>
    </row>
    <row r="418" spans="1:1" ht="13">
      <c r="A418" s="11"/>
    </row>
    <row r="419" spans="1:1" ht="13">
      <c r="A419" s="11"/>
    </row>
    <row r="420" spans="1:1" ht="13">
      <c r="A420" s="11"/>
    </row>
    <row r="421" spans="1:1" ht="13">
      <c r="A421" s="11"/>
    </row>
    <row r="422" spans="1:1" ht="13">
      <c r="A422" s="11"/>
    </row>
    <row r="423" spans="1:1" ht="13">
      <c r="A423" s="11"/>
    </row>
    <row r="424" spans="1:1" ht="13">
      <c r="A424" s="11"/>
    </row>
    <row r="425" spans="1:1" ht="13">
      <c r="A425" s="11"/>
    </row>
    <row r="426" spans="1:1" ht="13">
      <c r="A426" s="11"/>
    </row>
    <row r="427" spans="1:1" ht="13">
      <c r="A427" s="11"/>
    </row>
    <row r="428" spans="1:1" ht="13">
      <c r="A428" s="11"/>
    </row>
    <row r="429" spans="1:1" ht="13">
      <c r="A429" s="11"/>
    </row>
    <row r="430" spans="1:1" ht="13">
      <c r="A430" s="11"/>
    </row>
    <row r="431" spans="1:1" ht="13">
      <c r="A431" s="11"/>
    </row>
    <row r="432" spans="1:1" ht="13">
      <c r="A432" s="11"/>
    </row>
    <row r="433" spans="1:1" ht="13">
      <c r="A433" s="11"/>
    </row>
    <row r="434" spans="1:1" ht="13">
      <c r="A434" s="11"/>
    </row>
    <row r="435" spans="1:1" ht="13">
      <c r="A435" s="11"/>
    </row>
    <row r="436" spans="1:1" ht="13">
      <c r="A436" s="11"/>
    </row>
    <row r="437" spans="1:1" ht="13">
      <c r="A437" s="11"/>
    </row>
    <row r="438" spans="1:1" ht="13">
      <c r="A438" s="11"/>
    </row>
    <row r="439" spans="1:1" ht="13">
      <c r="A439" s="11"/>
    </row>
    <row r="440" spans="1:1" ht="13">
      <c r="A440" s="11"/>
    </row>
    <row r="441" spans="1:1" ht="13">
      <c r="A441" s="11"/>
    </row>
    <row r="442" spans="1:1" ht="13">
      <c r="A442" s="11"/>
    </row>
    <row r="443" spans="1:1" ht="13">
      <c r="A443" s="11"/>
    </row>
    <row r="444" spans="1:1" ht="13">
      <c r="A444" s="11"/>
    </row>
    <row r="445" spans="1:1" ht="13">
      <c r="A445" s="11"/>
    </row>
    <row r="446" spans="1:1" ht="13">
      <c r="A446" s="11"/>
    </row>
    <row r="447" spans="1:1" ht="13">
      <c r="A447" s="11"/>
    </row>
    <row r="448" spans="1:1" ht="13">
      <c r="A448" s="11"/>
    </row>
    <row r="449" spans="1:1" ht="13">
      <c r="A449" s="11"/>
    </row>
    <row r="450" spans="1:1" ht="13">
      <c r="A450" s="11"/>
    </row>
    <row r="451" spans="1:1" ht="13">
      <c r="A451" s="11"/>
    </row>
    <row r="452" spans="1:1" ht="13">
      <c r="A452" s="11"/>
    </row>
    <row r="453" spans="1:1" ht="13">
      <c r="A453" s="11"/>
    </row>
    <row r="454" spans="1:1" ht="13">
      <c r="A454" s="11"/>
    </row>
    <row r="455" spans="1:1" ht="13">
      <c r="A455" s="11"/>
    </row>
    <row r="456" spans="1:1" ht="13">
      <c r="A456" s="11"/>
    </row>
    <row r="457" spans="1:1" ht="13">
      <c r="A457" s="11"/>
    </row>
    <row r="458" spans="1:1" ht="13">
      <c r="A458" s="11"/>
    </row>
    <row r="459" spans="1:1" ht="13">
      <c r="A459" s="11"/>
    </row>
    <row r="460" spans="1:1" ht="13">
      <c r="A460" s="11"/>
    </row>
    <row r="461" spans="1:1" ht="13">
      <c r="A461" s="11"/>
    </row>
    <row r="462" spans="1:1" ht="13">
      <c r="A462" s="11"/>
    </row>
    <row r="463" spans="1:1" ht="13">
      <c r="A463" s="11"/>
    </row>
    <row r="464" spans="1:1" ht="13">
      <c r="A464" s="11"/>
    </row>
    <row r="465" spans="1:1" ht="13">
      <c r="A465" s="11"/>
    </row>
    <row r="466" spans="1:1" ht="13">
      <c r="A466" s="11"/>
    </row>
    <row r="467" spans="1:1" ht="13">
      <c r="A467" s="11"/>
    </row>
    <row r="468" spans="1:1" ht="13">
      <c r="A468" s="11"/>
    </row>
    <row r="469" spans="1:1" ht="13">
      <c r="A469" s="11"/>
    </row>
    <row r="470" spans="1:1" ht="13">
      <c r="A470" s="11"/>
    </row>
    <row r="471" spans="1:1" ht="13">
      <c r="A471" s="11"/>
    </row>
    <row r="472" spans="1:1" ht="13">
      <c r="A472" s="11"/>
    </row>
    <row r="473" spans="1:1" ht="13">
      <c r="A473" s="11"/>
    </row>
    <row r="474" spans="1:1" ht="13">
      <c r="A474" s="11"/>
    </row>
    <row r="475" spans="1:1" ht="13">
      <c r="A475" s="11"/>
    </row>
    <row r="476" spans="1:1" ht="13">
      <c r="A476" s="11"/>
    </row>
    <row r="477" spans="1:1" ht="13">
      <c r="A477" s="11"/>
    </row>
    <row r="478" spans="1:1" ht="13">
      <c r="A478" s="11"/>
    </row>
    <row r="479" spans="1:1" ht="13">
      <c r="A479" s="11"/>
    </row>
    <row r="480" spans="1:1" ht="13">
      <c r="A480" s="11"/>
    </row>
    <row r="481" spans="1:1" ht="13">
      <c r="A481" s="11"/>
    </row>
    <row r="482" spans="1:1" ht="13">
      <c r="A482" s="11"/>
    </row>
    <row r="483" spans="1:1" ht="13">
      <c r="A483" s="11"/>
    </row>
    <row r="484" spans="1:1" ht="13">
      <c r="A484" s="11"/>
    </row>
    <row r="485" spans="1:1" ht="13">
      <c r="A485" s="11"/>
    </row>
    <row r="486" spans="1:1" ht="13">
      <c r="A486" s="11"/>
    </row>
    <row r="487" spans="1:1" ht="13">
      <c r="A487" s="11"/>
    </row>
    <row r="488" spans="1:1" ht="13">
      <c r="A488" s="11"/>
    </row>
    <row r="489" spans="1:1" ht="13">
      <c r="A489" s="11"/>
    </row>
    <row r="490" spans="1:1" ht="13">
      <c r="A490" s="11"/>
    </row>
    <row r="491" spans="1:1" ht="13">
      <c r="A491" s="11"/>
    </row>
    <row r="492" spans="1:1" ht="13">
      <c r="A492" s="11"/>
    </row>
    <row r="493" spans="1:1" ht="13">
      <c r="A493" s="11"/>
    </row>
    <row r="494" spans="1:1" ht="13">
      <c r="A494" s="11"/>
    </row>
    <row r="495" spans="1:1" ht="13">
      <c r="A495" s="11"/>
    </row>
    <row r="496" spans="1:1" ht="13">
      <c r="A496" s="11"/>
    </row>
    <row r="497" spans="1:1" ht="13">
      <c r="A497" s="11"/>
    </row>
    <row r="498" spans="1:1" ht="13">
      <c r="A498" s="11"/>
    </row>
    <row r="499" spans="1:1" ht="13">
      <c r="A499" s="11"/>
    </row>
    <row r="500" spans="1:1" ht="13">
      <c r="A500" s="11"/>
    </row>
    <row r="501" spans="1:1" ht="13">
      <c r="A501" s="11"/>
    </row>
    <row r="502" spans="1:1" ht="13">
      <c r="A502" s="11"/>
    </row>
    <row r="503" spans="1:1" ht="13">
      <c r="A503" s="11"/>
    </row>
    <row r="504" spans="1:1" ht="13">
      <c r="A504" s="11"/>
    </row>
    <row r="505" spans="1:1" ht="13">
      <c r="A505" s="11"/>
    </row>
    <row r="506" spans="1:1" ht="13">
      <c r="A506" s="11"/>
    </row>
    <row r="507" spans="1:1" ht="13">
      <c r="A507" s="11"/>
    </row>
    <row r="508" spans="1:1" ht="13">
      <c r="A508" s="11"/>
    </row>
    <row r="509" spans="1:1" ht="13">
      <c r="A509" s="11"/>
    </row>
    <row r="510" spans="1:1" ht="13">
      <c r="A510" s="11"/>
    </row>
    <row r="511" spans="1:1" ht="13">
      <c r="A511" s="11"/>
    </row>
    <row r="512" spans="1:1" ht="13">
      <c r="A512" s="11"/>
    </row>
    <row r="513" spans="1:1" ht="13">
      <c r="A513" s="11"/>
    </row>
    <row r="514" spans="1:1" ht="13">
      <c r="A514" s="11"/>
    </row>
    <row r="515" spans="1:1" ht="13">
      <c r="A515" s="11"/>
    </row>
    <row r="516" spans="1:1" ht="13">
      <c r="A516" s="11"/>
    </row>
    <row r="517" spans="1:1" ht="13">
      <c r="A517" s="11"/>
    </row>
    <row r="518" spans="1:1" ht="13">
      <c r="A518" s="11"/>
    </row>
    <row r="519" spans="1:1" ht="13">
      <c r="A519" s="11"/>
    </row>
    <row r="520" spans="1:1" ht="13">
      <c r="A520" s="11"/>
    </row>
    <row r="521" spans="1:1" ht="13">
      <c r="A521" s="11"/>
    </row>
    <row r="522" spans="1:1" ht="13">
      <c r="A522" s="11"/>
    </row>
    <row r="523" spans="1:1" ht="13">
      <c r="A523" s="11"/>
    </row>
    <row r="524" spans="1:1" ht="13">
      <c r="A524" s="11"/>
    </row>
    <row r="525" spans="1:1" ht="13">
      <c r="A525" s="11"/>
    </row>
    <row r="526" spans="1:1" ht="13">
      <c r="A526" s="11"/>
    </row>
    <row r="527" spans="1:1" ht="13">
      <c r="A527" s="11"/>
    </row>
    <row r="528" spans="1:1" ht="13">
      <c r="A528" s="11"/>
    </row>
    <row r="529" spans="1:1" ht="13">
      <c r="A529" s="11"/>
    </row>
    <row r="530" spans="1:1" ht="13">
      <c r="A530" s="11"/>
    </row>
    <row r="531" spans="1:1" ht="13">
      <c r="A531" s="11"/>
    </row>
    <row r="532" spans="1:1" ht="13">
      <c r="A532" s="11"/>
    </row>
    <row r="533" spans="1:1" ht="13">
      <c r="A533" s="11"/>
    </row>
    <row r="534" spans="1:1" ht="13">
      <c r="A534" s="11"/>
    </row>
    <row r="535" spans="1:1" ht="13">
      <c r="A535" s="11"/>
    </row>
    <row r="536" spans="1:1" ht="13">
      <c r="A536" s="11"/>
    </row>
    <row r="537" spans="1:1" ht="13">
      <c r="A537" s="11"/>
    </row>
    <row r="538" spans="1:1" ht="13">
      <c r="A538" s="11"/>
    </row>
    <row r="539" spans="1:1" ht="13">
      <c r="A539" s="11"/>
    </row>
    <row r="540" spans="1:1" ht="13">
      <c r="A540" s="11"/>
    </row>
    <row r="541" spans="1:1" ht="13">
      <c r="A541" s="11"/>
    </row>
    <row r="542" spans="1:1" ht="13">
      <c r="A542" s="11"/>
    </row>
    <row r="543" spans="1:1" ht="13">
      <c r="A543" s="11"/>
    </row>
    <row r="544" spans="1:1" ht="13">
      <c r="A544" s="11"/>
    </row>
    <row r="545" spans="1:1" ht="13">
      <c r="A545" s="11"/>
    </row>
    <row r="546" spans="1:1" ht="13">
      <c r="A546" s="11"/>
    </row>
    <row r="547" spans="1:1" ht="13">
      <c r="A547" s="11"/>
    </row>
    <row r="548" spans="1:1" ht="13">
      <c r="A548" s="11"/>
    </row>
    <row r="549" spans="1:1" ht="13">
      <c r="A549" s="11"/>
    </row>
    <row r="550" spans="1:1" ht="13">
      <c r="A550" s="11"/>
    </row>
    <row r="551" spans="1:1" ht="13">
      <c r="A551" s="11"/>
    </row>
    <row r="552" spans="1:1" ht="13">
      <c r="A552" s="11"/>
    </row>
    <row r="553" spans="1:1" ht="13">
      <c r="A553" s="11"/>
    </row>
    <row r="554" spans="1:1" ht="13">
      <c r="A554" s="11"/>
    </row>
    <row r="555" spans="1:1" ht="13">
      <c r="A555" s="11"/>
    </row>
    <row r="556" spans="1:1" ht="13">
      <c r="A556" s="11"/>
    </row>
    <row r="557" spans="1:1" ht="13">
      <c r="A557" s="11"/>
    </row>
    <row r="558" spans="1:1" ht="13">
      <c r="A558" s="11"/>
    </row>
    <row r="559" spans="1:1" ht="13">
      <c r="A559" s="11"/>
    </row>
    <row r="560" spans="1:1" ht="13">
      <c r="A560" s="11"/>
    </row>
    <row r="561" spans="1:1" ht="13">
      <c r="A561" s="11"/>
    </row>
    <row r="562" spans="1:1" ht="13">
      <c r="A562" s="11"/>
    </row>
    <row r="563" spans="1:1" ht="13">
      <c r="A563" s="11"/>
    </row>
    <row r="564" spans="1:1" ht="13">
      <c r="A564" s="11"/>
    </row>
    <row r="565" spans="1:1" ht="13">
      <c r="A565" s="11"/>
    </row>
    <row r="566" spans="1:1" ht="13">
      <c r="A566" s="11"/>
    </row>
    <row r="567" spans="1:1" ht="13">
      <c r="A567" s="11"/>
    </row>
    <row r="568" spans="1:1" ht="13">
      <c r="A568" s="11"/>
    </row>
    <row r="569" spans="1:1" ht="13">
      <c r="A569" s="11"/>
    </row>
    <row r="570" spans="1:1" ht="13">
      <c r="A570" s="11"/>
    </row>
    <row r="571" spans="1:1" ht="13">
      <c r="A571" s="11"/>
    </row>
    <row r="572" spans="1:1" ht="13">
      <c r="A572" s="11"/>
    </row>
    <row r="573" spans="1:1" ht="13">
      <c r="A573" s="11"/>
    </row>
    <row r="574" spans="1:1" ht="13">
      <c r="A574" s="11"/>
    </row>
    <row r="575" spans="1:1" ht="13">
      <c r="A575" s="11"/>
    </row>
    <row r="576" spans="1:1" ht="13">
      <c r="A576" s="11"/>
    </row>
    <row r="577" spans="1:1" ht="13">
      <c r="A577" s="11"/>
    </row>
    <row r="578" spans="1:1" ht="13">
      <c r="A578" s="11"/>
    </row>
    <row r="579" spans="1:1" ht="13">
      <c r="A579" s="11"/>
    </row>
    <row r="580" spans="1:1" ht="13">
      <c r="A580" s="11"/>
    </row>
    <row r="581" spans="1:1" ht="13">
      <c r="A581" s="11"/>
    </row>
    <row r="582" spans="1:1" ht="13">
      <c r="A582" s="11"/>
    </row>
    <row r="583" spans="1:1" ht="13">
      <c r="A583" s="11"/>
    </row>
    <row r="584" spans="1:1" ht="13">
      <c r="A584" s="11"/>
    </row>
    <row r="585" spans="1:1" ht="13">
      <c r="A585" s="11"/>
    </row>
    <row r="586" spans="1:1" ht="13">
      <c r="A586" s="11"/>
    </row>
    <row r="587" spans="1:1" ht="13">
      <c r="A587" s="11"/>
    </row>
    <row r="588" spans="1:1" ht="13">
      <c r="A588" s="11"/>
    </row>
    <row r="589" spans="1:1" ht="13">
      <c r="A589" s="11"/>
    </row>
    <row r="590" spans="1:1" ht="13">
      <c r="A590" s="11"/>
    </row>
    <row r="591" spans="1:1" ht="13">
      <c r="A591" s="11"/>
    </row>
    <row r="592" spans="1:1" ht="13">
      <c r="A592" s="11"/>
    </row>
    <row r="593" spans="1:1" ht="13">
      <c r="A593" s="11"/>
    </row>
    <row r="594" spans="1:1" ht="13">
      <c r="A594" s="11"/>
    </row>
    <row r="595" spans="1:1" ht="13">
      <c r="A595" s="11"/>
    </row>
    <row r="596" spans="1:1" ht="13">
      <c r="A596" s="11"/>
    </row>
    <row r="597" spans="1:1" ht="13">
      <c r="A597" s="11"/>
    </row>
    <row r="598" spans="1:1" ht="13">
      <c r="A598" s="11"/>
    </row>
    <row r="599" spans="1:1" ht="13">
      <c r="A599" s="11"/>
    </row>
    <row r="600" spans="1:1" ht="13">
      <c r="A600" s="11"/>
    </row>
    <row r="601" spans="1:1" ht="13">
      <c r="A601" s="11"/>
    </row>
    <row r="602" spans="1:1" ht="13">
      <c r="A602" s="11"/>
    </row>
    <row r="603" spans="1:1" ht="13">
      <c r="A603" s="11"/>
    </row>
    <row r="604" spans="1:1" ht="13">
      <c r="A604" s="11"/>
    </row>
    <row r="605" spans="1:1" ht="13">
      <c r="A605" s="11"/>
    </row>
    <row r="606" spans="1:1" ht="13">
      <c r="A606" s="11"/>
    </row>
    <row r="607" spans="1:1" ht="13">
      <c r="A607" s="11"/>
    </row>
    <row r="608" spans="1:1" ht="13">
      <c r="A608" s="11"/>
    </row>
    <row r="609" spans="1:1" ht="13">
      <c r="A609" s="11"/>
    </row>
    <row r="610" spans="1:1" ht="13">
      <c r="A610" s="11"/>
    </row>
    <row r="611" spans="1:1" ht="13">
      <c r="A611" s="11"/>
    </row>
    <row r="612" spans="1:1" ht="13">
      <c r="A612" s="11"/>
    </row>
    <row r="613" spans="1:1" ht="13">
      <c r="A613" s="11"/>
    </row>
    <row r="614" spans="1:1" ht="13">
      <c r="A614" s="11"/>
    </row>
    <row r="615" spans="1:1" ht="13">
      <c r="A615" s="11"/>
    </row>
    <row r="616" spans="1:1" ht="13">
      <c r="A616" s="11"/>
    </row>
    <row r="617" spans="1:1" ht="13">
      <c r="A617" s="11"/>
    </row>
    <row r="618" spans="1:1" ht="13">
      <c r="A618" s="11"/>
    </row>
    <row r="619" spans="1:1" ht="13">
      <c r="A619" s="11"/>
    </row>
    <row r="620" spans="1:1" ht="13">
      <c r="A620" s="11"/>
    </row>
    <row r="621" spans="1:1" ht="13">
      <c r="A621" s="11"/>
    </row>
    <row r="622" spans="1:1" ht="13">
      <c r="A622" s="11"/>
    </row>
    <row r="623" spans="1:1" ht="13">
      <c r="A623" s="11"/>
    </row>
    <row r="624" spans="1:1" ht="13">
      <c r="A624" s="11"/>
    </row>
    <row r="625" spans="1:1" ht="13">
      <c r="A625" s="11"/>
    </row>
    <row r="626" spans="1:1" ht="13">
      <c r="A626" s="11"/>
    </row>
    <row r="627" spans="1:1" ht="13">
      <c r="A627" s="11"/>
    </row>
    <row r="628" spans="1:1" ht="13">
      <c r="A628" s="11"/>
    </row>
    <row r="629" spans="1:1" ht="13">
      <c r="A629" s="11"/>
    </row>
    <row r="630" spans="1:1" ht="13">
      <c r="A630" s="11"/>
    </row>
    <row r="631" spans="1:1" ht="13">
      <c r="A631" s="11"/>
    </row>
    <row r="632" spans="1:1" ht="13">
      <c r="A632" s="11"/>
    </row>
    <row r="633" spans="1:1" ht="13">
      <c r="A633" s="11"/>
    </row>
    <row r="634" spans="1:1" ht="13">
      <c r="A634" s="11"/>
    </row>
    <row r="635" spans="1:1" ht="13">
      <c r="A635" s="11"/>
    </row>
    <row r="636" spans="1:1" ht="13">
      <c r="A636" s="11"/>
    </row>
    <row r="637" spans="1:1" ht="13">
      <c r="A637" s="11"/>
    </row>
    <row r="638" spans="1:1" ht="13">
      <c r="A638" s="11"/>
    </row>
    <row r="639" spans="1:1" ht="13">
      <c r="A639" s="11"/>
    </row>
    <row r="640" spans="1:1" ht="13">
      <c r="A640" s="11"/>
    </row>
    <row r="641" spans="1:1" ht="13">
      <c r="A641" s="11"/>
    </row>
    <row r="642" spans="1:1" ht="13">
      <c r="A642" s="11"/>
    </row>
    <row r="643" spans="1:1" ht="13">
      <c r="A643" s="11"/>
    </row>
    <row r="644" spans="1:1" ht="13">
      <c r="A644" s="11"/>
    </row>
    <row r="645" spans="1:1" ht="13">
      <c r="A645" s="11"/>
    </row>
    <row r="646" spans="1:1" ht="13">
      <c r="A646" s="11"/>
    </row>
    <row r="647" spans="1:1" ht="13">
      <c r="A647" s="11"/>
    </row>
    <row r="648" spans="1:1" ht="13">
      <c r="A648" s="11"/>
    </row>
    <row r="649" spans="1:1" ht="13">
      <c r="A649" s="11"/>
    </row>
    <row r="650" spans="1:1" ht="13">
      <c r="A650" s="11"/>
    </row>
    <row r="651" spans="1:1" ht="13">
      <c r="A651" s="11"/>
    </row>
    <row r="652" spans="1:1" ht="13">
      <c r="A652" s="11"/>
    </row>
    <row r="653" spans="1:1" ht="13">
      <c r="A653" s="11"/>
    </row>
    <row r="654" spans="1:1" ht="13">
      <c r="A654" s="11"/>
    </row>
    <row r="655" spans="1:1" ht="13">
      <c r="A655" s="11"/>
    </row>
    <row r="656" spans="1:1" ht="13">
      <c r="A656" s="11"/>
    </row>
    <row r="657" spans="1:1" ht="13">
      <c r="A657" s="11"/>
    </row>
    <row r="658" spans="1:1" ht="13">
      <c r="A658" s="11"/>
    </row>
    <row r="659" spans="1:1" ht="13">
      <c r="A659" s="11"/>
    </row>
    <row r="660" spans="1:1" ht="13">
      <c r="A660" s="11"/>
    </row>
    <row r="661" spans="1:1" ht="13">
      <c r="A661" s="11"/>
    </row>
    <row r="662" spans="1:1" ht="13">
      <c r="A662" s="11"/>
    </row>
    <row r="663" spans="1:1" ht="13">
      <c r="A663" s="11"/>
    </row>
    <row r="664" spans="1:1" ht="13">
      <c r="A664" s="11"/>
    </row>
    <row r="665" spans="1:1" ht="13">
      <c r="A665" s="11"/>
    </row>
    <row r="666" spans="1:1" ht="13">
      <c r="A666" s="11"/>
    </row>
    <row r="667" spans="1:1" ht="13">
      <c r="A667" s="11"/>
    </row>
    <row r="668" spans="1:1" ht="13">
      <c r="A668" s="11"/>
    </row>
    <row r="669" spans="1:1" ht="13">
      <c r="A669" s="11"/>
    </row>
    <row r="670" spans="1:1" ht="13">
      <c r="A670" s="11"/>
    </row>
    <row r="671" spans="1:1" ht="13">
      <c r="A671" s="11"/>
    </row>
    <row r="672" spans="1:1" ht="13">
      <c r="A672" s="11"/>
    </row>
    <row r="673" spans="1:1" ht="13">
      <c r="A673" s="11"/>
    </row>
    <row r="674" spans="1:1" ht="13">
      <c r="A674" s="11"/>
    </row>
    <row r="675" spans="1:1" ht="13">
      <c r="A675" s="11"/>
    </row>
    <row r="676" spans="1:1" ht="13">
      <c r="A676" s="11"/>
    </row>
    <row r="677" spans="1:1" ht="13">
      <c r="A677" s="11"/>
    </row>
    <row r="678" spans="1:1" ht="13">
      <c r="A678" s="11"/>
    </row>
    <row r="679" spans="1:1" ht="13">
      <c r="A679" s="11"/>
    </row>
    <row r="680" spans="1:1" ht="13">
      <c r="A680" s="11"/>
    </row>
    <row r="681" spans="1:1" ht="13">
      <c r="A681" s="11"/>
    </row>
    <row r="682" spans="1:1" ht="13">
      <c r="A682" s="11"/>
    </row>
    <row r="683" spans="1:1" ht="13">
      <c r="A683" s="11"/>
    </row>
    <row r="684" spans="1:1" ht="13">
      <c r="A684" s="11"/>
    </row>
    <row r="685" spans="1:1" ht="13">
      <c r="A685" s="11"/>
    </row>
    <row r="686" spans="1:1" ht="13">
      <c r="A686" s="11"/>
    </row>
    <row r="687" spans="1:1" ht="13">
      <c r="A687" s="11"/>
    </row>
    <row r="688" spans="1:1" ht="13">
      <c r="A688" s="11"/>
    </row>
    <row r="689" spans="1:1" ht="13">
      <c r="A689" s="11"/>
    </row>
    <row r="690" spans="1:1" ht="13">
      <c r="A690" s="11"/>
    </row>
    <row r="691" spans="1:1" ht="13">
      <c r="A691" s="11"/>
    </row>
    <row r="692" spans="1:1" ht="13">
      <c r="A692" s="11"/>
    </row>
    <row r="693" spans="1:1" ht="13">
      <c r="A693" s="11"/>
    </row>
    <row r="694" spans="1:1" ht="13">
      <c r="A694" s="11"/>
    </row>
    <row r="695" spans="1:1" ht="13">
      <c r="A695" s="11"/>
    </row>
    <row r="696" spans="1:1" ht="13">
      <c r="A696" s="11"/>
    </row>
    <row r="697" spans="1:1" ht="13">
      <c r="A697" s="11"/>
    </row>
    <row r="698" spans="1:1" ht="13">
      <c r="A698" s="11"/>
    </row>
    <row r="699" spans="1:1" ht="13">
      <c r="A699" s="11"/>
    </row>
    <row r="700" spans="1:1" ht="13">
      <c r="A700" s="11"/>
    </row>
    <row r="701" spans="1:1" ht="13">
      <c r="A701" s="11"/>
    </row>
    <row r="702" spans="1:1" ht="13">
      <c r="A702" s="11"/>
    </row>
    <row r="703" spans="1:1" ht="13">
      <c r="A703" s="11"/>
    </row>
    <row r="704" spans="1:1" ht="13">
      <c r="A704" s="11"/>
    </row>
    <row r="705" spans="1:1" ht="13">
      <c r="A705" s="11"/>
    </row>
    <row r="706" spans="1:1" ht="13">
      <c r="A706" s="11"/>
    </row>
    <row r="707" spans="1:1" ht="13">
      <c r="A707" s="11"/>
    </row>
    <row r="708" spans="1:1" ht="13">
      <c r="A708" s="11"/>
    </row>
    <row r="709" spans="1:1" ht="13">
      <c r="A709" s="11"/>
    </row>
    <row r="710" spans="1:1" ht="13">
      <c r="A710" s="11"/>
    </row>
    <row r="711" spans="1:1" ht="13">
      <c r="A711" s="11"/>
    </row>
    <row r="712" spans="1:1" ht="13">
      <c r="A712" s="11"/>
    </row>
    <row r="713" spans="1:1" ht="13">
      <c r="A713" s="11"/>
    </row>
    <row r="714" spans="1:1" ht="13">
      <c r="A714" s="11"/>
    </row>
    <row r="715" spans="1:1" ht="13">
      <c r="A715" s="11"/>
    </row>
    <row r="716" spans="1:1" ht="13">
      <c r="A716" s="11"/>
    </row>
    <row r="717" spans="1:1" ht="13">
      <c r="A717" s="11"/>
    </row>
    <row r="718" spans="1:1" ht="13">
      <c r="A718" s="11"/>
    </row>
    <row r="719" spans="1:1" ht="13">
      <c r="A719" s="11"/>
    </row>
    <row r="720" spans="1:1" ht="13">
      <c r="A720" s="11"/>
    </row>
    <row r="721" spans="1:1" ht="13">
      <c r="A721" s="11"/>
    </row>
    <row r="722" spans="1:1" ht="13">
      <c r="A722" s="11"/>
    </row>
    <row r="723" spans="1:1" ht="13">
      <c r="A723" s="11"/>
    </row>
    <row r="724" spans="1:1" ht="13">
      <c r="A724" s="11"/>
    </row>
    <row r="725" spans="1:1" ht="13">
      <c r="A725" s="11"/>
    </row>
    <row r="726" spans="1:1" ht="13">
      <c r="A726" s="11"/>
    </row>
    <row r="727" spans="1:1" ht="13">
      <c r="A727" s="11"/>
    </row>
    <row r="728" spans="1:1" ht="13">
      <c r="A728" s="11"/>
    </row>
    <row r="729" spans="1:1" ht="13">
      <c r="A729" s="11"/>
    </row>
    <row r="730" spans="1:1" ht="13">
      <c r="A730" s="11"/>
    </row>
    <row r="731" spans="1:1" ht="13">
      <c r="A731" s="11"/>
    </row>
    <row r="732" spans="1:1" ht="13">
      <c r="A732" s="11"/>
    </row>
    <row r="733" spans="1:1" ht="13">
      <c r="A733" s="11"/>
    </row>
    <row r="734" spans="1:1" ht="13">
      <c r="A734" s="11"/>
    </row>
    <row r="735" spans="1:1" ht="13">
      <c r="A735" s="11"/>
    </row>
    <row r="736" spans="1:1" ht="13">
      <c r="A736" s="11"/>
    </row>
    <row r="737" spans="1:1" ht="13">
      <c r="A737" s="11"/>
    </row>
    <row r="738" spans="1:1" ht="13">
      <c r="A738" s="11"/>
    </row>
    <row r="739" spans="1:1" ht="13">
      <c r="A739" s="11"/>
    </row>
    <row r="740" spans="1:1" ht="13">
      <c r="A740" s="11"/>
    </row>
    <row r="741" spans="1:1" ht="13">
      <c r="A741" s="11"/>
    </row>
    <row r="742" spans="1:1" ht="13">
      <c r="A742" s="11"/>
    </row>
    <row r="743" spans="1:1" ht="13">
      <c r="A743" s="11"/>
    </row>
    <row r="744" spans="1:1" ht="13">
      <c r="A744" s="11"/>
    </row>
    <row r="745" spans="1:1" ht="13">
      <c r="A745" s="11"/>
    </row>
    <row r="746" spans="1:1" ht="13">
      <c r="A746" s="11"/>
    </row>
    <row r="747" spans="1:1" ht="13">
      <c r="A747" s="11"/>
    </row>
    <row r="748" spans="1:1" ht="13">
      <c r="A748" s="11"/>
    </row>
    <row r="749" spans="1:1" ht="13">
      <c r="A749" s="11"/>
    </row>
    <row r="750" spans="1:1" ht="13">
      <c r="A750" s="11"/>
    </row>
    <row r="751" spans="1:1" ht="13">
      <c r="A751" s="11"/>
    </row>
    <row r="752" spans="1:1" ht="13">
      <c r="A752" s="11"/>
    </row>
    <row r="753" spans="1:1" ht="13">
      <c r="A753" s="11"/>
    </row>
    <row r="754" spans="1:1" ht="13">
      <c r="A754" s="11"/>
    </row>
    <row r="755" spans="1:1" ht="13">
      <c r="A755" s="11"/>
    </row>
    <row r="756" spans="1:1" ht="13">
      <c r="A756" s="11"/>
    </row>
    <row r="757" spans="1:1" ht="13">
      <c r="A757" s="11"/>
    </row>
    <row r="758" spans="1:1" ht="13">
      <c r="A758" s="11"/>
    </row>
    <row r="759" spans="1:1" ht="13">
      <c r="A759" s="11"/>
    </row>
    <row r="760" spans="1:1" ht="13">
      <c r="A760" s="11"/>
    </row>
    <row r="761" spans="1:1" ht="13">
      <c r="A761" s="11"/>
    </row>
    <row r="762" spans="1:1" ht="13">
      <c r="A762" s="11"/>
    </row>
    <row r="763" spans="1:1" ht="13">
      <c r="A763" s="11"/>
    </row>
    <row r="764" spans="1:1" ht="13">
      <c r="A764" s="11"/>
    </row>
    <row r="765" spans="1:1" ht="13">
      <c r="A765" s="11"/>
    </row>
    <row r="766" spans="1:1" ht="13">
      <c r="A766" s="11"/>
    </row>
    <row r="767" spans="1:1" ht="13">
      <c r="A767" s="11"/>
    </row>
    <row r="768" spans="1:1" ht="13">
      <c r="A768" s="11"/>
    </row>
    <row r="769" spans="1:1" ht="13">
      <c r="A769" s="11"/>
    </row>
    <row r="770" spans="1:1" ht="13">
      <c r="A770" s="11"/>
    </row>
    <row r="771" spans="1:1" ht="13">
      <c r="A771" s="11"/>
    </row>
    <row r="772" spans="1:1" ht="13">
      <c r="A772" s="11"/>
    </row>
    <row r="773" spans="1:1" ht="13">
      <c r="A773" s="11"/>
    </row>
    <row r="774" spans="1:1" ht="13">
      <c r="A774" s="11"/>
    </row>
    <row r="775" spans="1:1" ht="13">
      <c r="A775" s="11"/>
    </row>
    <row r="776" spans="1:1" ht="13">
      <c r="A776" s="11"/>
    </row>
    <row r="777" spans="1:1" ht="13">
      <c r="A777" s="11"/>
    </row>
    <row r="778" spans="1:1" ht="13">
      <c r="A778" s="11"/>
    </row>
    <row r="779" spans="1:1" ht="13">
      <c r="A779" s="11"/>
    </row>
    <row r="780" spans="1:1" ht="13">
      <c r="A780" s="11"/>
    </row>
    <row r="781" spans="1:1" ht="13">
      <c r="A781" s="11"/>
    </row>
    <row r="782" spans="1:1" ht="13">
      <c r="A782" s="11"/>
    </row>
    <row r="783" spans="1:1" ht="13">
      <c r="A783" s="11"/>
    </row>
    <row r="784" spans="1:1" ht="13">
      <c r="A784" s="11"/>
    </row>
    <row r="785" spans="1:1" ht="13">
      <c r="A785" s="11"/>
    </row>
    <row r="786" spans="1:1" ht="13">
      <c r="A786" s="11"/>
    </row>
    <row r="787" spans="1:1" ht="13">
      <c r="A787" s="11"/>
    </row>
    <row r="788" spans="1:1" ht="13">
      <c r="A788" s="11"/>
    </row>
    <row r="789" spans="1:1" ht="13">
      <c r="A789" s="11"/>
    </row>
    <row r="790" spans="1:1" ht="13">
      <c r="A790" s="11"/>
    </row>
    <row r="791" spans="1:1" ht="13">
      <c r="A791" s="11"/>
    </row>
    <row r="792" spans="1:1" ht="13">
      <c r="A792" s="11"/>
    </row>
    <row r="793" spans="1:1" ht="13">
      <c r="A793" s="11"/>
    </row>
    <row r="794" spans="1:1" ht="13">
      <c r="A794" s="11"/>
    </row>
    <row r="795" spans="1:1" ht="13">
      <c r="A795" s="11"/>
    </row>
    <row r="796" spans="1:1" ht="13">
      <c r="A796" s="11"/>
    </row>
    <row r="797" spans="1:1" ht="13">
      <c r="A797" s="11"/>
    </row>
    <row r="798" spans="1:1" ht="13">
      <c r="A798" s="11"/>
    </row>
    <row r="799" spans="1:1" ht="13">
      <c r="A799" s="11"/>
    </row>
    <row r="800" spans="1:1" ht="13">
      <c r="A800" s="11"/>
    </row>
    <row r="801" spans="1:1" ht="13">
      <c r="A801" s="11"/>
    </row>
    <row r="802" spans="1:1" ht="13">
      <c r="A802" s="11"/>
    </row>
    <row r="803" spans="1:1" ht="13">
      <c r="A803" s="11"/>
    </row>
    <row r="804" spans="1:1" ht="13">
      <c r="A804" s="11"/>
    </row>
    <row r="805" spans="1:1" ht="13">
      <c r="A805" s="11"/>
    </row>
    <row r="806" spans="1:1" ht="13">
      <c r="A806" s="11"/>
    </row>
    <row r="807" spans="1:1" ht="13">
      <c r="A807" s="11"/>
    </row>
    <row r="808" spans="1:1" ht="13">
      <c r="A808" s="11"/>
    </row>
    <row r="809" spans="1:1" ht="13">
      <c r="A809" s="11"/>
    </row>
    <row r="810" spans="1:1" ht="13">
      <c r="A810" s="11"/>
    </row>
    <row r="811" spans="1:1" ht="13">
      <c r="A811" s="11"/>
    </row>
    <row r="812" spans="1:1" ht="13">
      <c r="A812" s="11"/>
    </row>
    <row r="813" spans="1:1" ht="13">
      <c r="A813" s="11"/>
    </row>
    <row r="814" spans="1:1" ht="13">
      <c r="A814" s="11"/>
    </row>
    <row r="815" spans="1:1" ht="13">
      <c r="A815" s="11"/>
    </row>
    <row r="816" spans="1:1" ht="13">
      <c r="A816" s="11"/>
    </row>
    <row r="817" spans="1:1" ht="13">
      <c r="A817" s="11"/>
    </row>
    <row r="818" spans="1:1" ht="13">
      <c r="A818" s="11"/>
    </row>
    <row r="819" spans="1:1" ht="13">
      <c r="A819" s="11"/>
    </row>
    <row r="820" spans="1:1" ht="13">
      <c r="A820" s="11"/>
    </row>
    <row r="821" spans="1:1" ht="13">
      <c r="A821" s="11"/>
    </row>
    <row r="822" spans="1:1" ht="13">
      <c r="A822" s="11"/>
    </row>
    <row r="823" spans="1:1" ht="13">
      <c r="A823" s="11"/>
    </row>
    <row r="824" spans="1:1" ht="13">
      <c r="A824" s="11"/>
    </row>
    <row r="825" spans="1:1" ht="13">
      <c r="A825" s="11"/>
    </row>
    <row r="826" spans="1:1" ht="13">
      <c r="A826" s="11"/>
    </row>
    <row r="827" spans="1:1" ht="13">
      <c r="A827" s="11"/>
    </row>
    <row r="828" spans="1:1" ht="13">
      <c r="A828" s="11"/>
    </row>
    <row r="829" spans="1:1" ht="13">
      <c r="A829" s="11"/>
    </row>
    <row r="830" spans="1:1" ht="13">
      <c r="A830" s="11"/>
    </row>
    <row r="831" spans="1:1" ht="13">
      <c r="A831" s="11"/>
    </row>
    <row r="832" spans="1:1" ht="13">
      <c r="A832" s="11"/>
    </row>
    <row r="833" spans="1:1" ht="13">
      <c r="A833" s="11"/>
    </row>
    <row r="834" spans="1:1" ht="13">
      <c r="A834" s="11"/>
    </row>
    <row r="835" spans="1:1" ht="13">
      <c r="A835" s="11"/>
    </row>
    <row r="836" spans="1:1" ht="13">
      <c r="A836" s="11"/>
    </row>
    <row r="837" spans="1:1" ht="13">
      <c r="A837" s="11"/>
    </row>
    <row r="838" spans="1:1" ht="13">
      <c r="A838" s="11"/>
    </row>
    <row r="839" spans="1:1" ht="13">
      <c r="A839" s="11"/>
    </row>
    <row r="840" spans="1:1" ht="13">
      <c r="A840" s="11"/>
    </row>
    <row r="841" spans="1:1" ht="13">
      <c r="A841" s="11"/>
    </row>
    <row r="842" spans="1:1" ht="13">
      <c r="A842" s="11"/>
    </row>
    <row r="843" spans="1:1" ht="13">
      <c r="A843" s="11"/>
    </row>
    <row r="844" spans="1:1" ht="13">
      <c r="A844" s="11"/>
    </row>
    <row r="845" spans="1:1" ht="13">
      <c r="A845" s="11"/>
    </row>
    <row r="846" spans="1:1" ht="13">
      <c r="A846" s="11"/>
    </row>
    <row r="847" spans="1:1" ht="13">
      <c r="A847" s="11"/>
    </row>
    <row r="848" spans="1:1" ht="13">
      <c r="A848" s="11"/>
    </row>
    <row r="849" spans="1:1" ht="13">
      <c r="A849" s="11"/>
    </row>
    <row r="850" spans="1:1" ht="13">
      <c r="A850" s="11"/>
    </row>
    <row r="851" spans="1:1" ht="13">
      <c r="A851" s="11"/>
    </row>
    <row r="852" spans="1:1" ht="13">
      <c r="A852" s="11"/>
    </row>
    <row r="853" spans="1:1" ht="13">
      <c r="A853" s="11"/>
    </row>
    <row r="854" spans="1:1" ht="13">
      <c r="A854" s="11"/>
    </row>
    <row r="855" spans="1:1" ht="13">
      <c r="A855" s="11"/>
    </row>
    <row r="856" spans="1:1" ht="13">
      <c r="A856" s="11"/>
    </row>
    <row r="857" spans="1:1" ht="13">
      <c r="A857" s="11"/>
    </row>
    <row r="858" spans="1:1" ht="13">
      <c r="A858" s="11"/>
    </row>
    <row r="859" spans="1:1" ht="13">
      <c r="A859" s="11"/>
    </row>
    <row r="860" spans="1:1" ht="13">
      <c r="A860" s="11"/>
    </row>
    <row r="861" spans="1:1" ht="13">
      <c r="A861" s="11"/>
    </row>
    <row r="862" spans="1:1" ht="13">
      <c r="A862" s="11"/>
    </row>
    <row r="863" spans="1:1" ht="13">
      <c r="A863" s="11"/>
    </row>
    <row r="864" spans="1:1" ht="13">
      <c r="A864" s="11"/>
    </row>
    <row r="865" spans="1:1" ht="13">
      <c r="A865" s="11"/>
    </row>
    <row r="866" spans="1:1" ht="13">
      <c r="A866" s="11"/>
    </row>
    <row r="867" spans="1:1" ht="13">
      <c r="A867" s="11"/>
    </row>
    <row r="868" spans="1:1" ht="13">
      <c r="A868" s="11"/>
    </row>
    <row r="869" spans="1:1" ht="13">
      <c r="A869" s="11"/>
    </row>
    <row r="870" spans="1:1" ht="13">
      <c r="A870" s="11"/>
    </row>
    <row r="871" spans="1:1" ht="13">
      <c r="A871" s="11"/>
    </row>
    <row r="872" spans="1:1" ht="13">
      <c r="A872" s="11"/>
    </row>
    <row r="873" spans="1:1" ht="13">
      <c r="A873" s="11"/>
    </row>
    <row r="874" spans="1:1" ht="13">
      <c r="A874" s="11"/>
    </row>
    <row r="875" spans="1:1" ht="13">
      <c r="A875" s="11"/>
    </row>
    <row r="876" spans="1:1" ht="13">
      <c r="A876" s="11"/>
    </row>
    <row r="877" spans="1:1" ht="13">
      <c r="A877" s="11"/>
    </row>
    <row r="878" spans="1:1" ht="13">
      <c r="A878" s="11"/>
    </row>
    <row r="879" spans="1:1" ht="13">
      <c r="A879" s="11"/>
    </row>
    <row r="880" spans="1:1" ht="13">
      <c r="A880" s="11"/>
    </row>
    <row r="881" spans="1:1" ht="13">
      <c r="A881" s="11"/>
    </row>
    <row r="882" spans="1:1" ht="13">
      <c r="A882" s="11"/>
    </row>
    <row r="883" spans="1:1" ht="13">
      <c r="A883" s="11"/>
    </row>
    <row r="884" spans="1:1" ht="13">
      <c r="A884" s="11"/>
    </row>
    <row r="885" spans="1:1" ht="13">
      <c r="A885" s="11"/>
    </row>
    <row r="886" spans="1:1" ht="13">
      <c r="A886" s="11"/>
    </row>
    <row r="887" spans="1:1" ht="13">
      <c r="A887" s="11"/>
    </row>
    <row r="888" spans="1:1" ht="13">
      <c r="A888" s="11"/>
    </row>
    <row r="889" spans="1:1" ht="13">
      <c r="A889" s="11"/>
    </row>
    <row r="890" spans="1:1" ht="13">
      <c r="A890" s="11"/>
    </row>
    <row r="891" spans="1:1" ht="13">
      <c r="A891" s="11"/>
    </row>
    <row r="892" spans="1:1" ht="13">
      <c r="A892" s="11"/>
    </row>
    <row r="893" spans="1:1" ht="13">
      <c r="A893" s="11"/>
    </row>
    <row r="894" spans="1:1" ht="13">
      <c r="A894" s="11"/>
    </row>
    <row r="895" spans="1:1" ht="13">
      <c r="A895" s="11"/>
    </row>
    <row r="896" spans="1:1" ht="13">
      <c r="A896" s="11"/>
    </row>
    <row r="897" spans="1:1" ht="13">
      <c r="A897" s="11"/>
    </row>
    <row r="898" spans="1:1" ht="13">
      <c r="A898" s="11"/>
    </row>
    <row r="899" spans="1:1" ht="13">
      <c r="A899" s="11"/>
    </row>
    <row r="900" spans="1:1" ht="13">
      <c r="A900" s="11"/>
    </row>
    <row r="901" spans="1:1" ht="13">
      <c r="A901" s="11"/>
    </row>
    <row r="902" spans="1:1" ht="13">
      <c r="A902" s="11"/>
    </row>
    <row r="903" spans="1:1" ht="13">
      <c r="A903" s="11"/>
    </row>
    <row r="904" spans="1:1" ht="13">
      <c r="A904" s="11"/>
    </row>
    <row r="905" spans="1:1" ht="13">
      <c r="A905" s="11"/>
    </row>
    <row r="906" spans="1:1" ht="13">
      <c r="A906" s="11"/>
    </row>
    <row r="907" spans="1:1" ht="13">
      <c r="A907" s="11"/>
    </row>
    <row r="908" spans="1:1" ht="13">
      <c r="A908" s="11"/>
    </row>
    <row r="909" spans="1:1" ht="13">
      <c r="A909" s="11"/>
    </row>
    <row r="910" spans="1:1" ht="13">
      <c r="A910" s="11"/>
    </row>
    <row r="911" spans="1:1" ht="13">
      <c r="A911" s="11"/>
    </row>
    <row r="912" spans="1:1" ht="13">
      <c r="A912" s="11"/>
    </row>
    <row r="913" spans="1:1" ht="13">
      <c r="A913" s="11"/>
    </row>
    <row r="914" spans="1:1" ht="13">
      <c r="A914" s="11"/>
    </row>
    <row r="915" spans="1:1" ht="13">
      <c r="A915" s="11"/>
    </row>
    <row r="916" spans="1:1" ht="13">
      <c r="A916" s="11"/>
    </row>
    <row r="917" spans="1:1" ht="13">
      <c r="A917" s="11"/>
    </row>
    <row r="918" spans="1:1" ht="13">
      <c r="A918" s="11"/>
    </row>
    <row r="919" spans="1:1" ht="13">
      <c r="A919" s="11"/>
    </row>
    <row r="920" spans="1:1" ht="13">
      <c r="A920" s="11"/>
    </row>
    <row r="921" spans="1:1" ht="13">
      <c r="A921" s="11"/>
    </row>
    <row r="922" spans="1:1" ht="13">
      <c r="A922" s="11"/>
    </row>
    <row r="923" spans="1:1" ht="13">
      <c r="A923" s="11"/>
    </row>
    <row r="924" spans="1:1" ht="13">
      <c r="A924" s="11"/>
    </row>
    <row r="925" spans="1:1" ht="13">
      <c r="A925" s="11"/>
    </row>
    <row r="926" spans="1:1" ht="13">
      <c r="A926" s="11"/>
    </row>
    <row r="927" spans="1:1" ht="13">
      <c r="A927" s="11"/>
    </row>
    <row r="928" spans="1:1" ht="13">
      <c r="A928" s="11"/>
    </row>
    <row r="929" spans="1:1" ht="13">
      <c r="A929" s="11"/>
    </row>
    <row r="930" spans="1:1" ht="13">
      <c r="A930" s="11"/>
    </row>
    <row r="931" spans="1:1" ht="13">
      <c r="A931" s="11"/>
    </row>
    <row r="932" spans="1:1" ht="13">
      <c r="A932" s="11"/>
    </row>
    <row r="933" spans="1:1" ht="13">
      <c r="A933" s="11"/>
    </row>
    <row r="934" spans="1:1" ht="13">
      <c r="A934" s="11"/>
    </row>
    <row r="935" spans="1:1" ht="13">
      <c r="A935" s="11"/>
    </row>
    <row r="936" spans="1:1" ht="13">
      <c r="A936" s="11"/>
    </row>
    <row r="937" spans="1:1" ht="13">
      <c r="A937" s="11"/>
    </row>
    <row r="938" spans="1:1" ht="13">
      <c r="A938" s="11"/>
    </row>
    <row r="939" spans="1:1" ht="13">
      <c r="A939" s="11"/>
    </row>
    <row r="940" spans="1:1" ht="13">
      <c r="A940" s="11"/>
    </row>
    <row r="941" spans="1:1" ht="13">
      <c r="A941" s="11"/>
    </row>
    <row r="942" spans="1:1" ht="13">
      <c r="A942" s="11"/>
    </row>
    <row r="943" spans="1:1" ht="13">
      <c r="A943" s="11"/>
    </row>
    <row r="944" spans="1:1" ht="13">
      <c r="A944" s="11"/>
    </row>
    <row r="945" spans="1:1" ht="13">
      <c r="A945" s="11"/>
    </row>
    <row r="946" spans="1:1" ht="13">
      <c r="A946" s="11"/>
    </row>
    <row r="947" spans="1:1" ht="13">
      <c r="A947" s="11"/>
    </row>
    <row r="948" spans="1:1" ht="13">
      <c r="A948" s="11"/>
    </row>
    <row r="949" spans="1:1" ht="13">
      <c r="A949" s="11"/>
    </row>
    <row r="950" spans="1:1" ht="13">
      <c r="A950" s="11"/>
    </row>
    <row r="951" spans="1:1" ht="13">
      <c r="A951" s="11"/>
    </row>
    <row r="952" spans="1:1" ht="13">
      <c r="A952" s="11"/>
    </row>
    <row r="953" spans="1:1" ht="13">
      <c r="A953" s="11"/>
    </row>
    <row r="954" spans="1:1" ht="13">
      <c r="A954" s="11"/>
    </row>
    <row r="955" spans="1:1" ht="13">
      <c r="A955" s="11"/>
    </row>
    <row r="956" spans="1:1" ht="13">
      <c r="A956" s="11"/>
    </row>
    <row r="957" spans="1:1" ht="13">
      <c r="A957" s="11"/>
    </row>
    <row r="958" spans="1:1" ht="13">
      <c r="A958" s="11"/>
    </row>
    <row r="959" spans="1:1" ht="13">
      <c r="A959" s="11"/>
    </row>
    <row r="960" spans="1:1" ht="13">
      <c r="A960" s="11"/>
    </row>
    <row r="961" spans="1:1" ht="13">
      <c r="A961" s="11"/>
    </row>
    <row r="962" spans="1:1" ht="13">
      <c r="A962" s="11"/>
    </row>
    <row r="963" spans="1:1" ht="13">
      <c r="A963" s="11"/>
    </row>
    <row r="964" spans="1:1" ht="13">
      <c r="A964" s="11"/>
    </row>
    <row r="965" spans="1:1" ht="13">
      <c r="A965" s="11"/>
    </row>
    <row r="966" spans="1:1" ht="13">
      <c r="A966" s="11"/>
    </row>
    <row r="967" spans="1:1" ht="13">
      <c r="A967" s="11"/>
    </row>
    <row r="968" spans="1:1" ht="13">
      <c r="A968" s="11"/>
    </row>
    <row r="969" spans="1:1" ht="13">
      <c r="A969" s="11"/>
    </row>
    <row r="970" spans="1:1" ht="13">
      <c r="A970" s="11"/>
    </row>
    <row r="971" spans="1:1" ht="13">
      <c r="A971" s="11"/>
    </row>
    <row r="972" spans="1:1" ht="13">
      <c r="A972" s="11"/>
    </row>
    <row r="973" spans="1:1" ht="13">
      <c r="A973" s="11"/>
    </row>
    <row r="974" spans="1:1" ht="13">
      <c r="A974" s="11"/>
    </row>
    <row r="975" spans="1:1" ht="13">
      <c r="A975" s="11"/>
    </row>
    <row r="976" spans="1:1" ht="13">
      <c r="A976" s="11"/>
    </row>
    <row r="977" spans="1:1" ht="13">
      <c r="A977" s="11"/>
    </row>
    <row r="978" spans="1:1" ht="13">
      <c r="A978" s="11"/>
    </row>
    <row r="979" spans="1:1" ht="13">
      <c r="A979" s="11"/>
    </row>
    <row r="980" spans="1:1" ht="13">
      <c r="A980" s="11"/>
    </row>
    <row r="981" spans="1:1" ht="13">
      <c r="A981" s="11"/>
    </row>
    <row r="982" spans="1:1" ht="13">
      <c r="A982" s="11"/>
    </row>
    <row r="983" spans="1:1" ht="13">
      <c r="A983" s="11"/>
    </row>
    <row r="984" spans="1:1" ht="13">
      <c r="A984" s="11"/>
    </row>
    <row r="985" spans="1:1" ht="13">
      <c r="A985" s="11"/>
    </row>
    <row r="986" spans="1:1" ht="13">
      <c r="A986" s="11"/>
    </row>
    <row r="987" spans="1:1" ht="13">
      <c r="A987" s="11"/>
    </row>
    <row r="988" spans="1:1" ht="13">
      <c r="A988" s="11"/>
    </row>
    <row r="989" spans="1:1" ht="13">
      <c r="A989" s="11"/>
    </row>
    <row r="990" spans="1:1" ht="13">
      <c r="A990" s="11"/>
    </row>
    <row r="991" spans="1:1" ht="13">
      <c r="A991" s="11"/>
    </row>
    <row r="992" spans="1:1" ht="13">
      <c r="A992" s="11"/>
    </row>
    <row r="993" spans="1:1" ht="13">
      <c r="A993" s="11"/>
    </row>
    <row r="994" spans="1:1" ht="13">
      <c r="A994" s="11"/>
    </row>
    <row r="995" spans="1:1" ht="13">
      <c r="A995" s="11"/>
    </row>
    <row r="996" spans="1:1" ht="13">
      <c r="A996" s="11"/>
    </row>
    <row r="997" spans="1:1" ht="13">
      <c r="A997" s="11"/>
    </row>
    <row r="998" spans="1:1" ht="13">
      <c r="A998" s="11"/>
    </row>
    <row r="999" spans="1:1" ht="13">
      <c r="A999" s="11"/>
    </row>
    <row r="1000" spans="1:1" ht="13">
      <c r="A1000" s="11"/>
    </row>
    <row r="1001" spans="1:1" ht="13">
      <c r="A1001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P44"/>
  <sheetViews>
    <sheetView workbookViewId="0">
      <pane xSplit="1" topLeftCell="B1" activePane="topRight" state="frozen"/>
      <selection pane="topRight" activeCell="B3" sqref="B3"/>
    </sheetView>
  </sheetViews>
  <sheetFormatPr baseColWidth="10" defaultColWidth="14.5" defaultRowHeight="15.75" customHeight="1"/>
  <cols>
    <col min="4" max="4" width="21.5" customWidth="1"/>
  </cols>
  <sheetData>
    <row r="1" spans="1:120" ht="15.75" customHeight="1">
      <c r="A1" s="1" t="s">
        <v>1</v>
      </c>
      <c r="B1" s="28" t="s">
        <v>13122</v>
      </c>
      <c r="C1" s="28" t="s">
        <v>13122</v>
      </c>
      <c r="D1" s="28" t="s">
        <v>13</v>
      </c>
      <c r="E1" s="28" t="s">
        <v>13</v>
      </c>
      <c r="F1" s="28" t="s">
        <v>13</v>
      </c>
      <c r="G1" s="28" t="s">
        <v>13</v>
      </c>
      <c r="H1" s="28" t="s">
        <v>13</v>
      </c>
      <c r="I1" s="28" t="s">
        <v>13</v>
      </c>
      <c r="J1" s="28" t="s">
        <v>13</v>
      </c>
      <c r="K1" s="28" t="s">
        <v>13</v>
      </c>
      <c r="L1" s="28" t="s">
        <v>13</v>
      </c>
      <c r="M1" s="28" t="s">
        <v>13</v>
      </c>
      <c r="N1" s="28" t="s">
        <v>13</v>
      </c>
      <c r="O1" s="28" t="s">
        <v>13</v>
      </c>
      <c r="P1" s="28" t="s">
        <v>9</v>
      </c>
      <c r="Q1" s="28" t="s">
        <v>9</v>
      </c>
      <c r="R1" s="28" t="s">
        <v>9</v>
      </c>
      <c r="S1" s="28" t="s">
        <v>9</v>
      </c>
      <c r="T1" s="28" t="s">
        <v>9</v>
      </c>
      <c r="U1" s="28" t="s">
        <v>9</v>
      </c>
      <c r="V1" s="28" t="s">
        <v>9</v>
      </c>
      <c r="W1" s="28" t="s">
        <v>9</v>
      </c>
      <c r="X1" s="28" t="s">
        <v>9</v>
      </c>
      <c r="Y1" s="28" t="s">
        <v>9</v>
      </c>
      <c r="Z1" s="28" t="s">
        <v>9</v>
      </c>
      <c r="AA1" s="28" t="s">
        <v>9</v>
      </c>
      <c r="AB1" s="28" t="s">
        <v>9</v>
      </c>
      <c r="AC1" s="28" t="s">
        <v>9</v>
      </c>
      <c r="AD1" s="28" t="s">
        <v>9</v>
      </c>
      <c r="AE1" s="28" t="s">
        <v>9</v>
      </c>
      <c r="AF1" s="28" t="s">
        <v>9</v>
      </c>
      <c r="AG1" s="28" t="s">
        <v>9</v>
      </c>
      <c r="AH1" s="28" t="s">
        <v>9</v>
      </c>
      <c r="AI1" s="28" t="s">
        <v>9</v>
      </c>
      <c r="AJ1" s="28" t="s">
        <v>9</v>
      </c>
      <c r="AK1" s="28" t="s">
        <v>9</v>
      </c>
      <c r="AL1" s="28" t="s">
        <v>9</v>
      </c>
      <c r="AM1" s="28" t="s">
        <v>9</v>
      </c>
      <c r="AN1" s="28" t="s">
        <v>9</v>
      </c>
      <c r="AO1" s="28" t="s">
        <v>9</v>
      </c>
      <c r="AP1" s="28" t="s">
        <v>9</v>
      </c>
      <c r="AQ1" s="28" t="s">
        <v>9</v>
      </c>
      <c r="AR1" s="28" t="s">
        <v>9</v>
      </c>
      <c r="AS1" s="28" t="s">
        <v>9</v>
      </c>
      <c r="AT1" s="28" t="s">
        <v>9</v>
      </c>
      <c r="AU1" s="28" t="s">
        <v>9</v>
      </c>
      <c r="AV1" s="28" t="s">
        <v>9</v>
      </c>
      <c r="AW1" s="28" t="s">
        <v>9</v>
      </c>
      <c r="AX1" s="28" t="s">
        <v>9</v>
      </c>
      <c r="AY1" s="28" t="s">
        <v>9</v>
      </c>
      <c r="AZ1" s="28" t="s">
        <v>9</v>
      </c>
      <c r="BA1" s="28" t="s">
        <v>9</v>
      </c>
      <c r="BB1" s="28" t="s">
        <v>9</v>
      </c>
      <c r="BC1" s="28" t="s">
        <v>9</v>
      </c>
      <c r="BD1" s="28" t="s">
        <v>9</v>
      </c>
      <c r="BE1" s="28" t="s">
        <v>9</v>
      </c>
      <c r="BF1" s="28" t="s">
        <v>9</v>
      </c>
      <c r="BG1" s="28" t="s">
        <v>9</v>
      </c>
      <c r="BH1" s="28" t="s">
        <v>9</v>
      </c>
      <c r="BI1" s="28" t="s">
        <v>9</v>
      </c>
      <c r="BJ1" s="28" t="s">
        <v>9</v>
      </c>
      <c r="BK1" s="28" t="s">
        <v>9</v>
      </c>
      <c r="BL1" s="28" t="s">
        <v>9</v>
      </c>
      <c r="BM1" s="28" t="s">
        <v>9</v>
      </c>
      <c r="BN1" s="28" t="s">
        <v>9</v>
      </c>
      <c r="BO1" s="28" t="s">
        <v>9</v>
      </c>
      <c r="BP1" s="28" t="s">
        <v>9</v>
      </c>
      <c r="BQ1" s="28" t="s">
        <v>9</v>
      </c>
      <c r="BR1" s="28" t="s">
        <v>9</v>
      </c>
      <c r="BS1" s="28" t="s">
        <v>9</v>
      </c>
      <c r="BT1" s="28" t="s">
        <v>9</v>
      </c>
      <c r="BU1" s="28" t="s">
        <v>9</v>
      </c>
      <c r="BV1" s="28" t="s">
        <v>9</v>
      </c>
      <c r="BW1" s="28" t="s">
        <v>9</v>
      </c>
      <c r="BX1" s="28" t="s">
        <v>9</v>
      </c>
      <c r="BY1" s="28" t="s">
        <v>9</v>
      </c>
      <c r="BZ1" s="28" t="s">
        <v>9</v>
      </c>
      <c r="CA1" s="28" t="s">
        <v>9</v>
      </c>
      <c r="CB1" s="28" t="s">
        <v>9</v>
      </c>
      <c r="CC1" s="28" t="s">
        <v>9</v>
      </c>
      <c r="CD1" s="28" t="s">
        <v>9</v>
      </c>
      <c r="CE1" s="28" t="s">
        <v>9</v>
      </c>
      <c r="CF1" s="28" t="s">
        <v>9</v>
      </c>
      <c r="CG1" s="28" t="s">
        <v>9</v>
      </c>
      <c r="CH1" s="28" t="s">
        <v>9</v>
      </c>
      <c r="CI1" s="28" t="s">
        <v>9</v>
      </c>
      <c r="CJ1" s="28" t="s">
        <v>9</v>
      </c>
      <c r="CK1" s="28" t="s">
        <v>9</v>
      </c>
      <c r="CL1" s="28" t="s">
        <v>9</v>
      </c>
      <c r="CM1" s="28" t="s">
        <v>9</v>
      </c>
      <c r="CN1" s="28" t="s">
        <v>9</v>
      </c>
      <c r="CO1" s="28" t="s">
        <v>9</v>
      </c>
      <c r="CP1" s="28" t="s">
        <v>9</v>
      </c>
      <c r="CQ1" s="28" t="s">
        <v>8</v>
      </c>
      <c r="CR1" s="28" t="s">
        <v>8</v>
      </c>
      <c r="CS1" s="28" t="s">
        <v>8</v>
      </c>
      <c r="CT1" s="28" t="s">
        <v>8</v>
      </c>
      <c r="CU1" s="28" t="s">
        <v>8</v>
      </c>
      <c r="CV1" s="28" t="s">
        <v>8</v>
      </c>
      <c r="CW1" s="28" t="s">
        <v>8</v>
      </c>
      <c r="CX1" s="28" t="s">
        <v>8</v>
      </c>
      <c r="CY1" s="28" t="s">
        <v>8</v>
      </c>
      <c r="CZ1" s="28" t="s">
        <v>9</v>
      </c>
      <c r="DA1" s="28" t="s">
        <v>9</v>
      </c>
      <c r="DB1" s="28" t="s">
        <v>9</v>
      </c>
      <c r="DC1" s="28" t="s">
        <v>9</v>
      </c>
      <c r="DD1" s="28" t="s">
        <v>9</v>
      </c>
      <c r="DE1" s="28" t="s">
        <v>9</v>
      </c>
      <c r="DF1" s="28" t="s">
        <v>9</v>
      </c>
      <c r="DG1" s="28" t="s">
        <v>9</v>
      </c>
      <c r="DH1" s="28" t="s">
        <v>13122</v>
      </c>
      <c r="DI1" s="28" t="s">
        <v>13</v>
      </c>
      <c r="DJ1" s="28" t="s">
        <v>13</v>
      </c>
      <c r="DK1" s="28" t="s">
        <v>13</v>
      </c>
      <c r="DL1" s="28" t="s">
        <v>13</v>
      </c>
      <c r="DM1" s="28" t="s">
        <v>13</v>
      </c>
      <c r="DN1" s="28" t="s">
        <v>9</v>
      </c>
      <c r="DO1" s="28" t="s">
        <v>9</v>
      </c>
      <c r="DP1" s="28" t="s">
        <v>13</v>
      </c>
    </row>
    <row r="2" spans="1:120" ht="15.75" customHeight="1">
      <c r="A2" s="1" t="s">
        <v>289</v>
      </c>
      <c r="B2" s="28" t="s">
        <v>564</v>
      </c>
      <c r="C2" s="28" t="s">
        <v>564</v>
      </c>
      <c r="D2" s="28" t="s">
        <v>564</v>
      </c>
      <c r="E2" s="28" t="s">
        <v>564</v>
      </c>
      <c r="F2" s="28" t="s">
        <v>564</v>
      </c>
      <c r="G2" s="28" t="s">
        <v>564</v>
      </c>
      <c r="H2" s="28" t="s">
        <v>564</v>
      </c>
      <c r="I2" s="28" t="s">
        <v>564</v>
      </c>
      <c r="J2" s="28" t="s">
        <v>564</v>
      </c>
      <c r="K2" s="28" t="s">
        <v>564</v>
      </c>
      <c r="L2" s="28" t="s">
        <v>564</v>
      </c>
      <c r="M2" s="28" t="s">
        <v>564</v>
      </c>
      <c r="N2" s="28" t="s">
        <v>564</v>
      </c>
      <c r="O2" s="28" t="s">
        <v>564</v>
      </c>
      <c r="P2" s="28" t="s">
        <v>564</v>
      </c>
      <c r="Q2" s="28" t="s">
        <v>564</v>
      </c>
      <c r="R2" s="28" t="s">
        <v>564</v>
      </c>
      <c r="S2" s="28" t="s">
        <v>564</v>
      </c>
      <c r="T2" s="28" t="s">
        <v>564</v>
      </c>
      <c r="U2" s="28" t="s">
        <v>564</v>
      </c>
      <c r="V2" s="28" t="s">
        <v>564</v>
      </c>
      <c r="W2" s="28" t="s">
        <v>564</v>
      </c>
      <c r="X2" s="28" t="s">
        <v>564</v>
      </c>
      <c r="Y2" s="28" t="s">
        <v>564</v>
      </c>
      <c r="Z2" s="28" t="s">
        <v>564</v>
      </c>
      <c r="AA2" s="28" t="s">
        <v>564</v>
      </c>
      <c r="AB2" s="28" t="s">
        <v>564</v>
      </c>
      <c r="AC2" s="28" t="s">
        <v>564</v>
      </c>
      <c r="AD2" s="28" t="s">
        <v>564</v>
      </c>
      <c r="AE2" s="28" t="s">
        <v>564</v>
      </c>
      <c r="AF2" s="28" t="s">
        <v>564</v>
      </c>
      <c r="AG2" s="28" t="s">
        <v>564</v>
      </c>
      <c r="AH2" s="28" t="s">
        <v>564</v>
      </c>
      <c r="AI2" s="28" t="s">
        <v>564</v>
      </c>
      <c r="AJ2" s="28" t="s">
        <v>564</v>
      </c>
      <c r="AK2" s="28" t="s">
        <v>564</v>
      </c>
      <c r="AL2" s="28" t="s">
        <v>564</v>
      </c>
      <c r="AM2" s="28" t="s">
        <v>564</v>
      </c>
      <c r="AN2" s="28" t="s">
        <v>564</v>
      </c>
      <c r="AO2" s="28" t="s">
        <v>564</v>
      </c>
      <c r="AP2" s="28" t="s">
        <v>564</v>
      </c>
      <c r="AQ2" s="28" t="s">
        <v>564</v>
      </c>
      <c r="AR2" s="28" t="s">
        <v>564</v>
      </c>
      <c r="AS2" s="28" t="s">
        <v>564</v>
      </c>
      <c r="AT2" s="28" t="s">
        <v>564</v>
      </c>
      <c r="AU2" s="28" t="s">
        <v>564</v>
      </c>
      <c r="AV2" s="28" t="s">
        <v>564</v>
      </c>
      <c r="AW2" s="28" t="s">
        <v>564</v>
      </c>
      <c r="AX2" s="28" t="s">
        <v>564</v>
      </c>
      <c r="AY2" s="28" t="s">
        <v>564</v>
      </c>
      <c r="AZ2" s="28" t="s">
        <v>564</v>
      </c>
      <c r="BA2" s="28" t="s">
        <v>564</v>
      </c>
      <c r="BB2" s="28" t="s">
        <v>564</v>
      </c>
      <c r="BC2" s="28" t="s">
        <v>564</v>
      </c>
      <c r="BD2" s="28" t="s">
        <v>564</v>
      </c>
      <c r="BE2" s="28" t="s">
        <v>564</v>
      </c>
      <c r="BF2" s="28" t="s">
        <v>564</v>
      </c>
      <c r="BG2" s="28" t="s">
        <v>564</v>
      </c>
      <c r="BH2" s="28" t="s">
        <v>564</v>
      </c>
      <c r="BI2" s="28" t="s">
        <v>565</v>
      </c>
      <c r="BJ2" s="28" t="s">
        <v>565</v>
      </c>
      <c r="BK2" s="28" t="s">
        <v>565</v>
      </c>
      <c r="BL2" s="28" t="s">
        <v>565</v>
      </c>
      <c r="BM2" s="28" t="s">
        <v>565</v>
      </c>
      <c r="BN2" s="28" t="s">
        <v>565</v>
      </c>
      <c r="BO2" s="28" t="s">
        <v>565</v>
      </c>
      <c r="BP2" s="28" t="s">
        <v>565</v>
      </c>
      <c r="BQ2" s="28" t="s">
        <v>565</v>
      </c>
      <c r="BR2" s="28" t="s">
        <v>565</v>
      </c>
      <c r="BS2" s="28" t="s">
        <v>565</v>
      </c>
      <c r="BT2" s="28" t="s">
        <v>565</v>
      </c>
      <c r="BU2" s="28" t="s">
        <v>565</v>
      </c>
      <c r="BV2" s="28" t="s">
        <v>565</v>
      </c>
      <c r="BW2" s="28" t="s">
        <v>565</v>
      </c>
      <c r="BX2" s="28" t="s">
        <v>565</v>
      </c>
      <c r="BY2" s="28" t="s">
        <v>565</v>
      </c>
      <c r="BZ2" s="28" t="s">
        <v>565</v>
      </c>
      <c r="CA2" s="28" t="s">
        <v>565</v>
      </c>
      <c r="CB2" s="28" t="s">
        <v>565</v>
      </c>
      <c r="CC2" s="28" t="s">
        <v>565</v>
      </c>
      <c r="CD2" s="28" t="s">
        <v>565</v>
      </c>
      <c r="CE2" s="28" t="s">
        <v>565</v>
      </c>
      <c r="CF2" s="28" t="s">
        <v>565</v>
      </c>
      <c r="CG2" s="28" t="s">
        <v>565</v>
      </c>
      <c r="CH2" s="28" t="s">
        <v>565</v>
      </c>
      <c r="CI2" s="28" t="s">
        <v>565</v>
      </c>
      <c r="CJ2" s="28" t="s">
        <v>565</v>
      </c>
      <c r="CK2" s="28" t="s">
        <v>565</v>
      </c>
      <c r="CL2" s="28" t="s">
        <v>565</v>
      </c>
      <c r="CM2" s="28" t="s">
        <v>565</v>
      </c>
      <c r="CN2" s="28" t="s">
        <v>565</v>
      </c>
      <c r="CO2" s="28" t="s">
        <v>565</v>
      </c>
      <c r="CP2" s="28" t="s">
        <v>565</v>
      </c>
      <c r="CQ2" s="28" t="s">
        <v>565</v>
      </c>
      <c r="CR2" s="28" t="s">
        <v>565</v>
      </c>
      <c r="CS2" s="28" t="s">
        <v>565</v>
      </c>
      <c r="CT2" s="28" t="s">
        <v>565</v>
      </c>
      <c r="CU2" s="28" t="s">
        <v>565</v>
      </c>
      <c r="CV2" s="28" t="s">
        <v>565</v>
      </c>
      <c r="CW2" s="28" t="s">
        <v>565</v>
      </c>
      <c r="CX2" s="28" t="s">
        <v>565</v>
      </c>
      <c r="CY2" s="28" t="s">
        <v>565</v>
      </c>
      <c r="CZ2" s="28" t="s">
        <v>565</v>
      </c>
      <c r="DA2" s="28" t="s">
        <v>565</v>
      </c>
      <c r="DB2" s="28" t="s">
        <v>565</v>
      </c>
      <c r="DC2" s="28" t="s">
        <v>565</v>
      </c>
      <c r="DD2" s="28" t="s">
        <v>565</v>
      </c>
      <c r="DE2" s="28" t="s">
        <v>565</v>
      </c>
      <c r="DF2" s="28" t="s">
        <v>565</v>
      </c>
      <c r="DG2" s="28" t="s">
        <v>565</v>
      </c>
      <c r="DH2" s="28" t="s">
        <v>565</v>
      </c>
      <c r="DI2" s="28" t="s">
        <v>565</v>
      </c>
      <c r="DJ2" s="28" t="s">
        <v>565</v>
      </c>
      <c r="DK2" s="28" t="s">
        <v>565</v>
      </c>
      <c r="DL2" s="28" t="s">
        <v>565</v>
      </c>
      <c r="DM2" s="28" t="s">
        <v>565</v>
      </c>
      <c r="DN2" s="28" t="s">
        <v>565</v>
      </c>
      <c r="DO2" s="28" t="s">
        <v>565</v>
      </c>
      <c r="DP2" s="28" t="s">
        <v>566</v>
      </c>
    </row>
    <row r="3" spans="1:120" ht="15.75" customHeight="1">
      <c r="A3" s="1" t="s">
        <v>162</v>
      </c>
      <c r="B3" s="29" t="s">
        <v>567</v>
      </c>
      <c r="C3" s="29" t="s">
        <v>568</v>
      </c>
      <c r="D3" s="29" t="s">
        <v>569</v>
      </c>
      <c r="E3" s="29" t="s">
        <v>570</v>
      </c>
      <c r="F3" s="29" t="s">
        <v>571</v>
      </c>
      <c r="G3" s="29" t="s">
        <v>572</v>
      </c>
      <c r="H3" s="29" t="s">
        <v>573</v>
      </c>
      <c r="I3" s="29" t="s">
        <v>574</v>
      </c>
      <c r="J3" s="29" t="s">
        <v>575</v>
      </c>
      <c r="K3" s="29" t="s">
        <v>576</v>
      </c>
      <c r="L3" s="29" t="s">
        <v>577</v>
      </c>
      <c r="M3" s="29" t="s">
        <v>578</v>
      </c>
      <c r="N3" s="29" t="s">
        <v>579</v>
      </c>
      <c r="O3" s="29" t="s">
        <v>580</v>
      </c>
      <c r="P3" s="29" t="s">
        <v>581</v>
      </c>
      <c r="Q3" s="29" t="s">
        <v>582</v>
      </c>
      <c r="R3" s="29" t="s">
        <v>583</v>
      </c>
      <c r="S3" s="29" t="s">
        <v>584</v>
      </c>
      <c r="T3" s="29" t="s">
        <v>585</v>
      </c>
      <c r="U3" s="29" t="s">
        <v>586</v>
      </c>
      <c r="V3" s="29" t="s">
        <v>587</v>
      </c>
      <c r="W3" s="29" t="s">
        <v>588</v>
      </c>
      <c r="X3" s="29" t="s">
        <v>589</v>
      </c>
      <c r="Y3" s="29" t="s">
        <v>590</v>
      </c>
      <c r="Z3" s="29" t="s">
        <v>591</v>
      </c>
      <c r="AA3" s="29" t="s">
        <v>592</v>
      </c>
      <c r="AB3" s="29" t="s">
        <v>593</v>
      </c>
      <c r="AC3" s="29" t="s">
        <v>594</v>
      </c>
      <c r="AD3" s="29" t="s">
        <v>595</v>
      </c>
      <c r="AE3" s="29" t="s">
        <v>596</v>
      </c>
      <c r="AF3" s="29" t="s">
        <v>597</v>
      </c>
      <c r="AG3" s="29" t="s">
        <v>598</v>
      </c>
      <c r="AH3" s="29" t="s">
        <v>599</v>
      </c>
      <c r="AI3" s="29" t="s">
        <v>600</v>
      </c>
      <c r="AJ3" s="29" t="s">
        <v>601</v>
      </c>
      <c r="AK3" s="29" t="s">
        <v>602</v>
      </c>
      <c r="AL3" s="29" t="s">
        <v>603</v>
      </c>
      <c r="AM3" s="29" t="s">
        <v>604</v>
      </c>
      <c r="AN3" s="29" t="s">
        <v>605</v>
      </c>
      <c r="AO3" s="29" t="s">
        <v>606</v>
      </c>
      <c r="AP3" s="29" t="s">
        <v>607</v>
      </c>
      <c r="AQ3" s="29" t="s">
        <v>608</v>
      </c>
      <c r="AR3" s="29" t="s">
        <v>609</v>
      </c>
      <c r="AS3" s="29" t="s">
        <v>610</v>
      </c>
      <c r="AT3" s="29" t="s">
        <v>611</v>
      </c>
      <c r="AU3" s="29" t="s">
        <v>612</v>
      </c>
      <c r="AV3" s="29" t="s">
        <v>613</v>
      </c>
      <c r="AW3" s="29" t="s">
        <v>614</v>
      </c>
      <c r="AX3" s="29" t="s">
        <v>615</v>
      </c>
      <c r="AY3" s="29" t="s">
        <v>616</v>
      </c>
      <c r="AZ3" s="29" t="s">
        <v>617</v>
      </c>
      <c r="BA3" s="29" t="s">
        <v>618</v>
      </c>
      <c r="BB3" s="29" t="s">
        <v>619</v>
      </c>
      <c r="BC3" s="29" t="s">
        <v>620</v>
      </c>
      <c r="BD3" s="29" t="s">
        <v>621</v>
      </c>
      <c r="BE3" s="29" t="s">
        <v>622</v>
      </c>
      <c r="BF3" s="29" t="s">
        <v>623</v>
      </c>
      <c r="BG3" s="29" t="s">
        <v>624</v>
      </c>
      <c r="BH3" s="29" t="s">
        <v>625</v>
      </c>
      <c r="BI3" s="29" t="s">
        <v>626</v>
      </c>
      <c r="BJ3" s="29" t="s">
        <v>627</v>
      </c>
      <c r="BK3" s="29" t="s">
        <v>628</v>
      </c>
      <c r="BL3" s="29" t="s">
        <v>629</v>
      </c>
      <c r="BM3" s="29" t="s">
        <v>630</v>
      </c>
      <c r="BN3" s="29" t="s">
        <v>631</v>
      </c>
      <c r="BO3" s="29" t="s">
        <v>632</v>
      </c>
      <c r="BP3" s="29" t="s">
        <v>633</v>
      </c>
      <c r="BQ3" s="29" t="s">
        <v>634</v>
      </c>
      <c r="BR3" s="29" t="s">
        <v>635</v>
      </c>
      <c r="BS3" s="29" t="s">
        <v>636</v>
      </c>
      <c r="BT3" s="29" t="s">
        <v>637</v>
      </c>
      <c r="BU3" s="29" t="s">
        <v>638</v>
      </c>
      <c r="BV3" s="29" t="s">
        <v>639</v>
      </c>
      <c r="BW3" s="29" t="s">
        <v>640</v>
      </c>
      <c r="BX3" s="29" t="s">
        <v>641</v>
      </c>
      <c r="BY3" s="29" t="s">
        <v>642</v>
      </c>
      <c r="BZ3" s="29" t="s">
        <v>643</v>
      </c>
      <c r="CA3" s="29" t="s">
        <v>644</v>
      </c>
      <c r="CB3" s="29" t="s">
        <v>645</v>
      </c>
      <c r="CC3" s="29" t="s">
        <v>646</v>
      </c>
      <c r="CD3" s="29" t="s">
        <v>647</v>
      </c>
      <c r="CE3" s="29" t="s">
        <v>648</v>
      </c>
      <c r="CF3" s="29" t="s">
        <v>649</v>
      </c>
      <c r="CG3" s="29" t="s">
        <v>650</v>
      </c>
      <c r="CH3" s="29" t="s">
        <v>651</v>
      </c>
      <c r="CI3" s="29" t="s">
        <v>652</v>
      </c>
      <c r="CJ3" s="29" t="s">
        <v>653</v>
      </c>
      <c r="CK3" s="29" t="s">
        <v>654</v>
      </c>
      <c r="CL3" s="29" t="s">
        <v>655</v>
      </c>
      <c r="CM3" s="29" t="s">
        <v>656</v>
      </c>
      <c r="CN3" s="29" t="s">
        <v>657</v>
      </c>
      <c r="CO3" s="29" t="s">
        <v>658</v>
      </c>
      <c r="CP3" s="29" t="s">
        <v>659</v>
      </c>
      <c r="CQ3" s="29" t="s">
        <v>660</v>
      </c>
      <c r="CR3" s="29" t="s">
        <v>661</v>
      </c>
      <c r="CS3" s="29" t="s">
        <v>662</v>
      </c>
      <c r="CT3" s="29" t="s">
        <v>663</v>
      </c>
      <c r="CU3" s="29" t="s">
        <v>664</v>
      </c>
      <c r="CV3" s="29" t="s">
        <v>665</v>
      </c>
      <c r="CW3" s="29" t="s">
        <v>666</v>
      </c>
      <c r="CX3" s="29" t="s">
        <v>667</v>
      </c>
      <c r="CY3" s="29" t="s">
        <v>668</v>
      </c>
      <c r="CZ3" s="29" t="s">
        <v>669</v>
      </c>
      <c r="DA3" s="29" t="s">
        <v>670</v>
      </c>
      <c r="DB3" s="29" t="s">
        <v>671</v>
      </c>
      <c r="DC3" s="29" t="s">
        <v>672</v>
      </c>
      <c r="DD3" s="29" t="s">
        <v>673</v>
      </c>
      <c r="DE3" s="29" t="s">
        <v>674</v>
      </c>
      <c r="DF3" s="29" t="s">
        <v>675</v>
      </c>
      <c r="DG3" s="29" t="s">
        <v>676</v>
      </c>
      <c r="DH3" s="29" t="s">
        <v>677</v>
      </c>
      <c r="DI3" s="29" t="s">
        <v>678</v>
      </c>
      <c r="DJ3" s="29" t="s">
        <v>679</v>
      </c>
      <c r="DK3" s="29" t="s">
        <v>680</v>
      </c>
      <c r="DL3" s="29" t="s">
        <v>681</v>
      </c>
      <c r="DM3" s="29" t="s">
        <v>682</v>
      </c>
      <c r="DN3" s="29" t="s">
        <v>683</v>
      </c>
      <c r="DO3" s="29" t="s">
        <v>684</v>
      </c>
      <c r="DP3" s="29" t="s">
        <v>685</v>
      </c>
    </row>
    <row r="4" spans="1:120" ht="15.75" customHeight="1">
      <c r="A4" s="1" t="s">
        <v>686</v>
      </c>
      <c r="B4" s="28" t="s">
        <v>687</v>
      </c>
      <c r="C4" s="28" t="s">
        <v>688</v>
      </c>
      <c r="D4" s="28" t="s">
        <v>689</v>
      </c>
      <c r="E4" s="28" t="s">
        <v>690</v>
      </c>
      <c r="F4" s="28" t="s">
        <v>691</v>
      </c>
      <c r="G4" s="28" t="s">
        <v>692</v>
      </c>
      <c r="H4" s="28" t="s">
        <v>693</v>
      </c>
      <c r="I4" s="28" t="s">
        <v>694</v>
      </c>
      <c r="J4" s="28" t="s">
        <v>695</v>
      </c>
      <c r="K4" s="28" t="s">
        <v>696</v>
      </c>
      <c r="L4" s="28" t="s">
        <v>697</v>
      </c>
      <c r="M4" s="28" t="s">
        <v>698</v>
      </c>
      <c r="N4" s="28" t="s">
        <v>699</v>
      </c>
      <c r="O4" s="28" t="s">
        <v>700</v>
      </c>
      <c r="P4" s="28" t="s">
        <v>701</v>
      </c>
      <c r="Q4" s="28" t="s">
        <v>702</v>
      </c>
      <c r="R4" s="28" t="s">
        <v>703</v>
      </c>
      <c r="S4" s="28" t="s">
        <v>704</v>
      </c>
      <c r="T4" s="28" t="s">
        <v>705</v>
      </c>
      <c r="U4" s="28" t="s">
        <v>706</v>
      </c>
      <c r="V4" s="28" t="s">
        <v>707</v>
      </c>
      <c r="W4" s="28" t="s">
        <v>708</v>
      </c>
      <c r="X4" s="28" t="s">
        <v>709</v>
      </c>
      <c r="Y4" s="28" t="s">
        <v>710</v>
      </c>
      <c r="Z4" s="28" t="s">
        <v>711</v>
      </c>
      <c r="AA4" s="28" t="s">
        <v>712</v>
      </c>
      <c r="AB4" s="28" t="s">
        <v>713</v>
      </c>
      <c r="AC4" s="28" t="s">
        <v>714</v>
      </c>
      <c r="AD4" s="28" t="s">
        <v>315</v>
      </c>
      <c r="AE4" s="28" t="s">
        <v>715</v>
      </c>
      <c r="AF4" s="28" t="s">
        <v>716</v>
      </c>
      <c r="AG4" s="28" t="s">
        <v>717</v>
      </c>
      <c r="AH4" s="28" t="s">
        <v>718</v>
      </c>
      <c r="AI4" s="28" t="s">
        <v>719</v>
      </c>
      <c r="AJ4" s="28" t="s">
        <v>720</v>
      </c>
      <c r="AK4" s="28" t="s">
        <v>721</v>
      </c>
      <c r="AL4" s="28" t="s">
        <v>722</v>
      </c>
      <c r="AM4" s="28" t="s">
        <v>723</v>
      </c>
      <c r="AN4" s="28" t="s">
        <v>724</v>
      </c>
      <c r="AO4" s="28" t="s">
        <v>725</v>
      </c>
      <c r="AP4" s="28" t="s">
        <v>726</v>
      </c>
      <c r="AQ4" s="28" t="s">
        <v>727</v>
      </c>
      <c r="AR4" s="28" t="s">
        <v>728</v>
      </c>
      <c r="AS4" s="28" t="s">
        <v>729</v>
      </c>
      <c r="AT4" s="28" t="s">
        <v>730</v>
      </c>
      <c r="AU4" s="28" t="s">
        <v>731</v>
      </c>
      <c r="AV4" s="28" t="s">
        <v>732</v>
      </c>
      <c r="AW4" s="28" t="s">
        <v>733</v>
      </c>
      <c r="AX4" s="28" t="s">
        <v>734</v>
      </c>
      <c r="AY4" s="28" t="s">
        <v>735</v>
      </c>
      <c r="AZ4" s="28" t="s">
        <v>736</v>
      </c>
      <c r="BA4" s="28" t="s">
        <v>310</v>
      </c>
      <c r="BB4" s="28" t="s">
        <v>737</v>
      </c>
      <c r="BC4" s="28" t="s">
        <v>738</v>
      </c>
      <c r="BD4" s="28" t="s">
        <v>739</v>
      </c>
      <c r="BE4" s="28" t="s">
        <v>740</v>
      </c>
      <c r="BF4" s="28" t="s">
        <v>314</v>
      </c>
      <c r="BG4" s="28" t="s">
        <v>741</v>
      </c>
      <c r="BH4" s="28" t="s">
        <v>742</v>
      </c>
      <c r="BI4" s="28" t="s">
        <v>743</v>
      </c>
      <c r="BJ4" s="28" t="s">
        <v>744</v>
      </c>
      <c r="BK4" s="28" t="s">
        <v>745</v>
      </c>
      <c r="BL4" s="28" t="s">
        <v>308</v>
      </c>
      <c r="BM4" s="28" t="s">
        <v>746</v>
      </c>
      <c r="BN4" s="28" t="s">
        <v>747</v>
      </c>
      <c r="BO4" s="28" t="s">
        <v>748</v>
      </c>
      <c r="BP4" s="28" t="s">
        <v>749</v>
      </c>
      <c r="BQ4" s="28" t="s">
        <v>750</v>
      </c>
      <c r="BR4" s="28" t="s">
        <v>751</v>
      </c>
      <c r="BS4" s="28" t="s">
        <v>752</v>
      </c>
      <c r="BT4" s="28" t="s">
        <v>753</v>
      </c>
      <c r="BU4" s="28" t="s">
        <v>754</v>
      </c>
      <c r="BV4" s="28" t="s">
        <v>311</v>
      </c>
      <c r="BW4" s="28" t="s">
        <v>755</v>
      </c>
      <c r="BX4" s="28" t="s">
        <v>756</v>
      </c>
      <c r="BY4" s="28" t="s">
        <v>757</v>
      </c>
      <c r="BZ4" s="28" t="s">
        <v>758</v>
      </c>
      <c r="CA4" s="28" t="s">
        <v>759</v>
      </c>
      <c r="CB4" s="28" t="s">
        <v>760</v>
      </c>
      <c r="CC4" s="28" t="s">
        <v>761</v>
      </c>
      <c r="CD4" s="28" t="s">
        <v>762</v>
      </c>
      <c r="CE4" s="28" t="s">
        <v>763</v>
      </c>
      <c r="CF4" s="28" t="s">
        <v>764</v>
      </c>
      <c r="CG4" s="28" t="s">
        <v>765</v>
      </c>
      <c r="CH4" s="28" t="s">
        <v>766</v>
      </c>
      <c r="CI4" s="28" t="s">
        <v>767</v>
      </c>
      <c r="CJ4" s="28" t="s">
        <v>768</v>
      </c>
      <c r="CK4" s="28" t="s">
        <v>769</v>
      </c>
      <c r="CL4" s="28" t="s">
        <v>770</v>
      </c>
      <c r="CM4" s="28" t="s">
        <v>771</v>
      </c>
      <c r="CN4" s="28" t="s">
        <v>772</v>
      </c>
      <c r="CO4" s="28" t="s">
        <v>773</v>
      </c>
      <c r="CP4" s="28" t="s">
        <v>774</v>
      </c>
      <c r="CQ4" s="28" t="s">
        <v>775</v>
      </c>
      <c r="CR4" s="28" t="s">
        <v>776</v>
      </c>
      <c r="CS4" s="28" t="s">
        <v>777</v>
      </c>
      <c r="CT4" s="28" t="s">
        <v>778</v>
      </c>
      <c r="CU4" s="28" t="s">
        <v>779</v>
      </c>
      <c r="CV4" s="28" t="s">
        <v>780</v>
      </c>
      <c r="CW4" s="28" t="s">
        <v>781</v>
      </c>
      <c r="CX4" s="28" t="s">
        <v>782</v>
      </c>
      <c r="CY4" s="28" t="s">
        <v>783</v>
      </c>
      <c r="CZ4" s="28" t="s">
        <v>784</v>
      </c>
      <c r="DA4" s="28" t="s">
        <v>785</v>
      </c>
      <c r="DB4" s="28" t="s">
        <v>786</v>
      </c>
      <c r="DC4" s="28" t="s">
        <v>787</v>
      </c>
      <c r="DD4" s="28" t="s">
        <v>788</v>
      </c>
      <c r="DE4" s="28" t="s">
        <v>789</v>
      </c>
      <c r="DF4" s="28" t="s">
        <v>790</v>
      </c>
      <c r="DG4" s="28" t="s">
        <v>791</v>
      </c>
      <c r="DH4" s="28" t="s">
        <v>792</v>
      </c>
      <c r="DI4" s="28" t="s">
        <v>793</v>
      </c>
      <c r="DJ4" s="28" t="s">
        <v>794</v>
      </c>
      <c r="DK4" s="28" t="s">
        <v>795</v>
      </c>
      <c r="DL4" s="28" t="s">
        <v>796</v>
      </c>
      <c r="DM4" s="28" t="s">
        <v>797</v>
      </c>
      <c r="DN4" s="28" t="s">
        <v>798</v>
      </c>
      <c r="DO4" s="28" t="s">
        <v>799</v>
      </c>
      <c r="DP4" s="33" t="s">
        <v>800</v>
      </c>
    </row>
    <row r="5" spans="1:120" ht="15.75" customHeight="1">
      <c r="A5" s="1" t="s">
        <v>156</v>
      </c>
      <c r="B5" s="28" t="s">
        <v>801</v>
      </c>
      <c r="C5" s="28" t="s">
        <v>802</v>
      </c>
      <c r="D5" s="28" t="s">
        <v>803</v>
      </c>
      <c r="E5" s="28" t="s">
        <v>804</v>
      </c>
      <c r="F5" s="28" t="s">
        <v>805</v>
      </c>
      <c r="G5" s="28" t="s">
        <v>806</v>
      </c>
      <c r="H5" s="28" t="s">
        <v>807</v>
      </c>
      <c r="I5" s="28" t="s">
        <v>808</v>
      </c>
      <c r="J5" s="28" t="s">
        <v>809</v>
      </c>
      <c r="K5" s="28" t="s">
        <v>810</v>
      </c>
      <c r="L5" s="28" t="s">
        <v>811</v>
      </c>
      <c r="M5" s="28" t="s">
        <v>812</v>
      </c>
      <c r="N5" s="28" t="s">
        <v>813</v>
      </c>
      <c r="O5" s="28" t="s">
        <v>814</v>
      </c>
      <c r="P5" s="28" t="s">
        <v>815</v>
      </c>
      <c r="Q5" s="28" t="s">
        <v>816</v>
      </c>
      <c r="R5" s="28" t="s">
        <v>817</v>
      </c>
      <c r="S5" s="28" t="s">
        <v>818</v>
      </c>
      <c r="T5" s="28" t="s">
        <v>819</v>
      </c>
      <c r="U5" s="28" t="s">
        <v>820</v>
      </c>
      <c r="V5" s="28" t="s">
        <v>821</v>
      </c>
      <c r="W5" s="28" t="s">
        <v>822</v>
      </c>
      <c r="X5" s="28" t="s">
        <v>823</v>
      </c>
      <c r="Y5" s="28" t="s">
        <v>824</v>
      </c>
      <c r="Z5" s="28" t="s">
        <v>825</v>
      </c>
      <c r="AA5" s="28" t="s">
        <v>826</v>
      </c>
      <c r="AB5" s="28" t="s">
        <v>827</v>
      </c>
      <c r="AC5" s="28" t="s">
        <v>828</v>
      </c>
      <c r="AD5" s="28" t="s">
        <v>829</v>
      </c>
      <c r="AE5" s="28" t="s">
        <v>830</v>
      </c>
      <c r="AF5" s="28" t="s">
        <v>831</v>
      </c>
      <c r="AG5" s="28" t="s">
        <v>832</v>
      </c>
      <c r="AH5" s="28" t="s">
        <v>833</v>
      </c>
      <c r="AI5" s="28" t="s">
        <v>834</v>
      </c>
      <c r="AJ5" s="28" t="s">
        <v>835</v>
      </c>
      <c r="AK5" s="28" t="s">
        <v>836</v>
      </c>
      <c r="AL5" s="28" t="s">
        <v>837</v>
      </c>
      <c r="AM5" s="28" t="s">
        <v>838</v>
      </c>
      <c r="AN5" s="28" t="s">
        <v>839</v>
      </c>
      <c r="AO5" s="28" t="s">
        <v>840</v>
      </c>
      <c r="AP5" s="28" t="s">
        <v>841</v>
      </c>
      <c r="AQ5" s="28" t="s">
        <v>842</v>
      </c>
      <c r="AR5" s="28" t="s">
        <v>843</v>
      </c>
      <c r="AS5" s="28" t="s">
        <v>844</v>
      </c>
      <c r="AT5" s="28" t="s">
        <v>845</v>
      </c>
      <c r="AU5" s="28" t="s">
        <v>846</v>
      </c>
      <c r="AV5" s="28" t="s">
        <v>847</v>
      </c>
      <c r="AW5" s="28" t="s">
        <v>848</v>
      </c>
      <c r="AX5" s="28" t="s">
        <v>849</v>
      </c>
      <c r="AY5" s="28" t="s">
        <v>850</v>
      </c>
      <c r="AZ5" s="28" t="s">
        <v>851</v>
      </c>
      <c r="BA5" s="28" t="s">
        <v>852</v>
      </c>
      <c r="BB5" s="28" t="s">
        <v>853</v>
      </c>
      <c r="BC5" s="28" t="s">
        <v>854</v>
      </c>
      <c r="BD5" s="28" t="s">
        <v>855</v>
      </c>
      <c r="BE5" s="28" t="s">
        <v>856</v>
      </c>
      <c r="BF5" s="28" t="s">
        <v>857</v>
      </c>
      <c r="BG5" s="28" t="s">
        <v>858</v>
      </c>
      <c r="BH5" s="28" t="s">
        <v>859</v>
      </c>
      <c r="BI5" s="28" t="s">
        <v>860</v>
      </c>
      <c r="BJ5" s="28" t="s">
        <v>861</v>
      </c>
      <c r="BK5" s="28" t="s">
        <v>862</v>
      </c>
      <c r="BL5" s="28" t="s">
        <v>863</v>
      </c>
      <c r="BM5" s="28" t="s">
        <v>864</v>
      </c>
      <c r="BN5" s="28" t="s">
        <v>865</v>
      </c>
      <c r="BO5" s="28" t="s">
        <v>866</v>
      </c>
      <c r="BP5" s="28" t="s">
        <v>867</v>
      </c>
      <c r="BQ5" s="28" t="s">
        <v>868</v>
      </c>
      <c r="BR5" s="28" t="s">
        <v>869</v>
      </c>
      <c r="BS5" s="28" t="s">
        <v>870</v>
      </c>
      <c r="BT5" s="28" t="s">
        <v>871</v>
      </c>
      <c r="BU5" s="28" t="s">
        <v>872</v>
      </c>
      <c r="BV5" s="28" t="s">
        <v>873</v>
      </c>
      <c r="BW5" s="28" t="s">
        <v>874</v>
      </c>
      <c r="BX5" s="28" t="s">
        <v>875</v>
      </c>
      <c r="BY5" s="28" t="s">
        <v>876</v>
      </c>
      <c r="BZ5" s="28" t="s">
        <v>877</v>
      </c>
      <c r="CA5" s="28" t="s">
        <v>878</v>
      </c>
      <c r="CB5" s="28" t="s">
        <v>879</v>
      </c>
      <c r="CC5" s="28" t="s">
        <v>880</v>
      </c>
      <c r="CD5" s="28" t="s">
        <v>881</v>
      </c>
      <c r="CE5" s="28" t="s">
        <v>882</v>
      </c>
      <c r="CF5" s="28" t="s">
        <v>883</v>
      </c>
      <c r="CG5" s="28" t="s">
        <v>884</v>
      </c>
      <c r="CH5" s="28" t="s">
        <v>885</v>
      </c>
      <c r="CI5" s="28" t="s">
        <v>886</v>
      </c>
      <c r="CJ5" s="28" t="s">
        <v>887</v>
      </c>
      <c r="CK5" s="28" t="s">
        <v>888</v>
      </c>
      <c r="CL5" s="28" t="s">
        <v>889</v>
      </c>
      <c r="CM5" s="28" t="s">
        <v>890</v>
      </c>
      <c r="CN5" s="28" t="s">
        <v>891</v>
      </c>
      <c r="CO5" s="28" t="s">
        <v>892</v>
      </c>
      <c r="CP5" s="28" t="s">
        <v>893</v>
      </c>
      <c r="CQ5" s="28" t="s">
        <v>894</v>
      </c>
      <c r="CR5" s="28" t="s">
        <v>895</v>
      </c>
      <c r="CS5" s="28" t="s">
        <v>896</v>
      </c>
      <c r="CT5" s="28" t="s">
        <v>897</v>
      </c>
      <c r="CU5" s="28" t="s">
        <v>898</v>
      </c>
      <c r="CV5" s="28" t="s">
        <v>899</v>
      </c>
      <c r="CW5" s="28" t="s">
        <v>900</v>
      </c>
      <c r="CX5" s="28" t="s">
        <v>901</v>
      </c>
      <c r="CY5" s="28" t="s">
        <v>902</v>
      </c>
      <c r="CZ5" s="28" t="s">
        <v>903</v>
      </c>
      <c r="DA5" s="28" t="s">
        <v>904</v>
      </c>
      <c r="DB5" s="28" t="s">
        <v>905</v>
      </c>
      <c r="DC5" s="28" t="s">
        <v>906</v>
      </c>
      <c r="DD5" s="28" t="s">
        <v>907</v>
      </c>
      <c r="DE5" s="28" t="s">
        <v>908</v>
      </c>
      <c r="DF5" s="28" t="s">
        <v>909</v>
      </c>
      <c r="DG5" s="28" t="s">
        <v>910</v>
      </c>
      <c r="DH5" s="28" t="s">
        <v>911</v>
      </c>
      <c r="DI5" s="28" t="s">
        <v>912</v>
      </c>
      <c r="DJ5" s="28" t="s">
        <v>913</v>
      </c>
      <c r="DK5" s="28" t="s">
        <v>914</v>
      </c>
      <c r="DL5" s="28" t="s">
        <v>915</v>
      </c>
      <c r="DM5" s="28" t="s">
        <v>916</v>
      </c>
      <c r="DN5" s="28" t="s">
        <v>917</v>
      </c>
      <c r="DO5" s="28" t="s">
        <v>918</v>
      </c>
      <c r="DP5" s="28" t="s">
        <v>919</v>
      </c>
    </row>
    <row r="6" spans="1:120" ht="15.75" customHeight="1">
      <c r="A6" s="1" t="s">
        <v>331</v>
      </c>
      <c r="B6" s="32" t="str">
        <f t="shared" ref="B6:DP6" si="0">CONCATENATE("https://fragalysis.diamond.ac.uk/viewer/react/preview/direct/target/Mac1/mols/",B4,"/L/P/C")</f>
        <v>https://fragalysis.diamond.ac.uk/viewer/react/preview/direct/target/Mac1/mols/ZINC000034618676/L/P/C</v>
      </c>
      <c r="C6" s="32" t="str">
        <f t="shared" si="0"/>
        <v>https://fragalysis.diamond.ac.uk/viewer/react/preview/direct/target/Mac1/mols/ZINC000000001601/L/P/C</v>
      </c>
      <c r="D6" s="32" t="str">
        <f t="shared" si="0"/>
        <v>https://fragalysis.diamond.ac.uk/viewer/react/preview/direct/target/Mac1/mols/ZINC000007636250/L/P/C</v>
      </c>
      <c r="E6" s="32" t="str">
        <f t="shared" si="0"/>
        <v>https://fragalysis.diamond.ac.uk/viewer/react/preview/direct/target/Mac1/mols/ZINC000001674697/L/P/C</v>
      </c>
      <c r="F6" s="32" t="str">
        <f t="shared" si="0"/>
        <v>https://fragalysis.diamond.ac.uk/viewer/react/preview/direct/target/Mac1/mols/ZINC000003888754/L/P/C</v>
      </c>
      <c r="G6" s="32" t="str">
        <f t="shared" si="0"/>
        <v>https://fragalysis.diamond.ac.uk/viewer/react/preview/direct/target/Mac1/mols/ZINC000000331945/L/P/C</v>
      </c>
      <c r="H6" s="32" t="str">
        <f t="shared" si="0"/>
        <v>https://fragalysis.diamond.ac.uk/viewer/react/preview/direct/target/Mac1/mols/ZINC000336438345/L/P/C</v>
      </c>
      <c r="I6" s="32" t="str">
        <f t="shared" si="0"/>
        <v>https://fragalysis.diamond.ac.uk/viewer/react/preview/direct/target/Mac1/mols/ZINC000026180281/L/P/C</v>
      </c>
      <c r="J6" s="32" t="str">
        <f t="shared" si="0"/>
        <v>https://fragalysis.diamond.ac.uk/viewer/react/preview/direct/target/Mac1/mols/ZINC000263392672/L/P/C</v>
      </c>
      <c r="K6" s="32" t="str">
        <f t="shared" si="0"/>
        <v>https://fragalysis.diamond.ac.uk/viewer/react/preview/direct/target/Mac1/mols/ZINC000274438208/L/P/C</v>
      </c>
      <c r="L6" s="32" t="str">
        <f t="shared" si="0"/>
        <v>https://fragalysis.diamond.ac.uk/viewer/react/preview/direct/target/Mac1/mols/ZINC000374420934/L/P/C</v>
      </c>
      <c r="M6" s="32" t="str">
        <f t="shared" si="0"/>
        <v>https://fragalysis.diamond.ac.uk/viewer/react/preview/direct/target/Mac1/mols/ZINC000089254160_N3/L/P/C</v>
      </c>
      <c r="N6" s="32" t="str">
        <f t="shared" si="0"/>
        <v>https://fragalysis.diamond.ac.uk/viewer/react/preview/direct/target/Mac1/mols/ZINC000901381520_N3/L/P/C</v>
      </c>
      <c r="O6" s="32" t="str">
        <f t="shared" si="0"/>
        <v>https://fragalysis.diamond.ac.uk/viewer/react/preview/direct/target/Mac1/mols/ZINC000365052868/L/P/C</v>
      </c>
      <c r="P6" s="32" t="str">
        <f t="shared" si="0"/>
        <v>https://fragalysis.diamond.ac.uk/viewer/react/preview/direct/target/Mac1/mols/ZINC000000001099/L/P/C</v>
      </c>
      <c r="Q6" s="32" t="str">
        <f t="shared" si="0"/>
        <v>https://fragalysis.diamond.ac.uk/viewer/react/preview/direct/target/Mac1/mols/ZINC000000064576/L/P/C</v>
      </c>
      <c r="R6" s="32" t="str">
        <f t="shared" si="0"/>
        <v>https://fragalysis.diamond.ac.uk/viewer/react/preview/direct/target/Mac1/mols/ZINC000000000226/L/P/C</v>
      </c>
      <c r="S6" s="32" t="str">
        <f t="shared" si="0"/>
        <v>https://fragalysis.diamond.ac.uk/viewer/react/preview/direct/target/Mac1/mols/ZINC000002560357/L/P/C</v>
      </c>
      <c r="T6" s="32" t="str">
        <f t="shared" si="0"/>
        <v>https://fragalysis.diamond.ac.uk/viewer/react/preview/direct/target/Mac1/mols/ZINC000000158490/L/P/C</v>
      </c>
      <c r="U6" s="32" t="str">
        <f t="shared" si="0"/>
        <v>https://fragalysis.diamond.ac.uk/viewer/react/preview/direct/target/Mac1/mols/ZINC000000158650/L/P/C</v>
      </c>
      <c r="V6" s="32" t="str">
        <f t="shared" si="0"/>
        <v>https://fragalysis.diamond.ac.uk/viewer/react/preview/direct/target/Mac1/mols/ZINC000006691828/L/P/C</v>
      </c>
      <c r="W6" s="32" t="str">
        <f t="shared" si="0"/>
        <v>https://fragalysis.diamond.ac.uk/viewer/react/preview/direct/target/Mac1/mols/ZINC000000332673/L/P/C</v>
      </c>
      <c r="X6" s="32" t="str">
        <f t="shared" si="0"/>
        <v>https://fragalysis.diamond.ac.uk/viewer/react/preview/direct/target/Mac1/mols/ZINC000000002055/L/P/C</v>
      </c>
      <c r="Y6" s="32" t="str">
        <f t="shared" si="0"/>
        <v>https://fragalysis.diamond.ac.uk/viewer/react/preview/direct/target/Mac1/mols/ZINC000000340465/L/P/C</v>
      </c>
      <c r="Z6" s="32" t="str">
        <f t="shared" si="0"/>
        <v>https://fragalysis.diamond.ac.uk/viewer/react/preview/direct/target/Mac1/mols/ZINC000000337835/L/P/C</v>
      </c>
      <c r="AA6" s="32" t="str">
        <f t="shared" si="0"/>
        <v>https://fragalysis.diamond.ac.uk/viewer/react/preview/direct/target/Mac1/mols/ZINC000000388262/L/P/C</v>
      </c>
      <c r="AB6" s="32" t="str">
        <f t="shared" si="0"/>
        <v>https://fragalysis.diamond.ac.uk/viewer/react/preview/direct/target/Mac1/mols/ZINC000004787230/L/P/C</v>
      </c>
      <c r="AC6" s="32" t="str">
        <f t="shared" si="0"/>
        <v>https://fragalysis.diamond.ac.uk/viewer/react/preview/direct/target/Mac1/mols/ZINC000004218283/L/P/C</v>
      </c>
      <c r="AD6" s="32" t="str">
        <f t="shared" si="0"/>
        <v>https://fragalysis.diamond.ac.uk/viewer/react/preview/direct/target/Mac1/mols/ZINC000002582714/L/P/C</v>
      </c>
      <c r="AE6" s="32" t="str">
        <f t="shared" si="0"/>
        <v>https://fragalysis.diamond.ac.uk/viewer/react/preview/direct/target/Mac1/mols/ZINC000000039810/L/P/C</v>
      </c>
      <c r="AF6" s="32" t="str">
        <f t="shared" si="0"/>
        <v>https://fragalysis.diamond.ac.uk/viewer/react/preview/direct/target/Mac1/mols/ZINC000008652361/L/P/C</v>
      </c>
      <c r="AG6" s="32" t="str">
        <f t="shared" si="0"/>
        <v>https://fragalysis.diamond.ac.uk/viewer/react/preview/direct/target/Mac1/mols/ZINC000039281982/L/P/C</v>
      </c>
      <c r="AH6" s="32" t="str">
        <f t="shared" si="0"/>
        <v>https://fragalysis.diamond.ac.uk/viewer/react/preview/direct/target/Mac1/mols/ZINC000000051581/L/P/C</v>
      </c>
      <c r="AI6" s="32" t="str">
        <f t="shared" si="0"/>
        <v>https://fragalysis.diamond.ac.uk/viewer/react/preview/direct/target/Mac1/mols/ZINC000000058111/L/P/C</v>
      </c>
      <c r="AJ6" s="32" t="str">
        <f t="shared" si="0"/>
        <v>https://fragalysis.diamond.ac.uk/viewer/react/preview/direct/target/Mac1/mols/ZINC000000156509/L/P/C</v>
      </c>
      <c r="AK6" s="32" t="str">
        <f t="shared" si="0"/>
        <v>https://fragalysis.diamond.ac.uk/viewer/react/preview/direct/target/Mac1/mols/ZINC000015442276/L/P/C</v>
      </c>
      <c r="AL6" s="32" t="str">
        <f t="shared" si="0"/>
        <v>https://fragalysis.diamond.ac.uk/viewer/react/preview/direct/target/Mac1/mols/ZINC000000161908/L/P/C</v>
      </c>
      <c r="AM6" s="32" t="str">
        <f t="shared" si="0"/>
        <v>https://fragalysis.diamond.ac.uk/viewer/react/preview/direct/target/Mac1/mols/ZINC000000388280/L/P/C</v>
      </c>
      <c r="AN6" s="32" t="str">
        <f t="shared" si="0"/>
        <v>https://fragalysis.diamond.ac.uk/viewer/react/preview/direct/target/Mac1/mols/ZINC000000332540/L/P/C</v>
      </c>
      <c r="AO6" s="32" t="str">
        <f t="shared" si="0"/>
        <v>https://fragalysis.diamond.ac.uk/viewer/react/preview/direct/target/Mac1/mols/ZINC000006534965/L/P/C</v>
      </c>
      <c r="AP6" s="32" t="str">
        <f t="shared" si="0"/>
        <v>https://fragalysis.diamond.ac.uk/viewer/react/preview/direct/target/Mac1/mols/ZINC000006490906/L/P/C</v>
      </c>
      <c r="AQ6" s="32" t="str">
        <f t="shared" si="0"/>
        <v>https://fragalysis.diamond.ac.uk/viewer/react/preview/direct/target/Mac1/mols/ZINC000000157108/L/P/C</v>
      </c>
      <c r="AR6" s="32" t="str">
        <f t="shared" si="0"/>
        <v>https://fragalysis.diamond.ac.uk/viewer/react/preview/direct/target/Mac1/mols/ZINC000013283576/L/P/C</v>
      </c>
      <c r="AS6" s="32" t="str">
        <f t="shared" si="0"/>
        <v>https://fragalysis.diamond.ac.uk/viewer/react/preview/direct/target/Mac1/mols/ZINC000002047514/L/P/C</v>
      </c>
      <c r="AT6" s="32" t="str">
        <f t="shared" si="0"/>
        <v>https://fragalysis.diamond.ac.uk/viewer/react/preview/direct/target/Mac1/mols/ZINC000000395673/L/P/C</v>
      </c>
      <c r="AU6" s="32" t="str">
        <f t="shared" si="0"/>
        <v>https://fragalysis.diamond.ac.uk/viewer/react/preview/direct/target/Mac1/mols/ZINC000000156863/L/P/C</v>
      </c>
      <c r="AV6" s="32" t="str">
        <f t="shared" si="0"/>
        <v>https://fragalysis.diamond.ac.uk/viewer/react/preview/direct/target/Mac1/mols/ZINC000004219237/L/P/C</v>
      </c>
      <c r="AW6" s="32" t="str">
        <f t="shared" si="0"/>
        <v>https://fragalysis.diamond.ac.uk/viewer/react/preview/direct/target/Mac1/mols/ZINC000000332752/L/P/C</v>
      </c>
      <c r="AX6" s="32" t="str">
        <f t="shared" si="0"/>
        <v>https://fragalysis.diamond.ac.uk/viewer/react/preview/direct/target/Mac1/mols/ZINC000000164504/L/P/C</v>
      </c>
      <c r="AY6" s="32" t="str">
        <f t="shared" si="0"/>
        <v>https://fragalysis.diamond.ac.uk/viewer/react/preview/direct/target/Mac1/mols/ZINC000000388056/L/P/C</v>
      </c>
      <c r="AZ6" s="32" t="str">
        <f t="shared" si="0"/>
        <v>https://fragalysis.diamond.ac.uk/viewer/react/preview/direct/target/Mac1/mols/ZINC000000002005/L/P/C</v>
      </c>
      <c r="BA6" s="32" t="str">
        <f t="shared" si="0"/>
        <v>https://fragalysis.diamond.ac.uk/viewer/react/preview/direct/target/Mac1/mols/ZINC000013514509/L/P/C</v>
      </c>
      <c r="BB6" s="32" t="str">
        <f t="shared" si="0"/>
        <v>https://fragalysis.diamond.ac.uk/viewer/react/preview/direct/target/Mac1/mols/ZINC000000388302/L/P/C</v>
      </c>
      <c r="BC6" s="32" t="str">
        <f t="shared" si="0"/>
        <v>https://fragalysis.diamond.ac.uk/viewer/react/preview/direct/target/Mac1/mols/ZINC000001679336/L/P/C</v>
      </c>
      <c r="BD6" s="32" t="str">
        <f t="shared" si="0"/>
        <v>https://fragalysis.diamond.ac.uk/viewer/react/preview/direct/target/Mac1/mols/ZINC000019015078/L/P/C</v>
      </c>
      <c r="BE6" s="32" t="str">
        <f t="shared" si="0"/>
        <v>https://fragalysis.diamond.ac.uk/viewer/react/preview/direct/target/Mac1/mols/ZINC000018169763/L/P/C</v>
      </c>
      <c r="BF6" s="32" t="str">
        <f t="shared" si="0"/>
        <v>https://fragalysis.diamond.ac.uk/viewer/react/preview/direct/target/Mac1/mols/ZINC000000159004/L/P/C</v>
      </c>
      <c r="BG6" s="32" t="str">
        <f t="shared" si="0"/>
        <v>https://fragalysis.diamond.ac.uk/viewer/react/preview/direct/target/Mac1/mols/ZINC000000873830/L/P/C</v>
      </c>
      <c r="BH6" s="32" t="str">
        <f t="shared" si="0"/>
        <v>https://fragalysis.diamond.ac.uk/viewer/react/preview/direct/target/Mac1/mols/ZINC000000159056/L/P/C</v>
      </c>
      <c r="BI6" s="32" t="str">
        <f t="shared" si="0"/>
        <v>https://fragalysis.diamond.ac.uk/viewer/react/preview/direct/target/Mac1/mols/ZINC000001698894/L/P/C</v>
      </c>
      <c r="BJ6" s="32" t="str">
        <f t="shared" si="0"/>
        <v>https://fragalysis.diamond.ac.uk/viewer/react/preview/direct/target/Mac1/mols/ZINC000000164777/L/P/C</v>
      </c>
      <c r="BK6" s="32" t="str">
        <f t="shared" si="0"/>
        <v>https://fragalysis.diamond.ac.uk/viewer/react/preview/direct/target/Mac1/mols/ZINC000000090873/L/P/C</v>
      </c>
      <c r="BL6" s="32" t="str">
        <f t="shared" si="0"/>
        <v>https://fragalysis.diamond.ac.uk/viewer/react/preview/direct/target/Mac1/mols/ZINC000000157088/L/P/C</v>
      </c>
      <c r="BM6" s="32" t="str">
        <f t="shared" si="0"/>
        <v>https://fragalysis.diamond.ac.uk/viewer/react/preview/direct/target/Mac1/mols/ZINC000000404062/L/P/C</v>
      </c>
      <c r="BN6" s="32" t="str">
        <f t="shared" si="0"/>
        <v>https://fragalysis.diamond.ac.uk/viewer/react/preview/direct/target/Mac1/mols/ZINC000000388514/L/P/C</v>
      </c>
      <c r="BO6" s="32" t="str">
        <f t="shared" si="0"/>
        <v>https://fragalysis.diamond.ac.uk/viewer/react/preview/direct/target/Mac1/mols/ZINC000000034687/L/P/C</v>
      </c>
      <c r="BP6" s="32" t="str">
        <f t="shared" si="0"/>
        <v>https://fragalysis.diamond.ac.uk/viewer/react/preview/direct/target/Mac1/mols/ZINC000000331715/L/P/C</v>
      </c>
      <c r="BQ6" s="32" t="str">
        <f t="shared" si="0"/>
        <v>https://fragalysis.diamond.ac.uk/viewer/react/preview/direct/target/Mac1/mols/ZINC000000161696/L/P/C</v>
      </c>
      <c r="BR6" s="32" t="str">
        <f t="shared" si="0"/>
        <v>https://fragalysis.diamond.ac.uk/viewer/react/preview/direct/target/Mac1/mols/ZINC000001688638/L/P/C</v>
      </c>
      <c r="BS6" s="32" t="str">
        <f t="shared" si="0"/>
        <v>https://fragalysis.diamond.ac.uk/viewer/react/preview/direct/target/Mac1/mols/ZINC000098208711/L/P/C</v>
      </c>
      <c r="BT6" s="32" t="str">
        <f t="shared" si="0"/>
        <v>https://fragalysis.diamond.ac.uk/viewer/react/preview/direct/target/Mac1/mols/ZINC000001442764/L/P/C</v>
      </c>
      <c r="BU6" s="32" t="str">
        <f t="shared" si="0"/>
        <v>https://fragalysis.diamond.ac.uk/viewer/react/preview/direct/target/Mac1/mols/ZINC000003591110/L/P/C</v>
      </c>
      <c r="BV6" s="32" t="str">
        <f t="shared" si="0"/>
        <v>https://fragalysis.diamond.ac.uk/viewer/react/preview/direct/target/Mac1/mols/ZINC000000154817/L/P/C</v>
      </c>
      <c r="BW6" s="32" t="str">
        <f t="shared" si="0"/>
        <v>https://fragalysis.diamond.ac.uk/viewer/react/preview/direct/target/Mac1/mols/ZINC000000165882/L/P/C</v>
      </c>
      <c r="BX6" s="32" t="str">
        <f t="shared" si="0"/>
        <v>https://fragalysis.diamond.ac.uk/viewer/react/preview/direct/target/Mac1/mols/ZINC000033986325/L/P/C</v>
      </c>
      <c r="BY6" s="32" t="str">
        <f t="shared" si="0"/>
        <v>https://fragalysis.diamond.ac.uk/viewer/react/preview/direct/target/Mac1/mols/ZINC000000005878/L/P/C</v>
      </c>
      <c r="BZ6" s="32" t="str">
        <f t="shared" si="0"/>
        <v>https://fragalysis.diamond.ac.uk/viewer/react/preview/direct/target/Mac1/mols/ZINC000008615114/L/P/C</v>
      </c>
      <c r="CA6" s="32" t="str">
        <f t="shared" si="0"/>
        <v>https://fragalysis.diamond.ac.uk/viewer/react/preview/direct/target/Mac1/mols/ZINC000000000922/L/P/C</v>
      </c>
      <c r="CB6" s="32" t="str">
        <f t="shared" si="0"/>
        <v>https://fragalysis.diamond.ac.uk/viewer/react/preview/direct/target/Mac1/mols/ZINC000016989831/L/P/C</v>
      </c>
      <c r="CC6" s="32" t="str">
        <f t="shared" si="0"/>
        <v>https://fragalysis.diamond.ac.uk/viewer/react/preview/direct/target/Mac1/mols/ZINC000000038389/L/P/C</v>
      </c>
      <c r="CD6" s="32" t="str">
        <f t="shared" si="0"/>
        <v>https://fragalysis.diamond.ac.uk/viewer/react/preview/direct/target/Mac1/mols/ZINC000000123600/L/P/C</v>
      </c>
      <c r="CE6" s="32" t="str">
        <f t="shared" si="0"/>
        <v>https://fragalysis.diamond.ac.uk/viewer/react/preview/direct/target/Mac1/mols/ZINC000000332651/L/P/C</v>
      </c>
      <c r="CF6" s="32" t="str">
        <f t="shared" si="0"/>
        <v>https://fragalysis.diamond.ac.uk/viewer/react/preview/direct/target/Mac1/mols/ZINC000000404314/L/P/C</v>
      </c>
      <c r="CG6" s="32" t="str">
        <f t="shared" si="0"/>
        <v>https://fragalysis.diamond.ac.uk/viewer/react/preview/direct/target/Mac1/mols/ZINC000000161692/L/P/C</v>
      </c>
      <c r="CH6" s="32" t="str">
        <f t="shared" si="0"/>
        <v>https://fragalysis.diamond.ac.uk/viewer/react/preview/direct/target/Mac1/mols/ZINC000000163774/L/P/C</v>
      </c>
      <c r="CI6" s="32" t="str">
        <f t="shared" si="0"/>
        <v>https://fragalysis.diamond.ac.uk/viewer/react/preview/direct/target/Mac1/mols/ZINC000008861082/L/P/C</v>
      </c>
      <c r="CJ6" s="32" t="str">
        <f t="shared" si="0"/>
        <v>https://fragalysis.diamond.ac.uk/viewer/react/preview/direct/target/Mac1/mols/ZINC000000194295/L/P/C</v>
      </c>
      <c r="CK6" s="32" t="str">
        <f t="shared" si="0"/>
        <v>https://fragalysis.diamond.ac.uk/viewer/react/preview/direct/target/Mac1/mols/ZINC000001683100/L/P/C</v>
      </c>
      <c r="CL6" s="32" t="str">
        <f t="shared" si="0"/>
        <v>https://fragalysis.diamond.ac.uk/viewer/react/preview/direct/target/Mac1/mols/ZINC000004976927/L/P/C</v>
      </c>
      <c r="CM6" s="32" t="str">
        <f t="shared" si="0"/>
        <v>https://fragalysis.diamond.ac.uk/viewer/react/preview/direct/target/Mac1/mols/ZINC000032199226/L/P/C</v>
      </c>
      <c r="CN6" s="32" t="str">
        <f t="shared" si="0"/>
        <v>https://fragalysis.diamond.ac.uk/viewer/react/preview/direct/target/Mac1/mols/ZINC000017744334/L/P/C</v>
      </c>
      <c r="CO6" s="32" t="str">
        <f t="shared" si="0"/>
        <v>https://fragalysis.diamond.ac.uk/viewer/react/preview/direct/target/Mac1/mols/ZINC388081/L/P/C</v>
      </c>
      <c r="CP6" s="32" t="str">
        <f t="shared" si="0"/>
        <v>https://fragalysis.diamond.ac.uk/viewer/react/preview/direct/target/Mac1/mols/ZINC000000161958/L/P/C</v>
      </c>
      <c r="CQ6" s="32" t="str">
        <f t="shared" si="0"/>
        <v>https://fragalysis.diamond.ac.uk/viewer/react/preview/direct/target/Mac1/mols/ZINC000000438614/L/P/C</v>
      </c>
      <c r="CR6" s="32" t="str">
        <f t="shared" si="0"/>
        <v>https://fragalysis.diamond.ac.uk/viewer/react/preview/direct/target/Mac1/mols/ZINC000019015194/L/P/C</v>
      </c>
      <c r="CS6" s="32" t="str">
        <f t="shared" si="0"/>
        <v>https://fragalysis.diamond.ac.uk/viewer/react/preview/direct/target/Mac1/mols/ZINC000045014941/L/P/C</v>
      </c>
      <c r="CT6" s="32" t="str">
        <f t="shared" si="0"/>
        <v>https://fragalysis.diamond.ac.uk/viewer/react/preview/direct/target/Mac1/mols/ZINC000002020050/L/P/C</v>
      </c>
      <c r="CU6" s="32" t="str">
        <f t="shared" si="0"/>
        <v>https://fragalysis.diamond.ac.uk/viewer/react/preview/direct/target/Mac1/mols/ZINC000013517187/L/P/C</v>
      </c>
      <c r="CV6" s="32" t="str">
        <f t="shared" si="0"/>
        <v>https://fragalysis.diamond.ac.uk/viewer/react/preview/direct/target/Mac1/mols/ZINC000019685960/L/P/C</v>
      </c>
      <c r="CW6" s="32" t="str">
        <f t="shared" si="0"/>
        <v>https://fragalysis.diamond.ac.uk/viewer/react/preview/direct/target/Mac1/mols/ZINC000000039994/L/P/C</v>
      </c>
      <c r="CX6" s="32" t="str">
        <f>CONCATENATE("https://fragalysis.diamond.ac.uk/viewer/react/preview/direct/target/Mac1/mols/",CX4,"/L/P/C")</f>
        <v>https://fragalysis.diamond.ac.uk/viewer/react/preview/direct/target/Mac1/mols/ZINC000000251609/L/P/C</v>
      </c>
      <c r="CY6" s="32" t="str">
        <f t="shared" si="0"/>
        <v>https://fragalysis.diamond.ac.uk/viewer/react/preview/direct/target/Mac1/mols/ZINC000000311783/L/P/C</v>
      </c>
      <c r="CZ6" s="32" t="str">
        <f t="shared" si="0"/>
        <v>https://fragalysis.diamond.ac.uk/viewer/react/preview/direct/target/Mac1/mols/ZINC000000057162/L/P/C</v>
      </c>
      <c r="DA6" s="32" t="str">
        <f t="shared" si="0"/>
        <v>https://fragalysis.diamond.ac.uk/viewer/react/preview/direct/target/Mac1/mols/ZINC000000039224/L/P/C</v>
      </c>
      <c r="DB6" s="32" t="str">
        <f t="shared" si="0"/>
        <v>https://fragalysis.diamond.ac.uk/viewer/react/preview/direct/target/Mac1/mols/ZINC000008578948/L/P/C</v>
      </c>
      <c r="DC6" s="32" t="str">
        <f t="shared" si="0"/>
        <v>https://fragalysis.diamond.ac.uk/viewer/react/preview/direct/target/Mac1/mols/ZINC000000158540/L/P/C</v>
      </c>
      <c r="DD6" s="32" t="str">
        <f t="shared" si="0"/>
        <v>https://fragalysis.diamond.ac.uk/viewer/react/preview/direct/target/Mac1/mols/ZINC000003954002/L/P/C</v>
      </c>
      <c r="DE6" s="32" t="str">
        <f t="shared" si="0"/>
        <v>https://fragalysis.diamond.ac.uk/viewer/react/preview/direct/target/Mac1/mols/ZINC000000039575/L/P/C</v>
      </c>
      <c r="DF6" s="32" t="str">
        <f t="shared" si="0"/>
        <v>https://fragalysis.diamond.ac.uk/viewer/react/preview/direct/target/Mac1/mols/ZINC000000388150/L/P/C</v>
      </c>
      <c r="DG6" s="32" t="str">
        <f t="shared" si="0"/>
        <v>https://fragalysis.diamond.ac.uk/viewer/react/preview/direct/target/Mac1/mols/ZINC000016343276/L/P/C</v>
      </c>
      <c r="DH6" s="32" t="str">
        <f t="shared" si="0"/>
        <v>https://fragalysis.diamond.ac.uk/viewer/react/preview/direct/target/Mac1/mols/ZINC000014419577/L/P/C</v>
      </c>
      <c r="DI6" s="32" t="str">
        <f t="shared" si="0"/>
        <v>https://fragalysis.diamond.ac.uk/viewer/react/preview/direct/target/Mac1/mols/ZINC000933940912/L/P/C</v>
      </c>
      <c r="DJ6" s="32" t="str">
        <f t="shared" si="0"/>
        <v>https://fragalysis.diamond.ac.uk/viewer/react/preview/direct/target/Mac1/mols/ZINC000263980802/L/P/C</v>
      </c>
      <c r="DK6" s="32" t="str">
        <f t="shared" si="0"/>
        <v>https://fragalysis.diamond.ac.uk/viewer/react/preview/direct/target/Mac1/mols/ZINC000736709772/L/P/C</v>
      </c>
      <c r="DL6" s="32" t="str">
        <f t="shared" si="0"/>
        <v>https://fragalysis.diamond.ac.uk/viewer/react/preview/direct/target/Mac1/mols/ZINC000082473428_N3/L/P/C</v>
      </c>
      <c r="DM6" s="32" t="str">
        <f t="shared" si="0"/>
        <v>https://fragalysis.diamond.ac.uk/viewer/react/preview/direct/target/Mac1/mols/ZINC000400552187_N3/L/P/C</v>
      </c>
      <c r="DN6" s="32" t="str">
        <f t="shared" si="0"/>
        <v>https://fragalysis.diamond.ac.uk/viewer/react/preview/direct/target/Mac1/mols/ZINC000000265642/L/P/C</v>
      </c>
      <c r="DO6" s="32" t="str">
        <f t="shared" si="0"/>
        <v>https://fragalysis.diamond.ac.uk/viewer/react/preview/direct/target/Mac1/mols/ZINC000084843283/L/P/C</v>
      </c>
      <c r="DP6" s="32" t="str">
        <f t="shared" si="0"/>
        <v>https://fragalysis.diamond.ac.uk/viewer/react/preview/direct/target/Mac1/mols/ZINC000901381520/L/P/C</v>
      </c>
    </row>
    <row r="7" spans="1:120" ht="15.75" customHeight="1">
      <c r="A7" s="1" t="s">
        <v>163</v>
      </c>
      <c r="B7" s="28">
        <v>0.88556999999999997</v>
      </c>
      <c r="C7" s="28">
        <v>0.88556999999999997</v>
      </c>
      <c r="D7" s="28">
        <v>0.88556999999999997</v>
      </c>
      <c r="E7" s="28">
        <v>0.88556999999999997</v>
      </c>
      <c r="F7" s="28">
        <v>0.88556999999999997</v>
      </c>
      <c r="G7" s="28">
        <v>0.88556999999999997</v>
      </c>
      <c r="H7" s="28">
        <v>0.88556999999999997</v>
      </c>
      <c r="I7" s="28">
        <v>0.88556999999999997</v>
      </c>
      <c r="J7" s="28">
        <v>0.88556999999999997</v>
      </c>
      <c r="K7" s="28">
        <v>0.88556999999999997</v>
      </c>
      <c r="L7" s="28">
        <v>0.88556999999999997</v>
      </c>
      <c r="M7" s="28">
        <v>0.88556999999999997</v>
      </c>
      <c r="N7" s="28">
        <v>0.88556999999999997</v>
      </c>
      <c r="O7" s="28">
        <v>0.88556999999999997</v>
      </c>
      <c r="P7" s="28">
        <v>0.88556999999999997</v>
      </c>
      <c r="Q7" s="28">
        <v>0.88556999999999997</v>
      </c>
      <c r="R7" s="28">
        <v>0.88556999999999997</v>
      </c>
      <c r="S7" s="28">
        <v>0.88556999999999997</v>
      </c>
      <c r="T7" s="28">
        <v>0.88556999999999997</v>
      </c>
      <c r="U7" s="28">
        <v>0.88556999999999997</v>
      </c>
      <c r="V7" s="28">
        <v>0.88556999999999997</v>
      </c>
      <c r="W7" s="28">
        <v>0.88556999999999997</v>
      </c>
      <c r="X7" s="28">
        <v>0.88556999999999997</v>
      </c>
      <c r="Y7" s="28">
        <v>0.88556999999999997</v>
      </c>
      <c r="Z7" s="28">
        <v>0.88556999999999997</v>
      </c>
      <c r="AA7" s="28">
        <v>0.88556999999999997</v>
      </c>
      <c r="AB7" s="28">
        <v>0.88556999999999997</v>
      </c>
      <c r="AC7" s="28">
        <v>0.88556999999999997</v>
      </c>
      <c r="AD7" s="28">
        <v>0.88556999999999997</v>
      </c>
      <c r="AE7" s="28">
        <v>0.88556999999999997</v>
      </c>
      <c r="AF7" s="28">
        <v>0.88556999999999997</v>
      </c>
      <c r="AG7" s="28">
        <v>0.88556999999999997</v>
      </c>
      <c r="AH7" s="28">
        <v>0.88556999999999997</v>
      </c>
      <c r="AI7" s="28">
        <v>0.88556999999999997</v>
      </c>
      <c r="AJ7" s="28">
        <v>0.88556999999999997</v>
      </c>
      <c r="AK7" s="28">
        <v>0.88556999999999997</v>
      </c>
      <c r="AL7" s="28">
        <v>0.88556999999999997</v>
      </c>
      <c r="AM7" s="28">
        <v>0.88556999999999997</v>
      </c>
      <c r="AN7" s="28">
        <v>0.88556999999999997</v>
      </c>
      <c r="AO7" s="28">
        <v>0.88556999999999997</v>
      </c>
      <c r="AP7" s="28">
        <v>0.88556999999999997</v>
      </c>
      <c r="AQ7" s="28">
        <v>0.88556999999999997</v>
      </c>
      <c r="AR7" s="28">
        <v>0.88556999999999997</v>
      </c>
      <c r="AS7" s="28">
        <v>0.88556999999999997</v>
      </c>
      <c r="AT7" s="28">
        <v>0.88556999999999997</v>
      </c>
      <c r="AU7" s="28">
        <v>0.88556999999999997</v>
      </c>
      <c r="AV7" s="28">
        <v>0.88556999999999997</v>
      </c>
      <c r="AW7" s="28">
        <v>0.88556999999999997</v>
      </c>
      <c r="AX7" s="28">
        <v>0.88556999999999997</v>
      </c>
      <c r="AY7" s="28">
        <v>0.88556999999999997</v>
      </c>
      <c r="AZ7" s="28">
        <v>0.88556999999999997</v>
      </c>
      <c r="BA7" s="28">
        <v>0.88556999999999997</v>
      </c>
      <c r="BB7" s="28">
        <v>0.88556999999999997</v>
      </c>
      <c r="BC7" s="28">
        <v>0.88556999999999997</v>
      </c>
      <c r="BD7" s="28">
        <v>0.88556999999999997</v>
      </c>
      <c r="BE7" s="28">
        <v>0.88556999999999997</v>
      </c>
      <c r="BF7" s="28">
        <v>0.88556999999999997</v>
      </c>
      <c r="BG7" s="28">
        <v>0.88556999999999997</v>
      </c>
      <c r="BH7" s="28">
        <v>0.88556999999999997</v>
      </c>
      <c r="BI7" s="28">
        <v>0.88556999999999997</v>
      </c>
      <c r="BJ7" s="28">
        <v>0.88556999999999997</v>
      </c>
      <c r="BK7" s="28">
        <v>0.88556999999999997</v>
      </c>
      <c r="BL7" s="28">
        <v>0.88556999999999997</v>
      </c>
      <c r="BM7" s="28">
        <v>0.88556999999999997</v>
      </c>
      <c r="BN7" s="28">
        <v>0.88556999999999997</v>
      </c>
      <c r="BO7" s="28">
        <v>0.88556999999999997</v>
      </c>
      <c r="BP7" s="28">
        <v>0.88556999999999997</v>
      </c>
      <c r="BQ7" s="28">
        <v>0.88556999999999997</v>
      </c>
      <c r="BR7" s="28">
        <v>0.88556999999999997</v>
      </c>
      <c r="BS7" s="28">
        <v>0.88556999999999997</v>
      </c>
      <c r="BT7" s="28">
        <v>0.88556999999999997</v>
      </c>
      <c r="BU7" s="28">
        <v>0.88556999999999997</v>
      </c>
      <c r="BV7" s="28">
        <v>0.88556999999999997</v>
      </c>
      <c r="BW7" s="28">
        <v>0.88556999999999997</v>
      </c>
      <c r="BX7" s="28">
        <v>0.88556999999999997</v>
      </c>
      <c r="BY7" s="28">
        <v>0.88556999999999997</v>
      </c>
      <c r="BZ7" s="28">
        <v>0.88556999999999997</v>
      </c>
      <c r="CA7" s="28">
        <v>0.88556999999999997</v>
      </c>
      <c r="CB7" s="28">
        <v>0.88556999999999997</v>
      </c>
      <c r="CC7" s="28">
        <v>0.88556999999999997</v>
      </c>
      <c r="CD7" s="28">
        <v>0.88556999999999997</v>
      </c>
      <c r="CE7" s="28">
        <v>0.88556999999999997</v>
      </c>
      <c r="CF7" s="28">
        <v>0.88556999999999997</v>
      </c>
      <c r="CG7" s="28">
        <v>0.88556999999999997</v>
      </c>
      <c r="CH7" s="28">
        <v>0.88556999999999997</v>
      </c>
      <c r="CI7" s="28">
        <v>0.88556999999999997</v>
      </c>
      <c r="CJ7" s="28">
        <v>0.88556999999999997</v>
      </c>
      <c r="CK7" s="28">
        <v>0.88556999999999997</v>
      </c>
      <c r="CL7" s="28">
        <v>0.88556999999999997</v>
      </c>
      <c r="CM7" s="28">
        <v>0.88556999999999997</v>
      </c>
      <c r="CN7" s="28">
        <v>0.88556999999999997</v>
      </c>
      <c r="CO7" s="28">
        <v>0.88556999999999997</v>
      </c>
      <c r="CP7" s="28">
        <v>0.88556999999999997</v>
      </c>
      <c r="CQ7" s="28">
        <v>0.88556999999999997</v>
      </c>
      <c r="CR7" s="28">
        <v>0.88556999999999997</v>
      </c>
      <c r="CS7" s="28">
        <v>0.88556999999999997</v>
      </c>
      <c r="CT7" s="28">
        <v>0.88556999999999997</v>
      </c>
      <c r="CU7" s="28">
        <v>0.88556999999999997</v>
      </c>
      <c r="CV7" s="28">
        <v>0.88556999999999997</v>
      </c>
      <c r="CW7" s="28">
        <v>0.88556999999999997</v>
      </c>
      <c r="CX7" s="28">
        <v>0.88556999999999997</v>
      </c>
      <c r="CY7" s="28">
        <v>0.88556999999999997</v>
      </c>
      <c r="CZ7" s="28">
        <v>0.88556999999999997</v>
      </c>
      <c r="DA7" s="28">
        <v>0.88556999999999997</v>
      </c>
      <c r="DB7" s="28">
        <v>0.88556999999999997</v>
      </c>
      <c r="DC7" s="28">
        <v>0.88556999999999997</v>
      </c>
      <c r="DD7" s="28">
        <v>0.88556999999999997</v>
      </c>
      <c r="DE7" s="28">
        <v>0.88556999999999997</v>
      </c>
      <c r="DF7" s="28">
        <v>0.88556999999999997</v>
      </c>
      <c r="DG7" s="28">
        <v>0.88556999999999997</v>
      </c>
      <c r="DH7" s="28">
        <v>0.88556999999999997</v>
      </c>
      <c r="DI7" s="28">
        <v>0.88556999999999997</v>
      </c>
      <c r="DJ7" s="28">
        <v>0.88556999999999997</v>
      </c>
      <c r="DK7" s="28">
        <v>0.88556999999999997</v>
      </c>
      <c r="DL7" s="28">
        <v>0.88556999999999997</v>
      </c>
      <c r="DM7" s="28">
        <v>0.88556999999999997</v>
      </c>
      <c r="DN7" s="28">
        <v>0.77492000000000005</v>
      </c>
      <c r="DO7" s="28">
        <v>0.77492000000000005</v>
      </c>
      <c r="DP7" s="28">
        <v>0.72931000000000001</v>
      </c>
    </row>
    <row r="8" spans="1:120" ht="15.75" customHeight="1">
      <c r="A8" s="1" t="s">
        <v>164</v>
      </c>
      <c r="B8" s="28" t="s">
        <v>920</v>
      </c>
      <c r="C8" s="28" t="s">
        <v>921</v>
      </c>
      <c r="D8" s="28" t="s">
        <v>922</v>
      </c>
      <c r="E8" s="28" t="s">
        <v>923</v>
      </c>
      <c r="F8" s="28" t="s">
        <v>924</v>
      </c>
      <c r="G8" s="28" t="s">
        <v>923</v>
      </c>
      <c r="H8" s="28" t="s">
        <v>925</v>
      </c>
      <c r="I8" s="28" t="s">
        <v>926</v>
      </c>
      <c r="J8" s="28" t="s">
        <v>927</v>
      </c>
      <c r="K8" s="28" t="s">
        <v>928</v>
      </c>
      <c r="L8" s="28" t="s">
        <v>929</v>
      </c>
      <c r="M8" s="28" t="s">
        <v>930</v>
      </c>
      <c r="N8" s="28" t="s">
        <v>931</v>
      </c>
      <c r="O8" s="28" t="s">
        <v>932</v>
      </c>
      <c r="P8" s="28" t="s">
        <v>933</v>
      </c>
      <c r="Q8" s="28" t="s">
        <v>934</v>
      </c>
      <c r="R8" s="28" t="s">
        <v>935</v>
      </c>
      <c r="S8" s="28" t="s">
        <v>936</v>
      </c>
      <c r="T8" s="28" t="s">
        <v>937</v>
      </c>
      <c r="U8" s="28" t="s">
        <v>938</v>
      </c>
      <c r="V8" s="28" t="s">
        <v>939</v>
      </c>
      <c r="W8" s="28" t="s">
        <v>940</v>
      </c>
      <c r="X8" s="28" t="s">
        <v>941</v>
      </c>
      <c r="Y8" s="28" t="s">
        <v>942</v>
      </c>
      <c r="Z8" s="28" t="s">
        <v>943</v>
      </c>
      <c r="AA8" s="28" t="s">
        <v>944</v>
      </c>
      <c r="AB8" s="28" t="s">
        <v>945</v>
      </c>
      <c r="AC8" s="28" t="s">
        <v>946</v>
      </c>
      <c r="AD8" s="28" t="s">
        <v>947</v>
      </c>
      <c r="AE8" s="28" t="s">
        <v>940</v>
      </c>
      <c r="AF8" s="28" t="s">
        <v>948</v>
      </c>
      <c r="AG8" s="28" t="s">
        <v>949</v>
      </c>
      <c r="AH8" s="28" t="s">
        <v>950</v>
      </c>
      <c r="AI8" s="28" t="s">
        <v>951</v>
      </c>
      <c r="AJ8" s="28" t="s">
        <v>952</v>
      </c>
      <c r="AK8" s="28" t="s">
        <v>953</v>
      </c>
      <c r="AL8" s="28" t="s">
        <v>954</v>
      </c>
      <c r="AM8" s="28" t="s">
        <v>955</v>
      </c>
      <c r="AN8" s="28" t="s">
        <v>940</v>
      </c>
      <c r="AO8" s="28" t="s">
        <v>956</v>
      </c>
      <c r="AP8" s="28" t="s">
        <v>957</v>
      </c>
      <c r="AQ8" s="28" t="s">
        <v>958</v>
      </c>
      <c r="AR8" s="28" t="s">
        <v>959</v>
      </c>
      <c r="AS8" s="28" t="s">
        <v>960</v>
      </c>
      <c r="AT8" s="28" t="s">
        <v>961</v>
      </c>
      <c r="AU8" s="28" t="s">
        <v>962</v>
      </c>
      <c r="AV8" s="28" t="s">
        <v>963</v>
      </c>
      <c r="AW8" s="28" t="s">
        <v>964</v>
      </c>
      <c r="AX8" s="28" t="s">
        <v>965</v>
      </c>
      <c r="AY8" s="28" t="s">
        <v>966</v>
      </c>
      <c r="AZ8" s="28" t="s">
        <v>967</v>
      </c>
      <c r="BA8" s="28" t="s">
        <v>968</v>
      </c>
      <c r="BB8" s="28" t="s">
        <v>969</v>
      </c>
      <c r="BC8" s="28" t="s">
        <v>970</v>
      </c>
      <c r="BD8" s="28" t="s">
        <v>971</v>
      </c>
      <c r="BE8" s="28" t="s">
        <v>972</v>
      </c>
      <c r="BF8" s="28" t="s">
        <v>973</v>
      </c>
      <c r="BG8" s="28" t="s">
        <v>974</v>
      </c>
      <c r="BH8" s="28" t="s">
        <v>975</v>
      </c>
      <c r="BI8" s="28" t="s">
        <v>967</v>
      </c>
      <c r="BJ8" s="28" t="s">
        <v>976</v>
      </c>
      <c r="BK8" s="28" t="s">
        <v>966</v>
      </c>
      <c r="BL8" s="28" t="s">
        <v>926</v>
      </c>
      <c r="BM8" s="28" t="s">
        <v>977</v>
      </c>
      <c r="BN8" s="28" t="s">
        <v>978</v>
      </c>
      <c r="BO8" s="28" t="s">
        <v>979</v>
      </c>
      <c r="BP8" s="28" t="s">
        <v>966</v>
      </c>
      <c r="BQ8" s="28" t="s">
        <v>978</v>
      </c>
      <c r="BR8" s="28" t="s">
        <v>980</v>
      </c>
      <c r="BS8" s="28" t="s">
        <v>974</v>
      </c>
      <c r="BT8" s="28" t="s">
        <v>981</v>
      </c>
      <c r="BU8" s="28" t="s">
        <v>982</v>
      </c>
      <c r="BV8" s="28" t="s">
        <v>927</v>
      </c>
      <c r="BW8" s="28" t="s">
        <v>983</v>
      </c>
      <c r="BX8" s="28" t="s">
        <v>984</v>
      </c>
      <c r="BY8" s="28" t="s">
        <v>985</v>
      </c>
      <c r="BZ8" s="28" t="s">
        <v>925</v>
      </c>
      <c r="CA8" s="28" t="s">
        <v>986</v>
      </c>
      <c r="CB8" s="28" t="s">
        <v>987</v>
      </c>
      <c r="CC8" s="28" t="s">
        <v>988</v>
      </c>
      <c r="CD8" s="28" t="s">
        <v>981</v>
      </c>
      <c r="CE8" s="28" t="s">
        <v>989</v>
      </c>
      <c r="CF8" s="28" t="s">
        <v>990</v>
      </c>
      <c r="CG8" s="28" t="s">
        <v>991</v>
      </c>
      <c r="CH8" s="28" t="s">
        <v>992</v>
      </c>
      <c r="CI8" s="28" t="s">
        <v>971</v>
      </c>
      <c r="CJ8" s="28" t="s">
        <v>982</v>
      </c>
      <c r="CK8" s="28" t="s">
        <v>993</v>
      </c>
      <c r="CL8" s="28" t="s">
        <v>994</v>
      </c>
      <c r="CM8" s="28" t="s">
        <v>995</v>
      </c>
      <c r="CN8" s="28" t="s">
        <v>982</v>
      </c>
      <c r="CO8" s="28" t="s">
        <v>971</v>
      </c>
      <c r="CP8" s="28" t="s">
        <v>995</v>
      </c>
      <c r="CQ8" s="28" t="s">
        <v>996</v>
      </c>
      <c r="CR8" s="28" t="s">
        <v>997</v>
      </c>
      <c r="CS8" s="28" t="s">
        <v>923</v>
      </c>
      <c r="CT8" s="28" t="s">
        <v>998</v>
      </c>
      <c r="CU8" s="28" t="s">
        <v>971</v>
      </c>
      <c r="CV8" s="28" t="s">
        <v>971</v>
      </c>
      <c r="CW8" s="28" t="s">
        <v>999</v>
      </c>
      <c r="CX8" s="28" t="s">
        <v>1000</v>
      </c>
      <c r="CY8" s="28" t="s">
        <v>1001</v>
      </c>
      <c r="CZ8" s="28" t="s">
        <v>1002</v>
      </c>
      <c r="DA8" s="28" t="s">
        <v>925</v>
      </c>
      <c r="DB8" s="28" t="s">
        <v>1003</v>
      </c>
      <c r="DC8" s="28" t="s">
        <v>998</v>
      </c>
      <c r="DD8" s="28" t="s">
        <v>1004</v>
      </c>
      <c r="DE8" s="28" t="s">
        <v>1005</v>
      </c>
      <c r="DF8" s="28" t="s">
        <v>1006</v>
      </c>
      <c r="DG8" s="28" t="s">
        <v>1007</v>
      </c>
      <c r="DH8" s="28" t="s">
        <v>1008</v>
      </c>
      <c r="DI8" s="28" t="s">
        <v>989</v>
      </c>
      <c r="DJ8" s="28" t="s">
        <v>981</v>
      </c>
      <c r="DK8" s="28" t="s">
        <v>970</v>
      </c>
      <c r="DL8" s="28" t="s">
        <v>1009</v>
      </c>
      <c r="DM8" s="28" t="s">
        <v>925</v>
      </c>
      <c r="DN8" s="28" t="s">
        <v>1010</v>
      </c>
      <c r="DO8" s="28" t="s">
        <v>1011</v>
      </c>
      <c r="DP8" s="28" t="s">
        <v>1012</v>
      </c>
    </row>
    <row r="9" spans="1:120" ht="15.75" customHeight="1">
      <c r="A9" s="1" t="s">
        <v>170</v>
      </c>
      <c r="B9" s="28" t="s">
        <v>172</v>
      </c>
      <c r="C9" s="28" t="s">
        <v>172</v>
      </c>
      <c r="D9" s="28" t="s">
        <v>172</v>
      </c>
      <c r="E9" s="28" t="s">
        <v>172</v>
      </c>
      <c r="F9" s="28" t="s">
        <v>172</v>
      </c>
      <c r="G9" s="28" t="s">
        <v>172</v>
      </c>
      <c r="H9" s="28" t="s">
        <v>172</v>
      </c>
      <c r="I9" s="28" t="s">
        <v>172</v>
      </c>
      <c r="J9" s="28" t="s">
        <v>172</v>
      </c>
      <c r="K9" s="28" t="s">
        <v>172</v>
      </c>
      <c r="L9" s="28" t="s">
        <v>172</v>
      </c>
      <c r="M9" s="28" t="s">
        <v>172</v>
      </c>
      <c r="N9" s="28" t="s">
        <v>172</v>
      </c>
      <c r="O9" s="28" t="s">
        <v>172</v>
      </c>
      <c r="P9" s="28" t="s">
        <v>172</v>
      </c>
      <c r="Q9" s="28" t="s">
        <v>172</v>
      </c>
      <c r="R9" s="28" t="s">
        <v>172</v>
      </c>
      <c r="S9" s="28" t="s">
        <v>172</v>
      </c>
      <c r="T9" s="28" t="s">
        <v>172</v>
      </c>
      <c r="U9" s="28" t="s">
        <v>172</v>
      </c>
      <c r="V9" s="28" t="s">
        <v>172</v>
      </c>
      <c r="W9" s="28" t="s">
        <v>172</v>
      </c>
      <c r="X9" s="28" t="s">
        <v>172</v>
      </c>
      <c r="Y9" s="28" t="s">
        <v>172</v>
      </c>
      <c r="Z9" s="28" t="s">
        <v>172</v>
      </c>
      <c r="AA9" s="28" t="s">
        <v>172</v>
      </c>
      <c r="AB9" s="28" t="s">
        <v>172</v>
      </c>
      <c r="AC9" s="28" t="s">
        <v>172</v>
      </c>
      <c r="AD9" s="28" t="s">
        <v>172</v>
      </c>
      <c r="AE9" s="28" t="s">
        <v>172</v>
      </c>
      <c r="AF9" s="28" t="s">
        <v>172</v>
      </c>
      <c r="AG9" s="28" t="s">
        <v>172</v>
      </c>
      <c r="AH9" s="28" t="s">
        <v>172</v>
      </c>
      <c r="AI9" s="28" t="s">
        <v>172</v>
      </c>
      <c r="AJ9" s="28" t="s">
        <v>172</v>
      </c>
      <c r="AK9" s="28" t="s">
        <v>172</v>
      </c>
      <c r="AL9" s="28" t="s">
        <v>172</v>
      </c>
      <c r="AM9" s="28" t="s">
        <v>172</v>
      </c>
      <c r="AN9" s="28" t="s">
        <v>172</v>
      </c>
      <c r="AO9" s="28" t="s">
        <v>172</v>
      </c>
      <c r="AP9" s="28" t="s">
        <v>172</v>
      </c>
      <c r="AQ9" s="28" t="s">
        <v>172</v>
      </c>
      <c r="AR9" s="28" t="s">
        <v>172</v>
      </c>
      <c r="AS9" s="28" t="s">
        <v>172</v>
      </c>
      <c r="AT9" s="28" t="s">
        <v>172</v>
      </c>
      <c r="AU9" s="28" t="s">
        <v>172</v>
      </c>
      <c r="AV9" s="28" t="s">
        <v>172</v>
      </c>
      <c r="AW9" s="28" t="s">
        <v>172</v>
      </c>
      <c r="AX9" s="28" t="s">
        <v>172</v>
      </c>
      <c r="AY9" s="28" t="s">
        <v>172</v>
      </c>
      <c r="AZ9" s="28" t="s">
        <v>172</v>
      </c>
      <c r="BA9" s="28" t="s">
        <v>172</v>
      </c>
      <c r="BB9" s="28" t="s">
        <v>172</v>
      </c>
      <c r="BC9" s="28" t="s">
        <v>172</v>
      </c>
      <c r="BD9" s="28" t="s">
        <v>172</v>
      </c>
      <c r="BE9" s="28" t="s">
        <v>172</v>
      </c>
      <c r="BF9" s="28" t="s">
        <v>172</v>
      </c>
      <c r="BG9" s="28" t="s">
        <v>172</v>
      </c>
      <c r="BH9" s="28" t="s">
        <v>172</v>
      </c>
      <c r="BI9" s="28" t="s">
        <v>172</v>
      </c>
      <c r="BJ9" s="28" t="s">
        <v>172</v>
      </c>
      <c r="BK9" s="28" t="s">
        <v>172</v>
      </c>
      <c r="BL9" s="28" t="s">
        <v>172</v>
      </c>
      <c r="BM9" s="28" t="s">
        <v>172</v>
      </c>
      <c r="BN9" s="28" t="s">
        <v>172</v>
      </c>
      <c r="BO9" s="28" t="s">
        <v>172</v>
      </c>
      <c r="BP9" s="28" t="s">
        <v>172</v>
      </c>
      <c r="BQ9" s="28" t="s">
        <v>172</v>
      </c>
      <c r="BR9" s="28" t="s">
        <v>172</v>
      </c>
      <c r="BS9" s="28" t="s">
        <v>172</v>
      </c>
      <c r="BT9" s="28" t="s">
        <v>172</v>
      </c>
      <c r="BU9" s="28" t="s">
        <v>172</v>
      </c>
      <c r="BV9" s="28" t="s">
        <v>172</v>
      </c>
      <c r="BW9" s="28" t="s">
        <v>172</v>
      </c>
      <c r="BX9" s="28" t="s">
        <v>172</v>
      </c>
      <c r="BY9" s="28" t="s">
        <v>172</v>
      </c>
      <c r="BZ9" s="28" t="s">
        <v>172</v>
      </c>
      <c r="CA9" s="28" t="s">
        <v>172</v>
      </c>
      <c r="CB9" s="28" t="s">
        <v>172</v>
      </c>
      <c r="CC9" s="28" t="s">
        <v>172</v>
      </c>
      <c r="CD9" s="28" t="s">
        <v>172</v>
      </c>
      <c r="CE9" s="28" t="s">
        <v>172</v>
      </c>
      <c r="CF9" s="28" t="s">
        <v>172</v>
      </c>
      <c r="CG9" s="28" t="s">
        <v>172</v>
      </c>
      <c r="CH9" s="28" t="s">
        <v>172</v>
      </c>
      <c r="CI9" s="28" t="s">
        <v>172</v>
      </c>
      <c r="CJ9" s="28" t="s">
        <v>172</v>
      </c>
      <c r="CK9" s="28" t="s">
        <v>172</v>
      </c>
      <c r="CL9" s="28" t="s">
        <v>172</v>
      </c>
      <c r="CM9" s="28" t="s">
        <v>172</v>
      </c>
      <c r="CN9" s="28" t="s">
        <v>172</v>
      </c>
      <c r="CO9" s="28" t="s">
        <v>172</v>
      </c>
      <c r="CP9" s="28" t="s">
        <v>172</v>
      </c>
      <c r="CQ9" s="28" t="s">
        <v>172</v>
      </c>
      <c r="CR9" s="28" t="s">
        <v>172</v>
      </c>
      <c r="CS9" s="28" t="s">
        <v>172</v>
      </c>
      <c r="CT9" s="28" t="s">
        <v>172</v>
      </c>
      <c r="CU9" s="28" t="s">
        <v>172</v>
      </c>
      <c r="CV9" s="28" t="s">
        <v>172</v>
      </c>
      <c r="CW9" s="28" t="s">
        <v>172</v>
      </c>
      <c r="CX9" s="28" t="s">
        <v>172</v>
      </c>
      <c r="CY9" s="28" t="s">
        <v>172</v>
      </c>
      <c r="CZ9" s="28" t="s">
        <v>172</v>
      </c>
      <c r="DA9" s="28" t="s">
        <v>172</v>
      </c>
      <c r="DB9" s="28" t="s">
        <v>172</v>
      </c>
      <c r="DC9" s="28" t="s">
        <v>172</v>
      </c>
      <c r="DD9" s="28" t="s">
        <v>172</v>
      </c>
      <c r="DE9" s="28" t="s">
        <v>172</v>
      </c>
      <c r="DF9" s="28" t="s">
        <v>172</v>
      </c>
      <c r="DG9" s="28" t="s">
        <v>172</v>
      </c>
      <c r="DH9" s="28" t="s">
        <v>172</v>
      </c>
      <c r="DI9" s="28" t="s">
        <v>172</v>
      </c>
      <c r="DJ9" s="28" t="s">
        <v>172</v>
      </c>
      <c r="DK9" s="28" t="s">
        <v>172</v>
      </c>
      <c r="DL9" s="28" t="s">
        <v>172</v>
      </c>
      <c r="DM9" s="28" t="s">
        <v>172</v>
      </c>
      <c r="DN9" s="28" t="s">
        <v>172</v>
      </c>
      <c r="DO9" s="28" t="s">
        <v>172</v>
      </c>
      <c r="DP9" s="28" t="s">
        <v>172</v>
      </c>
    </row>
    <row r="10" spans="1:120" ht="15.75" customHeight="1">
      <c r="A10" s="1" t="s">
        <v>173</v>
      </c>
      <c r="B10" s="28" t="s">
        <v>1013</v>
      </c>
      <c r="C10" s="28" t="s">
        <v>1014</v>
      </c>
      <c r="D10" s="28" t="s">
        <v>1015</v>
      </c>
      <c r="E10" s="28" t="s">
        <v>1016</v>
      </c>
      <c r="F10" s="28" t="s">
        <v>1017</v>
      </c>
      <c r="G10" s="28" t="s">
        <v>1018</v>
      </c>
      <c r="H10" s="28" t="s">
        <v>1019</v>
      </c>
      <c r="I10" s="28" t="s">
        <v>1020</v>
      </c>
      <c r="J10" s="28" t="s">
        <v>1021</v>
      </c>
      <c r="K10" s="28" t="s">
        <v>1022</v>
      </c>
      <c r="L10" s="28" t="s">
        <v>1023</v>
      </c>
      <c r="M10" s="28" t="s">
        <v>1024</v>
      </c>
      <c r="N10" s="28" t="s">
        <v>1025</v>
      </c>
      <c r="O10" s="28" t="s">
        <v>1026</v>
      </c>
      <c r="P10" s="28" t="s">
        <v>1027</v>
      </c>
      <c r="Q10" s="28" t="s">
        <v>1028</v>
      </c>
      <c r="R10" s="28" t="s">
        <v>1029</v>
      </c>
      <c r="S10" s="28" t="s">
        <v>1030</v>
      </c>
      <c r="T10" s="28" t="s">
        <v>1031</v>
      </c>
      <c r="U10" s="28" t="s">
        <v>1032</v>
      </c>
      <c r="V10" s="28" t="s">
        <v>1033</v>
      </c>
      <c r="W10" s="28" t="s">
        <v>1034</v>
      </c>
      <c r="X10" s="28" t="s">
        <v>1035</v>
      </c>
      <c r="Y10" s="28" t="s">
        <v>1036</v>
      </c>
      <c r="Z10" s="28" t="s">
        <v>1037</v>
      </c>
      <c r="AA10" s="28" t="s">
        <v>1038</v>
      </c>
      <c r="AB10" s="28" t="s">
        <v>1039</v>
      </c>
      <c r="AC10" s="28" t="s">
        <v>1040</v>
      </c>
      <c r="AD10" s="28" t="s">
        <v>1041</v>
      </c>
      <c r="AE10" s="28" t="s">
        <v>1042</v>
      </c>
      <c r="AF10" s="28" t="s">
        <v>1043</v>
      </c>
      <c r="AG10" s="28" t="s">
        <v>1044</v>
      </c>
      <c r="AH10" s="28" t="s">
        <v>1045</v>
      </c>
      <c r="AI10" s="28" t="s">
        <v>1046</v>
      </c>
      <c r="AJ10" s="28" t="s">
        <v>1047</v>
      </c>
      <c r="AK10" s="28" t="s">
        <v>1048</v>
      </c>
      <c r="AL10" s="28" t="s">
        <v>1049</v>
      </c>
      <c r="AM10" s="28" t="s">
        <v>1050</v>
      </c>
      <c r="AN10" s="28" t="s">
        <v>1051</v>
      </c>
      <c r="AO10" s="28" t="s">
        <v>1052</v>
      </c>
      <c r="AP10" s="28" t="s">
        <v>1053</v>
      </c>
      <c r="AQ10" s="28" t="s">
        <v>1054</v>
      </c>
      <c r="AR10" s="28" t="s">
        <v>1055</v>
      </c>
      <c r="AS10" s="28" t="s">
        <v>1056</v>
      </c>
      <c r="AT10" s="28" t="s">
        <v>1057</v>
      </c>
      <c r="AU10" s="28" t="s">
        <v>1058</v>
      </c>
      <c r="AV10" s="28" t="s">
        <v>1059</v>
      </c>
      <c r="AW10" s="28" t="s">
        <v>1060</v>
      </c>
      <c r="AX10" s="28" t="s">
        <v>1061</v>
      </c>
      <c r="AY10" s="28" t="s">
        <v>1062</v>
      </c>
      <c r="AZ10" s="28" t="s">
        <v>1063</v>
      </c>
      <c r="BA10" s="28" t="s">
        <v>1064</v>
      </c>
      <c r="BB10" s="28" t="s">
        <v>1065</v>
      </c>
      <c r="BC10" s="28" t="s">
        <v>1066</v>
      </c>
      <c r="BD10" s="28" t="s">
        <v>1067</v>
      </c>
      <c r="BE10" s="28" t="s">
        <v>1068</v>
      </c>
      <c r="BF10" s="28" t="s">
        <v>1069</v>
      </c>
      <c r="BG10" s="28" t="s">
        <v>1070</v>
      </c>
      <c r="BH10" s="28" t="s">
        <v>1071</v>
      </c>
      <c r="BI10" s="28" t="s">
        <v>1072</v>
      </c>
      <c r="BJ10" s="28" t="s">
        <v>1073</v>
      </c>
      <c r="BK10" s="28" t="s">
        <v>1074</v>
      </c>
      <c r="BL10" s="28" t="s">
        <v>1075</v>
      </c>
      <c r="BM10" s="28" t="s">
        <v>1076</v>
      </c>
      <c r="BN10" s="28" t="s">
        <v>1077</v>
      </c>
      <c r="BO10" s="28" t="s">
        <v>1078</v>
      </c>
      <c r="BP10" s="28" t="s">
        <v>1079</v>
      </c>
      <c r="BQ10" s="28" t="s">
        <v>1080</v>
      </c>
      <c r="BR10" s="28" t="s">
        <v>1081</v>
      </c>
      <c r="BS10" s="28" t="s">
        <v>1082</v>
      </c>
      <c r="BT10" s="28" t="s">
        <v>1083</v>
      </c>
      <c r="BU10" s="28" t="s">
        <v>1084</v>
      </c>
      <c r="BV10" s="28" t="s">
        <v>1085</v>
      </c>
      <c r="BW10" s="28" t="s">
        <v>1086</v>
      </c>
      <c r="BX10" s="28" t="s">
        <v>1087</v>
      </c>
      <c r="BY10" s="28" t="s">
        <v>1088</v>
      </c>
      <c r="BZ10" s="28" t="s">
        <v>1089</v>
      </c>
      <c r="CA10" s="28" t="s">
        <v>1090</v>
      </c>
      <c r="CB10" s="28" t="s">
        <v>1091</v>
      </c>
      <c r="CC10" s="28" t="s">
        <v>1092</v>
      </c>
      <c r="CD10" s="28" t="s">
        <v>1093</v>
      </c>
      <c r="CE10" s="28" t="s">
        <v>1094</v>
      </c>
      <c r="CF10" s="28" t="s">
        <v>1095</v>
      </c>
      <c r="CG10" s="28" t="s">
        <v>1096</v>
      </c>
      <c r="CH10" s="28" t="s">
        <v>1097</v>
      </c>
      <c r="CI10" s="28" t="s">
        <v>1098</v>
      </c>
      <c r="CJ10" s="28" t="s">
        <v>1099</v>
      </c>
      <c r="CK10" s="28" t="s">
        <v>1100</v>
      </c>
      <c r="CL10" s="28" t="s">
        <v>1101</v>
      </c>
      <c r="CM10" s="28" t="s">
        <v>1102</v>
      </c>
      <c r="CN10" s="28" t="s">
        <v>1103</v>
      </c>
      <c r="CO10" s="28" t="s">
        <v>1104</v>
      </c>
      <c r="CP10" s="28" t="s">
        <v>1105</v>
      </c>
      <c r="CQ10" s="28" t="s">
        <v>1106</v>
      </c>
      <c r="CR10" s="28" t="s">
        <v>1107</v>
      </c>
      <c r="CS10" s="28" t="s">
        <v>1108</v>
      </c>
      <c r="CT10" s="28" t="s">
        <v>1109</v>
      </c>
      <c r="CU10" s="28" t="s">
        <v>1110</v>
      </c>
      <c r="CV10" s="28" t="s">
        <v>1111</v>
      </c>
      <c r="CW10" s="28" t="s">
        <v>1112</v>
      </c>
      <c r="CX10" s="28" t="s">
        <v>1113</v>
      </c>
      <c r="CY10" s="28" t="s">
        <v>1114</v>
      </c>
      <c r="CZ10" s="28" t="s">
        <v>1115</v>
      </c>
      <c r="DA10" s="28" t="s">
        <v>1116</v>
      </c>
      <c r="DB10" s="28" t="s">
        <v>1117</v>
      </c>
      <c r="DC10" s="28" t="s">
        <v>1118</v>
      </c>
      <c r="DD10" s="28" t="s">
        <v>1119</v>
      </c>
      <c r="DE10" s="28" t="s">
        <v>1120</v>
      </c>
      <c r="DF10" s="28" t="s">
        <v>1121</v>
      </c>
      <c r="DG10" s="28" t="s">
        <v>1122</v>
      </c>
      <c r="DH10" s="28" t="s">
        <v>1123</v>
      </c>
      <c r="DI10" s="28" t="s">
        <v>1124</v>
      </c>
      <c r="DJ10" s="28" t="s">
        <v>1125</v>
      </c>
      <c r="DK10" s="28" t="s">
        <v>1126</v>
      </c>
      <c r="DL10" s="28" t="s">
        <v>1127</v>
      </c>
      <c r="DM10" s="28" t="s">
        <v>1128</v>
      </c>
      <c r="DN10" s="28" t="s">
        <v>1129</v>
      </c>
      <c r="DO10" s="28" t="s">
        <v>1130</v>
      </c>
      <c r="DP10" s="28" t="s">
        <v>1131</v>
      </c>
    </row>
    <row r="11" spans="1:120" ht="15.75" customHeight="1">
      <c r="A11" s="1" t="s">
        <v>179</v>
      </c>
      <c r="B11" s="28" t="s">
        <v>1132</v>
      </c>
      <c r="C11" s="28" t="s">
        <v>1133</v>
      </c>
      <c r="D11" s="28" t="s">
        <v>1134</v>
      </c>
      <c r="E11" s="28" t="s">
        <v>1135</v>
      </c>
      <c r="F11" s="28" t="s">
        <v>1136</v>
      </c>
      <c r="G11" s="28" t="s">
        <v>1137</v>
      </c>
      <c r="H11" s="28" t="s">
        <v>1138</v>
      </c>
      <c r="I11" s="28" t="s">
        <v>1139</v>
      </c>
      <c r="J11" s="28" t="s">
        <v>1140</v>
      </c>
      <c r="K11" s="28" t="s">
        <v>1141</v>
      </c>
      <c r="L11" s="28" t="s">
        <v>1142</v>
      </c>
      <c r="M11" s="28" t="s">
        <v>1143</v>
      </c>
      <c r="N11" s="28" t="s">
        <v>1144</v>
      </c>
      <c r="O11" s="28" t="s">
        <v>1145</v>
      </c>
      <c r="P11" s="28" t="s">
        <v>1146</v>
      </c>
      <c r="Q11" s="28" t="s">
        <v>1147</v>
      </c>
      <c r="R11" s="28" t="s">
        <v>1148</v>
      </c>
      <c r="S11" s="28" t="s">
        <v>1149</v>
      </c>
      <c r="T11" s="28" t="s">
        <v>1150</v>
      </c>
      <c r="U11" s="28" t="s">
        <v>1151</v>
      </c>
      <c r="V11" s="28" t="s">
        <v>1152</v>
      </c>
      <c r="W11" s="28" t="s">
        <v>1153</v>
      </c>
      <c r="X11" s="28" t="s">
        <v>1154</v>
      </c>
      <c r="Y11" s="28" t="s">
        <v>1155</v>
      </c>
      <c r="Z11" s="28" t="s">
        <v>1156</v>
      </c>
      <c r="AA11" s="28" t="s">
        <v>1157</v>
      </c>
      <c r="AB11" s="28" t="s">
        <v>1158</v>
      </c>
      <c r="AC11" s="28" t="s">
        <v>1159</v>
      </c>
      <c r="AD11" s="28" t="s">
        <v>1160</v>
      </c>
      <c r="AE11" s="28" t="s">
        <v>1161</v>
      </c>
      <c r="AF11" s="28" t="s">
        <v>1162</v>
      </c>
      <c r="AG11" s="28" t="s">
        <v>1163</v>
      </c>
      <c r="AH11" s="28" t="s">
        <v>1164</v>
      </c>
      <c r="AI11" s="28" t="s">
        <v>1165</v>
      </c>
      <c r="AJ11" s="28" t="s">
        <v>1166</v>
      </c>
      <c r="AK11" s="28" t="s">
        <v>1167</v>
      </c>
      <c r="AL11" s="28" t="s">
        <v>1168</v>
      </c>
      <c r="AM11" s="28" t="s">
        <v>1169</v>
      </c>
      <c r="AN11" s="28" t="s">
        <v>1170</v>
      </c>
      <c r="AO11" s="28" t="s">
        <v>1171</v>
      </c>
      <c r="AP11" s="28" t="s">
        <v>1172</v>
      </c>
      <c r="AQ11" s="28" t="s">
        <v>1173</v>
      </c>
      <c r="AR11" s="28" t="s">
        <v>1174</v>
      </c>
      <c r="AS11" s="28" t="s">
        <v>1175</v>
      </c>
      <c r="AT11" s="28" t="s">
        <v>1176</v>
      </c>
      <c r="AU11" s="28" t="s">
        <v>1177</v>
      </c>
      <c r="AV11" s="28" t="s">
        <v>1178</v>
      </c>
      <c r="AW11" s="28" t="s">
        <v>1179</v>
      </c>
      <c r="AX11" s="28" t="s">
        <v>1180</v>
      </c>
      <c r="AY11" s="28" t="s">
        <v>1181</v>
      </c>
      <c r="AZ11" s="28" t="s">
        <v>1182</v>
      </c>
      <c r="BA11" s="28" t="s">
        <v>1183</v>
      </c>
      <c r="BB11" s="28" t="s">
        <v>1184</v>
      </c>
      <c r="BC11" s="28" t="s">
        <v>1185</v>
      </c>
      <c r="BD11" s="28" t="s">
        <v>1186</v>
      </c>
      <c r="BE11" s="28" t="s">
        <v>1187</v>
      </c>
      <c r="BF11" s="28" t="s">
        <v>1188</v>
      </c>
      <c r="BG11" s="28" t="s">
        <v>1189</v>
      </c>
      <c r="BH11" s="28" t="s">
        <v>1190</v>
      </c>
      <c r="BI11" s="28" t="s">
        <v>1191</v>
      </c>
      <c r="BJ11" s="28" t="s">
        <v>1192</v>
      </c>
      <c r="BK11" s="28" t="s">
        <v>1193</v>
      </c>
      <c r="BL11" s="28" t="s">
        <v>1194</v>
      </c>
      <c r="BM11" s="28" t="s">
        <v>1195</v>
      </c>
      <c r="BN11" s="28" t="s">
        <v>1196</v>
      </c>
      <c r="BO11" s="28" t="s">
        <v>1197</v>
      </c>
      <c r="BP11" s="28" t="s">
        <v>1198</v>
      </c>
      <c r="BQ11" s="28" t="s">
        <v>1199</v>
      </c>
      <c r="BR11" s="28" t="s">
        <v>1200</v>
      </c>
      <c r="BS11" s="28" t="s">
        <v>1201</v>
      </c>
      <c r="BT11" s="28" t="s">
        <v>1202</v>
      </c>
      <c r="BU11" s="28" t="s">
        <v>1203</v>
      </c>
      <c r="BV11" s="28" t="s">
        <v>1204</v>
      </c>
      <c r="BW11" s="28" t="s">
        <v>1205</v>
      </c>
      <c r="BX11" s="28" t="s">
        <v>1206</v>
      </c>
      <c r="BY11" s="28" t="s">
        <v>1207</v>
      </c>
      <c r="BZ11" s="28" t="s">
        <v>1208</v>
      </c>
      <c r="CA11" s="28" t="s">
        <v>1209</v>
      </c>
      <c r="CB11" s="28" t="s">
        <v>1210</v>
      </c>
      <c r="CC11" s="28" t="s">
        <v>1211</v>
      </c>
      <c r="CD11" s="28" t="s">
        <v>1212</v>
      </c>
      <c r="CE11" s="28" t="s">
        <v>1213</v>
      </c>
      <c r="CF11" s="28" t="s">
        <v>1214</v>
      </c>
      <c r="CG11" s="28" t="s">
        <v>1215</v>
      </c>
      <c r="CH11" s="28" t="s">
        <v>1216</v>
      </c>
      <c r="CI11" s="28" t="s">
        <v>1217</v>
      </c>
      <c r="CJ11" s="28" t="s">
        <v>1218</v>
      </c>
      <c r="CK11" s="28" t="s">
        <v>1219</v>
      </c>
      <c r="CL11" s="28" t="s">
        <v>1220</v>
      </c>
      <c r="CM11" s="28" t="s">
        <v>1221</v>
      </c>
      <c r="CN11" s="28" t="s">
        <v>1222</v>
      </c>
      <c r="CO11" s="28" t="s">
        <v>1223</v>
      </c>
      <c r="CP11" s="28" t="s">
        <v>1224</v>
      </c>
      <c r="CQ11" s="28" t="s">
        <v>1225</v>
      </c>
      <c r="CR11" s="28" t="s">
        <v>1226</v>
      </c>
      <c r="CS11" s="28" t="s">
        <v>1227</v>
      </c>
      <c r="CT11" s="28" t="s">
        <v>1228</v>
      </c>
      <c r="CU11" s="28" t="s">
        <v>1229</v>
      </c>
      <c r="CV11" s="28" t="s">
        <v>1230</v>
      </c>
      <c r="CW11" s="28" t="s">
        <v>1231</v>
      </c>
      <c r="CX11" s="28" t="s">
        <v>1232</v>
      </c>
      <c r="CY11" s="28" t="s">
        <v>1233</v>
      </c>
      <c r="CZ11" s="28" t="s">
        <v>1234</v>
      </c>
      <c r="DA11" s="28" t="s">
        <v>1235</v>
      </c>
      <c r="DB11" s="28" t="s">
        <v>1236</v>
      </c>
      <c r="DC11" s="28" t="s">
        <v>1237</v>
      </c>
      <c r="DD11" s="28" t="s">
        <v>1238</v>
      </c>
      <c r="DE11" s="28" t="s">
        <v>1239</v>
      </c>
      <c r="DF11" s="28" t="s">
        <v>1240</v>
      </c>
      <c r="DG11" s="28" t="s">
        <v>1241</v>
      </c>
      <c r="DH11" s="28" t="s">
        <v>1242</v>
      </c>
      <c r="DI11" s="28" t="s">
        <v>1243</v>
      </c>
      <c r="DJ11" s="28" t="s">
        <v>1244</v>
      </c>
      <c r="DK11" s="28" t="s">
        <v>1245</v>
      </c>
      <c r="DL11" s="28" t="s">
        <v>1246</v>
      </c>
      <c r="DM11" s="28" t="s">
        <v>1247</v>
      </c>
      <c r="DN11" s="28" t="s">
        <v>1248</v>
      </c>
      <c r="DO11" s="28" t="s">
        <v>1249</v>
      </c>
      <c r="DP11" s="28" t="s">
        <v>1250</v>
      </c>
    </row>
    <row r="12" spans="1:120" ht="15.75" customHeight="1">
      <c r="A12" s="1" t="s">
        <v>185</v>
      </c>
      <c r="B12" s="28" t="s">
        <v>1251</v>
      </c>
      <c r="C12" s="28" t="s">
        <v>1252</v>
      </c>
      <c r="D12" s="28" t="s">
        <v>1253</v>
      </c>
      <c r="E12" s="28" t="s">
        <v>1254</v>
      </c>
      <c r="F12" s="28" t="s">
        <v>1255</v>
      </c>
      <c r="G12" s="28" t="s">
        <v>1256</v>
      </c>
      <c r="H12" s="28" t="s">
        <v>1257</v>
      </c>
      <c r="I12" s="28" t="s">
        <v>1258</v>
      </c>
      <c r="J12" s="28" t="s">
        <v>1259</v>
      </c>
      <c r="K12" s="28" t="s">
        <v>1260</v>
      </c>
      <c r="L12" s="28" t="s">
        <v>1261</v>
      </c>
      <c r="M12" s="28" t="s">
        <v>1262</v>
      </c>
      <c r="N12" s="28" t="s">
        <v>1263</v>
      </c>
      <c r="O12" s="28" t="s">
        <v>1264</v>
      </c>
      <c r="P12" s="28" t="s">
        <v>1265</v>
      </c>
      <c r="Q12" s="28" t="s">
        <v>1266</v>
      </c>
      <c r="R12" s="28" t="s">
        <v>1267</v>
      </c>
      <c r="S12" s="28" t="s">
        <v>1268</v>
      </c>
      <c r="T12" s="28" t="s">
        <v>1269</v>
      </c>
      <c r="U12" s="28" t="s">
        <v>1270</v>
      </c>
      <c r="V12" s="28" t="s">
        <v>1271</v>
      </c>
      <c r="W12" s="28" t="s">
        <v>1272</v>
      </c>
      <c r="X12" s="28" t="s">
        <v>1273</v>
      </c>
      <c r="Y12" s="28" t="s">
        <v>1274</v>
      </c>
      <c r="Z12" s="28" t="s">
        <v>1275</v>
      </c>
      <c r="AA12" s="28" t="s">
        <v>1276</v>
      </c>
      <c r="AB12" s="28" t="s">
        <v>1277</v>
      </c>
      <c r="AC12" s="28" t="s">
        <v>1278</v>
      </c>
      <c r="AD12" s="28" t="s">
        <v>1279</v>
      </c>
      <c r="AE12" s="28" t="s">
        <v>1280</v>
      </c>
      <c r="AF12" s="28" t="s">
        <v>1281</v>
      </c>
      <c r="AG12" s="28" t="s">
        <v>1282</v>
      </c>
      <c r="AH12" s="28" t="s">
        <v>1283</v>
      </c>
      <c r="AI12" s="28" t="s">
        <v>1284</v>
      </c>
      <c r="AJ12" s="28" t="s">
        <v>1285</v>
      </c>
      <c r="AK12" s="28" t="s">
        <v>1286</v>
      </c>
      <c r="AL12" s="28" t="s">
        <v>1287</v>
      </c>
      <c r="AM12" s="28" t="s">
        <v>1288</v>
      </c>
      <c r="AN12" s="28" t="s">
        <v>1289</v>
      </c>
      <c r="AO12" s="28" t="s">
        <v>1290</v>
      </c>
      <c r="AP12" s="28" t="s">
        <v>1291</v>
      </c>
      <c r="AQ12" s="28" t="s">
        <v>1292</v>
      </c>
      <c r="AR12" s="28" t="s">
        <v>1293</v>
      </c>
      <c r="AS12" s="28" t="s">
        <v>1294</v>
      </c>
      <c r="AT12" s="28" t="s">
        <v>1295</v>
      </c>
      <c r="AU12" s="28" t="s">
        <v>1296</v>
      </c>
      <c r="AV12" s="28" t="s">
        <v>1297</v>
      </c>
      <c r="AW12" s="28" t="s">
        <v>1298</v>
      </c>
      <c r="AX12" s="28" t="s">
        <v>1299</v>
      </c>
      <c r="AY12" s="28" t="s">
        <v>1300</v>
      </c>
      <c r="AZ12" s="28" t="s">
        <v>1301</v>
      </c>
      <c r="BA12" s="28" t="s">
        <v>1302</v>
      </c>
      <c r="BB12" s="28" t="s">
        <v>1303</v>
      </c>
      <c r="BC12" s="28" t="s">
        <v>1304</v>
      </c>
      <c r="BD12" s="28" t="s">
        <v>1305</v>
      </c>
      <c r="BE12" s="28" t="s">
        <v>1306</v>
      </c>
      <c r="BF12" s="28" t="s">
        <v>1307</v>
      </c>
      <c r="BG12" s="28" t="s">
        <v>1308</v>
      </c>
      <c r="BH12" s="28" t="s">
        <v>1309</v>
      </c>
      <c r="BI12" s="28" t="s">
        <v>1310</v>
      </c>
      <c r="BJ12" s="28" t="s">
        <v>1311</v>
      </c>
      <c r="BK12" s="28" t="s">
        <v>1312</v>
      </c>
      <c r="BL12" s="28" t="s">
        <v>1313</v>
      </c>
      <c r="BM12" s="28" t="s">
        <v>1314</v>
      </c>
      <c r="BN12" s="28" t="s">
        <v>1315</v>
      </c>
      <c r="BO12" s="28" t="s">
        <v>1316</v>
      </c>
      <c r="BP12" s="28" t="s">
        <v>1317</v>
      </c>
      <c r="BQ12" s="28" t="s">
        <v>1318</v>
      </c>
      <c r="BR12" s="28" t="s">
        <v>1319</v>
      </c>
      <c r="BS12" s="28" t="s">
        <v>1320</v>
      </c>
      <c r="BT12" s="28" t="s">
        <v>1321</v>
      </c>
      <c r="BU12" s="28" t="s">
        <v>1322</v>
      </c>
      <c r="BV12" s="28" t="s">
        <v>1323</v>
      </c>
      <c r="BW12" s="28" t="s">
        <v>1324</v>
      </c>
      <c r="BX12" s="28" t="s">
        <v>1325</v>
      </c>
      <c r="BY12" s="28" t="s">
        <v>1326</v>
      </c>
      <c r="BZ12" s="28" t="s">
        <v>1327</v>
      </c>
      <c r="CA12" s="28" t="s">
        <v>1328</v>
      </c>
      <c r="CB12" s="28" t="s">
        <v>1329</v>
      </c>
      <c r="CC12" s="28" t="s">
        <v>1330</v>
      </c>
      <c r="CD12" s="28" t="s">
        <v>1331</v>
      </c>
      <c r="CE12" s="28" t="s">
        <v>1332</v>
      </c>
      <c r="CF12" s="28" t="s">
        <v>1333</v>
      </c>
      <c r="CG12" s="28" t="s">
        <v>1334</v>
      </c>
      <c r="CH12" s="28" t="s">
        <v>1335</v>
      </c>
      <c r="CI12" s="28" t="s">
        <v>1336</v>
      </c>
      <c r="CJ12" s="28" t="s">
        <v>1337</v>
      </c>
      <c r="CK12" s="28" t="s">
        <v>1338</v>
      </c>
      <c r="CL12" s="28" t="s">
        <v>1339</v>
      </c>
      <c r="CM12" s="28" t="s">
        <v>1340</v>
      </c>
      <c r="CN12" s="28" t="s">
        <v>1341</v>
      </c>
      <c r="CO12" s="28" t="s">
        <v>1342</v>
      </c>
      <c r="CP12" s="28" t="s">
        <v>1343</v>
      </c>
      <c r="CQ12" s="28" t="s">
        <v>1344</v>
      </c>
      <c r="CR12" s="28" t="s">
        <v>1345</v>
      </c>
      <c r="CS12" s="28" t="s">
        <v>1346</v>
      </c>
      <c r="CT12" s="28" t="s">
        <v>1347</v>
      </c>
      <c r="CU12" s="28" t="s">
        <v>1348</v>
      </c>
      <c r="CV12" s="28" t="s">
        <v>1349</v>
      </c>
      <c r="CW12" s="28" t="s">
        <v>1350</v>
      </c>
      <c r="CX12" s="28" t="s">
        <v>1351</v>
      </c>
      <c r="CY12" s="28" t="s">
        <v>1352</v>
      </c>
      <c r="CZ12" s="28" t="s">
        <v>1353</v>
      </c>
      <c r="DA12" s="28" t="s">
        <v>1354</v>
      </c>
      <c r="DB12" s="28" t="s">
        <v>1355</v>
      </c>
      <c r="DC12" s="28" t="s">
        <v>1356</v>
      </c>
      <c r="DD12" s="28" t="s">
        <v>1357</v>
      </c>
      <c r="DE12" s="28" t="s">
        <v>1358</v>
      </c>
      <c r="DF12" s="28" t="s">
        <v>1359</v>
      </c>
      <c r="DG12" s="28" t="s">
        <v>1360</v>
      </c>
      <c r="DH12" s="28" t="s">
        <v>1361</v>
      </c>
      <c r="DI12" s="28" t="s">
        <v>1362</v>
      </c>
      <c r="DJ12" s="28" t="s">
        <v>1363</v>
      </c>
      <c r="DK12" s="28" t="s">
        <v>1364</v>
      </c>
      <c r="DL12" s="28" t="s">
        <v>1365</v>
      </c>
      <c r="DM12" s="28" t="s">
        <v>1366</v>
      </c>
      <c r="DN12" s="28" t="s">
        <v>1367</v>
      </c>
      <c r="DO12" s="28" t="s">
        <v>1368</v>
      </c>
      <c r="DP12" s="28" t="s">
        <v>1369</v>
      </c>
    </row>
    <row r="13" spans="1:120" ht="15.75" customHeight="1">
      <c r="A13" s="1" t="s">
        <v>191</v>
      </c>
      <c r="B13" s="28" t="s">
        <v>1370</v>
      </c>
      <c r="C13" s="28" t="s">
        <v>1371</v>
      </c>
      <c r="D13" s="28" t="s">
        <v>1372</v>
      </c>
      <c r="E13" s="28" t="s">
        <v>1373</v>
      </c>
      <c r="F13" s="28" t="s">
        <v>1374</v>
      </c>
      <c r="G13" s="28" t="s">
        <v>1375</v>
      </c>
      <c r="H13" s="28" t="s">
        <v>1376</v>
      </c>
      <c r="I13" s="28" t="s">
        <v>1373</v>
      </c>
      <c r="J13" s="28" t="s">
        <v>1373</v>
      </c>
      <c r="K13" s="28" t="s">
        <v>1372</v>
      </c>
      <c r="L13" s="28" t="s">
        <v>1374</v>
      </c>
      <c r="M13" s="28" t="s">
        <v>1377</v>
      </c>
      <c r="N13" s="28" t="s">
        <v>1370</v>
      </c>
      <c r="O13" s="28" t="s">
        <v>1378</v>
      </c>
      <c r="P13" s="28" t="s">
        <v>1379</v>
      </c>
      <c r="Q13" s="28" t="s">
        <v>196</v>
      </c>
      <c r="R13" s="28" t="s">
        <v>1380</v>
      </c>
      <c r="S13" s="28" t="s">
        <v>1379</v>
      </c>
      <c r="T13" s="28" t="s">
        <v>1381</v>
      </c>
      <c r="U13" s="28" t="s">
        <v>1382</v>
      </c>
      <c r="V13" s="28" t="s">
        <v>1383</v>
      </c>
      <c r="W13" s="28" t="s">
        <v>1384</v>
      </c>
      <c r="X13" s="28" t="s">
        <v>1381</v>
      </c>
      <c r="Y13" s="28" t="s">
        <v>1380</v>
      </c>
      <c r="Z13" s="28" t="s">
        <v>1384</v>
      </c>
      <c r="AA13" s="28" t="s">
        <v>1385</v>
      </c>
      <c r="AB13" s="28" t="s">
        <v>1386</v>
      </c>
      <c r="AC13" s="28" t="s">
        <v>1387</v>
      </c>
      <c r="AD13" s="28" t="s">
        <v>1388</v>
      </c>
      <c r="AE13" s="28" t="s">
        <v>1382</v>
      </c>
      <c r="AF13" s="28" t="s">
        <v>1389</v>
      </c>
      <c r="AG13" s="28" t="s">
        <v>1390</v>
      </c>
      <c r="AH13" s="28" t="s">
        <v>1391</v>
      </c>
      <c r="AI13" s="28" t="s">
        <v>1392</v>
      </c>
      <c r="AJ13" s="28" t="s">
        <v>1393</v>
      </c>
      <c r="AK13" s="28" t="s">
        <v>1392</v>
      </c>
      <c r="AL13" s="28" t="s">
        <v>1394</v>
      </c>
      <c r="AM13" s="28" t="s">
        <v>1383</v>
      </c>
      <c r="AN13" s="28" t="s">
        <v>1395</v>
      </c>
      <c r="AO13" s="28" t="s">
        <v>1396</v>
      </c>
      <c r="AP13" s="28" t="s">
        <v>1386</v>
      </c>
      <c r="AQ13" s="28" t="s">
        <v>1396</v>
      </c>
      <c r="AR13" s="28" t="s">
        <v>1377</v>
      </c>
      <c r="AS13" s="28" t="s">
        <v>1377</v>
      </c>
      <c r="AT13" s="28" t="s">
        <v>1397</v>
      </c>
      <c r="AU13" s="28" t="s">
        <v>1378</v>
      </c>
      <c r="AV13" s="28" t="s">
        <v>1397</v>
      </c>
      <c r="AW13" s="28" t="s">
        <v>1377</v>
      </c>
      <c r="AX13" s="28" t="s">
        <v>1377</v>
      </c>
      <c r="AY13" s="28" t="s">
        <v>1370</v>
      </c>
      <c r="AZ13" s="28" t="s">
        <v>1372</v>
      </c>
      <c r="BA13" s="28" t="s">
        <v>1377</v>
      </c>
      <c r="BB13" s="28" t="s">
        <v>1398</v>
      </c>
      <c r="BC13" s="28" t="s">
        <v>1377</v>
      </c>
      <c r="BD13" s="28" t="s">
        <v>1398</v>
      </c>
      <c r="BE13" s="28" t="s">
        <v>1399</v>
      </c>
      <c r="BF13" s="28" t="s">
        <v>1372</v>
      </c>
      <c r="BG13" s="28" t="s">
        <v>1377</v>
      </c>
      <c r="BH13" s="28" t="s">
        <v>1400</v>
      </c>
      <c r="BI13" s="28" t="s">
        <v>1401</v>
      </c>
      <c r="BJ13" s="28" t="s">
        <v>1400</v>
      </c>
      <c r="BK13" s="28" t="s">
        <v>1378</v>
      </c>
      <c r="BL13" s="28" t="s">
        <v>1372</v>
      </c>
      <c r="BM13" s="28" t="s">
        <v>1377</v>
      </c>
      <c r="BN13" s="28" t="s">
        <v>1377</v>
      </c>
      <c r="BO13" s="28" t="s">
        <v>1377</v>
      </c>
      <c r="BP13" s="28" t="s">
        <v>1373</v>
      </c>
      <c r="BQ13" s="28" t="s">
        <v>1399</v>
      </c>
      <c r="BR13" s="28" t="s">
        <v>1401</v>
      </c>
      <c r="BS13" s="28" t="s">
        <v>1399</v>
      </c>
      <c r="BT13" s="28" t="s">
        <v>1399</v>
      </c>
      <c r="BU13" s="28" t="s">
        <v>1377</v>
      </c>
      <c r="BV13" s="28" t="s">
        <v>1402</v>
      </c>
      <c r="BW13" s="28" t="s">
        <v>1398</v>
      </c>
      <c r="BX13" s="28" t="s">
        <v>1399</v>
      </c>
      <c r="BY13" s="28" t="s">
        <v>1403</v>
      </c>
      <c r="BZ13" s="28" t="s">
        <v>1398</v>
      </c>
      <c r="CA13" s="28" t="s">
        <v>1404</v>
      </c>
      <c r="CB13" s="28" t="s">
        <v>1398</v>
      </c>
      <c r="CC13" s="28" t="s">
        <v>1375</v>
      </c>
      <c r="CD13" s="28" t="s">
        <v>1402</v>
      </c>
      <c r="CE13" s="28" t="s">
        <v>1401</v>
      </c>
      <c r="CF13" s="28" t="s">
        <v>1374</v>
      </c>
      <c r="CG13" s="28" t="s">
        <v>1405</v>
      </c>
      <c r="CH13" s="28" t="s">
        <v>1398</v>
      </c>
      <c r="CI13" s="28" t="s">
        <v>1378</v>
      </c>
      <c r="CJ13" s="28" t="s">
        <v>1377</v>
      </c>
      <c r="CK13" s="28" t="s">
        <v>1398</v>
      </c>
      <c r="CL13" s="28" t="s">
        <v>1375</v>
      </c>
      <c r="CM13" s="28" t="s">
        <v>1398</v>
      </c>
      <c r="CN13" s="28" t="s">
        <v>1377</v>
      </c>
      <c r="CO13" s="28" t="s">
        <v>1399</v>
      </c>
      <c r="CP13" s="28" t="s">
        <v>1398</v>
      </c>
      <c r="CQ13" s="28" t="s">
        <v>1374</v>
      </c>
      <c r="CR13" s="28" t="s">
        <v>1372</v>
      </c>
      <c r="CS13" s="28" t="s">
        <v>1406</v>
      </c>
      <c r="CT13" s="28" t="s">
        <v>1378</v>
      </c>
      <c r="CU13" s="28" t="s">
        <v>1402</v>
      </c>
      <c r="CV13" s="28" t="s">
        <v>1407</v>
      </c>
      <c r="CW13" s="28" t="s">
        <v>1408</v>
      </c>
      <c r="CX13" s="28" t="s">
        <v>1399</v>
      </c>
      <c r="CY13" s="28" t="s">
        <v>1404</v>
      </c>
      <c r="CZ13" s="28" t="s">
        <v>1404</v>
      </c>
      <c r="DA13" s="28" t="s">
        <v>1409</v>
      </c>
      <c r="DB13" s="28" t="s">
        <v>1398</v>
      </c>
      <c r="DC13" s="28" t="s">
        <v>1372</v>
      </c>
      <c r="DD13" s="28" t="s">
        <v>1378</v>
      </c>
      <c r="DE13" s="28" t="s">
        <v>1398</v>
      </c>
      <c r="DF13" s="28" t="s">
        <v>1398</v>
      </c>
      <c r="DG13" s="28" t="s">
        <v>1400</v>
      </c>
      <c r="DH13" s="28" t="s">
        <v>1378</v>
      </c>
      <c r="DI13" s="28" t="s">
        <v>1375</v>
      </c>
      <c r="DJ13" s="28" t="s">
        <v>1400</v>
      </c>
      <c r="DK13" s="28" t="s">
        <v>1373</v>
      </c>
      <c r="DL13" s="28" t="s">
        <v>1401</v>
      </c>
      <c r="DM13" s="28" t="s">
        <v>1373</v>
      </c>
      <c r="DN13" s="28" t="s">
        <v>1410</v>
      </c>
      <c r="DO13" s="28" t="s">
        <v>1411</v>
      </c>
      <c r="DP13" s="28" t="s">
        <v>1412</v>
      </c>
    </row>
    <row r="14" spans="1:120" ht="15.75" customHeight="1">
      <c r="A14" s="1" t="s">
        <v>197</v>
      </c>
      <c r="B14" s="28" t="s">
        <v>1413</v>
      </c>
      <c r="C14" s="28" t="s">
        <v>1414</v>
      </c>
      <c r="D14" s="28" t="s">
        <v>1415</v>
      </c>
      <c r="E14" s="28" t="s">
        <v>1416</v>
      </c>
      <c r="F14" s="28" t="s">
        <v>1417</v>
      </c>
      <c r="G14" s="28" t="s">
        <v>1418</v>
      </c>
      <c r="H14" s="28" t="s">
        <v>1419</v>
      </c>
      <c r="I14" s="28" t="s">
        <v>1420</v>
      </c>
      <c r="J14" s="28" t="s">
        <v>1421</v>
      </c>
      <c r="K14" s="28" t="s">
        <v>1422</v>
      </c>
      <c r="L14" s="28" t="s">
        <v>1423</v>
      </c>
      <c r="M14" s="28" t="s">
        <v>1424</v>
      </c>
      <c r="N14" s="28" t="s">
        <v>1425</v>
      </c>
      <c r="O14" s="28" t="s">
        <v>1426</v>
      </c>
      <c r="P14" s="28" t="s">
        <v>1427</v>
      </c>
      <c r="Q14" s="28" t="s">
        <v>1428</v>
      </c>
      <c r="R14" s="28" t="s">
        <v>1429</v>
      </c>
      <c r="S14" s="28" t="s">
        <v>1430</v>
      </c>
      <c r="T14" s="28" t="s">
        <v>1431</v>
      </c>
      <c r="U14" s="28" t="s">
        <v>1432</v>
      </c>
      <c r="V14" s="28" t="s">
        <v>1433</v>
      </c>
      <c r="W14" s="28" t="s">
        <v>1434</v>
      </c>
      <c r="X14" s="28" t="s">
        <v>1435</v>
      </c>
      <c r="Y14" s="28" t="s">
        <v>1436</v>
      </c>
      <c r="Z14" s="28" t="s">
        <v>1437</v>
      </c>
      <c r="AA14" s="28" t="s">
        <v>1438</v>
      </c>
      <c r="AB14" s="28" t="s">
        <v>1439</v>
      </c>
      <c r="AC14" s="28" t="s">
        <v>1440</v>
      </c>
      <c r="AD14" s="28" t="s">
        <v>1441</v>
      </c>
      <c r="AE14" s="28" t="s">
        <v>1442</v>
      </c>
      <c r="AF14" s="28" t="s">
        <v>1443</v>
      </c>
      <c r="AG14" s="28" t="s">
        <v>1444</v>
      </c>
      <c r="AH14" s="28" t="s">
        <v>1445</v>
      </c>
      <c r="AI14" s="28" t="s">
        <v>1446</v>
      </c>
      <c r="AJ14" s="28" t="s">
        <v>1447</v>
      </c>
      <c r="AK14" s="28" t="s">
        <v>1448</v>
      </c>
      <c r="AL14" s="28" t="s">
        <v>1449</v>
      </c>
      <c r="AM14" s="28" t="s">
        <v>1450</v>
      </c>
      <c r="AN14" s="28" t="s">
        <v>1451</v>
      </c>
      <c r="AO14" s="28" t="s">
        <v>1452</v>
      </c>
      <c r="AP14" s="28" t="s">
        <v>1453</v>
      </c>
      <c r="AQ14" s="28" t="s">
        <v>1454</v>
      </c>
      <c r="AR14" s="28" t="s">
        <v>1455</v>
      </c>
      <c r="AS14" s="28" t="s">
        <v>1456</v>
      </c>
      <c r="AT14" s="28" t="s">
        <v>1457</v>
      </c>
      <c r="AU14" s="28" t="s">
        <v>1458</v>
      </c>
      <c r="AV14" s="28" t="s">
        <v>1459</v>
      </c>
      <c r="AW14" s="28" t="s">
        <v>1460</v>
      </c>
      <c r="AX14" s="28" t="s">
        <v>1461</v>
      </c>
      <c r="AY14" s="28" t="s">
        <v>1462</v>
      </c>
      <c r="AZ14" s="28" t="s">
        <v>1463</v>
      </c>
      <c r="BA14" s="28" t="s">
        <v>1464</v>
      </c>
      <c r="BB14" s="28" t="s">
        <v>1465</v>
      </c>
      <c r="BC14" s="28" t="s">
        <v>1466</v>
      </c>
      <c r="BD14" s="28" t="s">
        <v>1467</v>
      </c>
      <c r="BE14" s="28" t="s">
        <v>1468</v>
      </c>
      <c r="BF14" s="28" t="s">
        <v>1469</v>
      </c>
      <c r="BG14" s="28" t="s">
        <v>1470</v>
      </c>
      <c r="BH14" s="28" t="s">
        <v>1471</v>
      </c>
      <c r="BI14" s="28" t="s">
        <v>1472</v>
      </c>
      <c r="BJ14" s="28" t="s">
        <v>1473</v>
      </c>
      <c r="BK14" s="28" t="s">
        <v>1474</v>
      </c>
      <c r="BL14" s="28" t="s">
        <v>1475</v>
      </c>
      <c r="BM14" s="28" t="s">
        <v>1476</v>
      </c>
      <c r="BN14" s="28" t="s">
        <v>1477</v>
      </c>
      <c r="BO14" s="28" t="s">
        <v>1478</v>
      </c>
      <c r="BP14" s="28" t="s">
        <v>1479</v>
      </c>
      <c r="BQ14" s="28" t="s">
        <v>1480</v>
      </c>
      <c r="BR14" s="28" t="s">
        <v>1481</v>
      </c>
      <c r="BS14" s="28" t="s">
        <v>1482</v>
      </c>
      <c r="BT14" s="28" t="s">
        <v>1483</v>
      </c>
      <c r="BU14" s="28" t="s">
        <v>1484</v>
      </c>
      <c r="BV14" s="28" t="s">
        <v>1485</v>
      </c>
      <c r="BW14" s="28" t="s">
        <v>1486</v>
      </c>
      <c r="BX14" s="28" t="s">
        <v>1487</v>
      </c>
      <c r="BY14" s="28" t="s">
        <v>1488</v>
      </c>
      <c r="BZ14" s="28" t="s">
        <v>1489</v>
      </c>
      <c r="CA14" s="28" t="s">
        <v>1490</v>
      </c>
      <c r="CB14" s="28" t="s">
        <v>1491</v>
      </c>
      <c r="CC14" s="28" t="s">
        <v>1492</v>
      </c>
      <c r="CD14" s="28" t="s">
        <v>1493</v>
      </c>
      <c r="CE14" s="28" t="s">
        <v>1494</v>
      </c>
      <c r="CF14" s="28" t="s">
        <v>1495</v>
      </c>
      <c r="CG14" s="28" t="s">
        <v>1496</v>
      </c>
      <c r="CH14" s="28" t="s">
        <v>1497</v>
      </c>
      <c r="CI14" s="28" t="s">
        <v>1498</v>
      </c>
      <c r="CJ14" s="28" t="s">
        <v>1499</v>
      </c>
      <c r="CK14" s="28" t="s">
        <v>1500</v>
      </c>
      <c r="CL14" s="28" t="s">
        <v>1501</v>
      </c>
      <c r="CM14" s="28" t="s">
        <v>1502</v>
      </c>
      <c r="CN14" s="28" t="s">
        <v>1503</v>
      </c>
      <c r="CO14" s="28" t="s">
        <v>1504</v>
      </c>
      <c r="CP14" s="28" t="s">
        <v>1505</v>
      </c>
      <c r="CQ14" s="28" t="s">
        <v>1506</v>
      </c>
      <c r="CR14" s="28" t="s">
        <v>1507</v>
      </c>
      <c r="CS14" s="28" t="s">
        <v>1426</v>
      </c>
      <c r="CT14" s="28" t="s">
        <v>1508</v>
      </c>
      <c r="CU14" s="28" t="s">
        <v>1509</v>
      </c>
      <c r="CV14" s="28" t="s">
        <v>1510</v>
      </c>
      <c r="CW14" s="28" t="s">
        <v>1511</v>
      </c>
      <c r="CX14" s="28" t="s">
        <v>1512</v>
      </c>
      <c r="CY14" s="28" t="s">
        <v>1513</v>
      </c>
      <c r="CZ14" s="28" t="s">
        <v>1514</v>
      </c>
      <c r="DA14" s="28" t="s">
        <v>1515</v>
      </c>
      <c r="DB14" s="28" t="s">
        <v>1516</v>
      </c>
      <c r="DC14" s="28" t="s">
        <v>1517</v>
      </c>
      <c r="DD14" s="28" t="s">
        <v>1518</v>
      </c>
      <c r="DE14" s="28" t="s">
        <v>1519</v>
      </c>
      <c r="DF14" s="28" t="s">
        <v>1520</v>
      </c>
      <c r="DG14" s="28" t="s">
        <v>1521</v>
      </c>
      <c r="DH14" s="28" t="s">
        <v>1522</v>
      </c>
      <c r="DI14" s="28" t="s">
        <v>1523</v>
      </c>
      <c r="DJ14" s="28" t="s">
        <v>1524</v>
      </c>
      <c r="DK14" s="28" t="s">
        <v>1525</v>
      </c>
      <c r="DL14" s="28" t="s">
        <v>1526</v>
      </c>
      <c r="DM14" s="28" t="s">
        <v>1527</v>
      </c>
      <c r="DN14" s="28" t="s">
        <v>1528</v>
      </c>
      <c r="DO14" s="28" t="s">
        <v>1529</v>
      </c>
      <c r="DP14" s="28" t="s">
        <v>1530</v>
      </c>
    </row>
    <row r="15" spans="1:120" ht="15.75" customHeight="1">
      <c r="A15" s="1" t="s">
        <v>203</v>
      </c>
      <c r="B15" s="28" t="s">
        <v>1531</v>
      </c>
      <c r="C15" s="28" t="s">
        <v>1532</v>
      </c>
      <c r="D15" s="28" t="s">
        <v>1533</v>
      </c>
      <c r="E15" s="28" t="s">
        <v>1534</v>
      </c>
      <c r="F15" s="28" t="s">
        <v>1535</v>
      </c>
      <c r="G15" s="28" t="s">
        <v>1536</v>
      </c>
      <c r="H15" s="28" t="s">
        <v>1537</v>
      </c>
      <c r="I15" s="28" t="s">
        <v>1538</v>
      </c>
      <c r="J15" s="28" t="s">
        <v>1539</v>
      </c>
      <c r="K15" s="28" t="s">
        <v>1540</v>
      </c>
      <c r="L15" s="28" t="s">
        <v>1541</v>
      </c>
      <c r="M15" s="28" t="s">
        <v>1542</v>
      </c>
      <c r="N15" s="28" t="s">
        <v>1543</v>
      </c>
      <c r="O15" s="28" t="s">
        <v>1544</v>
      </c>
      <c r="P15" s="28" t="s">
        <v>1545</v>
      </c>
      <c r="Q15" s="28" t="s">
        <v>1546</v>
      </c>
      <c r="R15" s="28" t="s">
        <v>1547</v>
      </c>
      <c r="S15" s="28" t="s">
        <v>1548</v>
      </c>
      <c r="T15" s="28" t="s">
        <v>1549</v>
      </c>
      <c r="U15" s="28" t="s">
        <v>1550</v>
      </c>
      <c r="V15" s="28" t="s">
        <v>1551</v>
      </c>
      <c r="W15" s="28" t="s">
        <v>1552</v>
      </c>
      <c r="X15" s="28" t="s">
        <v>1553</v>
      </c>
      <c r="Y15" s="28" t="s">
        <v>1554</v>
      </c>
      <c r="Z15" s="28" t="s">
        <v>1555</v>
      </c>
      <c r="AA15" s="28" t="s">
        <v>1556</v>
      </c>
      <c r="AB15" s="28" t="s">
        <v>1557</v>
      </c>
      <c r="AC15" s="28" t="s">
        <v>1558</v>
      </c>
      <c r="AD15" s="28" t="s">
        <v>1559</v>
      </c>
      <c r="AE15" s="28" t="s">
        <v>1560</v>
      </c>
      <c r="AF15" s="28" t="s">
        <v>1561</v>
      </c>
      <c r="AG15" s="28" t="s">
        <v>1562</v>
      </c>
      <c r="AH15" s="28" t="s">
        <v>1563</v>
      </c>
      <c r="AI15" s="28" t="s">
        <v>1564</v>
      </c>
      <c r="AJ15" s="28" t="s">
        <v>1565</v>
      </c>
      <c r="AK15" s="28" t="s">
        <v>1566</v>
      </c>
      <c r="AL15" s="28" t="s">
        <v>1567</v>
      </c>
      <c r="AM15" s="28" t="s">
        <v>1568</v>
      </c>
      <c r="AN15" s="28" t="s">
        <v>1569</v>
      </c>
      <c r="AO15" s="28" t="s">
        <v>1570</v>
      </c>
      <c r="AP15" s="28" t="s">
        <v>1571</v>
      </c>
      <c r="AQ15" s="28" t="s">
        <v>1572</v>
      </c>
      <c r="AR15" s="28" t="s">
        <v>1573</v>
      </c>
      <c r="AS15" s="28" t="s">
        <v>1574</v>
      </c>
      <c r="AT15" s="28" t="s">
        <v>1575</v>
      </c>
      <c r="AU15" s="28" t="s">
        <v>1576</v>
      </c>
      <c r="AV15" s="28" t="s">
        <v>1577</v>
      </c>
      <c r="AW15" s="28" t="s">
        <v>1578</v>
      </c>
      <c r="AX15" s="28" t="s">
        <v>1579</v>
      </c>
      <c r="AY15" s="28" t="s">
        <v>1580</v>
      </c>
      <c r="AZ15" s="28" t="s">
        <v>1581</v>
      </c>
      <c r="BA15" s="28" t="s">
        <v>1582</v>
      </c>
      <c r="BB15" s="28" t="s">
        <v>1583</v>
      </c>
      <c r="BC15" s="28" t="s">
        <v>1584</v>
      </c>
      <c r="BD15" s="28" t="s">
        <v>1585</v>
      </c>
      <c r="BE15" s="28" t="s">
        <v>1586</v>
      </c>
      <c r="BF15" s="28" t="s">
        <v>1587</v>
      </c>
      <c r="BG15" s="28" t="s">
        <v>1588</v>
      </c>
      <c r="BH15" s="28" t="s">
        <v>1589</v>
      </c>
      <c r="BI15" s="28" t="s">
        <v>1590</v>
      </c>
      <c r="BJ15" s="28" t="s">
        <v>1591</v>
      </c>
      <c r="BK15" s="28" t="s">
        <v>1592</v>
      </c>
      <c r="BL15" s="28" t="s">
        <v>1593</v>
      </c>
      <c r="BM15" s="28" t="s">
        <v>1594</v>
      </c>
      <c r="BN15" s="28" t="s">
        <v>1595</v>
      </c>
      <c r="BO15" s="28" t="s">
        <v>1596</v>
      </c>
      <c r="BP15" s="28" t="s">
        <v>1597</v>
      </c>
      <c r="BQ15" s="28" t="s">
        <v>1598</v>
      </c>
      <c r="BR15" s="28" t="s">
        <v>1599</v>
      </c>
      <c r="BS15" s="28" t="s">
        <v>1600</v>
      </c>
      <c r="BT15" s="28" t="s">
        <v>1601</v>
      </c>
      <c r="BU15" s="28" t="s">
        <v>1602</v>
      </c>
      <c r="BV15" s="28" t="s">
        <v>1603</v>
      </c>
      <c r="BW15" s="28" t="s">
        <v>1604</v>
      </c>
      <c r="BX15" s="28" t="s">
        <v>1605</v>
      </c>
      <c r="BY15" s="28" t="s">
        <v>1606</v>
      </c>
      <c r="BZ15" s="28" t="s">
        <v>1607</v>
      </c>
      <c r="CA15" s="28" t="s">
        <v>1608</v>
      </c>
      <c r="CB15" s="28" t="s">
        <v>1609</v>
      </c>
      <c r="CC15" s="28" t="s">
        <v>1610</v>
      </c>
      <c r="CD15" s="28" t="s">
        <v>1611</v>
      </c>
      <c r="CE15" s="28" t="s">
        <v>1612</v>
      </c>
      <c r="CF15" s="28" t="s">
        <v>1613</v>
      </c>
      <c r="CG15" s="28" t="s">
        <v>1614</v>
      </c>
      <c r="CH15" s="28" t="s">
        <v>1615</v>
      </c>
      <c r="CI15" s="28" t="s">
        <v>1616</v>
      </c>
      <c r="CJ15" s="28" t="s">
        <v>1617</v>
      </c>
      <c r="CK15" s="28" t="s">
        <v>1618</v>
      </c>
      <c r="CL15" s="28" t="s">
        <v>1619</v>
      </c>
      <c r="CM15" s="28" t="s">
        <v>1620</v>
      </c>
      <c r="CN15" s="28" t="s">
        <v>1621</v>
      </c>
      <c r="CO15" s="28" t="s">
        <v>1622</v>
      </c>
      <c r="CP15" s="28" t="s">
        <v>1623</v>
      </c>
      <c r="CQ15" s="28" t="s">
        <v>1624</v>
      </c>
      <c r="CR15" s="28" t="s">
        <v>1625</v>
      </c>
      <c r="CS15" s="28" t="s">
        <v>1626</v>
      </c>
      <c r="CT15" s="28" t="s">
        <v>1627</v>
      </c>
      <c r="CU15" s="28" t="s">
        <v>1628</v>
      </c>
      <c r="CV15" s="28" t="s">
        <v>1629</v>
      </c>
      <c r="CW15" s="28" t="s">
        <v>1630</v>
      </c>
      <c r="CX15" s="28" t="s">
        <v>1631</v>
      </c>
      <c r="CY15" s="28" t="s">
        <v>1632</v>
      </c>
      <c r="CZ15" s="28" t="s">
        <v>1633</v>
      </c>
      <c r="DA15" s="28" t="s">
        <v>1634</v>
      </c>
      <c r="DB15" s="28" t="s">
        <v>1635</v>
      </c>
      <c r="DC15" s="28" t="s">
        <v>1636</v>
      </c>
      <c r="DD15" s="28" t="s">
        <v>1637</v>
      </c>
      <c r="DE15" s="28" t="s">
        <v>1638</v>
      </c>
      <c r="DF15" s="28" t="s">
        <v>1639</v>
      </c>
      <c r="DG15" s="28" t="s">
        <v>1640</v>
      </c>
      <c r="DH15" s="28" t="s">
        <v>1641</v>
      </c>
      <c r="DI15" s="28" t="s">
        <v>1642</v>
      </c>
      <c r="DJ15" s="28" t="s">
        <v>1643</v>
      </c>
      <c r="DK15" s="28" t="s">
        <v>1644</v>
      </c>
      <c r="DL15" s="28" t="s">
        <v>1645</v>
      </c>
      <c r="DM15" s="28" t="s">
        <v>1646</v>
      </c>
      <c r="DN15" s="28" t="s">
        <v>1647</v>
      </c>
      <c r="DO15" s="28" t="s">
        <v>1648</v>
      </c>
      <c r="DP15" s="28" t="s">
        <v>1649</v>
      </c>
    </row>
    <row r="16" spans="1:120" ht="15.75" customHeight="1">
      <c r="A16" s="1" t="s">
        <v>209</v>
      </c>
      <c r="B16" s="28">
        <v>11.82</v>
      </c>
      <c r="C16" s="28">
        <v>12.23</v>
      </c>
      <c r="D16" s="28">
        <v>11.56</v>
      </c>
      <c r="E16" s="28">
        <v>11.74</v>
      </c>
      <c r="F16" s="28">
        <v>12.62</v>
      </c>
      <c r="G16" s="28">
        <v>11.88</v>
      </c>
      <c r="H16" s="28">
        <v>12.5</v>
      </c>
      <c r="I16" s="28">
        <v>11.3</v>
      </c>
      <c r="J16" s="28">
        <v>11.83</v>
      </c>
      <c r="K16" s="28">
        <v>10.89</v>
      </c>
      <c r="L16" s="28">
        <v>12.89</v>
      </c>
      <c r="M16" s="28">
        <v>12.23</v>
      </c>
      <c r="N16" s="28">
        <v>10.48</v>
      </c>
      <c r="O16" s="28">
        <v>11.61</v>
      </c>
      <c r="P16" s="28">
        <v>12.89</v>
      </c>
      <c r="Q16" s="28">
        <v>13.07</v>
      </c>
      <c r="R16" s="28">
        <v>14.18</v>
      </c>
      <c r="S16" s="28">
        <v>14.28</v>
      </c>
      <c r="T16" s="28">
        <v>12.47</v>
      </c>
      <c r="U16" s="28">
        <v>13.91</v>
      </c>
      <c r="V16" s="28">
        <v>12.82</v>
      </c>
      <c r="W16" s="28">
        <v>12.04</v>
      </c>
      <c r="X16" s="28">
        <v>12.87</v>
      </c>
      <c r="Y16" s="28">
        <v>13.48</v>
      </c>
      <c r="Z16" s="28">
        <v>12.98</v>
      </c>
      <c r="AA16" s="28">
        <v>12.12</v>
      </c>
      <c r="AB16" s="28">
        <v>14.46</v>
      </c>
      <c r="AC16" s="28">
        <v>13.59</v>
      </c>
      <c r="AD16" s="28">
        <v>11.42</v>
      </c>
      <c r="AE16" s="28">
        <v>12.64</v>
      </c>
      <c r="AF16" s="28">
        <v>12.76</v>
      </c>
      <c r="AG16" s="28">
        <v>15.02</v>
      </c>
      <c r="AH16" s="28">
        <v>13.52</v>
      </c>
      <c r="AI16" s="28">
        <v>13.07</v>
      </c>
      <c r="AJ16" s="28">
        <v>11.61</v>
      </c>
      <c r="AK16" s="28">
        <v>13.36</v>
      </c>
      <c r="AL16" s="28">
        <v>12.41</v>
      </c>
      <c r="AM16" s="28">
        <v>13.87</v>
      </c>
      <c r="AN16" s="28">
        <v>12.51</v>
      </c>
      <c r="AO16" s="28">
        <v>14.18</v>
      </c>
      <c r="AP16" s="28">
        <v>14.91</v>
      </c>
      <c r="AQ16" s="28">
        <v>14.44</v>
      </c>
      <c r="AR16" s="28">
        <v>12.09</v>
      </c>
      <c r="AS16" s="28">
        <v>11.38</v>
      </c>
      <c r="AT16" s="28">
        <v>12.91</v>
      </c>
      <c r="AU16" s="28">
        <v>11.74</v>
      </c>
      <c r="AV16" s="28">
        <v>12.63</v>
      </c>
      <c r="AW16" s="28">
        <v>11.39</v>
      </c>
      <c r="AX16" s="28">
        <v>11.5</v>
      </c>
      <c r="AY16" s="28">
        <v>11.03</v>
      </c>
      <c r="AZ16" s="28">
        <v>11.82</v>
      </c>
      <c r="BA16" s="28">
        <v>12.25</v>
      </c>
      <c r="BB16" s="28">
        <v>11.17</v>
      </c>
      <c r="BC16" s="28">
        <v>11.5</v>
      </c>
      <c r="BD16" s="28">
        <v>11.65</v>
      </c>
      <c r="BE16" s="28">
        <v>11.51</v>
      </c>
      <c r="BF16" s="28">
        <v>10.31</v>
      </c>
      <c r="BG16" s="28">
        <v>12.21</v>
      </c>
      <c r="BH16" s="28">
        <v>11.64</v>
      </c>
      <c r="BI16" s="28">
        <v>11.55</v>
      </c>
      <c r="BJ16" s="28">
        <v>12.09</v>
      </c>
      <c r="BK16" s="28">
        <v>11.04</v>
      </c>
      <c r="BL16" s="28">
        <v>12.1</v>
      </c>
      <c r="BM16" s="28">
        <v>12.04</v>
      </c>
      <c r="BN16" s="28">
        <v>11.9</v>
      </c>
      <c r="BO16" s="28">
        <v>11.9</v>
      </c>
      <c r="BP16" s="28">
        <v>11.82</v>
      </c>
      <c r="BQ16" s="28">
        <v>10.99</v>
      </c>
      <c r="BR16" s="28">
        <v>10.61</v>
      </c>
      <c r="BS16" s="28">
        <v>10.87</v>
      </c>
      <c r="BT16" s="28">
        <v>11.42</v>
      </c>
      <c r="BU16" s="28">
        <v>10.7</v>
      </c>
      <c r="BV16" s="28">
        <v>10.59</v>
      </c>
      <c r="BW16" s="28">
        <v>11.62</v>
      </c>
      <c r="BX16" s="28">
        <v>11.35</v>
      </c>
      <c r="BY16" s="28">
        <v>11.51</v>
      </c>
      <c r="BZ16" s="28">
        <v>11.25</v>
      </c>
      <c r="CA16" s="28">
        <v>12.86</v>
      </c>
      <c r="CB16" s="28">
        <v>11.7</v>
      </c>
      <c r="CC16" s="28">
        <v>12.14</v>
      </c>
      <c r="CD16" s="28">
        <v>11.17</v>
      </c>
      <c r="CE16" s="28">
        <v>11.27</v>
      </c>
      <c r="CF16" s="28">
        <v>12.59</v>
      </c>
      <c r="CG16" s="28">
        <v>13.16</v>
      </c>
      <c r="CH16" s="28">
        <v>11.25</v>
      </c>
      <c r="CI16" s="28">
        <v>11.5</v>
      </c>
      <c r="CJ16" s="28">
        <v>11.25</v>
      </c>
      <c r="CK16" s="28">
        <v>11.59</v>
      </c>
      <c r="CL16" s="28">
        <v>10.76</v>
      </c>
      <c r="CM16" s="28">
        <v>11.1</v>
      </c>
      <c r="CN16" s="28">
        <v>11.95</v>
      </c>
      <c r="CO16" s="28">
        <v>10.9</v>
      </c>
      <c r="CP16" s="28">
        <v>11.83</v>
      </c>
      <c r="CQ16" s="28">
        <v>12.61</v>
      </c>
      <c r="CR16" s="28">
        <v>11.21</v>
      </c>
      <c r="CS16" s="28">
        <v>12.27</v>
      </c>
      <c r="CT16" s="28">
        <v>11.25</v>
      </c>
      <c r="CU16" s="28">
        <v>12.33</v>
      </c>
      <c r="CV16" s="28">
        <v>11.57</v>
      </c>
      <c r="CW16" s="28">
        <v>11.33</v>
      </c>
      <c r="CX16" s="28">
        <v>11.96</v>
      </c>
      <c r="CY16" s="28">
        <v>12.64</v>
      </c>
      <c r="CZ16" s="28">
        <v>13.16</v>
      </c>
      <c r="DA16" s="28">
        <v>11.86</v>
      </c>
      <c r="DB16" s="28">
        <v>11.99</v>
      </c>
      <c r="DC16" s="28">
        <v>11.01</v>
      </c>
      <c r="DD16" s="28">
        <v>11.17</v>
      </c>
      <c r="DE16" s="28">
        <v>11.94</v>
      </c>
      <c r="DF16" s="28">
        <v>11.54</v>
      </c>
      <c r="DG16" s="28">
        <v>11.16</v>
      </c>
      <c r="DH16" s="28">
        <v>11.92</v>
      </c>
      <c r="DI16" s="28">
        <v>10.83</v>
      </c>
      <c r="DJ16" s="28">
        <v>11.84</v>
      </c>
      <c r="DK16" s="28">
        <v>10.95</v>
      </c>
      <c r="DL16" s="28">
        <v>10.86</v>
      </c>
      <c r="DM16" s="28">
        <v>11.76</v>
      </c>
      <c r="DN16" s="28">
        <v>12.15</v>
      </c>
      <c r="DO16" s="28">
        <v>11.33</v>
      </c>
      <c r="DP16" s="28">
        <v>13.22</v>
      </c>
    </row>
    <row r="17" spans="1:120" ht="15.75" customHeight="1">
      <c r="A17" s="1" t="s">
        <v>210</v>
      </c>
      <c r="B17" s="28" t="s">
        <v>1650</v>
      </c>
      <c r="C17" s="28" t="s">
        <v>1651</v>
      </c>
      <c r="D17" s="28" t="s">
        <v>1652</v>
      </c>
      <c r="E17" s="28" t="s">
        <v>1653</v>
      </c>
      <c r="F17" s="28" t="s">
        <v>1654</v>
      </c>
      <c r="G17" s="28" t="s">
        <v>1655</v>
      </c>
      <c r="H17" s="28" t="s">
        <v>1656</v>
      </c>
      <c r="I17" s="28" t="s">
        <v>1657</v>
      </c>
      <c r="J17" s="28" t="s">
        <v>1658</v>
      </c>
      <c r="K17" s="28" t="s">
        <v>1659</v>
      </c>
      <c r="L17" s="28" t="s">
        <v>1660</v>
      </c>
      <c r="M17" s="28" t="s">
        <v>1661</v>
      </c>
      <c r="N17" s="28" t="s">
        <v>1662</v>
      </c>
      <c r="O17" s="28" t="s">
        <v>1663</v>
      </c>
      <c r="P17" s="28" t="s">
        <v>1664</v>
      </c>
      <c r="Q17" s="28" t="s">
        <v>1665</v>
      </c>
      <c r="R17" s="28" t="s">
        <v>1666</v>
      </c>
      <c r="S17" s="28" t="s">
        <v>1667</v>
      </c>
      <c r="T17" s="28" t="s">
        <v>1668</v>
      </c>
      <c r="U17" s="28" t="s">
        <v>1669</v>
      </c>
      <c r="V17" s="28" t="s">
        <v>1670</v>
      </c>
      <c r="W17" s="28" t="s">
        <v>1671</v>
      </c>
      <c r="X17" s="28" t="s">
        <v>1672</v>
      </c>
      <c r="Y17" s="28" t="s">
        <v>1673</v>
      </c>
      <c r="Z17" s="28" t="s">
        <v>1674</v>
      </c>
      <c r="AA17" s="28" t="s">
        <v>1675</v>
      </c>
      <c r="AB17" s="28" t="s">
        <v>1676</v>
      </c>
      <c r="AC17" s="28" t="s">
        <v>1677</v>
      </c>
      <c r="AD17" s="28" t="s">
        <v>1678</v>
      </c>
      <c r="AE17" s="28" t="s">
        <v>1679</v>
      </c>
      <c r="AF17" s="28" t="s">
        <v>1680</v>
      </c>
      <c r="AG17" s="28" t="s">
        <v>1681</v>
      </c>
      <c r="AH17" s="28" t="s">
        <v>1682</v>
      </c>
      <c r="AI17" s="28" t="s">
        <v>1683</v>
      </c>
      <c r="AJ17" s="28" t="s">
        <v>1684</v>
      </c>
      <c r="AK17" s="28" t="s">
        <v>1685</v>
      </c>
      <c r="AL17" s="28" t="s">
        <v>1686</v>
      </c>
      <c r="AM17" s="28" t="s">
        <v>1687</v>
      </c>
      <c r="AN17" s="28" t="s">
        <v>1688</v>
      </c>
      <c r="AO17" s="28" t="s">
        <v>1689</v>
      </c>
      <c r="AP17" s="28" t="s">
        <v>1690</v>
      </c>
      <c r="AQ17" s="28" t="s">
        <v>1691</v>
      </c>
      <c r="AR17" s="28" t="s">
        <v>1692</v>
      </c>
      <c r="AS17" s="28" t="s">
        <v>1693</v>
      </c>
      <c r="AT17" s="28" t="s">
        <v>1694</v>
      </c>
      <c r="AU17" s="28" t="s">
        <v>1695</v>
      </c>
      <c r="AV17" s="28" t="s">
        <v>1696</v>
      </c>
      <c r="AW17" s="28" t="s">
        <v>1697</v>
      </c>
      <c r="AX17" s="28" t="s">
        <v>1698</v>
      </c>
      <c r="AY17" s="28" t="s">
        <v>1699</v>
      </c>
      <c r="AZ17" s="28" t="s">
        <v>1700</v>
      </c>
      <c r="BA17" s="28" t="s">
        <v>1701</v>
      </c>
      <c r="BB17" s="28" t="s">
        <v>1702</v>
      </c>
      <c r="BC17" s="28" t="s">
        <v>1703</v>
      </c>
      <c r="BD17" s="28" t="s">
        <v>1704</v>
      </c>
      <c r="BE17" s="28" t="s">
        <v>1705</v>
      </c>
      <c r="BF17" s="28" t="s">
        <v>1706</v>
      </c>
      <c r="BG17" s="28" t="s">
        <v>1707</v>
      </c>
      <c r="BH17" s="28" t="s">
        <v>1708</v>
      </c>
      <c r="BI17" s="28" t="s">
        <v>1709</v>
      </c>
      <c r="BJ17" s="28" t="s">
        <v>1710</v>
      </c>
      <c r="BK17" s="28" t="s">
        <v>1711</v>
      </c>
      <c r="BL17" s="28" t="s">
        <v>1712</v>
      </c>
      <c r="BM17" s="28" t="s">
        <v>1713</v>
      </c>
      <c r="BN17" s="28" t="s">
        <v>1714</v>
      </c>
      <c r="BO17" s="28" t="s">
        <v>1715</v>
      </c>
      <c r="BP17" s="28" t="s">
        <v>1716</v>
      </c>
      <c r="BQ17" s="28" t="s">
        <v>1717</v>
      </c>
      <c r="BR17" s="28" t="s">
        <v>1718</v>
      </c>
      <c r="BS17" s="28" t="s">
        <v>1719</v>
      </c>
      <c r="BT17" s="28" t="s">
        <v>1720</v>
      </c>
      <c r="BU17" s="28" t="s">
        <v>1721</v>
      </c>
      <c r="BV17" s="28" t="s">
        <v>1722</v>
      </c>
      <c r="BW17" s="28" t="s">
        <v>1723</v>
      </c>
      <c r="BX17" s="28" t="s">
        <v>1724</v>
      </c>
      <c r="BY17" s="28" t="s">
        <v>1725</v>
      </c>
      <c r="BZ17" s="28" t="s">
        <v>1726</v>
      </c>
      <c r="CA17" s="28" t="s">
        <v>1727</v>
      </c>
      <c r="CB17" s="28" t="s">
        <v>1728</v>
      </c>
      <c r="CC17" s="28" t="s">
        <v>1729</v>
      </c>
      <c r="CD17" s="28" t="s">
        <v>1730</v>
      </c>
      <c r="CE17" s="28" t="s">
        <v>1731</v>
      </c>
      <c r="CF17" s="28" t="s">
        <v>1732</v>
      </c>
      <c r="CG17" s="28" t="s">
        <v>1733</v>
      </c>
      <c r="CH17" s="28" t="s">
        <v>1734</v>
      </c>
      <c r="CI17" s="28" t="s">
        <v>1735</v>
      </c>
      <c r="CJ17" s="28" t="s">
        <v>1736</v>
      </c>
      <c r="CK17" s="28" t="s">
        <v>1737</v>
      </c>
      <c r="CL17" s="28" t="s">
        <v>1738</v>
      </c>
      <c r="CM17" s="28" t="s">
        <v>1739</v>
      </c>
      <c r="CN17" s="28" t="s">
        <v>1740</v>
      </c>
      <c r="CO17" s="28" t="s">
        <v>1741</v>
      </c>
      <c r="CP17" s="28" t="s">
        <v>1742</v>
      </c>
      <c r="CQ17" s="28" t="s">
        <v>1743</v>
      </c>
      <c r="CR17" s="28" t="s">
        <v>1744</v>
      </c>
      <c r="CS17" s="28" t="s">
        <v>1745</v>
      </c>
      <c r="CT17" s="28" t="s">
        <v>1746</v>
      </c>
      <c r="CU17" s="28" t="s">
        <v>1747</v>
      </c>
      <c r="CV17" s="28" t="s">
        <v>1748</v>
      </c>
      <c r="CW17" s="28" t="s">
        <v>1749</v>
      </c>
      <c r="CX17" s="28" t="s">
        <v>1750</v>
      </c>
      <c r="CY17" s="28" t="s">
        <v>1751</v>
      </c>
      <c r="CZ17" s="28" t="s">
        <v>1752</v>
      </c>
      <c r="DA17" s="28" t="s">
        <v>1753</v>
      </c>
      <c r="DB17" s="28" t="s">
        <v>1754</v>
      </c>
      <c r="DC17" s="28" t="s">
        <v>1755</v>
      </c>
      <c r="DD17" s="28" t="s">
        <v>1756</v>
      </c>
      <c r="DE17" s="28" t="s">
        <v>1757</v>
      </c>
      <c r="DF17" s="28" t="s">
        <v>1758</v>
      </c>
      <c r="DG17" s="28" t="s">
        <v>1759</v>
      </c>
      <c r="DH17" s="28" t="s">
        <v>1760</v>
      </c>
      <c r="DI17" s="28" t="s">
        <v>1761</v>
      </c>
      <c r="DJ17" s="28" t="s">
        <v>1762</v>
      </c>
      <c r="DK17" s="28" t="s">
        <v>1763</v>
      </c>
      <c r="DL17" s="28" t="s">
        <v>1764</v>
      </c>
      <c r="DM17" s="28" t="s">
        <v>1765</v>
      </c>
      <c r="DN17" s="28" t="s">
        <v>1766</v>
      </c>
      <c r="DO17" s="28" t="s">
        <v>1767</v>
      </c>
      <c r="DP17" s="28" t="s">
        <v>1768</v>
      </c>
    </row>
    <row r="18" spans="1:120" ht="15.75" customHeight="1">
      <c r="A18" s="1" t="s">
        <v>216</v>
      </c>
      <c r="B18" s="28" t="s">
        <v>1769</v>
      </c>
      <c r="C18" s="28" t="s">
        <v>1770</v>
      </c>
      <c r="D18" s="28" t="s">
        <v>1771</v>
      </c>
      <c r="E18" s="28" t="s">
        <v>1772</v>
      </c>
      <c r="F18" s="28" t="s">
        <v>1773</v>
      </c>
      <c r="G18" s="28" t="s">
        <v>1774</v>
      </c>
      <c r="H18" s="28" t="s">
        <v>1775</v>
      </c>
      <c r="I18" s="28" t="s">
        <v>1776</v>
      </c>
      <c r="J18" s="28" t="s">
        <v>1777</v>
      </c>
      <c r="K18" s="28" t="s">
        <v>1778</v>
      </c>
      <c r="L18" s="28" t="s">
        <v>1779</v>
      </c>
      <c r="M18" s="28" t="s">
        <v>1780</v>
      </c>
      <c r="N18" s="28" t="s">
        <v>1781</v>
      </c>
      <c r="O18" s="28" t="s">
        <v>1782</v>
      </c>
      <c r="P18" s="28" t="s">
        <v>1783</v>
      </c>
      <c r="Q18" s="28" t="s">
        <v>1784</v>
      </c>
      <c r="R18" s="28" t="s">
        <v>1785</v>
      </c>
      <c r="S18" s="28" t="s">
        <v>1786</v>
      </c>
      <c r="T18" s="28" t="s">
        <v>1787</v>
      </c>
      <c r="U18" s="28" t="s">
        <v>1788</v>
      </c>
      <c r="V18" s="28" t="s">
        <v>1789</v>
      </c>
      <c r="W18" s="28" t="s">
        <v>1790</v>
      </c>
      <c r="X18" s="28" t="s">
        <v>1791</v>
      </c>
      <c r="Y18" s="28" t="s">
        <v>1792</v>
      </c>
      <c r="Z18" s="28" t="s">
        <v>1793</v>
      </c>
      <c r="AA18" s="28" t="s">
        <v>1794</v>
      </c>
      <c r="AB18" s="28" t="s">
        <v>1795</v>
      </c>
      <c r="AC18" s="28" t="s">
        <v>1796</v>
      </c>
      <c r="AD18" s="28" t="s">
        <v>1797</v>
      </c>
      <c r="AE18" s="28" t="s">
        <v>1798</v>
      </c>
      <c r="AF18" s="28" t="s">
        <v>1799</v>
      </c>
      <c r="AG18" s="28" t="s">
        <v>1800</v>
      </c>
      <c r="AH18" s="28" t="s">
        <v>1801</v>
      </c>
      <c r="AI18" s="28" t="s">
        <v>1802</v>
      </c>
      <c r="AJ18" s="28" t="s">
        <v>1803</v>
      </c>
      <c r="AK18" s="28" t="s">
        <v>1804</v>
      </c>
      <c r="AL18" s="28" t="s">
        <v>1805</v>
      </c>
      <c r="AM18" s="28" t="s">
        <v>1806</v>
      </c>
      <c r="AN18" s="28" t="s">
        <v>1807</v>
      </c>
      <c r="AO18" s="28" t="s">
        <v>1808</v>
      </c>
      <c r="AP18" s="28" t="s">
        <v>1809</v>
      </c>
      <c r="AQ18" s="28" t="s">
        <v>1810</v>
      </c>
      <c r="AR18" s="28" t="s">
        <v>1811</v>
      </c>
      <c r="AS18" s="28" t="s">
        <v>1812</v>
      </c>
      <c r="AT18" s="28" t="s">
        <v>1813</v>
      </c>
      <c r="AU18" s="28" t="s">
        <v>1814</v>
      </c>
      <c r="AV18" s="28" t="s">
        <v>1815</v>
      </c>
      <c r="AW18" s="28" t="s">
        <v>1816</v>
      </c>
      <c r="AX18" s="28" t="s">
        <v>1817</v>
      </c>
      <c r="AY18" s="28" t="s">
        <v>1818</v>
      </c>
      <c r="AZ18" s="28" t="s">
        <v>1819</v>
      </c>
      <c r="BA18" s="28" t="s">
        <v>1820</v>
      </c>
      <c r="BB18" s="28" t="s">
        <v>1821</v>
      </c>
      <c r="BC18" s="28" t="s">
        <v>1822</v>
      </c>
      <c r="BD18" s="28" t="s">
        <v>1823</v>
      </c>
      <c r="BE18" s="28" t="s">
        <v>1824</v>
      </c>
      <c r="BF18" s="28" t="s">
        <v>1825</v>
      </c>
      <c r="BG18" s="28" t="s">
        <v>1826</v>
      </c>
      <c r="BH18" s="28" t="s">
        <v>1827</v>
      </c>
      <c r="BI18" s="28" t="s">
        <v>1828</v>
      </c>
      <c r="BJ18" s="28" t="s">
        <v>1829</v>
      </c>
      <c r="BK18" s="28" t="s">
        <v>1830</v>
      </c>
      <c r="BL18" s="28" t="s">
        <v>1831</v>
      </c>
      <c r="BM18" s="28" t="s">
        <v>1832</v>
      </c>
      <c r="BN18" s="28" t="s">
        <v>1833</v>
      </c>
      <c r="BO18" s="28" t="s">
        <v>1834</v>
      </c>
      <c r="BP18" s="28" t="s">
        <v>1835</v>
      </c>
      <c r="BQ18" s="28" t="s">
        <v>1836</v>
      </c>
      <c r="BR18" s="28" t="s">
        <v>1837</v>
      </c>
      <c r="BS18" s="28" t="s">
        <v>1838</v>
      </c>
      <c r="BT18" s="28" t="s">
        <v>1839</v>
      </c>
      <c r="BU18" s="28" t="s">
        <v>1840</v>
      </c>
      <c r="BV18" s="28" t="s">
        <v>1841</v>
      </c>
      <c r="BW18" s="28" t="s">
        <v>1842</v>
      </c>
      <c r="BX18" s="28" t="s">
        <v>1843</v>
      </c>
      <c r="BY18" s="28" t="s">
        <v>1844</v>
      </c>
      <c r="BZ18" s="28" t="s">
        <v>1845</v>
      </c>
      <c r="CA18" s="28" t="s">
        <v>1846</v>
      </c>
      <c r="CB18" s="28" t="s">
        <v>1847</v>
      </c>
      <c r="CC18" s="28" t="s">
        <v>1848</v>
      </c>
      <c r="CD18" s="28" t="s">
        <v>1849</v>
      </c>
      <c r="CE18" s="28" t="s">
        <v>1850</v>
      </c>
      <c r="CF18" s="28" t="s">
        <v>1851</v>
      </c>
      <c r="CG18" s="28" t="s">
        <v>1852</v>
      </c>
      <c r="CH18" s="28" t="s">
        <v>1853</v>
      </c>
      <c r="CI18" s="28" t="s">
        <v>1854</v>
      </c>
      <c r="CJ18" s="28" t="s">
        <v>1855</v>
      </c>
      <c r="CK18" s="28" t="s">
        <v>1856</v>
      </c>
      <c r="CL18" s="28" t="s">
        <v>1857</v>
      </c>
      <c r="CM18" s="28" t="s">
        <v>1858</v>
      </c>
      <c r="CN18" s="28" t="s">
        <v>1859</v>
      </c>
      <c r="CO18" s="28" t="s">
        <v>1860</v>
      </c>
      <c r="CP18" s="28" t="s">
        <v>1861</v>
      </c>
      <c r="CQ18" s="28" t="s">
        <v>1862</v>
      </c>
      <c r="CR18" s="28" t="s">
        <v>1863</v>
      </c>
      <c r="CS18" s="28" t="s">
        <v>1864</v>
      </c>
      <c r="CT18" s="28" t="s">
        <v>1865</v>
      </c>
      <c r="CU18" s="28" t="s">
        <v>1866</v>
      </c>
      <c r="CV18" s="28" t="s">
        <v>1867</v>
      </c>
      <c r="CW18" s="28" t="s">
        <v>1868</v>
      </c>
      <c r="CX18" s="28" t="s">
        <v>1869</v>
      </c>
      <c r="CY18" s="28" t="s">
        <v>1870</v>
      </c>
      <c r="CZ18" s="28" t="s">
        <v>1871</v>
      </c>
      <c r="DA18" s="28" t="s">
        <v>1872</v>
      </c>
      <c r="DB18" s="28" t="s">
        <v>1873</v>
      </c>
      <c r="DC18" s="28" t="s">
        <v>1874</v>
      </c>
      <c r="DD18" s="28" t="s">
        <v>1875</v>
      </c>
      <c r="DE18" s="28" t="s">
        <v>1876</v>
      </c>
      <c r="DF18" s="28" t="s">
        <v>1877</v>
      </c>
      <c r="DG18" s="28" t="s">
        <v>1878</v>
      </c>
      <c r="DH18" s="28" t="s">
        <v>1879</v>
      </c>
      <c r="DI18" s="28" t="s">
        <v>1880</v>
      </c>
      <c r="DJ18" s="28" t="s">
        <v>1881</v>
      </c>
      <c r="DK18" s="28" t="s">
        <v>1882</v>
      </c>
      <c r="DL18" s="28" t="s">
        <v>1883</v>
      </c>
      <c r="DM18" s="28" t="s">
        <v>1884</v>
      </c>
      <c r="DN18" s="28" t="s">
        <v>1885</v>
      </c>
      <c r="DO18" s="28" t="s">
        <v>1886</v>
      </c>
      <c r="DP18" s="28" t="s">
        <v>1887</v>
      </c>
    </row>
    <row r="19" spans="1:120" ht="15.75" customHeight="1">
      <c r="A19" s="1" t="s">
        <v>222</v>
      </c>
      <c r="B19" s="28" t="s">
        <v>1888</v>
      </c>
      <c r="C19" s="28" t="s">
        <v>1889</v>
      </c>
      <c r="D19" s="28" t="s">
        <v>1890</v>
      </c>
      <c r="E19" s="28" t="s">
        <v>1891</v>
      </c>
      <c r="F19" s="28" t="s">
        <v>1892</v>
      </c>
      <c r="G19" s="28" t="s">
        <v>1893</v>
      </c>
      <c r="H19" s="28" t="s">
        <v>1894</v>
      </c>
      <c r="I19" s="28" t="s">
        <v>1895</v>
      </c>
      <c r="J19" s="28" t="s">
        <v>1896</v>
      </c>
      <c r="K19" s="28" t="s">
        <v>1897</v>
      </c>
      <c r="L19" s="28" t="s">
        <v>1898</v>
      </c>
      <c r="M19" s="28" t="s">
        <v>1899</v>
      </c>
      <c r="N19" s="28" t="s">
        <v>1900</v>
      </c>
      <c r="O19" s="28" t="s">
        <v>1901</v>
      </c>
      <c r="P19" s="28" t="s">
        <v>1902</v>
      </c>
      <c r="Q19" s="28" t="s">
        <v>1903</v>
      </c>
      <c r="R19" s="28" t="s">
        <v>1904</v>
      </c>
      <c r="S19" s="28" t="s">
        <v>1905</v>
      </c>
      <c r="T19" s="28" t="s">
        <v>1906</v>
      </c>
      <c r="U19" s="28" t="s">
        <v>1907</v>
      </c>
      <c r="V19" s="28" t="s">
        <v>1908</v>
      </c>
      <c r="W19" s="28" t="s">
        <v>1909</v>
      </c>
      <c r="X19" s="28" t="s">
        <v>1910</v>
      </c>
      <c r="Y19" s="28" t="s">
        <v>1911</v>
      </c>
      <c r="Z19" s="28" t="s">
        <v>1912</v>
      </c>
      <c r="AA19" s="28" t="s">
        <v>1913</v>
      </c>
      <c r="AB19" s="28" t="s">
        <v>1914</v>
      </c>
      <c r="AC19" s="28" t="s">
        <v>1915</v>
      </c>
      <c r="AD19" s="28" t="s">
        <v>1916</v>
      </c>
      <c r="AE19" s="28" t="s">
        <v>1917</v>
      </c>
      <c r="AF19" s="28" t="s">
        <v>1918</v>
      </c>
      <c r="AG19" s="28" t="s">
        <v>1919</v>
      </c>
      <c r="AH19" s="28" t="s">
        <v>1920</v>
      </c>
      <c r="AI19" s="28" t="s">
        <v>1921</v>
      </c>
      <c r="AJ19" s="28" t="s">
        <v>1922</v>
      </c>
      <c r="AK19" s="28" t="s">
        <v>1923</v>
      </c>
      <c r="AL19" s="28" t="s">
        <v>1924</v>
      </c>
      <c r="AM19" s="28" t="s">
        <v>1925</v>
      </c>
      <c r="AN19" s="28" t="s">
        <v>1926</v>
      </c>
      <c r="AO19" s="28" t="s">
        <v>1927</v>
      </c>
      <c r="AP19" s="28" t="s">
        <v>1928</v>
      </c>
      <c r="AQ19" s="28" t="s">
        <v>1929</v>
      </c>
      <c r="AR19" s="28" t="s">
        <v>1930</v>
      </c>
      <c r="AS19" s="28" t="s">
        <v>1931</v>
      </c>
      <c r="AT19" s="28" t="s">
        <v>1932</v>
      </c>
      <c r="AU19" s="28" t="s">
        <v>1933</v>
      </c>
      <c r="AV19" s="28" t="s">
        <v>1934</v>
      </c>
      <c r="AW19" s="28" t="s">
        <v>1935</v>
      </c>
      <c r="AX19" s="28" t="s">
        <v>1936</v>
      </c>
      <c r="AY19" s="28" t="s">
        <v>1937</v>
      </c>
      <c r="AZ19" s="28" t="s">
        <v>1938</v>
      </c>
      <c r="BA19" s="28" t="s">
        <v>1939</v>
      </c>
      <c r="BB19" s="28" t="s">
        <v>1940</v>
      </c>
      <c r="BC19" s="28" t="s">
        <v>1941</v>
      </c>
      <c r="BD19" s="28" t="s">
        <v>1942</v>
      </c>
      <c r="BE19" s="28" t="s">
        <v>1943</v>
      </c>
      <c r="BF19" s="28" t="s">
        <v>1944</v>
      </c>
      <c r="BG19" s="28" t="s">
        <v>1945</v>
      </c>
      <c r="BH19" s="28" t="s">
        <v>1946</v>
      </c>
      <c r="BI19" s="28" t="s">
        <v>1947</v>
      </c>
      <c r="BJ19" s="28" t="s">
        <v>1948</v>
      </c>
      <c r="BK19" s="28" t="s">
        <v>1949</v>
      </c>
      <c r="BL19" s="28" t="s">
        <v>1950</v>
      </c>
      <c r="BM19" s="28" t="s">
        <v>1951</v>
      </c>
      <c r="BN19" s="28" t="s">
        <v>1952</v>
      </c>
      <c r="BO19" s="28" t="s">
        <v>1953</v>
      </c>
      <c r="BP19" s="28" t="s">
        <v>1954</v>
      </c>
      <c r="BQ19" s="28" t="s">
        <v>1955</v>
      </c>
      <c r="BR19" s="28" t="s">
        <v>1956</v>
      </c>
      <c r="BS19" s="28" t="s">
        <v>1957</v>
      </c>
      <c r="BT19" s="28" t="s">
        <v>1958</v>
      </c>
      <c r="BU19" s="28" t="s">
        <v>1959</v>
      </c>
      <c r="BV19" s="28" t="s">
        <v>1960</v>
      </c>
      <c r="BW19" s="28" t="s">
        <v>1961</v>
      </c>
      <c r="BX19" s="28" t="s">
        <v>1962</v>
      </c>
      <c r="BY19" s="28" t="s">
        <v>1963</v>
      </c>
      <c r="BZ19" s="28" t="s">
        <v>1964</v>
      </c>
      <c r="CA19" s="28" t="s">
        <v>1965</v>
      </c>
      <c r="CB19" s="28" t="s">
        <v>1966</v>
      </c>
      <c r="CC19" s="28" t="s">
        <v>1967</v>
      </c>
      <c r="CD19" s="28" t="s">
        <v>1968</v>
      </c>
      <c r="CE19" s="28" t="s">
        <v>1969</v>
      </c>
      <c r="CF19" s="28" t="s">
        <v>1970</v>
      </c>
      <c r="CG19" s="28" t="s">
        <v>1971</v>
      </c>
      <c r="CH19" s="28" t="s">
        <v>1972</v>
      </c>
      <c r="CI19" s="28" t="s">
        <v>1973</v>
      </c>
      <c r="CJ19" s="28" t="s">
        <v>1974</v>
      </c>
      <c r="CK19" s="28" t="s">
        <v>1975</v>
      </c>
      <c r="CL19" s="28" t="s">
        <v>1976</v>
      </c>
      <c r="CM19" s="28" t="s">
        <v>1977</v>
      </c>
      <c r="CN19" s="28" t="s">
        <v>1978</v>
      </c>
      <c r="CO19" s="28" t="s">
        <v>1979</v>
      </c>
      <c r="CP19" s="28" t="s">
        <v>1980</v>
      </c>
      <c r="CQ19" s="28" t="s">
        <v>1981</v>
      </c>
      <c r="CR19" s="28" t="s">
        <v>1982</v>
      </c>
      <c r="CS19" s="28" t="s">
        <v>1983</v>
      </c>
      <c r="CT19" s="28" t="s">
        <v>1984</v>
      </c>
      <c r="CU19" s="28" t="s">
        <v>1985</v>
      </c>
      <c r="CV19" s="28" t="s">
        <v>1986</v>
      </c>
      <c r="CW19" s="28" t="s">
        <v>1987</v>
      </c>
      <c r="CX19" s="28" t="s">
        <v>1988</v>
      </c>
      <c r="CY19" s="28" t="s">
        <v>1989</v>
      </c>
      <c r="CZ19" s="28" t="s">
        <v>1990</v>
      </c>
      <c r="DA19" s="28" t="s">
        <v>1991</v>
      </c>
      <c r="DB19" s="28" t="s">
        <v>1992</v>
      </c>
      <c r="DC19" s="28" t="s">
        <v>1993</v>
      </c>
      <c r="DD19" s="28" t="s">
        <v>1994</v>
      </c>
      <c r="DE19" s="28" t="s">
        <v>1995</v>
      </c>
      <c r="DF19" s="28" t="s">
        <v>1996</v>
      </c>
      <c r="DG19" s="28" t="s">
        <v>1997</v>
      </c>
      <c r="DH19" s="28" t="s">
        <v>1998</v>
      </c>
      <c r="DI19" s="28" t="s">
        <v>1999</v>
      </c>
      <c r="DJ19" s="28" t="s">
        <v>2000</v>
      </c>
      <c r="DK19" s="28" t="s">
        <v>2001</v>
      </c>
      <c r="DL19" s="28" t="s">
        <v>2002</v>
      </c>
      <c r="DM19" s="28" t="s">
        <v>2003</v>
      </c>
      <c r="DN19" s="28" t="s">
        <v>2004</v>
      </c>
      <c r="DO19" s="28" t="s">
        <v>2005</v>
      </c>
      <c r="DP19" s="28" t="s">
        <v>2006</v>
      </c>
    </row>
    <row r="20" spans="1:120" ht="15.75" customHeight="1">
      <c r="A20" s="1" t="s">
        <v>228</v>
      </c>
      <c r="B20" s="28" t="s">
        <v>2007</v>
      </c>
      <c r="C20" s="28" t="s">
        <v>2008</v>
      </c>
      <c r="D20" s="28" t="s">
        <v>2009</v>
      </c>
      <c r="E20" s="28" t="s">
        <v>2010</v>
      </c>
      <c r="F20" s="28" t="s">
        <v>2011</v>
      </c>
      <c r="G20" s="28" t="s">
        <v>2012</v>
      </c>
      <c r="H20" s="28" t="s">
        <v>2013</v>
      </c>
      <c r="I20" s="28" t="s">
        <v>2014</v>
      </c>
      <c r="J20" s="28" t="s">
        <v>2015</v>
      </c>
      <c r="K20" s="28" t="s">
        <v>237</v>
      </c>
      <c r="L20" s="28" t="s">
        <v>2016</v>
      </c>
      <c r="M20" s="28" t="s">
        <v>2017</v>
      </c>
      <c r="N20" s="28" t="s">
        <v>2018</v>
      </c>
      <c r="O20" s="28" t="s">
        <v>2019</v>
      </c>
      <c r="P20" s="28" t="s">
        <v>2020</v>
      </c>
      <c r="Q20" s="28" t="s">
        <v>2021</v>
      </c>
      <c r="R20" s="28" t="s">
        <v>2022</v>
      </c>
      <c r="S20" s="28" t="s">
        <v>2023</v>
      </c>
      <c r="T20" s="28" t="s">
        <v>2024</v>
      </c>
      <c r="U20" s="28" t="s">
        <v>2025</v>
      </c>
      <c r="V20" s="28" t="s">
        <v>2026</v>
      </c>
      <c r="W20" s="28" t="s">
        <v>2027</v>
      </c>
      <c r="X20" s="28" t="s">
        <v>2028</v>
      </c>
      <c r="Y20" s="28" t="s">
        <v>2029</v>
      </c>
      <c r="Z20" s="28" t="s">
        <v>2030</v>
      </c>
      <c r="AA20" s="28" t="s">
        <v>2031</v>
      </c>
      <c r="AB20" s="28" t="s">
        <v>2032</v>
      </c>
      <c r="AC20" s="28" t="s">
        <v>2033</v>
      </c>
      <c r="AD20" s="28" t="s">
        <v>2034</v>
      </c>
      <c r="AE20" s="28" t="s">
        <v>2035</v>
      </c>
      <c r="AF20" s="28" t="s">
        <v>2036</v>
      </c>
      <c r="AG20" s="28" t="s">
        <v>2037</v>
      </c>
      <c r="AH20" s="28" t="s">
        <v>2038</v>
      </c>
      <c r="AI20" s="28" t="s">
        <v>2039</v>
      </c>
      <c r="AJ20" s="28" t="s">
        <v>2040</v>
      </c>
      <c r="AK20" s="28" t="s">
        <v>2041</v>
      </c>
      <c r="AL20" s="28" t="s">
        <v>2042</v>
      </c>
      <c r="AM20" s="28" t="s">
        <v>2022</v>
      </c>
      <c r="AN20" s="28" t="s">
        <v>2043</v>
      </c>
      <c r="AO20" s="28" t="s">
        <v>2044</v>
      </c>
      <c r="AP20" s="28" t="s">
        <v>2045</v>
      </c>
      <c r="AQ20" s="28" t="s">
        <v>2046</v>
      </c>
      <c r="AR20" s="28" t="s">
        <v>2047</v>
      </c>
      <c r="AS20" s="28" t="s">
        <v>2048</v>
      </c>
      <c r="AT20" s="28" t="s">
        <v>2017</v>
      </c>
      <c r="AU20" s="28" t="s">
        <v>2049</v>
      </c>
      <c r="AV20" s="28" t="s">
        <v>2037</v>
      </c>
      <c r="AW20" s="28" t="s">
        <v>2050</v>
      </c>
      <c r="AX20" s="28" t="s">
        <v>2051</v>
      </c>
      <c r="AY20" s="28" t="s">
        <v>2052</v>
      </c>
      <c r="AZ20" s="28" t="s">
        <v>2053</v>
      </c>
      <c r="BA20" s="28" t="s">
        <v>2054</v>
      </c>
      <c r="BB20" s="28" t="s">
        <v>2055</v>
      </c>
      <c r="BC20" s="28" t="s">
        <v>483</v>
      </c>
      <c r="BD20" s="28" t="s">
        <v>2055</v>
      </c>
      <c r="BE20" s="28" t="s">
        <v>2056</v>
      </c>
      <c r="BF20" s="28" t="s">
        <v>2057</v>
      </c>
      <c r="BG20" s="28" t="s">
        <v>2058</v>
      </c>
      <c r="BH20" s="28" t="s">
        <v>2059</v>
      </c>
      <c r="BI20" s="28" t="s">
        <v>2060</v>
      </c>
      <c r="BJ20" s="28" t="s">
        <v>2061</v>
      </c>
      <c r="BK20" s="28" t="s">
        <v>2062</v>
      </c>
      <c r="BL20" s="28" t="s">
        <v>2063</v>
      </c>
      <c r="BM20" s="28" t="s">
        <v>2064</v>
      </c>
      <c r="BN20" s="28" t="s">
        <v>2065</v>
      </c>
      <c r="BO20" s="28" t="s">
        <v>2066</v>
      </c>
      <c r="BP20" s="28" t="s">
        <v>2067</v>
      </c>
      <c r="BQ20" s="28" t="s">
        <v>2068</v>
      </c>
      <c r="BR20" s="28" t="s">
        <v>2069</v>
      </c>
      <c r="BS20" s="28" t="s">
        <v>2070</v>
      </c>
      <c r="BT20" s="28" t="s">
        <v>2071</v>
      </c>
      <c r="BU20" s="28" t="s">
        <v>2072</v>
      </c>
      <c r="BV20" s="28" t="s">
        <v>2073</v>
      </c>
      <c r="BW20" s="28" t="s">
        <v>2074</v>
      </c>
      <c r="BX20" s="28" t="s">
        <v>2075</v>
      </c>
      <c r="BY20" s="28" t="s">
        <v>2076</v>
      </c>
      <c r="BZ20" s="28" t="s">
        <v>2077</v>
      </c>
      <c r="CA20" s="28" t="s">
        <v>2078</v>
      </c>
      <c r="CB20" s="28" t="s">
        <v>2079</v>
      </c>
      <c r="CC20" s="28" t="s">
        <v>2080</v>
      </c>
      <c r="CD20" s="28" t="s">
        <v>2081</v>
      </c>
      <c r="CE20" s="28" t="s">
        <v>2082</v>
      </c>
      <c r="CF20" s="28" t="s">
        <v>2083</v>
      </c>
      <c r="CG20" s="28" t="s">
        <v>2084</v>
      </c>
      <c r="CH20" s="28" t="s">
        <v>2085</v>
      </c>
      <c r="CI20" s="28" t="s">
        <v>2086</v>
      </c>
      <c r="CJ20" s="28" t="s">
        <v>2087</v>
      </c>
      <c r="CK20" s="28" t="s">
        <v>2088</v>
      </c>
      <c r="CL20" s="28" t="s">
        <v>2089</v>
      </c>
      <c r="CM20" s="28" t="s">
        <v>2090</v>
      </c>
      <c r="CN20" s="28" t="s">
        <v>2091</v>
      </c>
      <c r="CO20" s="28" t="s">
        <v>2052</v>
      </c>
      <c r="CP20" s="28" t="s">
        <v>2092</v>
      </c>
      <c r="CQ20" s="28" t="s">
        <v>2093</v>
      </c>
      <c r="CR20" s="28" t="s">
        <v>2094</v>
      </c>
      <c r="CS20" s="28" t="s">
        <v>2095</v>
      </c>
      <c r="CT20" s="28" t="s">
        <v>2096</v>
      </c>
      <c r="CU20" s="28" t="s">
        <v>2097</v>
      </c>
      <c r="CV20" s="28" t="s">
        <v>2098</v>
      </c>
      <c r="CW20" s="28" t="s">
        <v>2099</v>
      </c>
      <c r="CX20" s="28" t="s">
        <v>2100</v>
      </c>
      <c r="CY20" s="28" t="s">
        <v>2101</v>
      </c>
      <c r="CZ20" s="28" t="s">
        <v>2102</v>
      </c>
      <c r="DA20" s="28" t="s">
        <v>2103</v>
      </c>
      <c r="DB20" s="28" t="s">
        <v>2104</v>
      </c>
      <c r="DC20" s="28" t="s">
        <v>2105</v>
      </c>
      <c r="DD20" s="28" t="s">
        <v>2106</v>
      </c>
      <c r="DE20" s="28" t="s">
        <v>2107</v>
      </c>
      <c r="DF20" s="28" t="s">
        <v>2108</v>
      </c>
      <c r="DG20" s="28" t="s">
        <v>2109</v>
      </c>
      <c r="DH20" s="28" t="s">
        <v>2110</v>
      </c>
      <c r="DI20" s="28" t="s">
        <v>2111</v>
      </c>
      <c r="DJ20" s="28" t="s">
        <v>2112</v>
      </c>
      <c r="DK20" s="28" t="s">
        <v>2113</v>
      </c>
      <c r="DL20" s="28" t="s">
        <v>2114</v>
      </c>
      <c r="DM20" s="28" t="s">
        <v>2115</v>
      </c>
      <c r="DN20" s="28" t="s">
        <v>2116</v>
      </c>
      <c r="DO20" s="28" t="s">
        <v>2117</v>
      </c>
      <c r="DP20" s="28" t="s">
        <v>2118</v>
      </c>
    </row>
    <row r="21" spans="1:120" ht="15.75" customHeight="1">
      <c r="A21" s="1" t="s">
        <v>234</v>
      </c>
      <c r="B21" s="28" t="s">
        <v>2119</v>
      </c>
      <c r="C21" s="28" t="s">
        <v>2120</v>
      </c>
      <c r="D21" s="28" t="s">
        <v>2121</v>
      </c>
      <c r="E21" s="28" t="s">
        <v>2111</v>
      </c>
      <c r="F21" s="28" t="s">
        <v>2122</v>
      </c>
      <c r="G21" s="28" t="s">
        <v>2123</v>
      </c>
      <c r="H21" s="28" t="s">
        <v>2124</v>
      </c>
      <c r="I21" s="28" t="s">
        <v>2125</v>
      </c>
      <c r="J21" s="28" t="s">
        <v>2126</v>
      </c>
      <c r="K21" s="28" t="s">
        <v>2127</v>
      </c>
      <c r="L21" s="28" t="s">
        <v>2113</v>
      </c>
      <c r="M21" s="28" t="s">
        <v>2128</v>
      </c>
      <c r="N21" s="28" t="s">
        <v>2129</v>
      </c>
      <c r="O21" s="28" t="s">
        <v>2127</v>
      </c>
      <c r="P21" s="28" t="s">
        <v>2070</v>
      </c>
      <c r="Q21" s="28" t="s">
        <v>2130</v>
      </c>
      <c r="R21" s="28" t="s">
        <v>2131</v>
      </c>
      <c r="S21" s="28" t="s">
        <v>2120</v>
      </c>
      <c r="T21" s="28" t="s">
        <v>2132</v>
      </c>
      <c r="U21" s="28" t="s">
        <v>2133</v>
      </c>
      <c r="V21" s="28" t="s">
        <v>2134</v>
      </c>
      <c r="W21" s="28" t="s">
        <v>2089</v>
      </c>
      <c r="X21" s="28" t="s">
        <v>2135</v>
      </c>
      <c r="Y21" s="28" t="s">
        <v>2136</v>
      </c>
      <c r="Z21" s="28" t="s">
        <v>2137</v>
      </c>
      <c r="AA21" s="28" t="s">
        <v>2138</v>
      </c>
      <c r="AB21" s="28" t="s">
        <v>2139</v>
      </c>
      <c r="AC21" s="28" t="s">
        <v>2140</v>
      </c>
      <c r="AD21" s="28" t="s">
        <v>2141</v>
      </c>
      <c r="AE21" s="28" t="s">
        <v>2142</v>
      </c>
      <c r="AF21" s="28" t="s">
        <v>2143</v>
      </c>
      <c r="AG21" s="28" t="s">
        <v>2144</v>
      </c>
      <c r="AH21" s="28" t="s">
        <v>2145</v>
      </c>
      <c r="AI21" s="28" t="s">
        <v>2146</v>
      </c>
      <c r="AJ21" s="28" t="s">
        <v>2147</v>
      </c>
      <c r="AK21" s="28" t="s">
        <v>2148</v>
      </c>
      <c r="AL21" s="28" t="s">
        <v>2149</v>
      </c>
      <c r="AM21" s="28" t="s">
        <v>2131</v>
      </c>
      <c r="AN21" s="28" t="s">
        <v>2150</v>
      </c>
      <c r="AO21" s="28" t="s">
        <v>2151</v>
      </c>
      <c r="AP21" s="28" t="s">
        <v>2050</v>
      </c>
      <c r="AQ21" s="28" t="s">
        <v>2136</v>
      </c>
      <c r="AR21" s="28" t="s">
        <v>2152</v>
      </c>
      <c r="AS21" s="28" t="s">
        <v>2153</v>
      </c>
      <c r="AT21" s="28" t="s">
        <v>2128</v>
      </c>
      <c r="AU21" s="28" t="s">
        <v>2154</v>
      </c>
      <c r="AV21" s="28" t="s">
        <v>2155</v>
      </c>
      <c r="AW21" s="28" t="s">
        <v>2156</v>
      </c>
      <c r="AX21" s="28" t="s">
        <v>2157</v>
      </c>
      <c r="AY21" s="28" t="s">
        <v>2129</v>
      </c>
      <c r="AZ21" s="28" t="s">
        <v>2158</v>
      </c>
      <c r="BA21" s="28" t="s">
        <v>2159</v>
      </c>
      <c r="BB21" s="28" t="s">
        <v>2160</v>
      </c>
      <c r="BC21" s="28" t="s">
        <v>2161</v>
      </c>
      <c r="BD21" s="28" t="s">
        <v>2160</v>
      </c>
      <c r="BE21" s="28" t="s">
        <v>2162</v>
      </c>
      <c r="BF21" s="28" t="s">
        <v>2163</v>
      </c>
      <c r="BG21" s="28" t="s">
        <v>2164</v>
      </c>
      <c r="BH21" s="28" t="s">
        <v>2132</v>
      </c>
      <c r="BI21" s="28" t="s">
        <v>481</v>
      </c>
      <c r="BJ21" s="28" t="s">
        <v>2165</v>
      </c>
      <c r="BK21" s="28" t="s">
        <v>2166</v>
      </c>
      <c r="BL21" s="28" t="s">
        <v>2111</v>
      </c>
      <c r="BM21" s="28" t="s">
        <v>2167</v>
      </c>
      <c r="BN21" s="28" t="s">
        <v>2168</v>
      </c>
      <c r="BO21" s="28" t="s">
        <v>2169</v>
      </c>
      <c r="BP21" s="28" t="s">
        <v>2170</v>
      </c>
      <c r="BQ21" s="28" t="s">
        <v>2147</v>
      </c>
      <c r="BR21" s="28" t="s">
        <v>2171</v>
      </c>
      <c r="BS21" s="28" t="s">
        <v>2172</v>
      </c>
      <c r="BT21" s="28" t="s">
        <v>2173</v>
      </c>
      <c r="BU21" s="28" t="s">
        <v>2174</v>
      </c>
      <c r="BV21" s="28" t="s">
        <v>2163</v>
      </c>
      <c r="BW21" s="28" t="s">
        <v>2164</v>
      </c>
      <c r="BX21" s="28" t="s">
        <v>2175</v>
      </c>
      <c r="BY21" s="28" t="s">
        <v>2176</v>
      </c>
      <c r="BZ21" s="28" t="s">
        <v>2177</v>
      </c>
      <c r="CA21" s="28" t="s">
        <v>2133</v>
      </c>
      <c r="CB21" s="28" t="s">
        <v>2178</v>
      </c>
      <c r="CC21" s="28" t="s">
        <v>2179</v>
      </c>
      <c r="CD21" s="28" t="s">
        <v>2180</v>
      </c>
      <c r="CE21" s="28" t="s">
        <v>2181</v>
      </c>
      <c r="CF21" s="28" t="s">
        <v>2120</v>
      </c>
      <c r="CG21" s="28" t="s">
        <v>2182</v>
      </c>
      <c r="CH21" s="28" t="s">
        <v>2153</v>
      </c>
      <c r="CI21" s="28" t="s">
        <v>2183</v>
      </c>
      <c r="CJ21" s="28" t="s">
        <v>2184</v>
      </c>
      <c r="CK21" s="28" t="s">
        <v>2185</v>
      </c>
      <c r="CL21" s="28" t="s">
        <v>2186</v>
      </c>
      <c r="CM21" s="28" t="s">
        <v>2173</v>
      </c>
      <c r="CN21" s="28" t="s">
        <v>2187</v>
      </c>
      <c r="CO21" s="28" t="s">
        <v>2129</v>
      </c>
      <c r="CP21" s="28" t="s">
        <v>2164</v>
      </c>
      <c r="CQ21" s="28" t="s">
        <v>2188</v>
      </c>
      <c r="CR21" s="28" t="s">
        <v>2189</v>
      </c>
      <c r="CS21" s="28" t="s">
        <v>2155</v>
      </c>
      <c r="CT21" s="28" t="s">
        <v>2190</v>
      </c>
      <c r="CU21" s="28" t="s">
        <v>2191</v>
      </c>
      <c r="CV21" s="28" t="s">
        <v>2192</v>
      </c>
      <c r="CW21" s="28" t="s">
        <v>2193</v>
      </c>
      <c r="CX21" s="28" t="s">
        <v>2194</v>
      </c>
      <c r="CY21" s="28" t="s">
        <v>2052</v>
      </c>
      <c r="CZ21" s="28" t="s">
        <v>2195</v>
      </c>
      <c r="DA21" s="28" t="s">
        <v>2196</v>
      </c>
      <c r="DB21" s="28" t="s">
        <v>2196</v>
      </c>
      <c r="DC21" s="28" t="s">
        <v>2197</v>
      </c>
      <c r="DD21" s="28" t="s">
        <v>2185</v>
      </c>
      <c r="DE21" s="28" t="s">
        <v>2198</v>
      </c>
      <c r="DF21" s="28" t="s">
        <v>2183</v>
      </c>
      <c r="DG21" s="28" t="s">
        <v>2199</v>
      </c>
      <c r="DH21" s="28" t="s">
        <v>2182</v>
      </c>
      <c r="DI21" s="28" t="s">
        <v>2200</v>
      </c>
      <c r="DJ21" s="28" t="s">
        <v>2153</v>
      </c>
      <c r="DK21" s="28" t="s">
        <v>2201</v>
      </c>
      <c r="DL21" s="28" t="s">
        <v>2202</v>
      </c>
      <c r="DM21" s="28" t="s">
        <v>2069</v>
      </c>
      <c r="DN21" s="28" t="s">
        <v>2203</v>
      </c>
      <c r="DO21" s="28" t="s">
        <v>2204</v>
      </c>
      <c r="DP21" s="28" t="s">
        <v>2205</v>
      </c>
    </row>
    <row r="22" spans="1:120" ht="15.75" customHeight="1">
      <c r="A22" s="1" t="s">
        <v>240</v>
      </c>
      <c r="B22" s="28" t="s">
        <v>2206</v>
      </c>
      <c r="C22" s="28" t="s">
        <v>2207</v>
      </c>
      <c r="D22" s="28" t="s">
        <v>2208</v>
      </c>
      <c r="E22" s="28" t="s">
        <v>2209</v>
      </c>
      <c r="F22" s="28" t="s">
        <v>2210</v>
      </c>
      <c r="G22" s="28" t="s">
        <v>2211</v>
      </c>
      <c r="H22" s="28" t="s">
        <v>2212</v>
      </c>
      <c r="I22" s="28" t="s">
        <v>2213</v>
      </c>
      <c r="J22" s="28" t="s">
        <v>2214</v>
      </c>
      <c r="K22" s="28" t="s">
        <v>2215</v>
      </c>
      <c r="L22" s="28" t="s">
        <v>2216</v>
      </c>
      <c r="M22" s="28" t="s">
        <v>2217</v>
      </c>
      <c r="N22" s="28" t="s">
        <v>2218</v>
      </c>
      <c r="O22" s="28" t="s">
        <v>2219</v>
      </c>
      <c r="P22" s="28" t="s">
        <v>2220</v>
      </c>
      <c r="Q22" s="28" t="s">
        <v>2221</v>
      </c>
      <c r="R22" s="28" t="s">
        <v>2222</v>
      </c>
      <c r="S22" s="28" t="s">
        <v>2223</v>
      </c>
      <c r="T22" s="28" t="s">
        <v>2224</v>
      </c>
      <c r="U22" s="28" t="s">
        <v>2225</v>
      </c>
      <c r="V22" s="28" t="s">
        <v>2226</v>
      </c>
      <c r="W22" s="28" t="s">
        <v>2227</v>
      </c>
      <c r="X22" s="28" t="s">
        <v>2228</v>
      </c>
      <c r="Y22" s="28" t="s">
        <v>2229</v>
      </c>
      <c r="Z22" s="28" t="s">
        <v>2230</v>
      </c>
      <c r="AA22" s="28" t="s">
        <v>2231</v>
      </c>
      <c r="AB22" s="28" t="s">
        <v>2232</v>
      </c>
      <c r="AC22" s="28" t="s">
        <v>2233</v>
      </c>
      <c r="AD22" s="28" t="s">
        <v>2234</v>
      </c>
      <c r="AE22" s="28" t="s">
        <v>2235</v>
      </c>
      <c r="AF22" s="28" t="s">
        <v>2236</v>
      </c>
      <c r="AG22" s="28" t="s">
        <v>2237</v>
      </c>
      <c r="AH22" s="28" t="s">
        <v>2238</v>
      </c>
      <c r="AI22" s="28" t="s">
        <v>2239</v>
      </c>
      <c r="AJ22" s="28" t="s">
        <v>2240</v>
      </c>
      <c r="AK22" s="28" t="s">
        <v>2241</v>
      </c>
      <c r="AL22" s="28" t="s">
        <v>2242</v>
      </c>
      <c r="AM22" s="28" t="s">
        <v>2243</v>
      </c>
      <c r="AN22" s="28" t="s">
        <v>2244</v>
      </c>
      <c r="AO22" s="28" t="s">
        <v>2245</v>
      </c>
      <c r="AP22" s="28" t="s">
        <v>2246</v>
      </c>
      <c r="AQ22" s="28" t="s">
        <v>2247</v>
      </c>
      <c r="AR22" s="28" t="s">
        <v>2248</v>
      </c>
      <c r="AS22" s="28" t="s">
        <v>2249</v>
      </c>
      <c r="AT22" s="28" t="s">
        <v>2250</v>
      </c>
      <c r="AU22" s="28" t="s">
        <v>2251</v>
      </c>
      <c r="AV22" s="28" t="s">
        <v>2252</v>
      </c>
      <c r="AW22" s="28" t="s">
        <v>2253</v>
      </c>
      <c r="AX22" s="28" t="s">
        <v>2254</v>
      </c>
      <c r="AY22" s="28" t="s">
        <v>2255</v>
      </c>
      <c r="AZ22" s="28" t="s">
        <v>2256</v>
      </c>
      <c r="BA22" s="28" t="s">
        <v>2257</v>
      </c>
      <c r="BB22" s="28" t="s">
        <v>2258</v>
      </c>
      <c r="BC22" s="28" t="s">
        <v>2259</v>
      </c>
      <c r="BD22" s="28" t="s">
        <v>2260</v>
      </c>
      <c r="BE22" s="28" t="s">
        <v>2261</v>
      </c>
      <c r="BF22" s="28" t="s">
        <v>2262</v>
      </c>
      <c r="BG22" s="28" t="s">
        <v>2263</v>
      </c>
      <c r="BH22" s="28" t="s">
        <v>2264</v>
      </c>
      <c r="BI22" s="28" t="s">
        <v>2265</v>
      </c>
      <c r="BJ22" s="28" t="s">
        <v>2266</v>
      </c>
      <c r="BK22" s="28" t="s">
        <v>2267</v>
      </c>
      <c r="BL22" s="28" t="s">
        <v>2268</v>
      </c>
      <c r="BM22" s="28" t="s">
        <v>2269</v>
      </c>
      <c r="BN22" s="28" t="s">
        <v>2270</v>
      </c>
      <c r="BO22" s="28" t="s">
        <v>2271</v>
      </c>
      <c r="BP22" s="28" t="s">
        <v>2272</v>
      </c>
      <c r="BQ22" s="28" t="s">
        <v>2273</v>
      </c>
      <c r="BR22" s="28" t="s">
        <v>2274</v>
      </c>
      <c r="BS22" s="28" t="s">
        <v>2275</v>
      </c>
      <c r="BT22" s="28" t="s">
        <v>2276</v>
      </c>
      <c r="BU22" s="28" t="s">
        <v>2277</v>
      </c>
      <c r="BV22" s="28" t="s">
        <v>2278</v>
      </c>
      <c r="BW22" s="28" t="s">
        <v>2279</v>
      </c>
      <c r="BX22" s="28" t="s">
        <v>2280</v>
      </c>
      <c r="BY22" s="28" t="s">
        <v>2281</v>
      </c>
      <c r="BZ22" s="28" t="s">
        <v>2282</v>
      </c>
      <c r="CA22" s="28" t="s">
        <v>2283</v>
      </c>
      <c r="CB22" s="28" t="s">
        <v>2284</v>
      </c>
      <c r="CC22" s="28" t="s">
        <v>2285</v>
      </c>
      <c r="CD22" s="28" t="s">
        <v>2286</v>
      </c>
      <c r="CE22" s="28" t="s">
        <v>2287</v>
      </c>
      <c r="CF22" s="28" t="s">
        <v>2288</v>
      </c>
      <c r="CG22" s="28" t="s">
        <v>2289</v>
      </c>
      <c r="CH22" s="28" t="s">
        <v>2290</v>
      </c>
      <c r="CI22" s="28" t="s">
        <v>2291</v>
      </c>
      <c r="CJ22" s="28" t="s">
        <v>2292</v>
      </c>
      <c r="CK22" s="28" t="s">
        <v>2293</v>
      </c>
      <c r="CL22" s="28" t="s">
        <v>2294</v>
      </c>
      <c r="CM22" s="28" t="s">
        <v>2295</v>
      </c>
      <c r="CN22" s="28" t="s">
        <v>2296</v>
      </c>
      <c r="CO22" s="28" t="s">
        <v>2297</v>
      </c>
      <c r="CP22" s="28" t="s">
        <v>2298</v>
      </c>
      <c r="CQ22" s="28" t="s">
        <v>2299</v>
      </c>
      <c r="CR22" s="28" t="s">
        <v>2300</v>
      </c>
      <c r="CS22" s="28" t="s">
        <v>2301</v>
      </c>
      <c r="CT22" s="28" t="s">
        <v>2302</v>
      </c>
      <c r="CU22" s="28" t="s">
        <v>2303</v>
      </c>
      <c r="CV22" s="28" t="s">
        <v>2304</v>
      </c>
      <c r="CW22" s="28" t="s">
        <v>2305</v>
      </c>
      <c r="CX22" s="28" t="s">
        <v>2306</v>
      </c>
      <c r="CY22" s="28" t="s">
        <v>2307</v>
      </c>
      <c r="CZ22" s="28" t="s">
        <v>2308</v>
      </c>
      <c r="DA22" s="28" t="s">
        <v>2309</v>
      </c>
      <c r="DB22" s="28" t="s">
        <v>2310</v>
      </c>
      <c r="DC22" s="28" t="s">
        <v>2311</v>
      </c>
      <c r="DD22" s="28" t="s">
        <v>2312</v>
      </c>
      <c r="DE22" s="28" t="s">
        <v>2313</v>
      </c>
      <c r="DF22" s="28" t="s">
        <v>2314</v>
      </c>
      <c r="DG22" s="28" t="s">
        <v>2315</v>
      </c>
      <c r="DH22" s="28" t="s">
        <v>2316</v>
      </c>
      <c r="DI22" s="28" t="s">
        <v>2317</v>
      </c>
      <c r="DJ22" s="28" t="s">
        <v>2318</v>
      </c>
      <c r="DK22" s="28" t="s">
        <v>2319</v>
      </c>
      <c r="DL22" s="28" t="s">
        <v>2320</v>
      </c>
      <c r="DM22" s="28" t="s">
        <v>2321</v>
      </c>
      <c r="DN22" s="28" t="s">
        <v>2322</v>
      </c>
      <c r="DO22" s="28" t="s">
        <v>2323</v>
      </c>
      <c r="DP22" s="28" t="s">
        <v>2324</v>
      </c>
    </row>
    <row r="23" spans="1:120" ht="15.75" customHeight="1">
      <c r="A23" s="1" t="s">
        <v>246</v>
      </c>
      <c r="B23" s="28" t="s">
        <v>2325</v>
      </c>
      <c r="C23" s="28" t="s">
        <v>2326</v>
      </c>
      <c r="D23" s="28" t="s">
        <v>2327</v>
      </c>
      <c r="E23" s="28" t="s">
        <v>2328</v>
      </c>
      <c r="F23" s="28" t="s">
        <v>2329</v>
      </c>
      <c r="G23" s="28" t="s">
        <v>2330</v>
      </c>
      <c r="H23" s="28" t="s">
        <v>2331</v>
      </c>
      <c r="I23" s="28" t="s">
        <v>2332</v>
      </c>
      <c r="J23" s="28" t="s">
        <v>2333</v>
      </c>
      <c r="K23" s="28" t="s">
        <v>2334</v>
      </c>
      <c r="L23" s="28" t="s">
        <v>2335</v>
      </c>
      <c r="M23" s="28" t="s">
        <v>2336</v>
      </c>
      <c r="N23" s="28" t="s">
        <v>2337</v>
      </c>
      <c r="O23" s="28" t="s">
        <v>2338</v>
      </c>
      <c r="P23" s="28" t="s">
        <v>2339</v>
      </c>
      <c r="Q23" s="28" t="s">
        <v>2340</v>
      </c>
      <c r="R23" s="28" t="s">
        <v>2341</v>
      </c>
      <c r="S23" s="28" t="s">
        <v>2342</v>
      </c>
      <c r="T23" s="28" t="s">
        <v>2343</v>
      </c>
      <c r="U23" s="28" t="s">
        <v>2344</v>
      </c>
      <c r="V23" s="28" t="s">
        <v>2345</v>
      </c>
      <c r="W23" s="28" t="s">
        <v>2346</v>
      </c>
      <c r="X23" s="28" t="s">
        <v>2347</v>
      </c>
      <c r="Y23" s="28" t="s">
        <v>2348</v>
      </c>
      <c r="Z23" s="28" t="s">
        <v>2349</v>
      </c>
      <c r="AA23" s="28" t="s">
        <v>2350</v>
      </c>
      <c r="AB23" s="28" t="s">
        <v>2351</v>
      </c>
      <c r="AC23" s="28" t="s">
        <v>2352</v>
      </c>
      <c r="AD23" s="28" t="s">
        <v>2353</v>
      </c>
      <c r="AE23" s="28" t="s">
        <v>2354</v>
      </c>
      <c r="AF23" s="28" t="s">
        <v>2355</v>
      </c>
      <c r="AG23" s="28" t="s">
        <v>2356</v>
      </c>
      <c r="AH23" s="28" t="s">
        <v>2357</v>
      </c>
      <c r="AI23" s="28" t="s">
        <v>2358</v>
      </c>
      <c r="AJ23" s="28" t="s">
        <v>2359</v>
      </c>
      <c r="AK23" s="28" t="s">
        <v>2360</v>
      </c>
      <c r="AL23" s="28" t="s">
        <v>2361</v>
      </c>
      <c r="AM23" s="28" t="s">
        <v>2362</v>
      </c>
      <c r="AN23" s="28" t="s">
        <v>2363</v>
      </c>
      <c r="AO23" s="28" t="s">
        <v>2364</v>
      </c>
      <c r="AP23" s="28" t="s">
        <v>2365</v>
      </c>
      <c r="AQ23" s="28" t="s">
        <v>2366</v>
      </c>
      <c r="AR23" s="28" t="s">
        <v>2367</v>
      </c>
      <c r="AS23" s="28" t="s">
        <v>2368</v>
      </c>
      <c r="AT23" s="28" t="s">
        <v>2369</v>
      </c>
      <c r="AU23" s="28" t="s">
        <v>2370</v>
      </c>
      <c r="AV23" s="28" t="s">
        <v>2371</v>
      </c>
      <c r="AW23" s="28" t="s">
        <v>2372</v>
      </c>
      <c r="AX23" s="28" t="s">
        <v>2373</v>
      </c>
      <c r="AY23" s="28" t="s">
        <v>2374</v>
      </c>
      <c r="AZ23" s="28" t="s">
        <v>2375</v>
      </c>
      <c r="BA23" s="28" t="s">
        <v>2376</v>
      </c>
      <c r="BB23" s="28" t="s">
        <v>2377</v>
      </c>
      <c r="BC23" s="28" t="s">
        <v>2378</v>
      </c>
      <c r="BD23" s="28" t="s">
        <v>2379</v>
      </c>
      <c r="BE23" s="28" t="s">
        <v>2380</v>
      </c>
      <c r="BF23" s="28" t="s">
        <v>2381</v>
      </c>
      <c r="BG23" s="28" t="s">
        <v>2382</v>
      </c>
      <c r="BH23" s="28" t="s">
        <v>2383</v>
      </c>
      <c r="BI23" s="28" t="s">
        <v>2384</v>
      </c>
      <c r="BJ23" s="28" t="s">
        <v>2385</v>
      </c>
      <c r="BK23" s="28" t="s">
        <v>2386</v>
      </c>
      <c r="BL23" s="28" t="s">
        <v>2387</v>
      </c>
      <c r="BM23" s="28" t="s">
        <v>2388</v>
      </c>
      <c r="BN23" s="28" t="s">
        <v>2389</v>
      </c>
      <c r="BO23" s="28" t="s">
        <v>2390</v>
      </c>
      <c r="BP23" s="28" t="s">
        <v>2391</v>
      </c>
      <c r="BQ23" s="28" t="s">
        <v>2392</v>
      </c>
      <c r="BR23" s="28" t="s">
        <v>2393</v>
      </c>
      <c r="BS23" s="28" t="s">
        <v>2394</v>
      </c>
      <c r="BT23" s="28" t="s">
        <v>2395</v>
      </c>
      <c r="BU23" s="28" t="s">
        <v>2396</v>
      </c>
      <c r="BV23" s="28" t="s">
        <v>2397</v>
      </c>
      <c r="BW23" s="28" t="s">
        <v>2398</v>
      </c>
      <c r="BX23" s="28" t="s">
        <v>2399</v>
      </c>
      <c r="BY23" s="28" t="s">
        <v>2400</v>
      </c>
      <c r="BZ23" s="28" t="s">
        <v>2401</v>
      </c>
      <c r="CA23" s="28" t="s">
        <v>2402</v>
      </c>
      <c r="CB23" s="28" t="s">
        <v>2403</v>
      </c>
      <c r="CC23" s="28" t="s">
        <v>2404</v>
      </c>
      <c r="CD23" s="28" t="s">
        <v>2405</v>
      </c>
      <c r="CE23" s="28" t="s">
        <v>2406</v>
      </c>
      <c r="CF23" s="28" t="s">
        <v>2407</v>
      </c>
      <c r="CG23" s="28" t="s">
        <v>2408</v>
      </c>
      <c r="CH23" s="28" t="s">
        <v>2409</v>
      </c>
      <c r="CI23" s="28" t="s">
        <v>2410</v>
      </c>
      <c r="CJ23" s="28" t="s">
        <v>2411</v>
      </c>
      <c r="CK23" s="28" t="s">
        <v>2412</v>
      </c>
      <c r="CL23" s="28" t="s">
        <v>2413</v>
      </c>
      <c r="CM23" s="28" t="s">
        <v>2414</v>
      </c>
      <c r="CN23" s="28" t="s">
        <v>2415</v>
      </c>
      <c r="CO23" s="28" t="s">
        <v>2416</v>
      </c>
      <c r="CP23" s="28" t="s">
        <v>2417</v>
      </c>
      <c r="CQ23" s="28" t="s">
        <v>2418</v>
      </c>
      <c r="CR23" s="28" t="s">
        <v>2419</v>
      </c>
      <c r="CS23" s="28" t="s">
        <v>2420</v>
      </c>
      <c r="CT23" s="28" t="s">
        <v>2421</v>
      </c>
      <c r="CU23" s="28" t="s">
        <v>2422</v>
      </c>
      <c r="CV23" s="28" t="s">
        <v>2423</v>
      </c>
      <c r="CW23" s="28" t="s">
        <v>2424</v>
      </c>
      <c r="CX23" s="28" t="s">
        <v>2425</v>
      </c>
      <c r="CY23" s="28" t="s">
        <v>2426</v>
      </c>
      <c r="CZ23" s="28" t="s">
        <v>2427</v>
      </c>
      <c r="DA23" s="28" t="s">
        <v>2428</v>
      </c>
      <c r="DB23" s="28" t="s">
        <v>2429</v>
      </c>
      <c r="DC23" s="28" t="s">
        <v>2430</v>
      </c>
      <c r="DD23" s="28" t="s">
        <v>2431</v>
      </c>
      <c r="DE23" s="28" t="s">
        <v>2432</v>
      </c>
      <c r="DF23" s="28" t="s">
        <v>2433</v>
      </c>
      <c r="DG23" s="28" t="s">
        <v>2434</v>
      </c>
      <c r="DH23" s="28" t="s">
        <v>2435</v>
      </c>
      <c r="DI23" s="28" t="s">
        <v>2436</v>
      </c>
      <c r="DJ23" s="28" t="s">
        <v>2437</v>
      </c>
      <c r="DK23" s="28" t="s">
        <v>2438</v>
      </c>
      <c r="DL23" s="28" t="s">
        <v>2387</v>
      </c>
      <c r="DM23" s="28" t="s">
        <v>2439</v>
      </c>
      <c r="DN23" s="28" t="s">
        <v>2440</v>
      </c>
      <c r="DO23" s="28" t="s">
        <v>2441</v>
      </c>
      <c r="DP23" s="28" t="s">
        <v>2442</v>
      </c>
    </row>
    <row r="24" spans="1:120" ht="15.75" customHeight="1">
      <c r="A24" s="1" t="s">
        <v>252</v>
      </c>
      <c r="B24" s="28" t="s">
        <v>2443</v>
      </c>
      <c r="C24" s="28" t="s">
        <v>2444</v>
      </c>
      <c r="D24" s="28" t="s">
        <v>2445</v>
      </c>
      <c r="E24" s="28" t="s">
        <v>2446</v>
      </c>
      <c r="F24" s="28" t="s">
        <v>2447</v>
      </c>
      <c r="G24" s="28" t="s">
        <v>2448</v>
      </c>
      <c r="H24" s="28" t="s">
        <v>2449</v>
      </c>
      <c r="I24" s="28" t="s">
        <v>2450</v>
      </c>
      <c r="J24" s="28" t="s">
        <v>2451</v>
      </c>
      <c r="K24" s="28" t="s">
        <v>2452</v>
      </c>
      <c r="L24" s="28" t="s">
        <v>2453</v>
      </c>
      <c r="M24" s="28" t="s">
        <v>2454</v>
      </c>
      <c r="N24" s="28" t="s">
        <v>2455</v>
      </c>
      <c r="O24" s="28" t="s">
        <v>2456</v>
      </c>
      <c r="P24" s="28" t="s">
        <v>2457</v>
      </c>
      <c r="Q24" s="28" t="s">
        <v>2458</v>
      </c>
      <c r="R24" s="28" t="s">
        <v>2459</v>
      </c>
      <c r="S24" s="28" t="s">
        <v>2460</v>
      </c>
      <c r="T24" s="28" t="s">
        <v>2461</v>
      </c>
      <c r="U24" s="28" t="s">
        <v>2462</v>
      </c>
      <c r="V24" s="28" t="s">
        <v>2463</v>
      </c>
      <c r="W24" s="28" t="s">
        <v>2464</v>
      </c>
      <c r="X24" s="28" t="s">
        <v>2465</v>
      </c>
      <c r="Y24" s="28" t="s">
        <v>2466</v>
      </c>
      <c r="Z24" s="28" t="s">
        <v>2467</v>
      </c>
      <c r="AA24" s="28" t="s">
        <v>2468</v>
      </c>
      <c r="AB24" s="28" t="s">
        <v>2469</v>
      </c>
      <c r="AC24" s="28" t="s">
        <v>2470</v>
      </c>
      <c r="AD24" s="28" t="s">
        <v>2471</v>
      </c>
      <c r="AE24" s="28" t="s">
        <v>2472</v>
      </c>
      <c r="AF24" s="28" t="s">
        <v>2473</v>
      </c>
      <c r="AG24" s="28" t="s">
        <v>2474</v>
      </c>
      <c r="AH24" s="28" t="s">
        <v>2475</v>
      </c>
      <c r="AI24" s="28" t="s">
        <v>2476</v>
      </c>
      <c r="AJ24" s="28" t="s">
        <v>2477</v>
      </c>
      <c r="AK24" s="28" t="s">
        <v>2478</v>
      </c>
      <c r="AL24" s="28" t="s">
        <v>2479</v>
      </c>
      <c r="AM24" s="28" t="s">
        <v>2480</v>
      </c>
      <c r="AN24" s="28" t="s">
        <v>2481</v>
      </c>
      <c r="AO24" s="28" t="s">
        <v>2482</v>
      </c>
      <c r="AP24" s="28" t="s">
        <v>2483</v>
      </c>
      <c r="AQ24" s="28" t="s">
        <v>2484</v>
      </c>
      <c r="AR24" s="28" t="s">
        <v>2485</v>
      </c>
      <c r="AS24" s="28" t="s">
        <v>2486</v>
      </c>
      <c r="AT24" s="28" t="s">
        <v>2487</v>
      </c>
      <c r="AU24" s="28" t="s">
        <v>2488</v>
      </c>
      <c r="AV24" s="28" t="s">
        <v>2489</v>
      </c>
      <c r="AW24" s="28" t="s">
        <v>2490</v>
      </c>
      <c r="AX24" s="28" t="s">
        <v>2491</v>
      </c>
      <c r="AY24" s="28" t="s">
        <v>2492</v>
      </c>
      <c r="AZ24" s="28" t="s">
        <v>2493</v>
      </c>
      <c r="BA24" s="28" t="s">
        <v>2494</v>
      </c>
      <c r="BB24" s="28" t="s">
        <v>2495</v>
      </c>
      <c r="BC24" s="28" t="s">
        <v>2496</v>
      </c>
      <c r="BD24" s="28" t="s">
        <v>2497</v>
      </c>
      <c r="BE24" s="28" t="s">
        <v>2498</v>
      </c>
      <c r="BF24" s="28" t="s">
        <v>2499</v>
      </c>
      <c r="BG24" s="28" t="s">
        <v>2500</v>
      </c>
      <c r="BH24" s="28" t="s">
        <v>2501</v>
      </c>
      <c r="BI24" s="28" t="s">
        <v>2502</v>
      </c>
      <c r="BJ24" s="28" t="s">
        <v>2503</v>
      </c>
      <c r="BK24" s="28" t="s">
        <v>2504</v>
      </c>
      <c r="BL24" s="28" t="s">
        <v>2505</v>
      </c>
      <c r="BM24" s="28" t="s">
        <v>2506</v>
      </c>
      <c r="BN24" s="28" t="s">
        <v>2507</v>
      </c>
      <c r="BO24" s="28" t="s">
        <v>2508</v>
      </c>
      <c r="BP24" s="28" t="s">
        <v>2509</v>
      </c>
      <c r="BQ24" s="28" t="s">
        <v>2510</v>
      </c>
      <c r="BR24" s="28" t="s">
        <v>2511</v>
      </c>
      <c r="BS24" s="28" t="s">
        <v>2512</v>
      </c>
      <c r="BT24" s="28" t="s">
        <v>2513</v>
      </c>
      <c r="BU24" s="28" t="s">
        <v>2514</v>
      </c>
      <c r="BV24" s="28" t="s">
        <v>2515</v>
      </c>
      <c r="BW24" s="28" t="s">
        <v>2516</v>
      </c>
      <c r="BX24" s="28" t="s">
        <v>2517</v>
      </c>
      <c r="BY24" s="28" t="s">
        <v>2518</v>
      </c>
      <c r="BZ24" s="28" t="s">
        <v>2519</v>
      </c>
      <c r="CA24" s="28" t="s">
        <v>2520</v>
      </c>
      <c r="CB24" s="28" t="s">
        <v>2521</v>
      </c>
      <c r="CC24" s="28" t="s">
        <v>2522</v>
      </c>
      <c r="CD24" s="28" t="s">
        <v>2523</v>
      </c>
      <c r="CE24" s="28" t="s">
        <v>2524</v>
      </c>
      <c r="CF24" s="28" t="s">
        <v>2525</v>
      </c>
      <c r="CG24" s="28" t="s">
        <v>2526</v>
      </c>
      <c r="CH24" s="28" t="s">
        <v>2527</v>
      </c>
      <c r="CI24" s="28" t="s">
        <v>2528</v>
      </c>
      <c r="CJ24" s="28" t="s">
        <v>2529</v>
      </c>
      <c r="CK24" s="28" t="s">
        <v>2530</v>
      </c>
      <c r="CL24" s="28" t="s">
        <v>2531</v>
      </c>
      <c r="CM24" s="28" t="s">
        <v>2532</v>
      </c>
      <c r="CN24" s="28" t="s">
        <v>2533</v>
      </c>
      <c r="CO24" s="28" t="s">
        <v>2534</v>
      </c>
      <c r="CP24" s="28" t="s">
        <v>2535</v>
      </c>
      <c r="CQ24" s="28" t="s">
        <v>2536</v>
      </c>
      <c r="CR24" s="28" t="s">
        <v>2537</v>
      </c>
      <c r="CS24" s="28" t="s">
        <v>2538</v>
      </c>
      <c r="CT24" s="28" t="s">
        <v>2539</v>
      </c>
      <c r="CU24" s="28" t="s">
        <v>2540</v>
      </c>
      <c r="CV24" s="28" t="s">
        <v>2541</v>
      </c>
      <c r="CW24" s="28" t="s">
        <v>2542</v>
      </c>
      <c r="CX24" s="28" t="s">
        <v>2543</v>
      </c>
      <c r="CY24" s="28" t="s">
        <v>2544</v>
      </c>
      <c r="CZ24" s="28" t="s">
        <v>2545</v>
      </c>
      <c r="DA24" s="28" t="s">
        <v>2546</v>
      </c>
      <c r="DB24" s="28" t="s">
        <v>2547</v>
      </c>
      <c r="DC24" s="28" t="s">
        <v>2548</v>
      </c>
      <c r="DD24" s="28" t="s">
        <v>2549</v>
      </c>
      <c r="DE24" s="28" t="s">
        <v>2550</v>
      </c>
      <c r="DF24" s="28" t="s">
        <v>2551</v>
      </c>
      <c r="DG24" s="28" t="s">
        <v>2552</v>
      </c>
      <c r="DH24" s="28" t="s">
        <v>2553</v>
      </c>
      <c r="DI24" s="28" t="s">
        <v>2554</v>
      </c>
      <c r="DJ24" s="28" t="s">
        <v>2555</v>
      </c>
      <c r="DK24" s="28" t="s">
        <v>2556</v>
      </c>
      <c r="DL24" s="28" t="s">
        <v>2557</v>
      </c>
      <c r="DM24" s="28" t="s">
        <v>2558</v>
      </c>
      <c r="DN24" s="28" t="s">
        <v>2559</v>
      </c>
      <c r="DO24" s="28" t="s">
        <v>2560</v>
      </c>
      <c r="DP24" s="28" t="s">
        <v>2561</v>
      </c>
    </row>
    <row r="25" spans="1:120" ht="15.75" customHeight="1">
      <c r="A25" s="1" t="s">
        <v>258</v>
      </c>
      <c r="B25" s="28" t="s">
        <v>2562</v>
      </c>
      <c r="C25" s="28" t="s">
        <v>2563</v>
      </c>
      <c r="D25" s="28" t="s">
        <v>2564</v>
      </c>
      <c r="E25" s="28" t="s">
        <v>2565</v>
      </c>
      <c r="F25" s="28" t="s">
        <v>2566</v>
      </c>
      <c r="G25" s="28" t="s">
        <v>2567</v>
      </c>
      <c r="H25" s="28" t="s">
        <v>2568</v>
      </c>
      <c r="I25" s="28" t="s">
        <v>2569</v>
      </c>
      <c r="J25" s="28" t="s">
        <v>2570</v>
      </c>
      <c r="K25" s="28" t="s">
        <v>2571</v>
      </c>
      <c r="L25" s="28" t="s">
        <v>2572</v>
      </c>
      <c r="M25" s="28" t="s">
        <v>2573</v>
      </c>
      <c r="N25" s="28" t="s">
        <v>2574</v>
      </c>
      <c r="O25" s="28" t="s">
        <v>2575</v>
      </c>
      <c r="P25" s="28" t="s">
        <v>2576</v>
      </c>
      <c r="Q25" s="28" t="s">
        <v>2577</v>
      </c>
      <c r="R25" s="28" t="s">
        <v>2578</v>
      </c>
      <c r="S25" s="28" t="s">
        <v>2579</v>
      </c>
      <c r="T25" s="28" t="s">
        <v>2580</v>
      </c>
      <c r="U25" s="28" t="s">
        <v>2581</v>
      </c>
      <c r="V25" s="28" t="s">
        <v>2582</v>
      </c>
      <c r="W25" s="28" t="s">
        <v>2583</v>
      </c>
      <c r="X25" s="28" t="s">
        <v>2584</v>
      </c>
      <c r="Y25" s="28" t="s">
        <v>2585</v>
      </c>
      <c r="Z25" s="28" t="s">
        <v>2586</v>
      </c>
      <c r="AA25" s="28" t="s">
        <v>2587</v>
      </c>
      <c r="AB25" s="28" t="s">
        <v>2588</v>
      </c>
      <c r="AC25" s="28" t="s">
        <v>2589</v>
      </c>
      <c r="AD25" s="28" t="s">
        <v>2590</v>
      </c>
      <c r="AE25" s="28" t="s">
        <v>2591</v>
      </c>
      <c r="AF25" s="28" t="s">
        <v>2592</v>
      </c>
      <c r="AG25" s="28" t="s">
        <v>2593</v>
      </c>
      <c r="AH25" s="28" t="s">
        <v>2594</v>
      </c>
      <c r="AI25" s="28" t="s">
        <v>2595</v>
      </c>
      <c r="AJ25" s="28" t="s">
        <v>2596</v>
      </c>
      <c r="AK25" s="28" t="s">
        <v>2597</v>
      </c>
      <c r="AL25" s="28" t="s">
        <v>2598</v>
      </c>
      <c r="AM25" s="28" t="s">
        <v>2599</v>
      </c>
      <c r="AN25" s="28" t="s">
        <v>2600</v>
      </c>
      <c r="AO25" s="28" t="s">
        <v>2601</v>
      </c>
      <c r="AP25" s="28" t="s">
        <v>2602</v>
      </c>
      <c r="AQ25" s="28" t="s">
        <v>2603</v>
      </c>
      <c r="AR25" s="28" t="s">
        <v>2604</v>
      </c>
      <c r="AS25" s="28" t="s">
        <v>2605</v>
      </c>
      <c r="AT25" s="28" t="s">
        <v>2606</v>
      </c>
      <c r="AU25" s="28" t="s">
        <v>2607</v>
      </c>
      <c r="AV25" s="28" t="s">
        <v>2608</v>
      </c>
      <c r="AW25" s="28" t="s">
        <v>2609</v>
      </c>
      <c r="AX25" s="28" t="s">
        <v>2610</v>
      </c>
      <c r="AY25" s="28" t="s">
        <v>2611</v>
      </c>
      <c r="AZ25" s="28" t="s">
        <v>2612</v>
      </c>
      <c r="BA25" s="28" t="s">
        <v>2613</v>
      </c>
      <c r="BB25" s="28" t="s">
        <v>2614</v>
      </c>
      <c r="BC25" s="28" t="s">
        <v>2615</v>
      </c>
      <c r="BD25" s="28" t="s">
        <v>2616</v>
      </c>
      <c r="BE25" s="28" t="s">
        <v>2617</v>
      </c>
      <c r="BF25" s="28" t="s">
        <v>2618</v>
      </c>
      <c r="BG25" s="28" t="s">
        <v>2619</v>
      </c>
      <c r="BH25" s="28" t="s">
        <v>2620</v>
      </c>
      <c r="BI25" s="28" t="s">
        <v>2621</v>
      </c>
      <c r="BJ25" s="28" t="s">
        <v>2622</v>
      </c>
      <c r="BK25" s="28" t="s">
        <v>2623</v>
      </c>
      <c r="BL25" s="28" t="s">
        <v>2624</v>
      </c>
      <c r="BM25" s="28" t="s">
        <v>2625</v>
      </c>
      <c r="BN25" s="28" t="s">
        <v>2626</v>
      </c>
      <c r="BO25" s="28" t="s">
        <v>2627</v>
      </c>
      <c r="BP25" s="28" t="s">
        <v>2628</v>
      </c>
      <c r="BQ25" s="28" t="s">
        <v>2629</v>
      </c>
      <c r="BR25" s="28" t="s">
        <v>2630</v>
      </c>
      <c r="BS25" s="28" t="s">
        <v>2631</v>
      </c>
      <c r="BT25" s="28" t="s">
        <v>2632</v>
      </c>
      <c r="BU25" s="28" t="s">
        <v>2633</v>
      </c>
      <c r="BV25" s="28" t="s">
        <v>2634</v>
      </c>
      <c r="BW25" s="28" t="s">
        <v>2635</v>
      </c>
      <c r="BX25" s="28" t="s">
        <v>2636</v>
      </c>
      <c r="BY25" s="28" t="s">
        <v>2637</v>
      </c>
      <c r="BZ25" s="28" t="s">
        <v>2638</v>
      </c>
      <c r="CA25" s="28" t="s">
        <v>2639</v>
      </c>
      <c r="CB25" s="28" t="s">
        <v>2640</v>
      </c>
      <c r="CC25" s="28" t="s">
        <v>2641</v>
      </c>
      <c r="CD25" s="28" t="s">
        <v>2642</v>
      </c>
      <c r="CE25" s="28" t="s">
        <v>2643</v>
      </c>
      <c r="CF25" s="28" t="s">
        <v>2644</v>
      </c>
      <c r="CG25" s="28" t="s">
        <v>2645</v>
      </c>
      <c r="CH25" s="28" t="s">
        <v>2646</v>
      </c>
      <c r="CI25" s="28" t="s">
        <v>2647</v>
      </c>
      <c r="CJ25" s="28" t="s">
        <v>2648</v>
      </c>
      <c r="CK25" s="28" t="s">
        <v>2649</v>
      </c>
      <c r="CL25" s="28" t="s">
        <v>2650</v>
      </c>
      <c r="CM25" s="28" t="s">
        <v>2651</v>
      </c>
      <c r="CN25" s="28" t="s">
        <v>2652</v>
      </c>
      <c r="CO25" s="28" t="s">
        <v>2653</v>
      </c>
      <c r="CP25" s="28" t="s">
        <v>2654</v>
      </c>
      <c r="CQ25" s="28" t="s">
        <v>2655</v>
      </c>
      <c r="CR25" s="28" t="s">
        <v>2656</v>
      </c>
      <c r="CS25" s="28" t="s">
        <v>2657</v>
      </c>
      <c r="CT25" s="28" t="s">
        <v>2658</v>
      </c>
      <c r="CU25" s="28" t="s">
        <v>2659</v>
      </c>
      <c r="CV25" s="28" t="s">
        <v>2660</v>
      </c>
      <c r="CW25" s="28" t="s">
        <v>2661</v>
      </c>
      <c r="CX25" s="28" t="s">
        <v>2662</v>
      </c>
      <c r="CY25" s="28" t="s">
        <v>2663</v>
      </c>
      <c r="CZ25" s="28" t="s">
        <v>2664</v>
      </c>
      <c r="DA25" s="28" t="s">
        <v>2665</v>
      </c>
      <c r="DB25" s="28" t="s">
        <v>2666</v>
      </c>
      <c r="DC25" s="28" t="s">
        <v>2667</v>
      </c>
      <c r="DD25" s="28" t="s">
        <v>2668</v>
      </c>
      <c r="DE25" s="28" t="s">
        <v>2669</v>
      </c>
      <c r="DF25" s="28" t="s">
        <v>2670</v>
      </c>
      <c r="DG25" s="28" t="s">
        <v>2671</v>
      </c>
      <c r="DH25" s="28" t="s">
        <v>2672</v>
      </c>
      <c r="DI25" s="28" t="s">
        <v>2673</v>
      </c>
      <c r="DJ25" s="28" t="s">
        <v>2674</v>
      </c>
      <c r="DK25" s="28" t="s">
        <v>2675</v>
      </c>
      <c r="DL25" s="28" t="s">
        <v>2676</v>
      </c>
      <c r="DM25" s="28" t="s">
        <v>2677</v>
      </c>
      <c r="DN25" s="28" t="s">
        <v>2678</v>
      </c>
      <c r="DO25" s="28" t="s">
        <v>2679</v>
      </c>
      <c r="DP25" s="28" t="s">
        <v>2680</v>
      </c>
    </row>
    <row r="26" spans="1:120" ht="15.75" customHeight="1">
      <c r="A26" s="1" t="s">
        <v>264</v>
      </c>
      <c r="B26" s="28" t="s">
        <v>2681</v>
      </c>
      <c r="C26" s="28" t="s">
        <v>2682</v>
      </c>
      <c r="D26" s="28" t="s">
        <v>2683</v>
      </c>
      <c r="E26" s="28" t="s">
        <v>2684</v>
      </c>
      <c r="F26" s="28" t="s">
        <v>2685</v>
      </c>
      <c r="G26" s="28" t="s">
        <v>2686</v>
      </c>
      <c r="H26" s="28" t="s">
        <v>2687</v>
      </c>
      <c r="I26" s="28" t="s">
        <v>2688</v>
      </c>
      <c r="J26" s="28" t="s">
        <v>2689</v>
      </c>
      <c r="K26" s="28" t="s">
        <v>2690</v>
      </c>
      <c r="L26" s="28" t="s">
        <v>2691</v>
      </c>
      <c r="M26" s="28" t="s">
        <v>2692</v>
      </c>
      <c r="N26" s="28" t="s">
        <v>2693</v>
      </c>
      <c r="O26" s="28" t="s">
        <v>2694</v>
      </c>
      <c r="P26" s="28" t="s">
        <v>2695</v>
      </c>
      <c r="Q26" s="28" t="s">
        <v>2696</v>
      </c>
      <c r="R26" s="28" t="s">
        <v>2697</v>
      </c>
      <c r="S26" s="28" t="s">
        <v>2698</v>
      </c>
      <c r="T26" s="28" t="s">
        <v>2699</v>
      </c>
      <c r="U26" s="28" t="s">
        <v>2700</v>
      </c>
      <c r="V26" s="28" t="s">
        <v>2701</v>
      </c>
      <c r="W26" s="28" t="s">
        <v>2702</v>
      </c>
      <c r="X26" s="28" t="s">
        <v>2703</v>
      </c>
      <c r="Y26" s="28" t="s">
        <v>2704</v>
      </c>
      <c r="Z26" s="28" t="s">
        <v>2705</v>
      </c>
      <c r="AA26" s="28" t="s">
        <v>2706</v>
      </c>
      <c r="AB26" s="28" t="s">
        <v>2707</v>
      </c>
      <c r="AC26" s="28" t="s">
        <v>2705</v>
      </c>
      <c r="AD26" s="28" t="s">
        <v>2708</v>
      </c>
      <c r="AE26" s="28" t="s">
        <v>2709</v>
      </c>
      <c r="AF26" s="28" t="s">
        <v>2710</v>
      </c>
      <c r="AG26" s="28" t="s">
        <v>2711</v>
      </c>
      <c r="AH26" s="28" t="s">
        <v>2712</v>
      </c>
      <c r="AI26" s="28" t="s">
        <v>2713</v>
      </c>
      <c r="AJ26" s="28" t="s">
        <v>2714</v>
      </c>
      <c r="AK26" s="28" t="s">
        <v>2715</v>
      </c>
      <c r="AL26" s="28" t="s">
        <v>2716</v>
      </c>
      <c r="AM26" s="28" t="s">
        <v>2717</v>
      </c>
      <c r="AN26" s="28" t="s">
        <v>2718</v>
      </c>
      <c r="AO26" s="28" t="s">
        <v>2719</v>
      </c>
      <c r="AP26" s="28" t="s">
        <v>2720</v>
      </c>
      <c r="AQ26" s="28" t="s">
        <v>2721</v>
      </c>
      <c r="AR26" s="28" t="s">
        <v>2722</v>
      </c>
      <c r="AS26" s="28" t="s">
        <v>2723</v>
      </c>
      <c r="AT26" s="28" t="s">
        <v>2724</v>
      </c>
      <c r="AU26" s="28" t="s">
        <v>2725</v>
      </c>
      <c r="AV26" s="28" t="s">
        <v>2726</v>
      </c>
      <c r="AW26" s="28" t="s">
        <v>2723</v>
      </c>
      <c r="AX26" s="28" t="s">
        <v>2727</v>
      </c>
      <c r="AY26" s="28" t="s">
        <v>2728</v>
      </c>
      <c r="AZ26" s="28" t="s">
        <v>2729</v>
      </c>
      <c r="BA26" s="28" t="s">
        <v>2730</v>
      </c>
      <c r="BB26" s="28" t="s">
        <v>2731</v>
      </c>
      <c r="BC26" s="28" t="s">
        <v>2732</v>
      </c>
      <c r="BD26" s="28" t="s">
        <v>2733</v>
      </c>
      <c r="BE26" s="28" t="s">
        <v>2734</v>
      </c>
      <c r="BF26" s="28" t="s">
        <v>2735</v>
      </c>
      <c r="BG26" s="28" t="s">
        <v>2736</v>
      </c>
      <c r="BH26" s="28" t="s">
        <v>2737</v>
      </c>
      <c r="BI26" s="28" t="s">
        <v>2738</v>
      </c>
      <c r="BJ26" s="28" t="s">
        <v>2739</v>
      </c>
      <c r="BK26" s="28" t="s">
        <v>2740</v>
      </c>
      <c r="BL26" s="28" t="s">
        <v>2741</v>
      </c>
      <c r="BM26" s="28" t="s">
        <v>2742</v>
      </c>
      <c r="BN26" s="28" t="s">
        <v>2743</v>
      </c>
      <c r="BO26" s="28" t="s">
        <v>2744</v>
      </c>
      <c r="BP26" s="28" t="s">
        <v>2745</v>
      </c>
      <c r="BQ26" s="28" t="s">
        <v>2746</v>
      </c>
      <c r="BR26" s="28" t="s">
        <v>2747</v>
      </c>
      <c r="BS26" s="28" t="s">
        <v>2748</v>
      </c>
      <c r="BT26" s="28" t="s">
        <v>2749</v>
      </c>
      <c r="BU26" s="28" t="s">
        <v>2750</v>
      </c>
      <c r="BV26" s="28" t="s">
        <v>2751</v>
      </c>
      <c r="BW26" s="28" t="s">
        <v>2752</v>
      </c>
      <c r="BX26" s="28" t="s">
        <v>2753</v>
      </c>
      <c r="BY26" s="28" t="s">
        <v>2754</v>
      </c>
      <c r="BZ26" s="28" t="s">
        <v>2755</v>
      </c>
      <c r="CA26" s="28" t="s">
        <v>2756</v>
      </c>
      <c r="CB26" s="28" t="s">
        <v>2757</v>
      </c>
      <c r="CC26" s="28" t="s">
        <v>2758</v>
      </c>
      <c r="CD26" s="28" t="s">
        <v>2759</v>
      </c>
      <c r="CE26" s="28" t="s">
        <v>2760</v>
      </c>
      <c r="CF26" s="28" t="s">
        <v>2761</v>
      </c>
      <c r="CG26" s="28" t="s">
        <v>2762</v>
      </c>
      <c r="CH26" s="28" t="s">
        <v>2763</v>
      </c>
      <c r="CI26" s="28" t="s">
        <v>2764</v>
      </c>
      <c r="CJ26" s="28" t="s">
        <v>2765</v>
      </c>
      <c r="CK26" s="28" t="s">
        <v>2766</v>
      </c>
      <c r="CL26" s="28" t="s">
        <v>2767</v>
      </c>
      <c r="CM26" s="28" t="s">
        <v>2768</v>
      </c>
      <c r="CN26" s="28" t="s">
        <v>2769</v>
      </c>
      <c r="CO26" s="28" t="s">
        <v>2759</v>
      </c>
      <c r="CP26" s="28" t="s">
        <v>2770</v>
      </c>
      <c r="CQ26" s="28" t="s">
        <v>2771</v>
      </c>
      <c r="CR26" s="28" t="s">
        <v>2772</v>
      </c>
      <c r="CS26" s="28" t="s">
        <v>2773</v>
      </c>
      <c r="CT26" s="28" t="s">
        <v>2759</v>
      </c>
      <c r="CU26" s="28" t="s">
        <v>2688</v>
      </c>
      <c r="CV26" s="28" t="s">
        <v>2774</v>
      </c>
      <c r="CW26" s="28" t="s">
        <v>2775</v>
      </c>
      <c r="CX26" s="28" t="s">
        <v>2776</v>
      </c>
      <c r="CY26" s="28" t="s">
        <v>2777</v>
      </c>
      <c r="CZ26" s="28" t="s">
        <v>2778</v>
      </c>
      <c r="DA26" s="28" t="s">
        <v>2779</v>
      </c>
      <c r="DB26" s="28" t="s">
        <v>2780</v>
      </c>
      <c r="DC26" s="28" t="s">
        <v>2781</v>
      </c>
      <c r="DD26" s="28" t="s">
        <v>2782</v>
      </c>
      <c r="DE26" s="28" t="s">
        <v>2783</v>
      </c>
      <c r="DF26" s="28" t="s">
        <v>2784</v>
      </c>
      <c r="DG26" s="28" t="s">
        <v>2785</v>
      </c>
      <c r="DH26" s="28" t="s">
        <v>2786</v>
      </c>
      <c r="DI26" s="28" t="s">
        <v>2787</v>
      </c>
      <c r="DJ26" s="28" t="s">
        <v>2788</v>
      </c>
      <c r="DK26" s="28" t="s">
        <v>2789</v>
      </c>
      <c r="DL26" s="28" t="s">
        <v>2790</v>
      </c>
      <c r="DM26" s="28" t="s">
        <v>2791</v>
      </c>
      <c r="DN26" s="28" t="s">
        <v>2792</v>
      </c>
      <c r="DO26" s="28" t="s">
        <v>2793</v>
      </c>
      <c r="DP26" s="28" t="s">
        <v>2794</v>
      </c>
    </row>
    <row r="27" spans="1:120" ht="15.75" customHeight="1">
      <c r="A27" s="1" t="s">
        <v>270</v>
      </c>
      <c r="B27" s="28" t="s">
        <v>2795</v>
      </c>
      <c r="C27" s="28" t="s">
        <v>2796</v>
      </c>
      <c r="D27" s="28" t="s">
        <v>2797</v>
      </c>
      <c r="E27" s="28" t="s">
        <v>2798</v>
      </c>
      <c r="F27" s="28" t="s">
        <v>2799</v>
      </c>
      <c r="G27" s="28" t="s">
        <v>2800</v>
      </c>
      <c r="H27" s="28" t="s">
        <v>2801</v>
      </c>
      <c r="I27" s="28" t="s">
        <v>2802</v>
      </c>
      <c r="J27" s="28" t="s">
        <v>2803</v>
      </c>
      <c r="K27" s="28" t="s">
        <v>2804</v>
      </c>
      <c r="L27" s="28" t="s">
        <v>2805</v>
      </c>
      <c r="M27" s="28" t="s">
        <v>2806</v>
      </c>
      <c r="N27" s="28" t="s">
        <v>2807</v>
      </c>
      <c r="O27" s="28" t="s">
        <v>2808</v>
      </c>
      <c r="P27" s="28" t="s">
        <v>2809</v>
      </c>
      <c r="Q27" s="28" t="s">
        <v>2810</v>
      </c>
      <c r="R27" s="28" t="s">
        <v>2811</v>
      </c>
      <c r="S27" s="28" t="s">
        <v>2812</v>
      </c>
      <c r="T27" s="28" t="s">
        <v>2813</v>
      </c>
      <c r="U27" s="28" t="s">
        <v>2814</v>
      </c>
      <c r="V27" s="28" t="s">
        <v>2815</v>
      </c>
      <c r="W27" s="28" t="s">
        <v>2816</v>
      </c>
      <c r="X27" s="28" t="s">
        <v>2817</v>
      </c>
      <c r="Y27" s="28" t="s">
        <v>2818</v>
      </c>
      <c r="Z27" s="28" t="s">
        <v>2819</v>
      </c>
      <c r="AA27" s="28" t="s">
        <v>2820</v>
      </c>
      <c r="AB27" s="28" t="s">
        <v>2821</v>
      </c>
      <c r="AC27" s="28" t="s">
        <v>2822</v>
      </c>
      <c r="AD27" s="28" t="s">
        <v>2823</v>
      </c>
      <c r="AE27" s="28" t="s">
        <v>2824</v>
      </c>
      <c r="AF27" s="28" t="s">
        <v>2825</v>
      </c>
      <c r="AG27" s="28" t="s">
        <v>2826</v>
      </c>
      <c r="AH27" s="28" t="s">
        <v>2827</v>
      </c>
      <c r="AI27" s="28" t="s">
        <v>2828</v>
      </c>
      <c r="AJ27" s="28" t="s">
        <v>2829</v>
      </c>
      <c r="AK27" s="28" t="s">
        <v>2830</v>
      </c>
      <c r="AL27" s="28" t="s">
        <v>2831</v>
      </c>
      <c r="AM27" s="28" t="s">
        <v>2832</v>
      </c>
      <c r="AN27" s="28" t="s">
        <v>2833</v>
      </c>
      <c r="AO27" s="28" t="s">
        <v>2834</v>
      </c>
      <c r="AP27" s="28" t="s">
        <v>2835</v>
      </c>
      <c r="AQ27" s="28" t="s">
        <v>2836</v>
      </c>
      <c r="AR27" s="28" t="s">
        <v>2837</v>
      </c>
      <c r="AS27" s="28" t="s">
        <v>2838</v>
      </c>
      <c r="AT27" s="28" t="s">
        <v>2839</v>
      </c>
      <c r="AU27" s="28" t="s">
        <v>2840</v>
      </c>
      <c r="AV27" s="28" t="s">
        <v>2687</v>
      </c>
      <c r="AW27" s="28" t="s">
        <v>2841</v>
      </c>
      <c r="AX27" s="28" t="s">
        <v>2842</v>
      </c>
      <c r="AY27" s="28" t="s">
        <v>2843</v>
      </c>
      <c r="AZ27" s="28" t="s">
        <v>2844</v>
      </c>
      <c r="BA27" s="28" t="s">
        <v>2845</v>
      </c>
      <c r="BB27" s="28" t="s">
        <v>2846</v>
      </c>
      <c r="BC27" s="28" t="s">
        <v>2847</v>
      </c>
      <c r="BD27" s="28" t="s">
        <v>2848</v>
      </c>
      <c r="BE27" s="28" t="s">
        <v>2849</v>
      </c>
      <c r="BF27" s="28" t="s">
        <v>2850</v>
      </c>
      <c r="BG27" s="28" t="s">
        <v>2851</v>
      </c>
      <c r="BH27" s="28" t="s">
        <v>2852</v>
      </c>
      <c r="BI27" s="28" t="s">
        <v>2853</v>
      </c>
      <c r="BJ27" s="28" t="s">
        <v>2854</v>
      </c>
      <c r="BK27" s="28" t="s">
        <v>2855</v>
      </c>
      <c r="BL27" s="28" t="s">
        <v>2856</v>
      </c>
      <c r="BM27" s="28" t="s">
        <v>2857</v>
      </c>
      <c r="BN27" s="28" t="s">
        <v>2858</v>
      </c>
      <c r="BO27" s="28" t="s">
        <v>2859</v>
      </c>
      <c r="BP27" s="28" t="s">
        <v>2860</v>
      </c>
      <c r="BQ27" s="28" t="s">
        <v>2861</v>
      </c>
      <c r="BR27" s="28" t="s">
        <v>2862</v>
      </c>
      <c r="BS27" s="28" t="s">
        <v>2863</v>
      </c>
      <c r="BT27" s="28" t="s">
        <v>2864</v>
      </c>
      <c r="BU27" s="28" t="s">
        <v>2865</v>
      </c>
      <c r="BV27" s="28" t="s">
        <v>2866</v>
      </c>
      <c r="BW27" s="28" t="s">
        <v>2867</v>
      </c>
      <c r="BX27" s="28" t="s">
        <v>2868</v>
      </c>
      <c r="BY27" s="28" t="s">
        <v>2869</v>
      </c>
      <c r="BZ27" s="28" t="s">
        <v>2841</v>
      </c>
      <c r="CA27" s="28" t="s">
        <v>2870</v>
      </c>
      <c r="CB27" s="28" t="s">
        <v>2871</v>
      </c>
      <c r="CC27" s="28" t="s">
        <v>2872</v>
      </c>
      <c r="CD27" s="28" t="s">
        <v>2873</v>
      </c>
      <c r="CE27" s="28" t="s">
        <v>2874</v>
      </c>
      <c r="CF27" s="28" t="s">
        <v>2875</v>
      </c>
      <c r="CG27" s="28" t="s">
        <v>2876</v>
      </c>
      <c r="CH27" s="28" t="s">
        <v>2877</v>
      </c>
      <c r="CI27" s="28" t="s">
        <v>2878</v>
      </c>
      <c r="CJ27" s="28" t="s">
        <v>2879</v>
      </c>
      <c r="CK27" s="28" t="s">
        <v>2880</v>
      </c>
      <c r="CL27" s="28" t="s">
        <v>2881</v>
      </c>
      <c r="CM27" s="28" t="s">
        <v>2882</v>
      </c>
      <c r="CN27" s="28" t="s">
        <v>2810</v>
      </c>
      <c r="CO27" s="28" t="s">
        <v>2883</v>
      </c>
      <c r="CP27" s="28" t="s">
        <v>2884</v>
      </c>
      <c r="CQ27" s="28" t="s">
        <v>2885</v>
      </c>
      <c r="CR27" s="28" t="s">
        <v>2886</v>
      </c>
      <c r="CS27" s="28" t="s">
        <v>2887</v>
      </c>
      <c r="CT27" s="28" t="s">
        <v>2888</v>
      </c>
      <c r="CU27" s="28" t="s">
        <v>2889</v>
      </c>
      <c r="CV27" s="28" t="s">
        <v>2890</v>
      </c>
      <c r="CW27" s="28" t="s">
        <v>2891</v>
      </c>
      <c r="CX27" s="28" t="s">
        <v>2892</v>
      </c>
      <c r="CY27" s="28" t="s">
        <v>2893</v>
      </c>
      <c r="CZ27" s="28" t="s">
        <v>2894</v>
      </c>
      <c r="DA27" s="28" t="s">
        <v>2895</v>
      </c>
      <c r="DB27" s="28" t="s">
        <v>2896</v>
      </c>
      <c r="DC27" s="28" t="s">
        <v>2897</v>
      </c>
      <c r="DD27" s="28" t="s">
        <v>2898</v>
      </c>
      <c r="DE27" s="28" t="s">
        <v>2899</v>
      </c>
      <c r="DF27" s="28" t="s">
        <v>2900</v>
      </c>
      <c r="DG27" s="28" t="s">
        <v>2901</v>
      </c>
      <c r="DH27" s="28" t="s">
        <v>2902</v>
      </c>
      <c r="DI27" s="28" t="s">
        <v>2903</v>
      </c>
      <c r="DJ27" s="28" t="s">
        <v>2904</v>
      </c>
      <c r="DK27" s="28" t="s">
        <v>2905</v>
      </c>
      <c r="DL27" s="28" t="s">
        <v>2906</v>
      </c>
      <c r="DM27" s="28" t="s">
        <v>2907</v>
      </c>
      <c r="DN27" s="28" t="s">
        <v>2908</v>
      </c>
      <c r="DO27" s="28" t="s">
        <v>2909</v>
      </c>
      <c r="DP27" s="28" t="s">
        <v>2910</v>
      </c>
    </row>
    <row r="28" spans="1:120" ht="15.75" customHeight="1">
      <c r="A28" s="1" t="s">
        <v>276</v>
      </c>
      <c r="B28" s="28">
        <v>3053</v>
      </c>
      <c r="C28" s="28">
        <v>3071</v>
      </c>
      <c r="D28" s="28">
        <v>3140</v>
      </c>
      <c r="E28" s="28">
        <v>3108</v>
      </c>
      <c r="F28" s="28">
        <v>3023</v>
      </c>
      <c r="G28" s="28">
        <v>3094</v>
      </c>
      <c r="H28" s="28">
        <v>3066</v>
      </c>
      <c r="I28" s="28">
        <v>3114</v>
      </c>
      <c r="J28" s="28">
        <v>3063</v>
      </c>
      <c r="K28" s="28">
        <v>3127</v>
      </c>
      <c r="L28" s="28">
        <v>3019</v>
      </c>
      <c r="M28" s="28">
        <v>3066</v>
      </c>
      <c r="N28" s="28">
        <v>3103</v>
      </c>
      <c r="O28" s="28">
        <v>3095</v>
      </c>
      <c r="P28" s="28">
        <v>3059</v>
      </c>
      <c r="Q28" s="28">
        <v>3048</v>
      </c>
      <c r="R28" s="28">
        <v>3027</v>
      </c>
      <c r="S28" s="28">
        <v>3031</v>
      </c>
      <c r="T28" s="28">
        <v>3070</v>
      </c>
      <c r="U28" s="28">
        <v>3035</v>
      </c>
      <c r="V28" s="28">
        <v>3055</v>
      </c>
      <c r="W28" s="28">
        <v>3090</v>
      </c>
      <c r="X28" s="28">
        <v>3084</v>
      </c>
      <c r="Y28" s="28">
        <v>3063</v>
      </c>
      <c r="Z28" s="28">
        <v>3105</v>
      </c>
      <c r="AA28" s="28">
        <v>3086</v>
      </c>
      <c r="AB28" s="28">
        <v>3032</v>
      </c>
      <c r="AC28" s="28">
        <v>3025</v>
      </c>
      <c r="AD28" s="28">
        <v>3106</v>
      </c>
      <c r="AE28" s="28">
        <v>3097</v>
      </c>
      <c r="AF28" s="28">
        <v>3110</v>
      </c>
      <c r="AG28" s="28">
        <v>2991</v>
      </c>
      <c r="AH28" s="28">
        <v>3064</v>
      </c>
      <c r="AI28" s="28">
        <v>3091</v>
      </c>
      <c r="AJ28" s="28">
        <v>3063</v>
      </c>
      <c r="AK28" s="28">
        <v>3079</v>
      </c>
      <c r="AL28" s="28">
        <v>3092</v>
      </c>
      <c r="AM28" s="28">
        <v>3072</v>
      </c>
      <c r="AN28" s="28">
        <v>3072</v>
      </c>
      <c r="AO28" s="28">
        <v>3009</v>
      </c>
      <c r="AP28" s="28">
        <v>2996</v>
      </c>
      <c r="AQ28" s="28">
        <v>3068</v>
      </c>
      <c r="AR28" s="28">
        <v>3096</v>
      </c>
      <c r="AS28" s="28">
        <v>3082</v>
      </c>
      <c r="AT28" s="28">
        <v>3079</v>
      </c>
      <c r="AU28" s="28">
        <v>3109</v>
      </c>
      <c r="AV28" s="28">
        <v>3052</v>
      </c>
      <c r="AW28" s="28">
        <v>3065</v>
      </c>
      <c r="AX28" s="28">
        <v>3081</v>
      </c>
      <c r="AY28" s="28">
        <v>3089</v>
      </c>
      <c r="AZ28" s="28">
        <v>3092</v>
      </c>
      <c r="BA28" s="28">
        <v>3076</v>
      </c>
      <c r="BB28" s="28">
        <v>3118</v>
      </c>
      <c r="BC28" s="28">
        <v>3119</v>
      </c>
      <c r="BD28" s="28">
        <v>3080</v>
      </c>
      <c r="BE28" s="28">
        <v>3116</v>
      </c>
      <c r="BF28" s="28">
        <v>3127</v>
      </c>
      <c r="BG28" s="28">
        <v>3085</v>
      </c>
      <c r="BH28" s="28">
        <v>3083</v>
      </c>
      <c r="BI28" s="28">
        <v>3099</v>
      </c>
      <c r="BJ28" s="28">
        <v>3071</v>
      </c>
      <c r="BK28" s="28">
        <v>3112</v>
      </c>
      <c r="BL28" s="28">
        <v>3073</v>
      </c>
      <c r="BM28" s="28">
        <v>3074</v>
      </c>
      <c r="BN28" s="28">
        <v>3096</v>
      </c>
      <c r="BO28" s="28">
        <v>3094</v>
      </c>
      <c r="BP28" s="28">
        <v>3082</v>
      </c>
      <c r="BQ28" s="28">
        <v>3124</v>
      </c>
      <c r="BR28" s="28">
        <v>3120</v>
      </c>
      <c r="BS28" s="28">
        <v>3146</v>
      </c>
      <c r="BT28" s="28">
        <v>3090</v>
      </c>
      <c r="BU28" s="28">
        <v>3129</v>
      </c>
      <c r="BV28" s="28">
        <v>3108</v>
      </c>
      <c r="BW28" s="28">
        <v>3077</v>
      </c>
      <c r="BX28" s="28">
        <v>3082</v>
      </c>
      <c r="BY28" s="28">
        <v>3102</v>
      </c>
      <c r="BZ28" s="28">
        <v>3108</v>
      </c>
      <c r="CA28" s="28">
        <v>3076</v>
      </c>
      <c r="CB28" s="28">
        <v>3099</v>
      </c>
      <c r="CC28" s="28">
        <v>3075</v>
      </c>
      <c r="CD28" s="28">
        <v>3082</v>
      </c>
      <c r="CE28" s="28">
        <v>3114</v>
      </c>
      <c r="CF28" s="28">
        <v>3061</v>
      </c>
      <c r="CG28" s="28">
        <v>3063</v>
      </c>
      <c r="CH28" s="28">
        <v>3095</v>
      </c>
      <c r="CI28" s="28">
        <v>3068</v>
      </c>
      <c r="CJ28" s="28">
        <v>3092</v>
      </c>
      <c r="CK28" s="28">
        <v>3090</v>
      </c>
      <c r="CL28" s="28">
        <v>3079</v>
      </c>
      <c r="CM28" s="28">
        <v>3096</v>
      </c>
      <c r="CN28" s="28">
        <v>3084</v>
      </c>
      <c r="CO28" s="28">
        <v>3105</v>
      </c>
      <c r="CP28" s="28">
        <v>3090</v>
      </c>
      <c r="CQ28" s="28">
        <v>3044</v>
      </c>
      <c r="CR28" s="28">
        <v>3112</v>
      </c>
      <c r="CS28" s="28">
        <v>3053</v>
      </c>
      <c r="CT28" s="28">
        <v>3103</v>
      </c>
      <c r="CU28" s="28">
        <v>3058</v>
      </c>
      <c r="CV28" s="28">
        <v>3115</v>
      </c>
      <c r="CW28" s="28">
        <v>3120</v>
      </c>
      <c r="CX28" s="28">
        <v>3049</v>
      </c>
      <c r="CY28" s="28">
        <v>3053</v>
      </c>
      <c r="CZ28" s="28">
        <v>3073</v>
      </c>
      <c r="DA28" s="28">
        <v>3104</v>
      </c>
      <c r="DB28" s="28">
        <v>3079</v>
      </c>
      <c r="DC28" s="28">
        <v>3120</v>
      </c>
      <c r="DD28" s="28">
        <v>3092</v>
      </c>
      <c r="DE28" s="28">
        <v>3065</v>
      </c>
      <c r="DF28" s="28">
        <v>3060</v>
      </c>
      <c r="DG28" s="28">
        <v>3099</v>
      </c>
      <c r="DH28" s="28">
        <v>3080</v>
      </c>
      <c r="DI28" s="28">
        <v>3121</v>
      </c>
      <c r="DJ28" s="28">
        <v>3036</v>
      </c>
      <c r="DK28" s="28">
        <v>3114</v>
      </c>
      <c r="DL28" s="28">
        <v>3101</v>
      </c>
      <c r="DM28" s="28">
        <v>3083</v>
      </c>
      <c r="DN28" s="28">
        <v>3091</v>
      </c>
      <c r="DO28" s="28">
        <v>3139</v>
      </c>
      <c r="DP28" s="28">
        <v>3056</v>
      </c>
    </row>
    <row r="29" spans="1:120" ht="15.75" customHeight="1">
      <c r="A29" s="1" t="s">
        <v>277</v>
      </c>
      <c r="B29" s="28">
        <v>2576</v>
      </c>
      <c r="C29" s="28">
        <v>2576</v>
      </c>
      <c r="D29" s="28">
        <v>2576</v>
      </c>
      <c r="E29" s="28">
        <v>2576</v>
      </c>
      <c r="F29" s="28">
        <v>2576</v>
      </c>
      <c r="G29" s="28">
        <v>2576</v>
      </c>
      <c r="H29" s="28">
        <v>2576</v>
      </c>
      <c r="I29" s="28">
        <v>2576</v>
      </c>
      <c r="J29" s="28">
        <v>2576</v>
      </c>
      <c r="K29" s="28">
        <v>2576</v>
      </c>
      <c r="L29" s="28">
        <v>2576</v>
      </c>
      <c r="M29" s="28">
        <v>2576</v>
      </c>
      <c r="N29" s="28">
        <v>2576</v>
      </c>
      <c r="O29" s="28">
        <v>2576</v>
      </c>
      <c r="P29" s="28">
        <v>2576</v>
      </c>
      <c r="Q29" s="28">
        <v>2576</v>
      </c>
      <c r="R29" s="28">
        <v>2576</v>
      </c>
      <c r="S29" s="28">
        <v>2576</v>
      </c>
      <c r="T29" s="28">
        <v>2576</v>
      </c>
      <c r="U29" s="28">
        <v>2576</v>
      </c>
      <c r="V29" s="28">
        <v>2570</v>
      </c>
      <c r="W29" s="28">
        <v>2576</v>
      </c>
      <c r="X29" s="28">
        <v>2576</v>
      </c>
      <c r="Y29" s="28">
        <v>2576</v>
      </c>
      <c r="Z29" s="28">
        <v>2576</v>
      </c>
      <c r="AA29" s="28">
        <v>2576</v>
      </c>
      <c r="AB29" s="28">
        <v>2576</v>
      </c>
      <c r="AC29" s="28">
        <v>2570</v>
      </c>
      <c r="AD29" s="28">
        <v>2576</v>
      </c>
      <c r="AE29" s="28">
        <v>2576</v>
      </c>
      <c r="AF29" s="28">
        <v>2576</v>
      </c>
      <c r="AG29" s="28">
        <v>2576</v>
      </c>
      <c r="AH29" s="28">
        <v>2576</v>
      </c>
      <c r="AI29" s="28">
        <v>2576</v>
      </c>
      <c r="AJ29" s="28">
        <v>2576</v>
      </c>
      <c r="AK29" s="28">
        <v>2576</v>
      </c>
      <c r="AL29" s="28">
        <v>2576</v>
      </c>
      <c r="AM29" s="28">
        <v>2576</v>
      </c>
      <c r="AN29" s="28">
        <v>2576</v>
      </c>
      <c r="AO29" s="28">
        <v>2576</v>
      </c>
      <c r="AP29" s="28">
        <v>2576</v>
      </c>
      <c r="AQ29" s="28">
        <v>2576</v>
      </c>
      <c r="AR29" s="28">
        <v>2576</v>
      </c>
      <c r="AS29" s="28">
        <v>2570</v>
      </c>
      <c r="AT29" s="28">
        <v>2576</v>
      </c>
      <c r="AU29" s="28">
        <v>2576</v>
      </c>
      <c r="AV29" s="28">
        <v>2576</v>
      </c>
      <c r="AW29" s="28">
        <v>2576</v>
      </c>
      <c r="AX29" s="28">
        <v>2576</v>
      </c>
      <c r="AY29" s="28">
        <v>2576</v>
      </c>
      <c r="AZ29" s="28">
        <v>2576</v>
      </c>
      <c r="BA29" s="28">
        <v>2576</v>
      </c>
      <c r="BB29" s="28">
        <v>2576</v>
      </c>
      <c r="BC29" s="28">
        <v>2576</v>
      </c>
      <c r="BD29" s="28">
        <v>2576</v>
      </c>
      <c r="BE29" s="28">
        <v>2576</v>
      </c>
      <c r="BF29" s="28">
        <v>2576</v>
      </c>
      <c r="BG29" s="28">
        <v>2576</v>
      </c>
      <c r="BH29" s="28">
        <v>2576</v>
      </c>
      <c r="BI29" s="28">
        <v>2576</v>
      </c>
      <c r="BJ29" s="28">
        <v>2576</v>
      </c>
      <c r="BK29" s="28">
        <v>2576</v>
      </c>
      <c r="BL29" s="28">
        <v>2576</v>
      </c>
      <c r="BM29" s="28">
        <v>2576</v>
      </c>
      <c r="BN29" s="28">
        <v>2570</v>
      </c>
      <c r="BO29" s="28">
        <v>2576</v>
      </c>
      <c r="BP29" s="28">
        <v>2576</v>
      </c>
      <c r="BQ29" s="28">
        <v>2576</v>
      </c>
      <c r="BR29" s="28">
        <v>2576</v>
      </c>
      <c r="BS29" s="28">
        <v>2576</v>
      </c>
      <c r="BT29" s="28">
        <v>2576</v>
      </c>
      <c r="BU29" s="28">
        <v>2576</v>
      </c>
      <c r="BV29" s="28">
        <v>2576</v>
      </c>
      <c r="BW29" s="28">
        <v>2576</v>
      </c>
      <c r="BX29" s="28">
        <v>2576</v>
      </c>
      <c r="BY29" s="28">
        <v>2576</v>
      </c>
      <c r="BZ29" s="28">
        <v>2576</v>
      </c>
      <c r="CA29" s="28">
        <v>2576</v>
      </c>
      <c r="CB29" s="28">
        <v>2576</v>
      </c>
      <c r="CC29" s="28">
        <v>2576</v>
      </c>
      <c r="CD29" s="28">
        <v>2576</v>
      </c>
      <c r="CE29" s="28">
        <v>2576</v>
      </c>
      <c r="CF29" s="28">
        <v>2576</v>
      </c>
      <c r="CG29" s="28">
        <v>2576</v>
      </c>
      <c r="CH29" s="28">
        <v>2576</v>
      </c>
      <c r="CI29" s="28">
        <v>2576</v>
      </c>
      <c r="CJ29" s="28">
        <v>2576</v>
      </c>
      <c r="CK29" s="28">
        <v>2576</v>
      </c>
      <c r="CL29" s="28">
        <v>2570</v>
      </c>
      <c r="CM29" s="28">
        <v>2576</v>
      </c>
      <c r="CN29" s="28">
        <v>2576</v>
      </c>
      <c r="CO29" s="28">
        <v>2576</v>
      </c>
      <c r="CP29" s="28">
        <v>2576</v>
      </c>
      <c r="CQ29" s="28">
        <v>2576</v>
      </c>
      <c r="CR29" s="28">
        <v>2576</v>
      </c>
      <c r="CS29" s="28">
        <v>2576</v>
      </c>
      <c r="CT29" s="28">
        <v>2576</v>
      </c>
      <c r="CU29" s="28">
        <v>2576</v>
      </c>
      <c r="CV29" s="28">
        <v>2576</v>
      </c>
      <c r="CW29" s="28">
        <v>2576</v>
      </c>
      <c r="CX29" s="28">
        <v>2576</v>
      </c>
      <c r="CY29" s="28">
        <v>2576</v>
      </c>
      <c r="CZ29" s="28">
        <v>2576</v>
      </c>
      <c r="DA29" s="28">
        <v>2576</v>
      </c>
      <c r="DB29" s="28">
        <v>2576</v>
      </c>
      <c r="DC29" s="28">
        <v>2576</v>
      </c>
      <c r="DD29" s="28">
        <v>2576</v>
      </c>
      <c r="DE29" s="28">
        <v>2576</v>
      </c>
      <c r="DF29" s="28">
        <v>2576</v>
      </c>
      <c r="DG29" s="28">
        <v>2576</v>
      </c>
      <c r="DH29" s="28">
        <v>2576</v>
      </c>
      <c r="DI29" s="28">
        <v>2576</v>
      </c>
      <c r="DJ29" s="28">
        <v>2576</v>
      </c>
      <c r="DK29" s="28">
        <v>2576</v>
      </c>
      <c r="DL29" s="28">
        <v>2576</v>
      </c>
      <c r="DM29" s="28">
        <v>2576</v>
      </c>
      <c r="DN29" s="28">
        <v>2576</v>
      </c>
      <c r="DO29" s="28">
        <v>2576</v>
      </c>
      <c r="DP29" s="28">
        <v>2576</v>
      </c>
    </row>
    <row r="30" spans="1:120" ht="15.75" customHeight="1">
      <c r="A30" s="1" t="s">
        <v>278</v>
      </c>
      <c r="B30" s="28">
        <v>34</v>
      </c>
      <c r="C30" s="28">
        <v>16</v>
      </c>
      <c r="D30" s="28">
        <v>13</v>
      </c>
      <c r="E30" s="28">
        <v>22</v>
      </c>
      <c r="F30" s="28">
        <v>18</v>
      </c>
      <c r="G30" s="28">
        <v>11</v>
      </c>
      <c r="H30" s="28">
        <v>16</v>
      </c>
      <c r="I30" s="28">
        <v>12</v>
      </c>
      <c r="J30" s="28">
        <v>32</v>
      </c>
      <c r="K30" s="28">
        <v>17</v>
      </c>
      <c r="L30" s="28">
        <v>18</v>
      </c>
      <c r="M30" s="28">
        <v>17</v>
      </c>
      <c r="N30" s="28">
        <v>18</v>
      </c>
      <c r="O30" s="28">
        <v>16</v>
      </c>
      <c r="P30" s="28">
        <v>13</v>
      </c>
      <c r="Q30" s="28">
        <v>15</v>
      </c>
      <c r="R30" s="28">
        <v>13</v>
      </c>
      <c r="S30" s="28">
        <v>12</v>
      </c>
      <c r="T30" s="28">
        <v>15</v>
      </c>
      <c r="U30" s="28">
        <v>11</v>
      </c>
      <c r="V30" s="28">
        <v>14</v>
      </c>
      <c r="W30" s="28">
        <v>10</v>
      </c>
      <c r="X30" s="28">
        <v>10</v>
      </c>
      <c r="Y30" s="28">
        <v>14</v>
      </c>
      <c r="Z30" s="28">
        <v>12</v>
      </c>
      <c r="AA30" s="28">
        <v>17</v>
      </c>
      <c r="AB30" s="28">
        <v>12</v>
      </c>
      <c r="AC30" s="28">
        <v>14</v>
      </c>
      <c r="AD30" s="28">
        <v>13</v>
      </c>
      <c r="AE30" s="28">
        <v>12</v>
      </c>
      <c r="AF30" s="28">
        <v>15</v>
      </c>
      <c r="AG30" s="28">
        <v>13</v>
      </c>
      <c r="AH30" s="28">
        <v>14</v>
      </c>
      <c r="AI30" s="28">
        <v>12</v>
      </c>
      <c r="AJ30" s="28">
        <v>16</v>
      </c>
      <c r="AK30" s="28">
        <v>9</v>
      </c>
      <c r="AL30" s="28">
        <v>10</v>
      </c>
      <c r="AM30" s="28">
        <v>15</v>
      </c>
      <c r="AN30" s="28">
        <v>12</v>
      </c>
      <c r="AO30" s="28">
        <v>14</v>
      </c>
      <c r="AP30" s="28">
        <v>13</v>
      </c>
      <c r="AQ30" s="28">
        <v>10</v>
      </c>
      <c r="AR30" s="28">
        <v>22</v>
      </c>
      <c r="AS30" s="28">
        <v>11</v>
      </c>
      <c r="AT30" s="28">
        <v>11</v>
      </c>
      <c r="AU30" s="28">
        <v>10</v>
      </c>
      <c r="AV30" s="28">
        <v>15</v>
      </c>
      <c r="AW30" s="28">
        <v>10</v>
      </c>
      <c r="AX30" s="28">
        <v>10</v>
      </c>
      <c r="AY30" s="28">
        <v>11</v>
      </c>
      <c r="AZ30" s="28">
        <v>18</v>
      </c>
      <c r="BA30" s="28">
        <v>12</v>
      </c>
      <c r="BB30" s="28">
        <v>12</v>
      </c>
      <c r="BC30" s="28">
        <v>12</v>
      </c>
      <c r="BD30" s="28">
        <v>9</v>
      </c>
      <c r="BE30" s="28">
        <v>11</v>
      </c>
      <c r="BF30" s="28">
        <v>15</v>
      </c>
      <c r="BG30" s="28">
        <v>15</v>
      </c>
      <c r="BH30" s="28">
        <v>15</v>
      </c>
      <c r="BI30" s="28">
        <v>26</v>
      </c>
      <c r="BJ30" s="28">
        <v>11</v>
      </c>
      <c r="BK30" s="28">
        <v>12</v>
      </c>
      <c r="BL30" s="28">
        <v>10</v>
      </c>
      <c r="BM30" s="28">
        <v>22</v>
      </c>
      <c r="BN30" s="28">
        <v>24</v>
      </c>
      <c r="BO30" s="28">
        <v>16</v>
      </c>
      <c r="BP30" s="28">
        <v>11</v>
      </c>
      <c r="BQ30" s="28">
        <v>10</v>
      </c>
      <c r="BR30" s="28">
        <v>9</v>
      </c>
      <c r="BS30" s="28">
        <v>14</v>
      </c>
      <c r="BT30" s="28">
        <v>13</v>
      </c>
      <c r="BU30" s="28">
        <v>18</v>
      </c>
      <c r="BV30" s="28">
        <v>11</v>
      </c>
      <c r="BW30" s="28">
        <v>10</v>
      </c>
      <c r="BX30" s="28">
        <v>16</v>
      </c>
      <c r="BY30" s="28">
        <v>18</v>
      </c>
      <c r="BZ30" s="28">
        <v>11</v>
      </c>
      <c r="CA30" s="28">
        <v>11</v>
      </c>
      <c r="CB30" s="28">
        <v>11</v>
      </c>
      <c r="CC30" s="28">
        <v>15</v>
      </c>
      <c r="CD30" s="28">
        <v>13</v>
      </c>
      <c r="CE30" s="28">
        <v>11</v>
      </c>
      <c r="CF30" s="28">
        <v>14</v>
      </c>
      <c r="CG30" s="28">
        <v>13</v>
      </c>
      <c r="CH30" s="28">
        <v>9</v>
      </c>
      <c r="CI30" s="28">
        <v>16</v>
      </c>
      <c r="CJ30" s="28">
        <v>14</v>
      </c>
      <c r="CK30" s="28">
        <v>13</v>
      </c>
      <c r="CL30" s="28">
        <v>17</v>
      </c>
      <c r="CM30" s="28">
        <v>12</v>
      </c>
      <c r="CN30" s="28">
        <v>11</v>
      </c>
      <c r="CO30" s="28">
        <v>8</v>
      </c>
      <c r="CP30" s="28">
        <v>12</v>
      </c>
      <c r="CQ30" s="28">
        <v>15</v>
      </c>
      <c r="CR30" s="28">
        <v>13</v>
      </c>
      <c r="CS30" s="28">
        <v>19</v>
      </c>
      <c r="CT30" s="28">
        <v>10</v>
      </c>
      <c r="CU30" s="28">
        <v>11</v>
      </c>
      <c r="CV30" s="28">
        <v>22</v>
      </c>
      <c r="CW30" s="28">
        <v>14</v>
      </c>
      <c r="CX30" s="28">
        <v>7</v>
      </c>
      <c r="CY30" s="28">
        <v>16</v>
      </c>
      <c r="CZ30" s="28">
        <v>15</v>
      </c>
      <c r="DA30" s="28">
        <v>11</v>
      </c>
      <c r="DB30" s="28">
        <v>28</v>
      </c>
      <c r="DC30" s="28">
        <v>12</v>
      </c>
      <c r="DD30" s="28">
        <v>10</v>
      </c>
      <c r="DE30" s="28">
        <v>10</v>
      </c>
      <c r="DF30" s="28">
        <v>24</v>
      </c>
      <c r="DG30" s="28">
        <v>13</v>
      </c>
      <c r="DH30" s="28">
        <v>13</v>
      </c>
      <c r="DI30" s="28">
        <v>15</v>
      </c>
      <c r="DJ30" s="28">
        <v>18</v>
      </c>
      <c r="DK30" s="28">
        <v>15</v>
      </c>
      <c r="DL30" s="28">
        <v>32</v>
      </c>
      <c r="DM30" s="28">
        <v>36</v>
      </c>
      <c r="DN30" s="28">
        <v>13</v>
      </c>
      <c r="DO30" s="28">
        <v>22</v>
      </c>
      <c r="DP30" s="28">
        <v>36</v>
      </c>
    </row>
    <row r="31" spans="1:120" ht="15.75" customHeight="1">
      <c r="A31" s="1" t="s">
        <v>279</v>
      </c>
      <c r="B31" s="28">
        <v>443</v>
      </c>
      <c r="C31" s="28">
        <v>479</v>
      </c>
      <c r="D31" s="28">
        <v>551</v>
      </c>
      <c r="E31" s="28">
        <v>510</v>
      </c>
      <c r="F31" s="28">
        <v>429</v>
      </c>
      <c r="G31" s="28">
        <v>507</v>
      </c>
      <c r="H31" s="28">
        <v>474</v>
      </c>
      <c r="I31" s="28">
        <v>526</v>
      </c>
      <c r="J31" s="28">
        <v>455</v>
      </c>
      <c r="K31" s="28">
        <v>534</v>
      </c>
      <c r="L31" s="28">
        <v>425</v>
      </c>
      <c r="M31" s="28">
        <v>473</v>
      </c>
      <c r="N31" s="28">
        <v>509</v>
      </c>
      <c r="O31" s="28">
        <v>503</v>
      </c>
      <c r="P31" s="28">
        <v>470</v>
      </c>
      <c r="Q31" s="28">
        <v>457</v>
      </c>
      <c r="R31" s="28">
        <v>438</v>
      </c>
      <c r="S31" s="28">
        <v>443</v>
      </c>
      <c r="T31" s="28">
        <v>479</v>
      </c>
      <c r="U31" s="28">
        <v>448</v>
      </c>
      <c r="V31" s="28">
        <v>471</v>
      </c>
      <c r="W31" s="28">
        <v>504</v>
      </c>
      <c r="X31" s="28">
        <v>498</v>
      </c>
      <c r="Y31" s="28">
        <v>473</v>
      </c>
      <c r="Z31" s="28">
        <v>517</v>
      </c>
      <c r="AA31" s="28">
        <v>493</v>
      </c>
      <c r="AB31" s="28">
        <v>444</v>
      </c>
      <c r="AC31" s="28">
        <v>441</v>
      </c>
      <c r="AD31" s="28">
        <v>517</v>
      </c>
      <c r="AE31" s="28">
        <v>509</v>
      </c>
      <c r="AF31" s="28">
        <v>519</v>
      </c>
      <c r="AG31" s="28">
        <v>402</v>
      </c>
      <c r="AH31" s="28">
        <v>474</v>
      </c>
      <c r="AI31" s="28">
        <v>503</v>
      </c>
      <c r="AJ31" s="28">
        <v>471</v>
      </c>
      <c r="AK31" s="28">
        <v>494</v>
      </c>
      <c r="AL31" s="28">
        <v>506</v>
      </c>
      <c r="AM31" s="28">
        <v>481</v>
      </c>
      <c r="AN31" s="28">
        <v>484</v>
      </c>
      <c r="AO31" s="28">
        <v>419</v>
      </c>
      <c r="AP31" s="28">
        <v>407</v>
      </c>
      <c r="AQ31" s="28">
        <v>482</v>
      </c>
      <c r="AR31" s="28">
        <v>498</v>
      </c>
      <c r="AS31" s="28">
        <v>501</v>
      </c>
      <c r="AT31" s="28">
        <v>492</v>
      </c>
      <c r="AU31" s="28">
        <v>523</v>
      </c>
      <c r="AV31" s="28">
        <v>461</v>
      </c>
      <c r="AW31" s="28">
        <v>479</v>
      </c>
      <c r="AX31" s="28">
        <v>495</v>
      </c>
      <c r="AY31" s="28">
        <v>502</v>
      </c>
      <c r="AZ31" s="28">
        <v>498</v>
      </c>
      <c r="BA31" s="28">
        <v>488</v>
      </c>
      <c r="BB31" s="28">
        <v>530</v>
      </c>
      <c r="BC31" s="28">
        <v>531</v>
      </c>
      <c r="BD31" s="28">
        <v>495</v>
      </c>
      <c r="BE31" s="28">
        <v>529</v>
      </c>
      <c r="BF31" s="28">
        <v>536</v>
      </c>
      <c r="BG31" s="28">
        <v>494</v>
      </c>
      <c r="BH31" s="28">
        <v>492</v>
      </c>
      <c r="BI31" s="28">
        <v>497</v>
      </c>
      <c r="BJ31" s="28">
        <v>484</v>
      </c>
      <c r="BK31" s="28">
        <v>524</v>
      </c>
      <c r="BL31" s="28">
        <v>487</v>
      </c>
      <c r="BM31" s="28">
        <v>476</v>
      </c>
      <c r="BN31" s="28">
        <v>502</v>
      </c>
      <c r="BO31" s="28">
        <v>502</v>
      </c>
      <c r="BP31" s="28">
        <v>495</v>
      </c>
      <c r="BQ31" s="28">
        <v>538</v>
      </c>
      <c r="BR31" s="28">
        <v>535</v>
      </c>
      <c r="BS31" s="28">
        <v>556</v>
      </c>
      <c r="BT31" s="28">
        <v>501</v>
      </c>
      <c r="BU31" s="28">
        <v>535</v>
      </c>
      <c r="BV31" s="28">
        <v>521</v>
      </c>
      <c r="BW31" s="28">
        <v>491</v>
      </c>
      <c r="BX31" s="28">
        <v>490</v>
      </c>
      <c r="BY31" s="28">
        <v>508</v>
      </c>
      <c r="BZ31" s="28">
        <v>521</v>
      </c>
      <c r="CA31" s="28">
        <v>489</v>
      </c>
      <c r="CB31" s="28">
        <v>512</v>
      </c>
      <c r="CC31" s="28">
        <v>484</v>
      </c>
      <c r="CD31" s="28">
        <v>493</v>
      </c>
      <c r="CE31" s="28">
        <v>527</v>
      </c>
      <c r="CF31" s="28">
        <v>471</v>
      </c>
      <c r="CG31" s="28">
        <v>474</v>
      </c>
      <c r="CH31" s="28">
        <v>510</v>
      </c>
      <c r="CI31" s="28">
        <v>476</v>
      </c>
      <c r="CJ31" s="28">
        <v>502</v>
      </c>
      <c r="CK31" s="28">
        <v>501</v>
      </c>
      <c r="CL31" s="28">
        <v>492</v>
      </c>
      <c r="CM31" s="28">
        <v>508</v>
      </c>
      <c r="CN31" s="28">
        <v>497</v>
      </c>
      <c r="CO31" s="28">
        <v>521</v>
      </c>
      <c r="CP31" s="28">
        <v>502</v>
      </c>
      <c r="CQ31" s="28">
        <v>453</v>
      </c>
      <c r="CR31" s="28">
        <v>523</v>
      </c>
      <c r="CS31" s="28">
        <v>458</v>
      </c>
      <c r="CT31" s="28">
        <v>517</v>
      </c>
      <c r="CU31" s="28">
        <v>471</v>
      </c>
      <c r="CV31" s="28">
        <v>517</v>
      </c>
      <c r="CW31" s="28">
        <v>530</v>
      </c>
      <c r="CX31" s="28">
        <v>466</v>
      </c>
      <c r="CY31" s="28">
        <v>461</v>
      </c>
      <c r="CZ31" s="28">
        <v>482</v>
      </c>
      <c r="DA31" s="28">
        <v>517</v>
      </c>
      <c r="DB31" s="28">
        <v>475</v>
      </c>
      <c r="DC31" s="28">
        <v>532</v>
      </c>
      <c r="DD31" s="28">
        <v>506</v>
      </c>
      <c r="DE31" s="28">
        <v>479</v>
      </c>
      <c r="DF31" s="28">
        <v>460</v>
      </c>
      <c r="DG31" s="28">
        <v>510</v>
      </c>
      <c r="DH31" s="28">
        <v>491</v>
      </c>
      <c r="DI31" s="28">
        <v>530</v>
      </c>
      <c r="DJ31" s="28">
        <v>442</v>
      </c>
      <c r="DK31" s="28">
        <v>523</v>
      </c>
      <c r="DL31" s="28">
        <v>493</v>
      </c>
      <c r="DM31" s="28">
        <v>471</v>
      </c>
      <c r="DN31" s="28">
        <v>502</v>
      </c>
      <c r="DO31" s="28">
        <v>541</v>
      </c>
      <c r="DP31" s="28">
        <v>444</v>
      </c>
    </row>
    <row r="32" spans="1:120" ht="15.75" customHeight="1">
      <c r="A32" s="1" t="s">
        <v>280</v>
      </c>
      <c r="B32" s="28">
        <v>336</v>
      </c>
      <c r="C32" s="28">
        <v>336</v>
      </c>
      <c r="D32" s="28">
        <v>336</v>
      </c>
      <c r="E32" s="28">
        <v>336</v>
      </c>
      <c r="F32" s="28">
        <v>336</v>
      </c>
      <c r="G32" s="28">
        <v>336</v>
      </c>
      <c r="H32" s="28">
        <v>336</v>
      </c>
      <c r="I32" s="28">
        <v>336</v>
      </c>
      <c r="J32" s="28">
        <v>336</v>
      </c>
      <c r="K32" s="28">
        <v>336</v>
      </c>
      <c r="L32" s="28">
        <v>336</v>
      </c>
      <c r="M32" s="28">
        <v>336</v>
      </c>
      <c r="N32" s="28">
        <v>336</v>
      </c>
      <c r="O32" s="28">
        <v>336</v>
      </c>
      <c r="P32" s="28">
        <v>336</v>
      </c>
      <c r="Q32" s="28">
        <v>336</v>
      </c>
      <c r="R32" s="28">
        <v>336</v>
      </c>
      <c r="S32" s="28">
        <v>336</v>
      </c>
      <c r="T32" s="28">
        <v>336</v>
      </c>
      <c r="U32" s="28">
        <v>336</v>
      </c>
      <c r="V32" s="28">
        <v>336</v>
      </c>
      <c r="W32" s="28">
        <v>336</v>
      </c>
      <c r="X32" s="28">
        <v>336</v>
      </c>
      <c r="Y32" s="28">
        <v>336</v>
      </c>
      <c r="Z32" s="28">
        <v>336</v>
      </c>
      <c r="AA32" s="28">
        <v>336</v>
      </c>
      <c r="AB32" s="28">
        <v>336</v>
      </c>
      <c r="AC32" s="28">
        <v>336</v>
      </c>
      <c r="AD32" s="28">
        <v>336</v>
      </c>
      <c r="AE32" s="28">
        <v>336</v>
      </c>
      <c r="AF32" s="28">
        <v>336</v>
      </c>
      <c r="AG32" s="28">
        <v>336</v>
      </c>
      <c r="AH32" s="28">
        <v>336</v>
      </c>
      <c r="AI32" s="28">
        <v>336</v>
      </c>
      <c r="AJ32" s="28">
        <v>336</v>
      </c>
      <c r="AK32" s="28">
        <v>336</v>
      </c>
      <c r="AL32" s="28">
        <v>336</v>
      </c>
      <c r="AM32" s="28">
        <v>336</v>
      </c>
      <c r="AN32" s="28">
        <v>336</v>
      </c>
      <c r="AO32" s="28">
        <v>336</v>
      </c>
      <c r="AP32" s="28">
        <v>336</v>
      </c>
      <c r="AQ32" s="28">
        <v>336</v>
      </c>
      <c r="AR32" s="28">
        <v>336</v>
      </c>
      <c r="AS32" s="28">
        <v>336</v>
      </c>
      <c r="AT32" s="28">
        <v>336</v>
      </c>
      <c r="AU32" s="28">
        <v>336</v>
      </c>
      <c r="AV32" s="28">
        <v>336</v>
      </c>
      <c r="AW32" s="28">
        <v>336</v>
      </c>
      <c r="AX32" s="28">
        <v>336</v>
      </c>
      <c r="AY32" s="28">
        <v>336</v>
      </c>
      <c r="AZ32" s="28">
        <v>336</v>
      </c>
      <c r="BA32" s="28">
        <v>336</v>
      </c>
      <c r="BB32" s="28">
        <v>336</v>
      </c>
      <c r="BC32" s="28">
        <v>336</v>
      </c>
      <c r="BD32" s="28">
        <v>336</v>
      </c>
      <c r="BE32" s="28">
        <v>336</v>
      </c>
      <c r="BF32" s="28">
        <v>336</v>
      </c>
      <c r="BG32" s="28">
        <v>336</v>
      </c>
      <c r="BH32" s="28">
        <v>336</v>
      </c>
      <c r="BI32" s="28">
        <v>336</v>
      </c>
      <c r="BJ32" s="28">
        <v>336</v>
      </c>
      <c r="BK32" s="28">
        <v>336</v>
      </c>
      <c r="BL32" s="28">
        <v>336</v>
      </c>
      <c r="BM32" s="28">
        <v>336</v>
      </c>
      <c r="BN32" s="28">
        <v>336</v>
      </c>
      <c r="BO32" s="28">
        <v>336</v>
      </c>
      <c r="BP32" s="28">
        <v>336</v>
      </c>
      <c r="BQ32" s="28">
        <v>336</v>
      </c>
      <c r="BR32" s="28">
        <v>336</v>
      </c>
      <c r="BS32" s="28">
        <v>336</v>
      </c>
      <c r="BT32" s="28">
        <v>336</v>
      </c>
      <c r="BU32" s="28">
        <v>336</v>
      </c>
      <c r="BV32" s="28">
        <v>336</v>
      </c>
      <c r="BW32" s="28">
        <v>336</v>
      </c>
      <c r="BX32" s="28">
        <v>336</v>
      </c>
      <c r="BY32" s="28">
        <v>336</v>
      </c>
      <c r="BZ32" s="28">
        <v>336</v>
      </c>
      <c r="CA32" s="28">
        <v>336</v>
      </c>
      <c r="CB32" s="28">
        <v>336</v>
      </c>
      <c r="CC32" s="28">
        <v>336</v>
      </c>
      <c r="CD32" s="28">
        <v>336</v>
      </c>
      <c r="CE32" s="28">
        <v>336</v>
      </c>
      <c r="CF32" s="28">
        <v>336</v>
      </c>
      <c r="CG32" s="28">
        <v>336</v>
      </c>
      <c r="CH32" s="28">
        <v>336</v>
      </c>
      <c r="CI32" s="28">
        <v>336</v>
      </c>
      <c r="CJ32" s="28">
        <v>336</v>
      </c>
      <c r="CK32" s="28">
        <v>336</v>
      </c>
      <c r="CL32" s="28">
        <v>336</v>
      </c>
      <c r="CM32" s="28">
        <v>336</v>
      </c>
      <c r="CN32" s="28">
        <v>336</v>
      </c>
      <c r="CO32" s="28">
        <v>336</v>
      </c>
      <c r="CP32" s="28">
        <v>336</v>
      </c>
      <c r="CQ32" s="28">
        <v>336</v>
      </c>
      <c r="CR32" s="28">
        <v>336</v>
      </c>
      <c r="CS32" s="28">
        <v>336</v>
      </c>
      <c r="CT32" s="28">
        <v>336</v>
      </c>
      <c r="CU32" s="28">
        <v>336</v>
      </c>
      <c r="CV32" s="28">
        <v>336</v>
      </c>
      <c r="CW32" s="28">
        <v>336</v>
      </c>
      <c r="CX32" s="28">
        <v>336</v>
      </c>
      <c r="CY32" s="28">
        <v>336</v>
      </c>
      <c r="CZ32" s="28">
        <v>336</v>
      </c>
      <c r="DA32" s="28">
        <v>336</v>
      </c>
      <c r="DB32" s="28">
        <v>336</v>
      </c>
      <c r="DC32" s="28">
        <v>336</v>
      </c>
      <c r="DD32" s="28">
        <v>336</v>
      </c>
      <c r="DE32" s="28">
        <v>336</v>
      </c>
      <c r="DF32" s="28">
        <v>336</v>
      </c>
      <c r="DG32" s="28">
        <v>336</v>
      </c>
      <c r="DH32" s="28">
        <v>336</v>
      </c>
      <c r="DI32" s="28">
        <v>336</v>
      </c>
      <c r="DJ32" s="28">
        <v>336</v>
      </c>
      <c r="DK32" s="28">
        <v>336</v>
      </c>
      <c r="DL32" s="28">
        <v>336</v>
      </c>
      <c r="DM32" s="28">
        <v>336</v>
      </c>
      <c r="DN32" s="28">
        <v>336</v>
      </c>
      <c r="DO32" s="28">
        <v>336</v>
      </c>
      <c r="DP32" s="28">
        <v>336</v>
      </c>
    </row>
    <row r="33" spans="1:120" ht="15.75" customHeight="1">
      <c r="A33" s="1" t="s">
        <v>281</v>
      </c>
      <c r="B33" s="28">
        <v>1.6E-2</v>
      </c>
      <c r="C33" s="28">
        <v>1.6E-2</v>
      </c>
      <c r="D33" s="28">
        <v>1.6E-2</v>
      </c>
      <c r="E33" s="28">
        <v>1.6E-2</v>
      </c>
      <c r="F33" s="28">
        <v>1.6E-2</v>
      </c>
      <c r="G33" s="28">
        <v>1.6E-2</v>
      </c>
      <c r="H33" s="28">
        <v>1.6E-2</v>
      </c>
      <c r="I33" s="28">
        <v>1.6E-2</v>
      </c>
      <c r="J33" s="28">
        <v>1.6E-2</v>
      </c>
      <c r="K33" s="28">
        <v>1.6E-2</v>
      </c>
      <c r="L33" s="28">
        <v>1.7999999999999999E-2</v>
      </c>
      <c r="M33" s="28">
        <v>1.6E-2</v>
      </c>
      <c r="N33" s="28">
        <v>1.7000000000000001E-2</v>
      </c>
      <c r="O33" s="28">
        <v>1.6E-2</v>
      </c>
      <c r="P33" s="28">
        <v>1.4999999999999999E-2</v>
      </c>
      <c r="Q33" s="28">
        <v>1.6E-2</v>
      </c>
      <c r="R33" s="28">
        <v>1.4999999999999999E-2</v>
      </c>
      <c r="S33" s="28">
        <v>1.6E-2</v>
      </c>
      <c r="T33" s="28">
        <v>1.6E-2</v>
      </c>
      <c r="U33" s="28">
        <v>1.4999999999999999E-2</v>
      </c>
      <c r="V33" s="28">
        <v>1.6E-2</v>
      </c>
      <c r="W33" s="28">
        <v>1.6E-2</v>
      </c>
      <c r="X33" s="28">
        <v>1.6E-2</v>
      </c>
      <c r="Y33" s="28">
        <v>1.6E-2</v>
      </c>
      <c r="Z33" s="28">
        <v>1.6E-2</v>
      </c>
      <c r="AA33" s="28">
        <v>1.7000000000000001E-2</v>
      </c>
      <c r="AB33" s="28">
        <v>1.4999999999999999E-2</v>
      </c>
      <c r="AC33" s="28">
        <v>1.6E-2</v>
      </c>
      <c r="AD33" s="28">
        <v>1.6E-2</v>
      </c>
      <c r="AE33" s="28">
        <v>1.6E-2</v>
      </c>
      <c r="AF33" s="28">
        <v>1.6E-2</v>
      </c>
      <c r="AG33" s="28">
        <v>1.4999999999999999E-2</v>
      </c>
      <c r="AH33" s="28">
        <v>1.6E-2</v>
      </c>
      <c r="AI33" s="28">
        <v>1.6E-2</v>
      </c>
      <c r="AJ33" s="28">
        <v>1.7000000000000001E-2</v>
      </c>
      <c r="AK33" s="28">
        <v>1.4999999999999999E-2</v>
      </c>
      <c r="AL33" s="28">
        <v>1.6E-2</v>
      </c>
      <c r="AM33" s="28">
        <v>1.6E-2</v>
      </c>
      <c r="AN33" s="28">
        <v>1.6E-2</v>
      </c>
      <c r="AO33" s="28">
        <v>1.4999999999999999E-2</v>
      </c>
      <c r="AP33" s="28">
        <v>1.6E-2</v>
      </c>
      <c r="AQ33" s="28">
        <v>1.4999999999999999E-2</v>
      </c>
      <c r="AR33" s="28">
        <v>1.6E-2</v>
      </c>
      <c r="AS33" s="28">
        <v>1.6E-2</v>
      </c>
      <c r="AT33" s="28">
        <v>1.4999999999999999E-2</v>
      </c>
      <c r="AU33" s="28">
        <v>1.6E-2</v>
      </c>
      <c r="AV33" s="28">
        <v>1.6E-2</v>
      </c>
      <c r="AW33" s="28">
        <v>1.6E-2</v>
      </c>
      <c r="AX33" s="28">
        <v>1.6E-2</v>
      </c>
      <c r="AY33" s="28">
        <v>1.6E-2</v>
      </c>
      <c r="AZ33" s="28">
        <v>1.6E-2</v>
      </c>
      <c r="BA33" s="28">
        <v>1.6E-2</v>
      </c>
      <c r="BB33" s="28">
        <v>1.6E-2</v>
      </c>
      <c r="BC33" s="28">
        <v>1.6E-2</v>
      </c>
      <c r="BD33" s="28">
        <v>1.6E-2</v>
      </c>
      <c r="BE33" s="28">
        <v>1.6E-2</v>
      </c>
      <c r="BF33" s="28">
        <v>1.6E-2</v>
      </c>
      <c r="BG33" s="28">
        <v>1.6E-2</v>
      </c>
      <c r="BH33" s="28">
        <v>1.6E-2</v>
      </c>
      <c r="BI33" s="28">
        <v>1.6E-2</v>
      </c>
      <c r="BJ33" s="28">
        <v>1.6E-2</v>
      </c>
      <c r="BK33" s="28">
        <v>1.6E-2</v>
      </c>
      <c r="BL33" s="28">
        <v>1.6E-2</v>
      </c>
      <c r="BM33" s="28">
        <v>1.6E-2</v>
      </c>
      <c r="BN33" s="28">
        <v>1.6E-2</v>
      </c>
      <c r="BO33" s="28">
        <v>1.6E-2</v>
      </c>
      <c r="BP33" s="28">
        <v>1.6E-2</v>
      </c>
      <c r="BQ33" s="28">
        <v>1.6E-2</v>
      </c>
      <c r="BR33" s="28">
        <v>1.6E-2</v>
      </c>
      <c r="BS33" s="28">
        <v>1.6E-2</v>
      </c>
      <c r="BT33" s="28">
        <v>1.6E-2</v>
      </c>
      <c r="BU33" s="28">
        <v>1.6E-2</v>
      </c>
      <c r="BV33" s="28">
        <v>1.6E-2</v>
      </c>
      <c r="BW33" s="28">
        <v>1.6E-2</v>
      </c>
      <c r="BX33" s="28">
        <v>1.7000000000000001E-2</v>
      </c>
      <c r="BY33" s="28">
        <v>1.6E-2</v>
      </c>
      <c r="BZ33" s="28">
        <v>1.6E-2</v>
      </c>
      <c r="CA33" s="28">
        <v>1.4999999999999999E-2</v>
      </c>
      <c r="CB33" s="28">
        <v>1.6E-2</v>
      </c>
      <c r="CC33" s="28">
        <v>1.6E-2</v>
      </c>
      <c r="CD33" s="28">
        <v>1.6E-2</v>
      </c>
      <c r="CE33" s="28">
        <v>1.6E-2</v>
      </c>
      <c r="CF33" s="28">
        <v>1.6E-2</v>
      </c>
      <c r="CG33" s="28">
        <v>1.6E-2</v>
      </c>
      <c r="CH33" s="28">
        <v>1.6E-2</v>
      </c>
      <c r="CI33" s="28">
        <v>1.6E-2</v>
      </c>
      <c r="CJ33" s="28">
        <v>1.6E-2</v>
      </c>
      <c r="CK33" s="28">
        <v>1.7000000000000001E-2</v>
      </c>
      <c r="CL33" s="28">
        <v>1.6E-2</v>
      </c>
      <c r="CM33" s="28">
        <v>1.6E-2</v>
      </c>
      <c r="CN33" s="28">
        <v>1.6E-2</v>
      </c>
      <c r="CO33" s="28">
        <v>1.6E-2</v>
      </c>
      <c r="CP33" s="28">
        <v>1.6E-2</v>
      </c>
      <c r="CQ33" s="28">
        <v>1.6E-2</v>
      </c>
      <c r="CR33" s="28">
        <v>1.6E-2</v>
      </c>
      <c r="CS33" s="28">
        <v>1.6E-2</v>
      </c>
      <c r="CT33" s="28">
        <v>1.6E-2</v>
      </c>
      <c r="CU33" s="28">
        <v>1.4999999999999999E-2</v>
      </c>
      <c r="CV33" s="28">
        <v>1.6E-2</v>
      </c>
      <c r="CW33" s="28">
        <v>1.6E-2</v>
      </c>
      <c r="CX33" s="28">
        <v>1.6E-2</v>
      </c>
      <c r="CY33" s="28">
        <v>1.6E-2</v>
      </c>
      <c r="CZ33" s="28">
        <v>1.6E-2</v>
      </c>
      <c r="DA33" s="28">
        <v>1.6E-2</v>
      </c>
      <c r="DB33" s="28">
        <v>1.6E-2</v>
      </c>
      <c r="DC33" s="28">
        <v>1.6E-2</v>
      </c>
      <c r="DD33" s="28">
        <v>1.6E-2</v>
      </c>
      <c r="DE33" s="28">
        <v>1.6E-2</v>
      </c>
      <c r="DF33" s="28">
        <v>1.6E-2</v>
      </c>
      <c r="DG33" s="28">
        <v>1.6E-2</v>
      </c>
      <c r="DH33" s="28">
        <v>1.6E-2</v>
      </c>
      <c r="DI33" s="28">
        <v>1.6E-2</v>
      </c>
      <c r="DJ33" s="28">
        <v>1.6E-2</v>
      </c>
      <c r="DK33" s="28">
        <v>1.6E-2</v>
      </c>
      <c r="DL33" s="28">
        <v>1.6E-2</v>
      </c>
      <c r="DM33" s="28">
        <v>1.6E-2</v>
      </c>
      <c r="DN33" s="28">
        <v>1.6E-2</v>
      </c>
      <c r="DO33" s="28">
        <v>1.6E-2</v>
      </c>
      <c r="DP33" s="28">
        <v>1.4999999999999999E-2</v>
      </c>
    </row>
    <row r="34" spans="1:120" ht="15.75" customHeight="1">
      <c r="A34" s="1" t="s">
        <v>282</v>
      </c>
      <c r="B34" s="28">
        <v>1.8</v>
      </c>
      <c r="C34" s="28">
        <v>1.61</v>
      </c>
      <c r="D34" s="28">
        <v>1.62</v>
      </c>
      <c r="E34" s="28">
        <v>1.69</v>
      </c>
      <c r="F34" s="28">
        <v>1.73</v>
      </c>
      <c r="G34" s="28">
        <v>1.65</v>
      </c>
      <c r="H34" s="28">
        <v>1.8</v>
      </c>
      <c r="I34" s="28">
        <v>1.62</v>
      </c>
      <c r="J34" s="28">
        <v>1.7</v>
      </c>
      <c r="K34" s="28">
        <v>1.66</v>
      </c>
      <c r="L34" s="28">
        <v>1.99</v>
      </c>
      <c r="M34" s="28">
        <v>1.74</v>
      </c>
      <c r="N34" s="28">
        <v>1.7</v>
      </c>
      <c r="O34" s="28">
        <v>1.77</v>
      </c>
      <c r="P34" s="28">
        <v>1.66</v>
      </c>
      <c r="Q34" s="28">
        <v>1.67</v>
      </c>
      <c r="R34" s="28">
        <v>1.65</v>
      </c>
      <c r="S34" s="28">
        <v>1.62</v>
      </c>
      <c r="T34" s="28">
        <v>1.61</v>
      </c>
      <c r="U34" s="28">
        <v>1.66</v>
      </c>
      <c r="V34" s="28">
        <v>1.68</v>
      </c>
      <c r="W34" s="28">
        <v>1.61</v>
      </c>
      <c r="X34" s="28">
        <v>1.61</v>
      </c>
      <c r="Y34" s="28">
        <v>1.65</v>
      </c>
      <c r="Z34" s="28">
        <v>1.68</v>
      </c>
      <c r="AA34" s="28">
        <v>1.71</v>
      </c>
      <c r="AB34" s="28">
        <v>1.67</v>
      </c>
      <c r="AC34" s="28">
        <v>1.66</v>
      </c>
      <c r="AD34" s="28">
        <v>1.56</v>
      </c>
      <c r="AE34" s="28">
        <v>1.59</v>
      </c>
      <c r="AF34" s="28">
        <v>1.61</v>
      </c>
      <c r="AG34" s="28">
        <v>1.78</v>
      </c>
      <c r="AH34" s="28">
        <v>1.62</v>
      </c>
      <c r="AI34" s="28">
        <v>1.6</v>
      </c>
      <c r="AJ34" s="28">
        <v>1.72</v>
      </c>
      <c r="AK34" s="28">
        <v>1.58</v>
      </c>
      <c r="AL34" s="28">
        <v>1.6</v>
      </c>
      <c r="AM34" s="28">
        <v>1.69</v>
      </c>
      <c r="AN34" s="28">
        <v>1.61</v>
      </c>
      <c r="AO34" s="28">
        <v>1.63</v>
      </c>
      <c r="AP34" s="28">
        <v>1.73</v>
      </c>
      <c r="AQ34" s="28">
        <v>1.58</v>
      </c>
      <c r="AR34" s="28">
        <v>1.61</v>
      </c>
      <c r="AS34" s="28">
        <v>1.61</v>
      </c>
      <c r="AT34" s="28">
        <v>1.61</v>
      </c>
      <c r="AU34" s="28">
        <v>1.58</v>
      </c>
      <c r="AV34" s="28">
        <v>1.68</v>
      </c>
      <c r="AW34" s="28">
        <v>1.62</v>
      </c>
      <c r="AX34" s="28">
        <v>1.61</v>
      </c>
      <c r="AY34" s="28">
        <v>1.59</v>
      </c>
      <c r="AZ34" s="28">
        <v>1.61</v>
      </c>
      <c r="BA34" s="28">
        <v>1.62</v>
      </c>
      <c r="BB34" s="28">
        <v>1.61</v>
      </c>
      <c r="BC34" s="28">
        <v>1.6</v>
      </c>
      <c r="BD34" s="28">
        <v>1.62</v>
      </c>
      <c r="BE34" s="28">
        <v>1.61</v>
      </c>
      <c r="BF34" s="28">
        <v>1.6</v>
      </c>
      <c r="BG34" s="28">
        <v>1.7</v>
      </c>
      <c r="BH34" s="28">
        <v>1.59</v>
      </c>
      <c r="BI34" s="28">
        <v>1.65</v>
      </c>
      <c r="BJ34" s="28">
        <v>1.62</v>
      </c>
      <c r="BK34" s="28">
        <v>1.61</v>
      </c>
      <c r="BL34" s="28">
        <v>1.61</v>
      </c>
      <c r="BM34" s="28">
        <v>1.61</v>
      </c>
      <c r="BN34" s="28">
        <v>1.62</v>
      </c>
      <c r="BO34" s="28">
        <v>1.63</v>
      </c>
      <c r="BP34" s="28">
        <v>1.71</v>
      </c>
      <c r="BQ34" s="28">
        <v>1.58</v>
      </c>
      <c r="BR34" s="28">
        <v>1.59</v>
      </c>
      <c r="BS34" s="28">
        <v>1.62</v>
      </c>
      <c r="BT34" s="28">
        <v>1.57</v>
      </c>
      <c r="BU34" s="28">
        <v>1.62</v>
      </c>
      <c r="BV34" s="28">
        <v>1.58</v>
      </c>
      <c r="BW34" s="28">
        <v>1.61</v>
      </c>
      <c r="BX34" s="28">
        <v>1.7</v>
      </c>
      <c r="BY34" s="28">
        <v>1.61</v>
      </c>
      <c r="BZ34" s="28">
        <v>1.6</v>
      </c>
      <c r="CA34" s="28">
        <v>1.6</v>
      </c>
      <c r="CB34" s="28">
        <v>1.59</v>
      </c>
      <c r="CC34" s="28">
        <v>1.71</v>
      </c>
      <c r="CD34" s="28">
        <v>1.62</v>
      </c>
      <c r="CE34" s="28">
        <v>1.6</v>
      </c>
      <c r="CF34" s="28">
        <v>1.67</v>
      </c>
      <c r="CG34" s="28">
        <v>1.7</v>
      </c>
      <c r="CH34" s="28">
        <v>1.6</v>
      </c>
      <c r="CI34" s="28">
        <v>1.65</v>
      </c>
      <c r="CJ34" s="28">
        <v>1.61</v>
      </c>
      <c r="CK34" s="28">
        <v>1.66</v>
      </c>
      <c r="CL34" s="28">
        <v>1.66</v>
      </c>
      <c r="CM34" s="28">
        <v>1.59</v>
      </c>
      <c r="CN34" s="28">
        <v>1.6</v>
      </c>
      <c r="CO34" s="28">
        <v>1.6</v>
      </c>
      <c r="CP34" s="28">
        <v>1.62</v>
      </c>
      <c r="CQ34" s="28">
        <v>1.71</v>
      </c>
      <c r="CR34" s="28">
        <v>1.63</v>
      </c>
      <c r="CS34" s="28">
        <v>1.61</v>
      </c>
      <c r="CT34" s="28">
        <v>1.59</v>
      </c>
      <c r="CU34" s="28">
        <v>1.68</v>
      </c>
      <c r="CV34" s="28">
        <v>1.58</v>
      </c>
      <c r="CW34" s="28">
        <v>1.58</v>
      </c>
      <c r="CX34" s="28">
        <v>1.63</v>
      </c>
      <c r="CY34" s="28">
        <v>1.65</v>
      </c>
      <c r="CZ34" s="28">
        <v>1.66</v>
      </c>
      <c r="DA34" s="28">
        <v>1.59</v>
      </c>
      <c r="DB34" s="28">
        <v>1.69</v>
      </c>
      <c r="DC34" s="28">
        <v>1.59</v>
      </c>
      <c r="DD34" s="28">
        <v>1.57</v>
      </c>
      <c r="DE34" s="28">
        <v>1.6</v>
      </c>
      <c r="DF34" s="28">
        <v>1.59</v>
      </c>
      <c r="DG34" s="28">
        <v>1.58</v>
      </c>
      <c r="DH34" s="28">
        <v>1.58</v>
      </c>
      <c r="DI34" s="28">
        <v>1.64</v>
      </c>
      <c r="DJ34" s="28">
        <v>1.79</v>
      </c>
      <c r="DK34" s="28">
        <v>1.67</v>
      </c>
      <c r="DL34" s="28">
        <v>1.68</v>
      </c>
      <c r="DM34" s="28">
        <v>1.62</v>
      </c>
      <c r="DN34" s="28">
        <v>1.59</v>
      </c>
      <c r="DO34" s="28">
        <v>1.62</v>
      </c>
      <c r="DP34" s="28">
        <v>1.67</v>
      </c>
    </row>
    <row r="35" spans="1:120" ht="15.75" customHeight="1">
      <c r="A35" s="1" t="s">
        <v>283</v>
      </c>
      <c r="B35" s="28">
        <v>98.8</v>
      </c>
      <c r="C35" s="28">
        <v>99.4</v>
      </c>
      <c r="D35" s="28">
        <v>99.4</v>
      </c>
      <c r="E35" s="28">
        <v>98.8</v>
      </c>
      <c r="F35" s="28">
        <v>99.1</v>
      </c>
      <c r="G35" s="28">
        <v>99.4</v>
      </c>
      <c r="H35" s="28">
        <v>99.1</v>
      </c>
      <c r="I35" s="28">
        <v>99.4</v>
      </c>
      <c r="J35" s="28">
        <v>99.4</v>
      </c>
      <c r="K35" s="28">
        <v>98.8</v>
      </c>
      <c r="L35" s="28">
        <v>98.8</v>
      </c>
      <c r="M35" s="28">
        <v>98.8</v>
      </c>
      <c r="N35" s="28">
        <v>99.1</v>
      </c>
      <c r="O35" s="28">
        <v>98.49</v>
      </c>
      <c r="P35" s="28">
        <v>99.7</v>
      </c>
      <c r="Q35" s="28">
        <v>99.4</v>
      </c>
      <c r="R35" s="28">
        <v>99.4</v>
      </c>
      <c r="S35" s="28">
        <v>99.7</v>
      </c>
      <c r="T35" s="28">
        <v>99.4</v>
      </c>
      <c r="U35" s="28">
        <v>100</v>
      </c>
      <c r="V35" s="28">
        <v>99.1</v>
      </c>
      <c r="W35" s="28">
        <v>99.7</v>
      </c>
      <c r="X35" s="28">
        <v>99.4</v>
      </c>
      <c r="Y35" s="28">
        <v>99.7</v>
      </c>
      <c r="Z35" s="28">
        <v>98.8</v>
      </c>
      <c r="AA35" s="28">
        <v>99.7</v>
      </c>
      <c r="AB35" s="28">
        <v>99.7</v>
      </c>
      <c r="AC35" s="28">
        <v>99.4</v>
      </c>
      <c r="AD35" s="28">
        <v>99.4</v>
      </c>
      <c r="AE35" s="28">
        <v>99.4</v>
      </c>
      <c r="AF35" s="28">
        <v>99.1</v>
      </c>
      <c r="AG35" s="28">
        <v>97.89</v>
      </c>
      <c r="AH35" s="28">
        <v>99.7</v>
      </c>
      <c r="AI35" s="28">
        <v>99.7</v>
      </c>
      <c r="AJ35" s="28">
        <v>100</v>
      </c>
      <c r="AK35" s="28">
        <v>99.4</v>
      </c>
      <c r="AL35" s="28">
        <v>99.4</v>
      </c>
      <c r="AM35" s="28">
        <v>99.7</v>
      </c>
      <c r="AN35" s="28">
        <v>99.4</v>
      </c>
      <c r="AO35" s="28">
        <v>99.4</v>
      </c>
      <c r="AP35" s="28">
        <v>99.4</v>
      </c>
      <c r="AQ35" s="28">
        <v>99.4</v>
      </c>
      <c r="AR35" s="28">
        <v>99.4</v>
      </c>
      <c r="AS35" s="28">
        <v>99.4</v>
      </c>
      <c r="AT35" s="28">
        <v>98.8</v>
      </c>
      <c r="AU35" s="28">
        <v>99.1</v>
      </c>
      <c r="AV35" s="28">
        <v>99.1</v>
      </c>
      <c r="AW35" s="28">
        <v>99.1</v>
      </c>
      <c r="AX35" s="28">
        <v>99.7</v>
      </c>
      <c r="AY35" s="28">
        <v>99.7</v>
      </c>
      <c r="AZ35" s="28">
        <v>99.4</v>
      </c>
      <c r="BA35" s="28">
        <v>99.7</v>
      </c>
      <c r="BB35" s="28">
        <v>99.4</v>
      </c>
      <c r="BC35" s="28">
        <v>99.7</v>
      </c>
      <c r="BD35" s="28">
        <v>99.1</v>
      </c>
      <c r="BE35" s="28">
        <v>99.7</v>
      </c>
      <c r="BF35" s="28">
        <v>99.4</v>
      </c>
      <c r="BG35" s="28">
        <v>99.4</v>
      </c>
      <c r="BH35" s="28">
        <v>99.4</v>
      </c>
      <c r="BI35" s="28">
        <v>98.8</v>
      </c>
      <c r="BJ35" s="28">
        <v>99.7</v>
      </c>
      <c r="BK35" s="28">
        <v>99.4</v>
      </c>
      <c r="BL35" s="28">
        <v>99.7</v>
      </c>
      <c r="BM35" s="28">
        <v>99.4</v>
      </c>
      <c r="BN35" s="28">
        <v>99.1</v>
      </c>
      <c r="BO35" s="28">
        <v>99.7</v>
      </c>
      <c r="BP35" s="28">
        <v>98.19</v>
      </c>
      <c r="BQ35" s="28">
        <v>99.4</v>
      </c>
      <c r="BR35" s="28">
        <v>99.7</v>
      </c>
      <c r="BS35" s="28">
        <v>99.7</v>
      </c>
      <c r="BT35" s="28">
        <v>99.7</v>
      </c>
      <c r="BU35" s="28">
        <v>99.4</v>
      </c>
      <c r="BV35" s="28">
        <v>99.4</v>
      </c>
      <c r="BW35" s="28">
        <v>99.4</v>
      </c>
      <c r="BX35" s="28">
        <v>99.7</v>
      </c>
      <c r="BY35" s="28">
        <v>99.1</v>
      </c>
      <c r="BZ35" s="28">
        <v>99.7</v>
      </c>
      <c r="CA35" s="28">
        <v>100</v>
      </c>
      <c r="CB35" s="28">
        <v>99.4</v>
      </c>
      <c r="CC35" s="28">
        <v>99.1</v>
      </c>
      <c r="CD35" s="28">
        <v>99.7</v>
      </c>
      <c r="CE35" s="28">
        <v>99.7</v>
      </c>
      <c r="CF35" s="28">
        <v>99.7</v>
      </c>
      <c r="CG35" s="28">
        <v>99.4</v>
      </c>
      <c r="CH35" s="28">
        <v>99.4</v>
      </c>
      <c r="CI35" s="28">
        <v>99.7</v>
      </c>
      <c r="CJ35" s="28">
        <v>99.4</v>
      </c>
      <c r="CK35" s="28">
        <v>98.49</v>
      </c>
      <c r="CL35" s="28">
        <v>99.4</v>
      </c>
      <c r="CM35" s="28">
        <v>99.4</v>
      </c>
      <c r="CN35" s="28">
        <v>99.4</v>
      </c>
      <c r="CO35" s="28">
        <v>99.4</v>
      </c>
      <c r="CP35" s="28">
        <v>99.1</v>
      </c>
      <c r="CQ35" s="28">
        <v>99.1</v>
      </c>
      <c r="CR35" s="28">
        <v>99.4</v>
      </c>
      <c r="CS35" s="28">
        <v>99.7</v>
      </c>
      <c r="CT35" s="28">
        <v>99.4</v>
      </c>
      <c r="CU35" s="28">
        <v>99.1</v>
      </c>
      <c r="CV35" s="28">
        <v>99.7</v>
      </c>
      <c r="CW35" s="28">
        <v>99.4</v>
      </c>
      <c r="CX35" s="28">
        <v>99.4</v>
      </c>
      <c r="CY35" s="28">
        <v>99.4</v>
      </c>
      <c r="CZ35" s="28">
        <v>99.7</v>
      </c>
      <c r="DA35" s="28">
        <v>99.7</v>
      </c>
      <c r="DB35" s="28">
        <v>99.1</v>
      </c>
      <c r="DC35" s="28">
        <v>99.4</v>
      </c>
      <c r="DD35" s="28">
        <v>99.4</v>
      </c>
      <c r="DE35" s="28">
        <v>99.7</v>
      </c>
      <c r="DF35" s="28">
        <v>99.4</v>
      </c>
      <c r="DG35" s="28">
        <v>99.7</v>
      </c>
      <c r="DH35" s="28">
        <v>99.4</v>
      </c>
      <c r="DI35" s="28">
        <v>99.4</v>
      </c>
      <c r="DJ35" s="28">
        <v>97.59</v>
      </c>
      <c r="DK35" s="28">
        <v>99.7</v>
      </c>
      <c r="DL35" s="28">
        <v>99.1</v>
      </c>
      <c r="DM35" s="28">
        <v>99.7</v>
      </c>
      <c r="DN35" s="28">
        <v>99.7</v>
      </c>
      <c r="DO35" s="28">
        <v>99.1</v>
      </c>
      <c r="DP35" s="28">
        <v>99.4</v>
      </c>
    </row>
    <row r="36" spans="1:120" ht="15.75" customHeight="1">
      <c r="A36" s="1" t="s">
        <v>284</v>
      </c>
      <c r="B36" s="28">
        <v>0.9</v>
      </c>
      <c r="C36" s="28">
        <v>0.6</v>
      </c>
      <c r="D36" s="28">
        <v>0.6</v>
      </c>
      <c r="E36" s="28">
        <v>1.2</v>
      </c>
      <c r="F36" s="28">
        <v>0.9</v>
      </c>
      <c r="G36" s="28">
        <v>0.6</v>
      </c>
      <c r="H36" s="28">
        <v>0.9</v>
      </c>
      <c r="I36" s="28">
        <v>0.6</v>
      </c>
      <c r="J36" s="28">
        <v>0.6</v>
      </c>
      <c r="K36" s="28">
        <v>1.2</v>
      </c>
      <c r="L36" s="28">
        <v>1.2</v>
      </c>
      <c r="M36" s="28">
        <v>1.2</v>
      </c>
      <c r="N36" s="28">
        <v>0.9</v>
      </c>
      <c r="O36" s="28">
        <v>1.2</v>
      </c>
      <c r="P36" s="28">
        <v>0.3</v>
      </c>
      <c r="Q36" s="28">
        <v>0.6</v>
      </c>
      <c r="R36" s="28">
        <v>0.6</v>
      </c>
      <c r="S36" s="28">
        <v>0.3</v>
      </c>
      <c r="T36" s="28">
        <v>0.6</v>
      </c>
      <c r="U36" s="28">
        <v>0</v>
      </c>
      <c r="V36" s="28">
        <v>0.9</v>
      </c>
      <c r="W36" s="28">
        <v>0.3</v>
      </c>
      <c r="X36" s="28">
        <v>0.6</v>
      </c>
      <c r="Y36" s="28">
        <v>0.3</v>
      </c>
      <c r="Z36" s="28">
        <v>1.2</v>
      </c>
      <c r="AA36" s="28">
        <v>0.3</v>
      </c>
      <c r="AB36" s="28">
        <v>0.3</v>
      </c>
      <c r="AC36" s="28">
        <v>0.6</v>
      </c>
      <c r="AD36" s="28">
        <v>0.6</v>
      </c>
      <c r="AE36" s="28">
        <v>0.6</v>
      </c>
      <c r="AF36" s="28">
        <v>0.9</v>
      </c>
      <c r="AG36" s="28">
        <v>2.11</v>
      </c>
      <c r="AH36" s="28">
        <v>0.3</v>
      </c>
      <c r="AI36" s="28">
        <v>0.3</v>
      </c>
      <c r="AJ36" s="28">
        <v>0</v>
      </c>
      <c r="AK36" s="28">
        <v>0.6</v>
      </c>
      <c r="AL36" s="28">
        <v>0.6</v>
      </c>
      <c r="AM36" s="28">
        <v>0.3</v>
      </c>
      <c r="AN36" s="28">
        <v>0.6</v>
      </c>
      <c r="AO36" s="28">
        <v>0.6</v>
      </c>
      <c r="AP36" s="28">
        <v>0.6</v>
      </c>
      <c r="AQ36" s="28">
        <v>0.6</v>
      </c>
      <c r="AR36" s="28">
        <v>0.6</v>
      </c>
      <c r="AS36" s="28">
        <v>0.6</v>
      </c>
      <c r="AT36" s="28">
        <v>1.2</v>
      </c>
      <c r="AU36" s="28">
        <v>0.9</v>
      </c>
      <c r="AV36" s="28">
        <v>0.9</v>
      </c>
      <c r="AW36" s="28">
        <v>0.9</v>
      </c>
      <c r="AX36" s="28">
        <v>0.3</v>
      </c>
      <c r="AY36" s="28">
        <v>0.3</v>
      </c>
      <c r="AZ36" s="28">
        <v>0.6</v>
      </c>
      <c r="BA36" s="28">
        <v>0.3</v>
      </c>
      <c r="BB36" s="28">
        <v>0.6</v>
      </c>
      <c r="BC36" s="28">
        <v>0.3</v>
      </c>
      <c r="BD36" s="28">
        <v>0.9</v>
      </c>
      <c r="BE36" s="28">
        <v>0.3</v>
      </c>
      <c r="BF36" s="28">
        <v>0.6</v>
      </c>
      <c r="BG36" s="28">
        <v>0.6</v>
      </c>
      <c r="BH36" s="28">
        <v>0.6</v>
      </c>
      <c r="BI36" s="28">
        <v>1.2</v>
      </c>
      <c r="BJ36" s="28">
        <v>0.3</v>
      </c>
      <c r="BK36" s="28">
        <v>0.6</v>
      </c>
      <c r="BL36" s="28">
        <v>0.3</v>
      </c>
      <c r="BM36" s="28">
        <v>0.6</v>
      </c>
      <c r="BN36" s="28">
        <v>0.9</v>
      </c>
      <c r="BO36" s="28">
        <v>0.3</v>
      </c>
      <c r="BP36" s="28">
        <v>1.81</v>
      </c>
      <c r="BQ36" s="28">
        <v>0.6</v>
      </c>
      <c r="BR36" s="28">
        <v>0.3</v>
      </c>
      <c r="BS36" s="28">
        <v>0.3</v>
      </c>
      <c r="BT36" s="28">
        <v>0.3</v>
      </c>
      <c r="BU36" s="28">
        <v>0.6</v>
      </c>
      <c r="BV36" s="28">
        <v>0.6</v>
      </c>
      <c r="BW36" s="28">
        <v>0.6</v>
      </c>
      <c r="BX36" s="28">
        <v>0.3</v>
      </c>
      <c r="BY36" s="28">
        <v>0.9</v>
      </c>
      <c r="BZ36" s="28">
        <v>0.3</v>
      </c>
      <c r="CA36" s="28">
        <v>0</v>
      </c>
      <c r="CB36" s="28">
        <v>0.6</v>
      </c>
      <c r="CC36" s="28">
        <v>0.9</v>
      </c>
      <c r="CD36" s="28">
        <v>0.3</v>
      </c>
      <c r="CE36" s="28">
        <v>0.3</v>
      </c>
      <c r="CF36" s="28">
        <v>0.3</v>
      </c>
      <c r="CG36" s="28">
        <v>0.6</v>
      </c>
      <c r="CH36" s="28">
        <v>0.6</v>
      </c>
      <c r="CI36" s="28">
        <v>0.3</v>
      </c>
      <c r="CJ36" s="28">
        <v>0.6</v>
      </c>
      <c r="CK36" s="28">
        <v>1.51</v>
      </c>
      <c r="CL36" s="28">
        <v>0.6</v>
      </c>
      <c r="CM36" s="28">
        <v>0.6</v>
      </c>
      <c r="CN36" s="28">
        <v>0.6</v>
      </c>
      <c r="CO36" s="28">
        <v>0.6</v>
      </c>
      <c r="CP36" s="28">
        <v>0.9</v>
      </c>
      <c r="CQ36" s="28">
        <v>0.9</v>
      </c>
      <c r="CR36" s="28">
        <v>0.6</v>
      </c>
      <c r="CS36" s="28">
        <v>0.3</v>
      </c>
      <c r="CT36" s="28">
        <v>0.6</v>
      </c>
      <c r="CU36" s="28">
        <v>0.9</v>
      </c>
      <c r="CV36" s="28">
        <v>0.3</v>
      </c>
      <c r="CW36" s="28">
        <v>0.6</v>
      </c>
      <c r="CX36" s="28">
        <v>0.6</v>
      </c>
      <c r="CY36" s="28">
        <v>0.6</v>
      </c>
      <c r="CZ36" s="28">
        <v>0.3</v>
      </c>
      <c r="DA36" s="28">
        <v>0.3</v>
      </c>
      <c r="DB36" s="28">
        <v>0.9</v>
      </c>
      <c r="DC36" s="28">
        <v>0.6</v>
      </c>
      <c r="DD36" s="28">
        <v>0.6</v>
      </c>
      <c r="DE36" s="28">
        <v>0.3</v>
      </c>
      <c r="DF36" s="28">
        <v>0.6</v>
      </c>
      <c r="DG36" s="28">
        <v>0.3</v>
      </c>
      <c r="DH36" s="28">
        <v>0.6</v>
      </c>
      <c r="DI36" s="28">
        <v>0.6</v>
      </c>
      <c r="DJ36" s="28">
        <v>2.11</v>
      </c>
      <c r="DK36" s="28">
        <v>0.3</v>
      </c>
      <c r="DL36" s="28">
        <v>0.9</v>
      </c>
      <c r="DM36" s="28">
        <v>0.3</v>
      </c>
      <c r="DN36" s="28">
        <v>0.3</v>
      </c>
      <c r="DO36" s="28">
        <v>0.9</v>
      </c>
      <c r="DP36" s="28">
        <v>0.6</v>
      </c>
    </row>
    <row r="37" spans="1:120" ht="15.75" customHeight="1">
      <c r="A37" s="1" t="s">
        <v>285</v>
      </c>
      <c r="B37" s="28">
        <v>0.3</v>
      </c>
      <c r="C37" s="28">
        <v>0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0.3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  <c r="CM37" s="28">
        <v>0</v>
      </c>
      <c r="CN37" s="28">
        <v>0</v>
      </c>
      <c r="CO37" s="28">
        <v>0</v>
      </c>
      <c r="CP37" s="28">
        <v>0</v>
      </c>
      <c r="CQ37" s="28">
        <v>0</v>
      </c>
      <c r="CR37" s="28">
        <v>0</v>
      </c>
      <c r="CS37" s="28">
        <v>0</v>
      </c>
      <c r="CT37" s="28">
        <v>0</v>
      </c>
      <c r="CU37" s="28">
        <v>0</v>
      </c>
      <c r="CV37" s="28">
        <v>0</v>
      </c>
      <c r="CW37" s="28">
        <v>0</v>
      </c>
      <c r="CX37" s="28">
        <v>0</v>
      </c>
      <c r="CY37" s="28">
        <v>0</v>
      </c>
      <c r="CZ37" s="28">
        <v>0</v>
      </c>
      <c r="DA37" s="28">
        <v>0</v>
      </c>
      <c r="DB37" s="28">
        <v>0</v>
      </c>
      <c r="DC37" s="28">
        <v>0</v>
      </c>
      <c r="DD37" s="28">
        <v>0</v>
      </c>
      <c r="DE37" s="28">
        <v>0</v>
      </c>
      <c r="DF37" s="28">
        <v>0</v>
      </c>
      <c r="DG37" s="28">
        <v>0</v>
      </c>
      <c r="DH37" s="28">
        <v>0</v>
      </c>
      <c r="DI37" s="28">
        <v>0</v>
      </c>
      <c r="DJ37" s="28">
        <v>0.3</v>
      </c>
      <c r="DK37" s="28">
        <v>0</v>
      </c>
      <c r="DL37" s="28">
        <v>0</v>
      </c>
      <c r="DM37" s="28">
        <v>0</v>
      </c>
      <c r="DN37" s="28">
        <v>0</v>
      </c>
      <c r="DO37" s="28">
        <v>0</v>
      </c>
      <c r="DP37" s="28">
        <v>0</v>
      </c>
    </row>
    <row r="38" spans="1:120" ht="15.75" customHeight="1">
      <c r="A38" s="1" t="s">
        <v>286</v>
      </c>
      <c r="B38" s="28">
        <v>1.77</v>
      </c>
      <c r="C38" s="28">
        <v>1.77</v>
      </c>
      <c r="D38" s="28">
        <v>1.06</v>
      </c>
      <c r="E38" s="28">
        <v>1.41</v>
      </c>
      <c r="F38" s="28">
        <v>1.41</v>
      </c>
      <c r="G38" s="28">
        <v>1.06</v>
      </c>
      <c r="H38" s="28">
        <v>0.71</v>
      </c>
      <c r="I38" s="28">
        <v>1.06</v>
      </c>
      <c r="J38" s="28">
        <v>2.12</v>
      </c>
      <c r="K38" s="28">
        <v>1.06</v>
      </c>
      <c r="L38" s="28">
        <v>3.18</v>
      </c>
      <c r="M38" s="28">
        <v>1.06</v>
      </c>
      <c r="N38" s="28">
        <v>1.06</v>
      </c>
      <c r="O38" s="28">
        <v>1.41</v>
      </c>
      <c r="P38" s="28">
        <v>1.06</v>
      </c>
      <c r="Q38" s="28">
        <v>1.06</v>
      </c>
      <c r="R38" s="28">
        <v>0.71</v>
      </c>
      <c r="S38" s="28">
        <v>0.71</v>
      </c>
      <c r="T38" s="28">
        <v>0.71</v>
      </c>
      <c r="U38" s="28">
        <v>1.06</v>
      </c>
      <c r="V38" s="28">
        <v>2.13</v>
      </c>
      <c r="W38" s="28">
        <v>0.71</v>
      </c>
      <c r="X38" s="28">
        <v>0.71</v>
      </c>
      <c r="Y38" s="28">
        <v>0.71</v>
      </c>
      <c r="Z38" s="28">
        <v>0.71</v>
      </c>
      <c r="AA38" s="28">
        <v>1.41</v>
      </c>
      <c r="AB38" s="28">
        <v>1.41</v>
      </c>
      <c r="AC38" s="28">
        <v>1.06</v>
      </c>
      <c r="AD38" s="28">
        <v>0.71</v>
      </c>
      <c r="AE38" s="28">
        <v>0.71</v>
      </c>
      <c r="AF38" s="28">
        <v>0.71</v>
      </c>
      <c r="AG38" s="28">
        <v>1.41</v>
      </c>
      <c r="AH38" s="28">
        <v>0.71</v>
      </c>
      <c r="AI38" s="28">
        <v>0.71</v>
      </c>
      <c r="AJ38" s="28">
        <v>0.71</v>
      </c>
      <c r="AK38" s="28">
        <v>0.71</v>
      </c>
      <c r="AL38" s="28">
        <v>0.71</v>
      </c>
      <c r="AM38" s="28">
        <v>1.06</v>
      </c>
      <c r="AN38" s="28">
        <v>1.41</v>
      </c>
      <c r="AO38" s="28">
        <v>0.71</v>
      </c>
      <c r="AP38" s="28">
        <v>1.41</v>
      </c>
      <c r="AQ38" s="28">
        <v>1.06</v>
      </c>
      <c r="AR38" s="28">
        <v>1.06</v>
      </c>
      <c r="AS38" s="28">
        <v>0</v>
      </c>
      <c r="AT38" s="28">
        <v>0.35</v>
      </c>
      <c r="AU38" s="28">
        <v>0.71</v>
      </c>
      <c r="AV38" s="28">
        <v>1.41</v>
      </c>
      <c r="AW38" s="28">
        <v>0.71</v>
      </c>
      <c r="AX38" s="28">
        <v>1.06</v>
      </c>
      <c r="AY38" s="28">
        <v>1.06</v>
      </c>
      <c r="AZ38" s="28">
        <v>1.06</v>
      </c>
      <c r="BA38" s="28">
        <v>0.71</v>
      </c>
      <c r="BB38" s="28">
        <v>0.71</v>
      </c>
      <c r="BC38" s="28">
        <v>0.71</v>
      </c>
      <c r="BD38" s="28">
        <v>1.06</v>
      </c>
      <c r="BE38" s="28">
        <v>0.71</v>
      </c>
      <c r="BF38" s="28">
        <v>0.71</v>
      </c>
      <c r="BG38" s="28">
        <v>1.06</v>
      </c>
      <c r="BH38" s="28">
        <v>0.71</v>
      </c>
      <c r="BI38" s="28">
        <v>1.06</v>
      </c>
      <c r="BJ38" s="28">
        <v>1.06</v>
      </c>
      <c r="BK38" s="28">
        <v>1.06</v>
      </c>
      <c r="BL38" s="28">
        <v>0.71</v>
      </c>
      <c r="BM38" s="28">
        <v>0.71</v>
      </c>
      <c r="BN38" s="28">
        <v>0.71</v>
      </c>
      <c r="BO38" s="28">
        <v>0.71</v>
      </c>
      <c r="BP38" s="28">
        <v>0.35</v>
      </c>
      <c r="BQ38" s="28">
        <v>0.71</v>
      </c>
      <c r="BR38" s="28">
        <v>1.06</v>
      </c>
      <c r="BS38" s="28">
        <v>0.71</v>
      </c>
      <c r="BT38" s="28">
        <v>0.71</v>
      </c>
      <c r="BU38" s="28">
        <v>0.71</v>
      </c>
      <c r="BV38" s="28">
        <v>0.71</v>
      </c>
      <c r="BW38" s="28">
        <v>1.06</v>
      </c>
      <c r="BX38" s="28">
        <v>1.41</v>
      </c>
      <c r="BY38" s="28">
        <v>0.71</v>
      </c>
      <c r="BZ38" s="28">
        <v>1.06</v>
      </c>
      <c r="CA38" s="28">
        <v>0.71</v>
      </c>
      <c r="CB38" s="28">
        <v>1.06</v>
      </c>
      <c r="CC38" s="28">
        <v>0.71</v>
      </c>
      <c r="CD38" s="28">
        <v>1.06</v>
      </c>
      <c r="CE38" s="28">
        <v>0.71</v>
      </c>
      <c r="CF38" s="28">
        <v>1.06</v>
      </c>
      <c r="CG38" s="28">
        <v>1.41</v>
      </c>
      <c r="CH38" s="28">
        <v>1.06</v>
      </c>
      <c r="CI38" s="28">
        <v>1.41</v>
      </c>
      <c r="CJ38" s="28">
        <v>0.71</v>
      </c>
      <c r="CK38" s="28">
        <v>1.06</v>
      </c>
      <c r="CL38" s="28">
        <v>1.06</v>
      </c>
      <c r="CM38" s="28">
        <v>0.71</v>
      </c>
      <c r="CN38" s="28">
        <v>1.06</v>
      </c>
      <c r="CO38" s="28">
        <v>0.71</v>
      </c>
      <c r="CP38" s="28">
        <v>0.71</v>
      </c>
      <c r="CQ38" s="28">
        <v>1.41</v>
      </c>
      <c r="CR38" s="28">
        <v>0.71</v>
      </c>
      <c r="CS38" s="28">
        <v>0.71</v>
      </c>
      <c r="CT38" s="28">
        <v>0.71</v>
      </c>
      <c r="CU38" s="28">
        <v>0.71</v>
      </c>
      <c r="CV38" s="28">
        <v>1.06</v>
      </c>
      <c r="CW38" s="28">
        <v>0.71</v>
      </c>
      <c r="CX38" s="28">
        <v>0.71</v>
      </c>
      <c r="CY38" s="28">
        <v>0.35</v>
      </c>
      <c r="CZ38" s="28">
        <v>1.77</v>
      </c>
      <c r="DA38" s="28">
        <v>1.06</v>
      </c>
      <c r="DB38" s="28">
        <v>1.06</v>
      </c>
      <c r="DC38" s="28">
        <v>0.71</v>
      </c>
      <c r="DD38" s="28">
        <v>0.71</v>
      </c>
      <c r="DE38" s="28">
        <v>0.71</v>
      </c>
      <c r="DF38" s="28">
        <v>0.71</v>
      </c>
      <c r="DG38" s="28">
        <v>0.71</v>
      </c>
      <c r="DH38" s="28">
        <v>0.71</v>
      </c>
      <c r="DI38" s="28">
        <v>0.35</v>
      </c>
      <c r="DJ38" s="28">
        <v>2.4700000000000002</v>
      </c>
      <c r="DK38" s="28">
        <v>0.71</v>
      </c>
      <c r="DL38" s="28">
        <v>1.06</v>
      </c>
      <c r="DM38" s="28">
        <v>0.35</v>
      </c>
      <c r="DN38" s="28">
        <v>1.41</v>
      </c>
      <c r="DO38" s="28">
        <v>0.71</v>
      </c>
      <c r="DP38" s="28">
        <v>1.77</v>
      </c>
    </row>
    <row r="39" spans="1:120" ht="15.75" customHeight="1">
      <c r="A39" s="1" t="s">
        <v>287</v>
      </c>
      <c r="B39" s="28">
        <v>4.04</v>
      </c>
      <c r="C39" s="28">
        <v>1.93</v>
      </c>
      <c r="D39" s="28">
        <v>2.13</v>
      </c>
      <c r="E39" s="28">
        <v>2.5099999999999998</v>
      </c>
      <c r="F39" s="28">
        <v>2.3199999999999998</v>
      </c>
      <c r="G39" s="28">
        <v>2.71</v>
      </c>
      <c r="H39" s="28">
        <v>4.0599999999999996</v>
      </c>
      <c r="I39" s="28">
        <v>2.13</v>
      </c>
      <c r="J39" s="28">
        <v>3.85</v>
      </c>
      <c r="K39" s="28">
        <v>2.3199999999999998</v>
      </c>
      <c r="L39" s="28">
        <v>4.83</v>
      </c>
      <c r="M39" s="28">
        <v>2.12</v>
      </c>
      <c r="N39" s="28">
        <v>2.3199999999999998</v>
      </c>
      <c r="O39" s="28">
        <v>3.09</v>
      </c>
      <c r="P39" s="28">
        <v>1.93</v>
      </c>
      <c r="Q39" s="28">
        <v>1.55</v>
      </c>
      <c r="R39" s="28">
        <v>2.3199999999999998</v>
      </c>
      <c r="S39" s="28">
        <v>1.35</v>
      </c>
      <c r="T39" s="28">
        <v>1.93</v>
      </c>
      <c r="U39" s="28">
        <v>1.55</v>
      </c>
      <c r="V39" s="28">
        <v>1.55</v>
      </c>
      <c r="W39" s="28">
        <v>2.5099999999999998</v>
      </c>
      <c r="X39" s="28">
        <v>2.5099999999999998</v>
      </c>
      <c r="Y39" s="28">
        <v>2.9</v>
      </c>
      <c r="Z39" s="28">
        <v>1.74</v>
      </c>
      <c r="AA39" s="28">
        <v>0.96</v>
      </c>
      <c r="AB39" s="28">
        <v>2.13</v>
      </c>
      <c r="AC39" s="28">
        <v>1.55</v>
      </c>
      <c r="AD39" s="28">
        <v>1.93</v>
      </c>
      <c r="AE39" s="28">
        <v>2.5099999999999998</v>
      </c>
      <c r="AF39" s="28">
        <v>2.3199999999999998</v>
      </c>
      <c r="AG39" s="28">
        <v>2.71</v>
      </c>
      <c r="AH39" s="28">
        <v>1.74</v>
      </c>
      <c r="AI39" s="28">
        <v>3.09</v>
      </c>
      <c r="AJ39" s="28">
        <v>3.09</v>
      </c>
      <c r="AK39" s="28">
        <v>1.55</v>
      </c>
      <c r="AL39" s="28">
        <v>1.55</v>
      </c>
      <c r="AM39" s="28">
        <v>1.93</v>
      </c>
      <c r="AN39" s="28">
        <v>1.74</v>
      </c>
      <c r="AO39" s="28">
        <v>1.74</v>
      </c>
      <c r="AP39" s="28">
        <v>2.13</v>
      </c>
      <c r="AQ39" s="28">
        <v>2.3199999999999998</v>
      </c>
      <c r="AR39" s="28">
        <v>3.09</v>
      </c>
      <c r="AS39" s="28">
        <v>3.1</v>
      </c>
      <c r="AT39" s="28">
        <v>1.1599999999999999</v>
      </c>
      <c r="AU39" s="28">
        <v>2.13</v>
      </c>
      <c r="AV39" s="28">
        <v>2.3199999999999998</v>
      </c>
      <c r="AW39" s="28">
        <v>2.5099999999999998</v>
      </c>
      <c r="AX39" s="28">
        <v>1.93</v>
      </c>
      <c r="AY39" s="28">
        <v>2.9</v>
      </c>
      <c r="AZ39" s="28">
        <v>2.12</v>
      </c>
      <c r="BA39" s="28">
        <v>2.71</v>
      </c>
      <c r="BB39" s="28">
        <v>2.13</v>
      </c>
      <c r="BC39" s="28">
        <v>2.3199999999999998</v>
      </c>
      <c r="BD39" s="28">
        <v>1.74</v>
      </c>
      <c r="BE39" s="28">
        <v>2.5099999999999998</v>
      </c>
      <c r="BF39" s="28">
        <v>1.93</v>
      </c>
      <c r="BG39" s="28">
        <v>2.71</v>
      </c>
      <c r="BH39" s="28">
        <v>2.13</v>
      </c>
      <c r="BI39" s="28">
        <v>3.27</v>
      </c>
      <c r="BJ39" s="28">
        <v>0.97</v>
      </c>
      <c r="BK39" s="28">
        <v>2.3199999999999998</v>
      </c>
      <c r="BL39" s="28">
        <v>2.13</v>
      </c>
      <c r="BM39" s="28">
        <v>1.93</v>
      </c>
      <c r="BN39" s="28">
        <v>2.71</v>
      </c>
      <c r="BO39" s="28">
        <v>3.09</v>
      </c>
      <c r="BP39" s="28">
        <v>3.09</v>
      </c>
      <c r="BQ39" s="28">
        <v>2.13</v>
      </c>
      <c r="BR39" s="28">
        <v>3.48</v>
      </c>
      <c r="BS39" s="28">
        <v>2.9</v>
      </c>
      <c r="BT39" s="28">
        <v>3.67</v>
      </c>
      <c r="BU39" s="28">
        <v>2.7</v>
      </c>
      <c r="BV39" s="28">
        <v>1.74</v>
      </c>
      <c r="BW39" s="28">
        <v>2.9</v>
      </c>
      <c r="BX39" s="28">
        <v>3.09</v>
      </c>
      <c r="BY39" s="28">
        <v>1.54</v>
      </c>
      <c r="BZ39" s="28">
        <v>1.93</v>
      </c>
      <c r="CA39" s="28">
        <v>2.13</v>
      </c>
      <c r="CB39" s="28">
        <v>2.5099999999999998</v>
      </c>
      <c r="CC39" s="28">
        <v>1.35</v>
      </c>
      <c r="CD39" s="28">
        <v>3.87</v>
      </c>
      <c r="CE39" s="28">
        <v>1.55</v>
      </c>
      <c r="CF39" s="28">
        <v>1.93</v>
      </c>
      <c r="CG39" s="28">
        <v>0.77</v>
      </c>
      <c r="CH39" s="28">
        <v>2.71</v>
      </c>
      <c r="CI39" s="28">
        <v>2.3199999999999998</v>
      </c>
      <c r="CJ39" s="28">
        <v>1.74</v>
      </c>
      <c r="CK39" s="28">
        <v>2.5099999999999998</v>
      </c>
      <c r="CL39" s="28">
        <v>3.68</v>
      </c>
      <c r="CM39" s="28">
        <v>2.3199999999999998</v>
      </c>
      <c r="CN39" s="28">
        <v>2.3199999999999998</v>
      </c>
      <c r="CO39" s="28">
        <v>1.74</v>
      </c>
      <c r="CP39" s="28">
        <v>1.35</v>
      </c>
      <c r="CQ39" s="28">
        <v>3.29</v>
      </c>
      <c r="CR39" s="28">
        <v>2.9</v>
      </c>
      <c r="CS39" s="28">
        <v>2.7</v>
      </c>
      <c r="CT39" s="28">
        <v>1.55</v>
      </c>
      <c r="CU39" s="28">
        <v>3.29</v>
      </c>
      <c r="CV39" s="28">
        <v>1.54</v>
      </c>
      <c r="CW39" s="28">
        <v>2.71</v>
      </c>
      <c r="CX39" s="28">
        <v>1.74</v>
      </c>
      <c r="CY39" s="28">
        <v>2.13</v>
      </c>
      <c r="CZ39" s="28">
        <v>0.97</v>
      </c>
      <c r="DA39" s="28">
        <v>1.35</v>
      </c>
      <c r="DB39" s="28">
        <v>4.63</v>
      </c>
      <c r="DC39" s="28">
        <v>2.71</v>
      </c>
      <c r="DD39" s="28">
        <v>2.5099999999999998</v>
      </c>
      <c r="DE39" s="28">
        <v>1.74</v>
      </c>
      <c r="DF39" s="28">
        <v>2.12</v>
      </c>
      <c r="DG39" s="28">
        <v>1.93</v>
      </c>
      <c r="DH39" s="28">
        <v>2.9</v>
      </c>
      <c r="DI39" s="28">
        <v>2.3199999999999998</v>
      </c>
      <c r="DJ39" s="28">
        <v>5.6</v>
      </c>
      <c r="DK39" s="28">
        <v>2.13</v>
      </c>
      <c r="DL39" s="28">
        <v>2.12</v>
      </c>
      <c r="DM39" s="28">
        <v>2.69</v>
      </c>
      <c r="DN39" s="28">
        <v>1.93</v>
      </c>
      <c r="DO39" s="28">
        <v>3.09</v>
      </c>
      <c r="DP39" s="28">
        <v>2.31</v>
      </c>
    </row>
    <row r="40" spans="1:120" ht="15.75" customHeight="1">
      <c r="A40" s="1" t="s">
        <v>288</v>
      </c>
      <c r="B40" s="28">
        <v>18.579999999999998</v>
      </c>
      <c r="C40" s="28">
        <v>19.68</v>
      </c>
      <c r="D40" s="28">
        <v>18.28</v>
      </c>
      <c r="E40" s="28">
        <v>19.03</v>
      </c>
      <c r="F40" s="28">
        <v>20.149999999999999</v>
      </c>
      <c r="G40" s="28">
        <v>19.079999999999998</v>
      </c>
      <c r="H40" s="28">
        <v>20.62</v>
      </c>
      <c r="I40" s="28">
        <v>17.850000000000001</v>
      </c>
      <c r="J40" s="28">
        <v>18.86</v>
      </c>
      <c r="K40" s="28">
        <v>17.68</v>
      </c>
      <c r="L40" s="28">
        <v>21.76</v>
      </c>
      <c r="M40" s="28">
        <v>20.100000000000001</v>
      </c>
      <c r="N40" s="28">
        <v>16.73</v>
      </c>
      <c r="O40" s="28">
        <v>18.829999999999998</v>
      </c>
      <c r="P40" s="28">
        <v>20.68</v>
      </c>
      <c r="Q40" s="28">
        <v>19.7</v>
      </c>
      <c r="R40" s="28">
        <v>22.14</v>
      </c>
      <c r="S40" s="28">
        <v>21.62</v>
      </c>
      <c r="T40" s="28">
        <v>19.09</v>
      </c>
      <c r="U40" s="28">
        <v>21.13</v>
      </c>
      <c r="V40" s="28">
        <v>19.32</v>
      </c>
      <c r="W40" s="28">
        <v>18.66</v>
      </c>
      <c r="X40" s="28">
        <v>19.87</v>
      </c>
      <c r="Y40" s="28">
        <v>20.440000000000001</v>
      </c>
      <c r="Z40" s="28">
        <v>19.739999999999998</v>
      </c>
      <c r="AA40" s="28">
        <v>18.239999999999998</v>
      </c>
      <c r="AB40" s="28">
        <v>21.66</v>
      </c>
      <c r="AC40" s="28">
        <v>21.2</v>
      </c>
      <c r="AD40" s="28">
        <v>17.899999999999999</v>
      </c>
      <c r="AE40" s="28">
        <v>19.239999999999998</v>
      </c>
      <c r="AF40" s="28">
        <v>19.87</v>
      </c>
      <c r="AG40" s="28">
        <v>23.05</v>
      </c>
      <c r="AH40" s="28">
        <v>20.83</v>
      </c>
      <c r="AI40" s="28">
        <v>20.29</v>
      </c>
      <c r="AJ40" s="28">
        <v>18.73</v>
      </c>
      <c r="AK40" s="28">
        <v>20.69</v>
      </c>
      <c r="AL40" s="28">
        <v>18.93</v>
      </c>
      <c r="AM40" s="28">
        <v>22.42</v>
      </c>
      <c r="AN40" s="28">
        <v>19.86</v>
      </c>
      <c r="AO40" s="28">
        <v>21.98</v>
      </c>
      <c r="AP40" s="28">
        <v>22.08</v>
      </c>
      <c r="AQ40" s="28">
        <v>21.11</v>
      </c>
      <c r="AR40" s="28">
        <v>19.64</v>
      </c>
      <c r="AS40" s="28">
        <v>18.07</v>
      </c>
      <c r="AT40" s="28">
        <v>20.55</v>
      </c>
      <c r="AU40" s="28">
        <v>18.68</v>
      </c>
      <c r="AV40" s="28">
        <v>20.059999999999999</v>
      </c>
      <c r="AW40" s="28">
        <v>18.37</v>
      </c>
      <c r="AX40" s="28">
        <v>18.29</v>
      </c>
      <c r="AY40" s="28">
        <v>17.77</v>
      </c>
      <c r="AZ40" s="28">
        <v>18.54</v>
      </c>
      <c r="BA40" s="28">
        <v>19.3</v>
      </c>
      <c r="BB40" s="28">
        <v>17.91</v>
      </c>
      <c r="BC40" s="28">
        <v>18.64</v>
      </c>
      <c r="BD40" s="28">
        <v>18.420000000000002</v>
      </c>
      <c r="BE40" s="28">
        <v>18.5</v>
      </c>
      <c r="BF40" s="28">
        <v>16.34</v>
      </c>
      <c r="BG40" s="28">
        <v>19.22</v>
      </c>
      <c r="BH40" s="28">
        <v>17.920000000000002</v>
      </c>
      <c r="BI40" s="28">
        <v>18.46</v>
      </c>
      <c r="BJ40" s="28">
        <v>18.510000000000002</v>
      </c>
      <c r="BK40" s="28">
        <v>17.239999999999998</v>
      </c>
      <c r="BL40" s="28">
        <v>19.68</v>
      </c>
      <c r="BM40" s="28">
        <v>18.87</v>
      </c>
      <c r="BN40" s="28">
        <v>17.920000000000002</v>
      </c>
      <c r="BO40" s="28">
        <v>19.399999999999999</v>
      </c>
      <c r="BP40" s="28">
        <v>18.71</v>
      </c>
      <c r="BQ40" s="28">
        <v>17.28</v>
      </c>
      <c r="BR40" s="28">
        <v>16.73</v>
      </c>
      <c r="BS40" s="28">
        <v>17.86</v>
      </c>
      <c r="BT40" s="28">
        <v>18.16</v>
      </c>
      <c r="BU40" s="28">
        <v>16.95</v>
      </c>
      <c r="BV40" s="28">
        <v>16.7</v>
      </c>
      <c r="BW40" s="28">
        <v>18.53</v>
      </c>
      <c r="BX40" s="28">
        <v>18.14</v>
      </c>
      <c r="BY40" s="28">
        <v>18.36</v>
      </c>
      <c r="BZ40" s="28">
        <v>18.18</v>
      </c>
      <c r="CA40" s="28">
        <v>19.61</v>
      </c>
      <c r="CB40" s="28">
        <v>18.940000000000001</v>
      </c>
      <c r="CC40" s="28">
        <v>19</v>
      </c>
      <c r="CD40" s="28">
        <v>17.940000000000001</v>
      </c>
      <c r="CE40" s="28">
        <v>17.989999999999998</v>
      </c>
      <c r="CF40" s="28">
        <v>20.04</v>
      </c>
      <c r="CG40" s="28">
        <v>19.97</v>
      </c>
      <c r="CH40" s="28">
        <v>18.22</v>
      </c>
      <c r="CI40" s="28">
        <v>18.12</v>
      </c>
      <c r="CJ40" s="28">
        <v>18.170000000000002</v>
      </c>
      <c r="CK40" s="28">
        <v>18.57</v>
      </c>
      <c r="CL40" s="28">
        <v>17.18</v>
      </c>
      <c r="CM40" s="28">
        <v>17.600000000000001</v>
      </c>
      <c r="CN40" s="28">
        <v>19.170000000000002</v>
      </c>
      <c r="CO40" s="28">
        <v>17.27</v>
      </c>
      <c r="CP40" s="28">
        <v>18.88</v>
      </c>
      <c r="CQ40" s="28">
        <v>20.38</v>
      </c>
      <c r="CR40" s="28">
        <v>17.920000000000002</v>
      </c>
      <c r="CS40" s="28">
        <v>19.73</v>
      </c>
      <c r="CT40" s="28">
        <v>17.920000000000002</v>
      </c>
      <c r="CU40" s="28">
        <v>19.43</v>
      </c>
      <c r="CV40" s="28">
        <v>18.5</v>
      </c>
      <c r="CW40" s="28">
        <v>18.07</v>
      </c>
      <c r="CX40" s="28">
        <v>18.87</v>
      </c>
      <c r="CY40" s="28">
        <v>20.59</v>
      </c>
      <c r="CZ40" s="28">
        <v>21.62</v>
      </c>
      <c r="DA40" s="28">
        <v>19.149999999999999</v>
      </c>
      <c r="DB40" s="28">
        <v>19.149999999999999</v>
      </c>
      <c r="DC40" s="28">
        <v>17.53</v>
      </c>
      <c r="DD40" s="28">
        <v>17.739999999999998</v>
      </c>
      <c r="DE40" s="28">
        <v>19.09</v>
      </c>
      <c r="DF40" s="28">
        <v>18.14</v>
      </c>
      <c r="DG40" s="28">
        <v>17.809999999999999</v>
      </c>
      <c r="DH40" s="28">
        <v>19.010000000000002</v>
      </c>
      <c r="DI40" s="28">
        <v>17.059999999999999</v>
      </c>
      <c r="DJ40" s="28">
        <v>18.940000000000001</v>
      </c>
      <c r="DK40" s="28">
        <v>17.16</v>
      </c>
      <c r="DL40" s="28">
        <v>17.47</v>
      </c>
      <c r="DM40" s="28">
        <v>18.940000000000001</v>
      </c>
      <c r="DN40" s="28">
        <v>19.45</v>
      </c>
      <c r="DO40" s="28">
        <v>17.57</v>
      </c>
      <c r="DP40" s="28">
        <v>20.43</v>
      </c>
    </row>
    <row r="41" spans="1:120" ht="15.75" customHeight="1">
      <c r="A41" s="1" t="s">
        <v>277</v>
      </c>
      <c r="B41" s="28">
        <v>16.670000000000002</v>
      </c>
      <c r="C41" s="28">
        <v>17.45</v>
      </c>
      <c r="D41" s="28">
        <v>15.75</v>
      </c>
      <c r="E41" s="28">
        <v>16.7</v>
      </c>
      <c r="F41" s="28">
        <v>18.46</v>
      </c>
      <c r="G41" s="28">
        <v>16.77</v>
      </c>
      <c r="H41" s="28">
        <v>18.77</v>
      </c>
      <c r="I41" s="28">
        <v>15.44</v>
      </c>
      <c r="J41" s="28">
        <v>16.829999999999998</v>
      </c>
      <c r="K41" s="28">
        <v>15.3</v>
      </c>
      <c r="L41" s="28">
        <v>20.239999999999998</v>
      </c>
      <c r="M41" s="28">
        <v>18.329999999999998</v>
      </c>
      <c r="N41" s="28">
        <v>14.34</v>
      </c>
      <c r="O41" s="28">
        <v>16.64</v>
      </c>
      <c r="P41" s="28">
        <v>18.7</v>
      </c>
      <c r="Q41" s="28">
        <v>17.88</v>
      </c>
      <c r="R41" s="28">
        <v>20.34</v>
      </c>
      <c r="S41" s="28">
        <v>19.75</v>
      </c>
      <c r="T41" s="28">
        <v>16.97</v>
      </c>
      <c r="U41" s="28">
        <v>19.32</v>
      </c>
      <c r="V41" s="28">
        <v>17.2</v>
      </c>
      <c r="W41" s="28">
        <v>16.41</v>
      </c>
      <c r="X41" s="28">
        <v>17.5</v>
      </c>
      <c r="Y41" s="28">
        <v>18.440000000000001</v>
      </c>
      <c r="Z41" s="28">
        <v>17.39</v>
      </c>
      <c r="AA41" s="28">
        <v>16.059999999999999</v>
      </c>
      <c r="AB41" s="28">
        <v>19.899999999999999</v>
      </c>
      <c r="AC41" s="28">
        <v>19.41</v>
      </c>
      <c r="AD41" s="28">
        <v>15.34</v>
      </c>
      <c r="AE41" s="28">
        <v>16.75</v>
      </c>
      <c r="AF41" s="28">
        <v>17.32</v>
      </c>
      <c r="AG41" s="28">
        <v>21.68</v>
      </c>
      <c r="AH41" s="28">
        <v>18.649999999999999</v>
      </c>
      <c r="AI41" s="28">
        <v>17.93</v>
      </c>
      <c r="AJ41" s="28">
        <v>16.68</v>
      </c>
      <c r="AK41" s="28">
        <v>18.239999999999998</v>
      </c>
      <c r="AL41" s="28">
        <v>16.47</v>
      </c>
      <c r="AM41" s="28">
        <v>20.350000000000001</v>
      </c>
      <c r="AN41" s="28">
        <v>17.59</v>
      </c>
      <c r="AO41" s="28">
        <v>20.36</v>
      </c>
      <c r="AP41" s="28">
        <v>20.54</v>
      </c>
      <c r="AQ41" s="28">
        <v>18.97</v>
      </c>
      <c r="AR41" s="28">
        <v>17.649999999999999</v>
      </c>
      <c r="AS41" s="28">
        <v>15.75</v>
      </c>
      <c r="AT41" s="28">
        <v>18.350000000000001</v>
      </c>
      <c r="AU41" s="28">
        <v>16.22</v>
      </c>
      <c r="AV41" s="28">
        <v>18.07</v>
      </c>
      <c r="AW41" s="28">
        <v>16.309999999999999</v>
      </c>
      <c r="AX41" s="28">
        <v>16.04</v>
      </c>
      <c r="AY41" s="28">
        <v>15.47</v>
      </c>
      <c r="AZ41" s="28">
        <v>16.190000000000001</v>
      </c>
      <c r="BA41" s="28">
        <v>17.07</v>
      </c>
      <c r="BB41" s="28">
        <v>15.31</v>
      </c>
      <c r="BC41" s="28">
        <v>16.21</v>
      </c>
      <c r="BD41" s="28">
        <v>16.18</v>
      </c>
      <c r="BE41" s="28">
        <v>16.09</v>
      </c>
      <c r="BF41" s="28">
        <v>13.77</v>
      </c>
      <c r="BG41" s="28">
        <v>16.98</v>
      </c>
      <c r="BH41" s="28">
        <v>15.55</v>
      </c>
      <c r="BI41" s="28">
        <v>15.96</v>
      </c>
      <c r="BJ41" s="28">
        <v>16.239999999999998</v>
      </c>
      <c r="BK41" s="28">
        <v>14.61</v>
      </c>
      <c r="BL41" s="28">
        <v>17.579999999999998</v>
      </c>
      <c r="BM41" s="28">
        <v>16.559999999999999</v>
      </c>
      <c r="BN41" s="28">
        <v>15.36</v>
      </c>
      <c r="BO41" s="28">
        <v>17.100000000000001</v>
      </c>
      <c r="BP41" s="28">
        <v>16.79</v>
      </c>
      <c r="BQ41" s="28">
        <v>14.79</v>
      </c>
      <c r="BR41" s="28">
        <v>14.25</v>
      </c>
      <c r="BS41" s="28">
        <v>15.03</v>
      </c>
      <c r="BT41" s="28">
        <v>15.84</v>
      </c>
      <c r="BU41" s="28">
        <v>14.39</v>
      </c>
      <c r="BV41" s="28">
        <v>14.21</v>
      </c>
      <c r="BW41" s="28">
        <v>16.5</v>
      </c>
      <c r="BX41" s="28">
        <v>15.96</v>
      </c>
      <c r="BY41" s="28">
        <v>15.97</v>
      </c>
      <c r="BZ41" s="28">
        <v>15.72</v>
      </c>
      <c r="CA41" s="28">
        <v>17.36</v>
      </c>
      <c r="CB41" s="28">
        <v>16.45</v>
      </c>
      <c r="CC41" s="28">
        <v>17.079999999999998</v>
      </c>
      <c r="CD41" s="28">
        <v>15.74</v>
      </c>
      <c r="CE41" s="28">
        <v>15.48</v>
      </c>
      <c r="CF41" s="28">
        <v>17.98</v>
      </c>
      <c r="CG41" s="28">
        <v>17.739999999999998</v>
      </c>
      <c r="CH41" s="28">
        <v>15.89</v>
      </c>
      <c r="CI41" s="28">
        <v>16.03</v>
      </c>
      <c r="CJ41" s="28">
        <v>15.82</v>
      </c>
      <c r="CK41" s="28">
        <v>16.260000000000002</v>
      </c>
      <c r="CL41" s="28">
        <v>14.98</v>
      </c>
      <c r="CM41" s="28">
        <v>15.18</v>
      </c>
      <c r="CN41" s="28">
        <v>16.8</v>
      </c>
      <c r="CO41" s="28">
        <v>14.88</v>
      </c>
      <c r="CP41" s="28">
        <v>16.64</v>
      </c>
      <c r="CQ41" s="28">
        <v>18.399999999999999</v>
      </c>
      <c r="CR41" s="28">
        <v>15.62</v>
      </c>
      <c r="CS41" s="28">
        <v>17.62</v>
      </c>
      <c r="CT41" s="28">
        <v>15.58</v>
      </c>
      <c r="CU41" s="28">
        <v>17.579999999999998</v>
      </c>
      <c r="CV41" s="28">
        <v>15.96</v>
      </c>
      <c r="CW41" s="28">
        <v>15.45</v>
      </c>
      <c r="CX41" s="28">
        <v>16.95</v>
      </c>
      <c r="CY41" s="28">
        <v>18.809999999999999</v>
      </c>
      <c r="CZ41" s="28">
        <v>19.39</v>
      </c>
      <c r="DA41" s="28">
        <v>16.82</v>
      </c>
      <c r="DB41" s="28">
        <v>17.03</v>
      </c>
      <c r="DC41" s="28">
        <v>14.89</v>
      </c>
      <c r="DD41" s="28">
        <v>15.29</v>
      </c>
      <c r="DE41" s="28">
        <v>17.03</v>
      </c>
      <c r="DF41" s="28">
        <v>16.11</v>
      </c>
      <c r="DG41" s="28">
        <v>15.45</v>
      </c>
      <c r="DH41" s="28">
        <v>16.579999999999998</v>
      </c>
      <c r="DI41" s="28">
        <v>14.65</v>
      </c>
      <c r="DJ41" s="28">
        <v>17.22</v>
      </c>
      <c r="DK41" s="28">
        <v>14.64</v>
      </c>
      <c r="DL41" s="28">
        <v>15.13</v>
      </c>
      <c r="DM41" s="28">
        <v>16.88</v>
      </c>
      <c r="DN41" s="28">
        <v>17.18</v>
      </c>
      <c r="DO41" s="28">
        <v>14.87</v>
      </c>
      <c r="DP41" s="28">
        <v>18.440000000000001</v>
      </c>
    </row>
    <row r="42" spans="1:120" ht="15.75" customHeight="1">
      <c r="A42" s="1" t="s">
        <v>278</v>
      </c>
      <c r="B42" s="28">
        <v>28.7</v>
      </c>
      <c r="C42" s="28">
        <v>40.51</v>
      </c>
      <c r="D42" s="28">
        <v>23.55</v>
      </c>
      <c r="E42" s="28">
        <v>28.81</v>
      </c>
      <c r="F42" s="28">
        <v>32.25</v>
      </c>
      <c r="G42" s="28">
        <v>25.87</v>
      </c>
      <c r="H42" s="28">
        <v>27.8</v>
      </c>
      <c r="I42" s="28">
        <v>17.989999999999998</v>
      </c>
      <c r="J42" s="28">
        <v>29.12</v>
      </c>
      <c r="K42" s="28">
        <v>29.78</v>
      </c>
      <c r="L42" s="28">
        <v>40.24</v>
      </c>
      <c r="M42" s="28">
        <v>13.43</v>
      </c>
      <c r="N42" s="28">
        <v>15.21</v>
      </c>
      <c r="O42" s="28">
        <v>31.85</v>
      </c>
      <c r="P42" s="28">
        <v>19.329999999999998</v>
      </c>
      <c r="Q42" s="28">
        <v>15.36</v>
      </c>
      <c r="R42" s="28">
        <v>41.44</v>
      </c>
      <c r="S42" s="28">
        <v>30.85</v>
      </c>
      <c r="T42" s="28">
        <v>22.96</v>
      </c>
      <c r="U42" s="28">
        <v>38.76</v>
      </c>
      <c r="V42" s="28">
        <v>22.18</v>
      </c>
      <c r="W42" s="28">
        <v>18.91</v>
      </c>
      <c r="X42" s="28">
        <v>40.01</v>
      </c>
      <c r="Y42" s="28">
        <v>19.850000000000001</v>
      </c>
      <c r="Z42" s="28">
        <v>28.63</v>
      </c>
      <c r="AA42" s="28">
        <v>14.09</v>
      </c>
      <c r="AB42" s="28">
        <v>21.89</v>
      </c>
      <c r="AC42" s="28">
        <v>30.33</v>
      </c>
      <c r="AD42" s="28">
        <v>39.53</v>
      </c>
      <c r="AE42" s="28">
        <v>30.12</v>
      </c>
      <c r="AF42" s="28">
        <v>18.78</v>
      </c>
      <c r="AG42" s="28">
        <v>17.809999999999999</v>
      </c>
      <c r="AH42" s="28">
        <v>35.340000000000003</v>
      </c>
      <c r="AI42" s="28">
        <v>48.94</v>
      </c>
      <c r="AJ42" s="28">
        <v>13.76</v>
      </c>
      <c r="AK42" s="28">
        <v>31.15</v>
      </c>
      <c r="AL42" s="28">
        <v>32.86</v>
      </c>
      <c r="AM42" s="28">
        <v>31.57</v>
      </c>
      <c r="AN42" s="28">
        <v>29.11</v>
      </c>
      <c r="AO42" s="28">
        <v>18.93</v>
      </c>
      <c r="AP42" s="28">
        <v>22.82</v>
      </c>
      <c r="AQ42" s="28">
        <v>36.96</v>
      </c>
      <c r="AR42" s="28">
        <v>31.51</v>
      </c>
      <c r="AS42" s="28">
        <v>35.43</v>
      </c>
      <c r="AT42" s="28">
        <v>24.03</v>
      </c>
      <c r="AU42" s="28">
        <v>32.82</v>
      </c>
      <c r="AV42" s="28">
        <v>17.489999999999998</v>
      </c>
      <c r="AW42" s="28">
        <v>30.28</v>
      </c>
      <c r="AX42" s="28">
        <v>34.659999999999997</v>
      </c>
      <c r="AY42" s="28">
        <v>37.549999999999997</v>
      </c>
      <c r="AZ42" s="28">
        <v>45.65</v>
      </c>
      <c r="BA42" s="28">
        <v>33.340000000000003</v>
      </c>
      <c r="BB42" s="28">
        <v>53.29</v>
      </c>
      <c r="BC42" s="28">
        <v>28.49</v>
      </c>
      <c r="BD42" s="28">
        <v>49.61</v>
      </c>
      <c r="BE42" s="28">
        <v>30.4</v>
      </c>
      <c r="BF42" s="28">
        <v>27.35</v>
      </c>
      <c r="BG42" s="28">
        <v>16.010000000000002</v>
      </c>
      <c r="BH42" s="28">
        <v>31.03</v>
      </c>
      <c r="BI42" s="28">
        <v>39.33</v>
      </c>
      <c r="BJ42" s="28">
        <v>18.440000000000001</v>
      </c>
      <c r="BK42" s="28">
        <v>41.23</v>
      </c>
      <c r="BL42" s="28">
        <v>37.14</v>
      </c>
      <c r="BM42" s="28">
        <v>44.24</v>
      </c>
      <c r="BN42" s="28">
        <v>38.369999999999997</v>
      </c>
      <c r="BO42" s="28">
        <v>37.700000000000003</v>
      </c>
      <c r="BP42" s="28">
        <v>21</v>
      </c>
      <c r="BQ42" s="28">
        <v>30.4</v>
      </c>
      <c r="BR42" s="28">
        <v>36.979999999999997</v>
      </c>
      <c r="BS42" s="28">
        <v>40.08</v>
      </c>
      <c r="BT42" s="28">
        <v>30.69</v>
      </c>
      <c r="BU42" s="28">
        <v>31.49</v>
      </c>
      <c r="BV42" s="28">
        <v>30.52</v>
      </c>
      <c r="BW42" s="28">
        <v>40.72</v>
      </c>
      <c r="BX42" s="28">
        <v>13.73</v>
      </c>
      <c r="BY42" s="28">
        <v>38.6</v>
      </c>
      <c r="BZ42" s="28">
        <v>32.96</v>
      </c>
      <c r="CA42" s="28">
        <v>31.7</v>
      </c>
      <c r="CB42" s="28">
        <v>41.82</v>
      </c>
      <c r="CC42" s="28">
        <v>13.04</v>
      </c>
      <c r="CD42" s="28">
        <v>30.19</v>
      </c>
      <c r="CE42" s="28">
        <v>36.729999999999997</v>
      </c>
      <c r="CF42" s="28">
        <v>16.829999999999998</v>
      </c>
      <c r="CG42" s="28">
        <v>23.72</v>
      </c>
      <c r="CH42" s="28">
        <v>30.22</v>
      </c>
      <c r="CI42" s="28">
        <v>14.81</v>
      </c>
      <c r="CJ42" s="28">
        <v>34.64</v>
      </c>
      <c r="CK42" s="28">
        <v>26.01</v>
      </c>
      <c r="CL42" s="28">
        <v>17.98</v>
      </c>
      <c r="CM42" s="28">
        <v>25.98</v>
      </c>
      <c r="CN42" s="28">
        <v>38.32</v>
      </c>
      <c r="CO42" s="28">
        <v>30.41</v>
      </c>
      <c r="CP42" s="28">
        <v>28.27</v>
      </c>
      <c r="CQ42" s="28">
        <v>29.77</v>
      </c>
      <c r="CR42" s="28">
        <v>21.85</v>
      </c>
      <c r="CS42" s="28">
        <v>38.43</v>
      </c>
      <c r="CT42" s="28">
        <v>32.24</v>
      </c>
      <c r="CU42" s="28">
        <v>21.68</v>
      </c>
      <c r="CV42" s="28">
        <v>32.68</v>
      </c>
      <c r="CW42" s="28">
        <v>33.08</v>
      </c>
      <c r="CX42" s="28">
        <v>22.87</v>
      </c>
      <c r="CY42" s="28">
        <v>33.1</v>
      </c>
      <c r="CZ42" s="28">
        <v>35.950000000000003</v>
      </c>
      <c r="DA42" s="28">
        <v>31.48</v>
      </c>
      <c r="DB42" s="28">
        <v>26.53</v>
      </c>
      <c r="DC42" s="28">
        <v>35.14</v>
      </c>
      <c r="DD42" s="28">
        <v>36.229999999999997</v>
      </c>
      <c r="DE42" s="28">
        <v>36.31</v>
      </c>
      <c r="DF42" s="28">
        <v>35.01</v>
      </c>
      <c r="DG42" s="28">
        <v>35.4</v>
      </c>
      <c r="DH42" s="28">
        <v>45.47</v>
      </c>
      <c r="DI42" s="28">
        <v>28.63</v>
      </c>
      <c r="DJ42" s="28">
        <v>27.37</v>
      </c>
      <c r="DK42" s="28">
        <v>43.26</v>
      </c>
      <c r="DL42" s="28">
        <v>30.15</v>
      </c>
      <c r="DM42" s="28">
        <v>30.33</v>
      </c>
      <c r="DN42" s="28">
        <v>32.68</v>
      </c>
      <c r="DO42" s="28">
        <v>29.28</v>
      </c>
      <c r="DP42" s="28">
        <v>37.11</v>
      </c>
    </row>
    <row r="43" spans="1:120" ht="15.75" customHeight="1">
      <c r="A43" s="1" t="s">
        <v>279</v>
      </c>
      <c r="B43" s="28">
        <v>28.94</v>
      </c>
      <c r="C43" s="28">
        <v>30.99</v>
      </c>
      <c r="D43" s="28">
        <v>29.98</v>
      </c>
      <c r="E43" s="28">
        <v>30.41</v>
      </c>
      <c r="F43" s="28">
        <v>29.8</v>
      </c>
      <c r="G43" s="28">
        <v>30.66</v>
      </c>
      <c r="H43" s="28">
        <v>30.44</v>
      </c>
      <c r="I43" s="28">
        <v>29.68</v>
      </c>
      <c r="J43" s="28">
        <v>29.64</v>
      </c>
      <c r="K43" s="28">
        <v>28.78</v>
      </c>
      <c r="L43" s="28">
        <v>30.19</v>
      </c>
      <c r="M43" s="28">
        <v>29.96</v>
      </c>
      <c r="N43" s="28">
        <v>28.92</v>
      </c>
      <c r="O43" s="28">
        <v>29.63</v>
      </c>
      <c r="P43" s="28">
        <v>31.54</v>
      </c>
      <c r="Q43" s="28">
        <v>30.07</v>
      </c>
      <c r="R43" s="28">
        <v>32.18</v>
      </c>
      <c r="S43" s="28">
        <v>32.24</v>
      </c>
      <c r="T43" s="28">
        <v>30.34</v>
      </c>
      <c r="U43" s="28">
        <v>31.1</v>
      </c>
      <c r="V43" s="28">
        <v>30.79</v>
      </c>
      <c r="W43" s="28">
        <v>30.16</v>
      </c>
      <c r="X43" s="28">
        <v>31.73</v>
      </c>
      <c r="Y43" s="28">
        <v>31.33</v>
      </c>
      <c r="Z43" s="28">
        <v>31.22</v>
      </c>
      <c r="AA43" s="28">
        <v>29.75</v>
      </c>
      <c r="AB43" s="28">
        <v>31.83</v>
      </c>
      <c r="AC43" s="28">
        <v>31.33</v>
      </c>
      <c r="AD43" s="28">
        <v>30.09</v>
      </c>
      <c r="AE43" s="28">
        <v>31.57</v>
      </c>
      <c r="AF43" s="28">
        <v>32.51</v>
      </c>
      <c r="AG43" s="28">
        <v>32</v>
      </c>
      <c r="AH43" s="28">
        <v>32.21</v>
      </c>
      <c r="AI43" s="28">
        <v>31.71</v>
      </c>
      <c r="AJ43" s="28">
        <v>30.12</v>
      </c>
      <c r="AK43" s="28">
        <v>33.28</v>
      </c>
      <c r="AL43" s="28">
        <v>31.2</v>
      </c>
      <c r="AM43" s="28">
        <v>33.270000000000003</v>
      </c>
      <c r="AN43" s="28">
        <v>31.66</v>
      </c>
      <c r="AO43" s="28">
        <v>32.049999999999997</v>
      </c>
      <c r="AP43" s="28">
        <v>31.78</v>
      </c>
      <c r="AQ43" s="28">
        <v>32.21</v>
      </c>
      <c r="AR43" s="28">
        <v>29.39</v>
      </c>
      <c r="AS43" s="28">
        <v>29.56</v>
      </c>
      <c r="AT43" s="28">
        <v>31.99</v>
      </c>
      <c r="AU43" s="28">
        <v>30.51</v>
      </c>
      <c r="AV43" s="28">
        <v>31.24</v>
      </c>
      <c r="AW43" s="28">
        <v>29.23</v>
      </c>
      <c r="AX43" s="28">
        <v>29.67</v>
      </c>
      <c r="AY43" s="28">
        <v>29.15</v>
      </c>
      <c r="AZ43" s="28">
        <v>29.73</v>
      </c>
      <c r="BA43" s="28">
        <v>30.72</v>
      </c>
      <c r="BB43" s="28">
        <v>29.79</v>
      </c>
      <c r="BC43" s="28">
        <v>30.21</v>
      </c>
      <c r="BD43" s="28">
        <v>29.48</v>
      </c>
      <c r="BE43" s="28">
        <v>29.97</v>
      </c>
      <c r="BF43" s="28">
        <v>28.38</v>
      </c>
      <c r="BG43" s="28">
        <v>31.01</v>
      </c>
      <c r="BH43" s="28">
        <v>29.93</v>
      </c>
      <c r="BI43" s="28">
        <v>30.3</v>
      </c>
      <c r="BJ43" s="28">
        <v>30.63</v>
      </c>
      <c r="BK43" s="28">
        <v>29.59</v>
      </c>
      <c r="BL43" s="28">
        <v>30.42</v>
      </c>
      <c r="BM43" s="28">
        <v>30.2</v>
      </c>
      <c r="BN43" s="28">
        <v>30.06</v>
      </c>
      <c r="BO43" s="28">
        <v>30.63</v>
      </c>
      <c r="BP43" s="28">
        <v>28.62</v>
      </c>
      <c r="BQ43" s="28">
        <v>28.95</v>
      </c>
      <c r="BR43" s="28">
        <v>28.32</v>
      </c>
      <c r="BS43" s="28">
        <v>30.4</v>
      </c>
      <c r="BT43" s="28">
        <v>29.75</v>
      </c>
      <c r="BU43" s="28">
        <v>28.81</v>
      </c>
      <c r="BV43" s="28">
        <v>28.72</v>
      </c>
      <c r="BW43" s="28">
        <v>28.75</v>
      </c>
      <c r="BX43" s="28">
        <v>29.76</v>
      </c>
      <c r="BY43" s="28">
        <v>29.75</v>
      </c>
      <c r="BZ43" s="28">
        <v>30</v>
      </c>
      <c r="CA43" s="28">
        <v>31.2</v>
      </c>
      <c r="CB43" s="28">
        <v>30.95</v>
      </c>
      <c r="CC43" s="28">
        <v>29.39</v>
      </c>
      <c r="CD43" s="28">
        <v>29.14</v>
      </c>
      <c r="CE43" s="28">
        <v>29.86</v>
      </c>
      <c r="CF43" s="28">
        <v>31.41</v>
      </c>
      <c r="CG43" s="28">
        <v>31.99</v>
      </c>
      <c r="CH43" s="28">
        <v>29.8</v>
      </c>
      <c r="CI43" s="28">
        <v>29.53</v>
      </c>
      <c r="CJ43" s="28">
        <v>29.78</v>
      </c>
      <c r="CK43" s="28">
        <v>30.24</v>
      </c>
      <c r="CL43" s="28">
        <v>28.64</v>
      </c>
      <c r="CM43" s="28">
        <v>29.67</v>
      </c>
      <c r="CN43" s="28">
        <v>31.03</v>
      </c>
      <c r="CO43" s="28">
        <v>28.89</v>
      </c>
      <c r="CP43" s="28">
        <v>30.13</v>
      </c>
      <c r="CQ43" s="28">
        <v>31.31</v>
      </c>
      <c r="CR43" s="28">
        <v>29.2</v>
      </c>
      <c r="CS43" s="28">
        <v>30.8</v>
      </c>
      <c r="CT43" s="28">
        <v>29.34</v>
      </c>
      <c r="CU43" s="28">
        <v>29.52</v>
      </c>
      <c r="CV43" s="28">
        <v>30.54</v>
      </c>
      <c r="CW43" s="28">
        <v>30.4</v>
      </c>
      <c r="CX43" s="28">
        <v>29.45</v>
      </c>
      <c r="CY43" s="28">
        <v>30.05</v>
      </c>
      <c r="CZ43" s="28">
        <v>33.11</v>
      </c>
      <c r="DA43" s="28">
        <v>30.52</v>
      </c>
      <c r="DB43" s="28">
        <v>30.24</v>
      </c>
      <c r="DC43" s="28">
        <v>29.9</v>
      </c>
      <c r="DD43" s="28">
        <v>29.88</v>
      </c>
      <c r="DE43" s="28">
        <v>29.75</v>
      </c>
      <c r="DF43" s="28">
        <v>28.64</v>
      </c>
      <c r="DG43" s="28">
        <v>29.3</v>
      </c>
      <c r="DH43" s="28">
        <v>31.06</v>
      </c>
      <c r="DI43" s="28">
        <v>28.44</v>
      </c>
      <c r="DJ43" s="28">
        <v>28.63</v>
      </c>
      <c r="DK43" s="28">
        <v>28.83</v>
      </c>
      <c r="DL43" s="28">
        <v>28.85</v>
      </c>
      <c r="DM43" s="28">
        <v>29.37</v>
      </c>
      <c r="DN43" s="28">
        <v>30.77</v>
      </c>
      <c r="DO43" s="28">
        <v>29.91</v>
      </c>
      <c r="DP43" s="28">
        <v>30.63</v>
      </c>
    </row>
    <row r="44" spans="1:120" ht="15.75" customHeight="1">
      <c r="A44" s="1" t="s">
        <v>13124</v>
      </c>
      <c r="CX44" s="50" t="s">
        <v>13125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W1001"/>
  <sheetViews>
    <sheetView workbookViewId="0">
      <selection activeCell="B3" sqref="B3"/>
    </sheetView>
  </sheetViews>
  <sheetFormatPr baseColWidth="10" defaultColWidth="14.5" defaultRowHeight="15.75" customHeight="1"/>
  <cols>
    <col min="1" max="1" width="28" customWidth="1"/>
  </cols>
  <sheetData>
    <row r="1" spans="1:127" ht="15">
      <c r="A1" s="64" t="s">
        <v>1</v>
      </c>
      <c r="B1" s="65" t="s">
        <v>18</v>
      </c>
      <c r="C1" s="65" t="s">
        <v>18</v>
      </c>
      <c r="D1" s="65" t="s">
        <v>18</v>
      </c>
      <c r="E1" s="65" t="s">
        <v>18</v>
      </c>
      <c r="F1" s="65" t="s">
        <v>18</v>
      </c>
      <c r="G1" s="65" t="s">
        <v>18</v>
      </c>
      <c r="H1" s="65" t="s">
        <v>18</v>
      </c>
      <c r="I1" s="65" t="s">
        <v>18</v>
      </c>
      <c r="J1" s="65" t="s">
        <v>18</v>
      </c>
      <c r="K1" s="65" t="s">
        <v>18</v>
      </c>
      <c r="L1" s="65" t="s">
        <v>18</v>
      </c>
      <c r="M1" s="65" t="s">
        <v>18</v>
      </c>
      <c r="N1" s="65" t="s">
        <v>18</v>
      </c>
      <c r="O1" s="65" t="s">
        <v>18</v>
      </c>
      <c r="P1" s="65" t="s">
        <v>18</v>
      </c>
      <c r="Q1" s="65" t="s">
        <v>18</v>
      </c>
      <c r="R1" s="65" t="s">
        <v>18</v>
      </c>
      <c r="S1" s="65" t="s">
        <v>18</v>
      </c>
      <c r="T1" s="65" t="s">
        <v>18</v>
      </c>
      <c r="U1" s="65" t="s">
        <v>18</v>
      </c>
      <c r="V1" s="65" t="s">
        <v>18</v>
      </c>
      <c r="W1" s="65" t="s">
        <v>18</v>
      </c>
      <c r="X1" s="65" t="s">
        <v>18</v>
      </c>
      <c r="Y1" s="65" t="s">
        <v>18</v>
      </c>
      <c r="Z1" s="65" t="s">
        <v>2911</v>
      </c>
      <c r="AA1" s="65" t="s">
        <v>2911</v>
      </c>
      <c r="AB1" s="65" t="s">
        <v>2911</v>
      </c>
      <c r="AC1" s="65" t="s">
        <v>2911</v>
      </c>
      <c r="AD1" s="65" t="s">
        <v>2911</v>
      </c>
      <c r="AE1" s="65" t="s">
        <v>2911</v>
      </c>
      <c r="AF1" s="65" t="s">
        <v>2911</v>
      </c>
      <c r="AG1" s="65" t="s">
        <v>2911</v>
      </c>
      <c r="AH1" s="65" t="s">
        <v>2911</v>
      </c>
      <c r="AI1" s="65" t="s">
        <v>2911</v>
      </c>
      <c r="AJ1" s="65" t="s">
        <v>2911</v>
      </c>
      <c r="AK1" s="65" t="s">
        <v>2911</v>
      </c>
      <c r="AL1" s="65" t="s">
        <v>2911</v>
      </c>
      <c r="AM1" s="65" t="s">
        <v>2911</v>
      </c>
      <c r="AN1" s="65" t="s">
        <v>2911</v>
      </c>
      <c r="AO1" s="65" t="s">
        <v>2911</v>
      </c>
      <c r="AP1" s="65" t="s">
        <v>2911</v>
      </c>
      <c r="AQ1" s="65" t="s">
        <v>2911</v>
      </c>
      <c r="AR1" s="65" t="s">
        <v>2911</v>
      </c>
      <c r="AS1" s="65" t="s">
        <v>2911</v>
      </c>
      <c r="AT1" s="65" t="s">
        <v>2911</v>
      </c>
      <c r="AU1" s="65" t="s">
        <v>2911</v>
      </c>
      <c r="AV1" s="65" t="s">
        <v>2911</v>
      </c>
      <c r="AW1" s="65" t="s">
        <v>2911</v>
      </c>
      <c r="AX1" s="65" t="s">
        <v>2911</v>
      </c>
      <c r="AY1" s="65" t="s">
        <v>2911</v>
      </c>
      <c r="AZ1" s="65" t="s">
        <v>2911</v>
      </c>
      <c r="BA1" s="65" t="s">
        <v>2911</v>
      </c>
      <c r="BB1" s="65" t="s">
        <v>2911</v>
      </c>
      <c r="BC1" s="65" t="s">
        <v>2911</v>
      </c>
      <c r="BD1" s="65" t="s">
        <v>2911</v>
      </c>
      <c r="BE1" s="65" t="s">
        <v>2911</v>
      </c>
      <c r="BF1" s="65" t="s">
        <v>2911</v>
      </c>
      <c r="BG1" s="65" t="s">
        <v>2911</v>
      </c>
      <c r="BH1" s="65" t="s">
        <v>2911</v>
      </c>
      <c r="BI1" s="65" t="s">
        <v>2911</v>
      </c>
      <c r="BJ1" s="65" t="s">
        <v>2911</v>
      </c>
      <c r="BK1" s="65" t="s">
        <v>2911</v>
      </c>
      <c r="BL1" s="65" t="s">
        <v>2911</v>
      </c>
      <c r="BM1" s="65" t="s">
        <v>2911</v>
      </c>
      <c r="BN1" s="65" t="s">
        <v>2911</v>
      </c>
      <c r="BO1" s="65" t="s">
        <v>2911</v>
      </c>
      <c r="BP1" s="65" t="s">
        <v>2911</v>
      </c>
      <c r="BQ1" s="65" t="s">
        <v>2911</v>
      </c>
      <c r="BR1" s="65" t="s">
        <v>2911</v>
      </c>
      <c r="BS1" s="65" t="s">
        <v>2911</v>
      </c>
      <c r="BT1" s="65" t="s">
        <v>2911</v>
      </c>
      <c r="BU1" s="65" t="s">
        <v>2911</v>
      </c>
      <c r="BV1" s="65" t="s">
        <v>2911</v>
      </c>
      <c r="BW1" s="65" t="s">
        <v>2912</v>
      </c>
      <c r="BX1" s="65" t="s">
        <v>2912</v>
      </c>
      <c r="BY1" s="65" t="s">
        <v>2912</v>
      </c>
      <c r="BZ1" s="65" t="s">
        <v>2912</v>
      </c>
      <c r="CA1" s="65" t="s">
        <v>2912</v>
      </c>
      <c r="CB1" s="65" t="s">
        <v>2912</v>
      </c>
      <c r="CC1" s="65" t="s">
        <v>2912</v>
      </c>
      <c r="CD1" s="65" t="s">
        <v>2912</v>
      </c>
      <c r="CE1" s="65" t="s">
        <v>2912</v>
      </c>
      <c r="CF1" s="65" t="s">
        <v>2912</v>
      </c>
      <c r="CG1" s="65" t="s">
        <v>2913</v>
      </c>
      <c r="CH1" s="65" t="s">
        <v>2913</v>
      </c>
      <c r="CI1" s="65" t="s">
        <v>2913</v>
      </c>
      <c r="CJ1" s="65" t="s">
        <v>2913</v>
      </c>
      <c r="CK1" s="65" t="s">
        <v>2913</v>
      </c>
      <c r="CL1" s="65" t="s">
        <v>2913</v>
      </c>
      <c r="CM1" s="65" t="s">
        <v>19</v>
      </c>
      <c r="CN1" s="65" t="s">
        <v>19</v>
      </c>
      <c r="CO1" s="65" t="s">
        <v>19</v>
      </c>
      <c r="CP1" s="65" t="s">
        <v>19</v>
      </c>
      <c r="CQ1" s="65" t="s">
        <v>19</v>
      </c>
      <c r="CR1" s="65" t="s">
        <v>19</v>
      </c>
      <c r="CS1" s="65" t="s">
        <v>19</v>
      </c>
      <c r="CT1" s="65" t="s">
        <v>19</v>
      </c>
      <c r="CU1" s="65" t="s">
        <v>19</v>
      </c>
      <c r="CV1" s="65" t="s">
        <v>22</v>
      </c>
      <c r="CW1" s="65" t="s">
        <v>22</v>
      </c>
      <c r="CX1" s="65" t="s">
        <v>22</v>
      </c>
      <c r="CY1" s="65" t="s">
        <v>22</v>
      </c>
      <c r="CZ1" s="65" t="s">
        <v>22</v>
      </c>
      <c r="DA1" s="65" t="s">
        <v>17</v>
      </c>
      <c r="DB1" s="34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5"/>
      <c r="DS1" s="35"/>
      <c r="DT1" s="35"/>
      <c r="DU1" s="35"/>
      <c r="DV1" s="35"/>
      <c r="DW1" s="35"/>
    </row>
    <row r="2" spans="1:127" ht="15">
      <c r="A2" s="11" t="s">
        <v>289</v>
      </c>
      <c r="B2" s="65" t="s">
        <v>2914</v>
      </c>
      <c r="C2" s="65" t="s">
        <v>2914</v>
      </c>
      <c r="D2" s="65" t="s">
        <v>2914</v>
      </c>
      <c r="E2" s="65" t="s">
        <v>2914</v>
      </c>
      <c r="F2" s="65" t="s">
        <v>2914</v>
      </c>
      <c r="G2" s="65" t="s">
        <v>2914</v>
      </c>
      <c r="H2" s="65" t="s">
        <v>2914</v>
      </c>
      <c r="I2" s="65" t="s">
        <v>2914</v>
      </c>
      <c r="J2" s="65" t="s">
        <v>2914</v>
      </c>
      <c r="K2" s="65" t="s">
        <v>2914</v>
      </c>
      <c r="L2" s="65" t="s">
        <v>2914</v>
      </c>
      <c r="M2" s="65" t="s">
        <v>2914</v>
      </c>
      <c r="N2" s="65" t="s">
        <v>2914</v>
      </c>
      <c r="O2" s="65" t="s">
        <v>2914</v>
      </c>
      <c r="P2" s="65" t="s">
        <v>2914</v>
      </c>
      <c r="Q2" s="65" t="s">
        <v>2914</v>
      </c>
      <c r="R2" s="65" t="s">
        <v>2914</v>
      </c>
      <c r="S2" s="65" t="s">
        <v>2914</v>
      </c>
      <c r="T2" s="65" t="s">
        <v>2914</v>
      </c>
      <c r="U2" s="65" t="s">
        <v>2914</v>
      </c>
      <c r="V2" s="65" t="s">
        <v>2914</v>
      </c>
      <c r="W2" s="65" t="s">
        <v>2914</v>
      </c>
      <c r="X2" s="65" t="s">
        <v>2914</v>
      </c>
      <c r="Y2" s="65" t="s">
        <v>2914</v>
      </c>
      <c r="Z2" s="65" t="s">
        <v>2915</v>
      </c>
      <c r="AA2" s="65" t="s">
        <v>2915</v>
      </c>
      <c r="AB2" s="65" t="s">
        <v>2915</v>
      </c>
      <c r="AC2" s="65" t="s">
        <v>2915</v>
      </c>
      <c r="AD2" s="65" t="s">
        <v>2915</v>
      </c>
      <c r="AE2" s="65" t="s">
        <v>2915</v>
      </c>
      <c r="AF2" s="65" t="s">
        <v>2915</v>
      </c>
      <c r="AG2" s="65" t="s">
        <v>2915</v>
      </c>
      <c r="AH2" s="65" t="s">
        <v>2915</v>
      </c>
      <c r="AI2" s="65" t="s">
        <v>2915</v>
      </c>
      <c r="AJ2" s="65" t="s">
        <v>2915</v>
      </c>
      <c r="AK2" s="65" t="s">
        <v>2915</v>
      </c>
      <c r="AL2" s="65" t="s">
        <v>2915</v>
      </c>
      <c r="AM2" s="65" t="s">
        <v>2915</v>
      </c>
      <c r="AN2" s="65" t="s">
        <v>2915</v>
      </c>
      <c r="AO2" s="65" t="s">
        <v>2915</v>
      </c>
      <c r="AP2" s="65" t="s">
        <v>2915</v>
      </c>
      <c r="AQ2" s="65" t="s">
        <v>2915</v>
      </c>
      <c r="AR2" s="65" t="s">
        <v>2915</v>
      </c>
      <c r="AS2" s="65" t="s">
        <v>2915</v>
      </c>
      <c r="AT2" s="65" t="s">
        <v>2915</v>
      </c>
      <c r="AU2" s="65" t="s">
        <v>2915</v>
      </c>
      <c r="AV2" s="65" t="s">
        <v>2915</v>
      </c>
      <c r="AW2" s="65" t="s">
        <v>2915</v>
      </c>
      <c r="AX2" s="65" t="s">
        <v>2915</v>
      </c>
      <c r="AY2" s="65" t="s">
        <v>2915</v>
      </c>
      <c r="AZ2" s="65" t="s">
        <v>2915</v>
      </c>
      <c r="BA2" s="65" t="s">
        <v>2915</v>
      </c>
      <c r="BB2" s="65" t="s">
        <v>2915</v>
      </c>
      <c r="BC2" s="65" t="s">
        <v>2915</v>
      </c>
      <c r="BD2" s="65" t="s">
        <v>2915</v>
      </c>
      <c r="BE2" s="65" t="s">
        <v>2915</v>
      </c>
      <c r="BF2" s="65" t="s">
        <v>2915</v>
      </c>
      <c r="BG2" s="65" t="s">
        <v>2915</v>
      </c>
      <c r="BH2" s="65" t="s">
        <v>2915</v>
      </c>
      <c r="BI2" s="65" t="s">
        <v>2915</v>
      </c>
      <c r="BJ2" s="65" t="s">
        <v>2915</v>
      </c>
      <c r="BK2" s="65" t="s">
        <v>2915</v>
      </c>
      <c r="BL2" s="65" t="s">
        <v>2915</v>
      </c>
      <c r="BM2" s="65" t="s">
        <v>2915</v>
      </c>
      <c r="BN2" s="65" t="s">
        <v>2915</v>
      </c>
      <c r="BO2" s="65" t="s">
        <v>2915</v>
      </c>
      <c r="BP2" s="65" t="s">
        <v>2915</v>
      </c>
      <c r="BQ2" s="65" t="s">
        <v>2915</v>
      </c>
      <c r="BR2" s="65" t="s">
        <v>2915</v>
      </c>
      <c r="BS2" s="65" t="s">
        <v>2915</v>
      </c>
      <c r="BT2" s="65" t="s">
        <v>2915</v>
      </c>
      <c r="BU2" s="65" t="s">
        <v>2915</v>
      </c>
      <c r="BV2" s="65" t="s">
        <v>2915</v>
      </c>
      <c r="BW2" s="65" t="s">
        <v>2915</v>
      </c>
      <c r="BX2" s="65" t="s">
        <v>2915</v>
      </c>
      <c r="BY2" s="65" t="s">
        <v>2915</v>
      </c>
      <c r="BZ2" s="65" t="s">
        <v>2915</v>
      </c>
      <c r="CA2" s="65" t="s">
        <v>2915</v>
      </c>
      <c r="CB2" s="65" t="s">
        <v>2915</v>
      </c>
      <c r="CC2" s="65" t="s">
        <v>2915</v>
      </c>
      <c r="CD2" s="65" t="s">
        <v>2915</v>
      </c>
      <c r="CE2" s="65" t="s">
        <v>2915</v>
      </c>
      <c r="CF2" s="65" t="s">
        <v>2915</v>
      </c>
      <c r="CG2" s="65" t="s">
        <v>2915</v>
      </c>
      <c r="CH2" s="65" t="s">
        <v>2915</v>
      </c>
      <c r="CI2" s="65" t="s">
        <v>2915</v>
      </c>
      <c r="CJ2" s="65" t="s">
        <v>2915</v>
      </c>
      <c r="CK2" s="65" t="s">
        <v>2915</v>
      </c>
      <c r="CL2" s="65" t="s">
        <v>2915</v>
      </c>
      <c r="CM2" s="65" t="s">
        <v>2915</v>
      </c>
      <c r="CN2" s="65" t="s">
        <v>2915</v>
      </c>
      <c r="CO2" s="65" t="s">
        <v>2915</v>
      </c>
      <c r="CP2" s="65" t="s">
        <v>2915</v>
      </c>
      <c r="CQ2" s="65" t="s">
        <v>2915</v>
      </c>
      <c r="CR2" s="65" t="s">
        <v>2915</v>
      </c>
      <c r="CS2" s="65" t="s">
        <v>2915</v>
      </c>
      <c r="CT2" s="65" t="s">
        <v>2915</v>
      </c>
      <c r="CU2" s="65" t="s">
        <v>2915</v>
      </c>
      <c r="CV2" s="65" t="s">
        <v>2915</v>
      </c>
      <c r="CW2" s="65" t="s">
        <v>2915</v>
      </c>
      <c r="CX2" s="65" t="s">
        <v>2915</v>
      </c>
      <c r="CY2" s="65" t="s">
        <v>2915</v>
      </c>
      <c r="CZ2" s="65" t="s">
        <v>2915</v>
      </c>
      <c r="DA2" s="65" t="s">
        <v>2915</v>
      </c>
      <c r="DB2" s="36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</row>
    <row r="3" spans="1:127" ht="15">
      <c r="A3" s="11" t="s">
        <v>162</v>
      </c>
      <c r="B3" s="66" t="s">
        <v>2916</v>
      </c>
      <c r="C3" s="66" t="s">
        <v>2917</v>
      </c>
      <c r="D3" s="66" t="s">
        <v>2918</v>
      </c>
      <c r="E3" s="66" t="s">
        <v>2919</v>
      </c>
      <c r="F3" s="66" t="s">
        <v>2920</v>
      </c>
      <c r="G3" s="66" t="s">
        <v>2921</v>
      </c>
      <c r="H3" s="66" t="s">
        <v>2922</v>
      </c>
      <c r="I3" s="66" t="s">
        <v>2923</v>
      </c>
      <c r="J3" s="66" t="s">
        <v>2924</v>
      </c>
      <c r="K3" s="66" t="s">
        <v>2925</v>
      </c>
      <c r="L3" s="66" t="s">
        <v>2926</v>
      </c>
      <c r="M3" s="66" t="s">
        <v>2927</v>
      </c>
      <c r="N3" s="66" t="s">
        <v>2928</v>
      </c>
      <c r="O3" s="66" t="s">
        <v>2929</v>
      </c>
      <c r="P3" s="66" t="s">
        <v>2930</v>
      </c>
      <c r="Q3" s="66" t="s">
        <v>2931</v>
      </c>
      <c r="R3" s="66" t="s">
        <v>2932</v>
      </c>
      <c r="S3" s="66" t="s">
        <v>2933</v>
      </c>
      <c r="T3" s="66" t="s">
        <v>2934</v>
      </c>
      <c r="U3" s="66" t="s">
        <v>2935</v>
      </c>
      <c r="V3" s="66" t="s">
        <v>2936</v>
      </c>
      <c r="W3" s="66" t="s">
        <v>2937</v>
      </c>
      <c r="X3" s="66" t="s">
        <v>2938</v>
      </c>
      <c r="Y3" s="66" t="s">
        <v>2939</v>
      </c>
      <c r="Z3" s="66" t="s">
        <v>2940</v>
      </c>
      <c r="AA3" s="66" t="s">
        <v>2941</v>
      </c>
      <c r="AB3" s="66" t="s">
        <v>2942</v>
      </c>
      <c r="AC3" s="66" t="s">
        <v>2943</v>
      </c>
      <c r="AD3" s="66" t="s">
        <v>2944</v>
      </c>
      <c r="AE3" s="66" t="s">
        <v>2945</v>
      </c>
      <c r="AF3" s="66" t="s">
        <v>2946</v>
      </c>
      <c r="AG3" s="66" t="s">
        <v>2947</v>
      </c>
      <c r="AH3" s="66" t="s">
        <v>2948</v>
      </c>
      <c r="AI3" s="66" t="s">
        <v>2949</v>
      </c>
      <c r="AJ3" s="66" t="s">
        <v>2950</v>
      </c>
      <c r="AK3" s="66" t="s">
        <v>2951</v>
      </c>
      <c r="AL3" s="66" t="s">
        <v>2952</v>
      </c>
      <c r="AM3" s="66" t="s">
        <v>2953</v>
      </c>
      <c r="AN3" s="66" t="s">
        <v>2954</v>
      </c>
      <c r="AO3" s="66" t="s">
        <v>2955</v>
      </c>
      <c r="AP3" s="66" t="s">
        <v>2956</v>
      </c>
      <c r="AQ3" s="66" t="s">
        <v>2957</v>
      </c>
      <c r="AR3" s="66" t="s">
        <v>2958</v>
      </c>
      <c r="AS3" s="66" t="s">
        <v>2959</v>
      </c>
      <c r="AT3" s="66" t="s">
        <v>2960</v>
      </c>
      <c r="AU3" s="66" t="s">
        <v>2961</v>
      </c>
      <c r="AV3" s="66" t="s">
        <v>2962</v>
      </c>
      <c r="AW3" s="66" t="s">
        <v>2963</v>
      </c>
      <c r="AX3" s="66" t="s">
        <v>2964</v>
      </c>
      <c r="AY3" s="66" t="s">
        <v>2965</v>
      </c>
      <c r="AZ3" s="66" t="s">
        <v>2966</v>
      </c>
      <c r="BA3" s="66" t="s">
        <v>2967</v>
      </c>
      <c r="BB3" s="66" t="s">
        <v>2968</v>
      </c>
      <c r="BC3" s="66" t="s">
        <v>2969</v>
      </c>
      <c r="BD3" s="66" t="s">
        <v>2970</v>
      </c>
      <c r="BE3" s="66" t="s">
        <v>2971</v>
      </c>
      <c r="BF3" s="66" t="s">
        <v>2972</v>
      </c>
      <c r="BG3" s="66" t="s">
        <v>2973</v>
      </c>
      <c r="BH3" s="66" t="s">
        <v>2974</v>
      </c>
      <c r="BI3" s="66" t="s">
        <v>2975</v>
      </c>
      <c r="BJ3" s="66" t="s">
        <v>2976</v>
      </c>
      <c r="BK3" s="66" t="s">
        <v>2977</v>
      </c>
      <c r="BL3" s="66" t="s">
        <v>2978</v>
      </c>
      <c r="BM3" s="66" t="s">
        <v>2979</v>
      </c>
      <c r="BN3" s="66" t="s">
        <v>2980</v>
      </c>
      <c r="BO3" s="66" t="s">
        <v>2981</v>
      </c>
      <c r="BP3" s="66" t="s">
        <v>2982</v>
      </c>
      <c r="BQ3" s="66" t="s">
        <v>2983</v>
      </c>
      <c r="BR3" s="66" t="s">
        <v>2984</v>
      </c>
      <c r="BS3" s="66" t="s">
        <v>2985</v>
      </c>
      <c r="BT3" s="66" t="s">
        <v>2986</v>
      </c>
      <c r="BU3" s="66" t="s">
        <v>2987</v>
      </c>
      <c r="BV3" s="66" t="s">
        <v>2988</v>
      </c>
      <c r="BW3" s="66" t="s">
        <v>2989</v>
      </c>
      <c r="BX3" s="66" t="s">
        <v>2990</v>
      </c>
      <c r="BY3" s="66" t="s">
        <v>2991</v>
      </c>
      <c r="BZ3" s="66" t="s">
        <v>2992</v>
      </c>
      <c r="CA3" s="66" t="s">
        <v>2993</v>
      </c>
      <c r="CB3" s="66" t="s">
        <v>2994</v>
      </c>
      <c r="CC3" s="66" t="s">
        <v>2995</v>
      </c>
      <c r="CD3" s="66" t="s">
        <v>2996</v>
      </c>
      <c r="CE3" s="66" t="s">
        <v>2997</v>
      </c>
      <c r="CF3" s="66" t="s">
        <v>2998</v>
      </c>
      <c r="CG3" s="66" t="s">
        <v>2999</v>
      </c>
      <c r="CH3" s="66" t="s">
        <v>3000</v>
      </c>
      <c r="CI3" s="66" t="s">
        <v>3001</v>
      </c>
      <c r="CJ3" s="66" t="s">
        <v>3002</v>
      </c>
      <c r="CK3" s="66" t="s">
        <v>3003</v>
      </c>
      <c r="CL3" s="66" t="s">
        <v>3004</v>
      </c>
      <c r="CM3" s="66" t="s">
        <v>3005</v>
      </c>
      <c r="CN3" s="66" t="s">
        <v>3006</v>
      </c>
      <c r="CO3" s="66" t="s">
        <v>3007</v>
      </c>
      <c r="CP3" s="66" t="s">
        <v>3008</v>
      </c>
      <c r="CQ3" s="66" t="s">
        <v>3009</v>
      </c>
      <c r="CR3" s="66" t="s">
        <v>3010</v>
      </c>
      <c r="CS3" s="66" t="s">
        <v>3011</v>
      </c>
      <c r="CT3" s="66" t="s">
        <v>3012</v>
      </c>
      <c r="CU3" s="66" t="s">
        <v>3013</v>
      </c>
      <c r="CV3" s="66" t="s">
        <v>3014</v>
      </c>
      <c r="CW3" s="66" t="s">
        <v>3015</v>
      </c>
      <c r="CX3" s="66" t="s">
        <v>3016</v>
      </c>
      <c r="CY3" s="66" t="s">
        <v>3017</v>
      </c>
      <c r="CZ3" s="66" t="s">
        <v>3018</v>
      </c>
      <c r="DA3" s="66" t="s">
        <v>3019</v>
      </c>
      <c r="DB3" s="37"/>
      <c r="DC3" s="38"/>
      <c r="DD3" s="38"/>
      <c r="DE3" s="38"/>
      <c r="DF3" s="38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  <c r="DS3" s="38"/>
      <c r="DT3" s="38"/>
      <c r="DU3" s="38"/>
      <c r="DV3" s="38"/>
      <c r="DW3" s="38"/>
    </row>
    <row r="4" spans="1:127" ht="15">
      <c r="A4" s="64" t="s">
        <v>304</v>
      </c>
      <c r="B4" s="65" t="s">
        <v>3020</v>
      </c>
      <c r="C4" s="65" t="s">
        <v>3021</v>
      </c>
      <c r="D4" s="65" t="s">
        <v>3022</v>
      </c>
      <c r="E4" s="65" t="s">
        <v>3023</v>
      </c>
      <c r="F4" s="65" t="s">
        <v>3024</v>
      </c>
      <c r="G4" s="65" t="s">
        <v>3025</v>
      </c>
      <c r="H4" s="65" t="s">
        <v>3026</v>
      </c>
      <c r="I4" s="65" t="s">
        <v>3027</v>
      </c>
      <c r="J4" s="65" t="s">
        <v>3028</v>
      </c>
      <c r="K4" s="65" t="s">
        <v>3029</v>
      </c>
      <c r="L4" s="65" t="s">
        <v>3030</v>
      </c>
      <c r="M4" s="65" t="s">
        <v>3031</v>
      </c>
      <c r="N4" s="65" t="s">
        <v>3032</v>
      </c>
      <c r="O4" s="65" t="s">
        <v>3033</v>
      </c>
      <c r="P4" s="65" t="s">
        <v>3034</v>
      </c>
      <c r="Q4" s="65" t="s">
        <v>3035</v>
      </c>
      <c r="R4" s="65" t="s">
        <v>3036</v>
      </c>
      <c r="S4" s="65" t="s">
        <v>3037</v>
      </c>
      <c r="T4" s="65" t="s">
        <v>3038</v>
      </c>
      <c r="U4" s="65" t="s">
        <v>3039</v>
      </c>
      <c r="V4" s="65" t="s">
        <v>3040</v>
      </c>
      <c r="W4" s="65" t="s">
        <v>3041</v>
      </c>
      <c r="X4" s="65" t="s">
        <v>3042</v>
      </c>
      <c r="Y4" s="65" t="s">
        <v>3043</v>
      </c>
      <c r="Z4" s="65" t="s">
        <v>3044</v>
      </c>
      <c r="AA4" s="65" t="s">
        <v>3045</v>
      </c>
      <c r="AB4" s="65" t="s">
        <v>3046</v>
      </c>
      <c r="AC4" s="65" t="s">
        <v>3047</v>
      </c>
      <c r="AD4" s="65" t="s">
        <v>3048</v>
      </c>
      <c r="AE4" s="65" t="s">
        <v>3049</v>
      </c>
      <c r="AF4" s="65" t="s">
        <v>3050</v>
      </c>
      <c r="AG4" s="65" t="s">
        <v>3051</v>
      </c>
      <c r="AH4" s="65" t="s">
        <v>3052</v>
      </c>
      <c r="AI4" s="65" t="s">
        <v>3053</v>
      </c>
      <c r="AJ4" s="65" t="s">
        <v>3054</v>
      </c>
      <c r="AK4" s="65" t="s">
        <v>3055</v>
      </c>
      <c r="AL4" s="65" t="s">
        <v>3056</v>
      </c>
      <c r="AM4" s="65" t="s">
        <v>3057</v>
      </c>
      <c r="AN4" s="65" t="s">
        <v>3058</v>
      </c>
      <c r="AO4" s="65" t="s">
        <v>3059</v>
      </c>
      <c r="AP4" s="65" t="s">
        <v>3060</v>
      </c>
      <c r="AQ4" s="65" t="s">
        <v>3061</v>
      </c>
      <c r="AR4" s="65" t="s">
        <v>3062</v>
      </c>
      <c r="AS4" s="65" t="s">
        <v>3063</v>
      </c>
      <c r="AT4" s="65" t="s">
        <v>3064</v>
      </c>
      <c r="AU4" s="65" t="s">
        <v>3065</v>
      </c>
      <c r="AV4" s="65" t="s">
        <v>3066</v>
      </c>
      <c r="AW4" s="65" t="s">
        <v>3067</v>
      </c>
      <c r="AX4" s="65" t="s">
        <v>3068</v>
      </c>
      <c r="AY4" s="65" t="s">
        <v>3069</v>
      </c>
      <c r="AZ4" s="65" t="s">
        <v>3070</v>
      </c>
      <c r="BA4" s="65" t="s">
        <v>3071</v>
      </c>
      <c r="BB4" s="65" t="s">
        <v>3072</v>
      </c>
      <c r="BC4" s="65" t="s">
        <v>3073</v>
      </c>
      <c r="BD4" s="65" t="s">
        <v>3074</v>
      </c>
      <c r="BE4" s="65" t="s">
        <v>3075</v>
      </c>
      <c r="BF4" s="65" t="s">
        <v>3076</v>
      </c>
      <c r="BG4" s="65" t="s">
        <v>3077</v>
      </c>
      <c r="BH4" s="65" t="s">
        <v>3078</v>
      </c>
      <c r="BI4" s="65" t="s">
        <v>3079</v>
      </c>
      <c r="BJ4" s="65" t="s">
        <v>3080</v>
      </c>
      <c r="BK4" s="65" t="s">
        <v>3081</v>
      </c>
      <c r="BL4" s="65" t="s">
        <v>3082</v>
      </c>
      <c r="BM4" s="65" t="s">
        <v>3083</v>
      </c>
      <c r="BN4" s="65" t="s">
        <v>3084</v>
      </c>
      <c r="BO4" s="65" t="s">
        <v>3085</v>
      </c>
      <c r="BP4" s="65" t="s">
        <v>3086</v>
      </c>
      <c r="BQ4" s="65" t="s">
        <v>3087</v>
      </c>
      <c r="BR4" s="65" t="s">
        <v>3088</v>
      </c>
      <c r="BS4" s="65" t="s">
        <v>3089</v>
      </c>
      <c r="BT4" s="65" t="s">
        <v>3090</v>
      </c>
      <c r="BU4" s="65" t="s">
        <v>3091</v>
      </c>
      <c r="BV4" s="65" t="s">
        <v>3092</v>
      </c>
      <c r="BW4" s="65" t="s">
        <v>3093</v>
      </c>
      <c r="BX4" s="65" t="s">
        <v>3094</v>
      </c>
      <c r="BY4" s="65" t="s">
        <v>3095</v>
      </c>
      <c r="BZ4" s="65" t="s">
        <v>3096</v>
      </c>
      <c r="CA4" s="65" t="s">
        <v>3097</v>
      </c>
      <c r="CB4" s="65" t="s">
        <v>3098</v>
      </c>
      <c r="CC4" s="65" t="s">
        <v>3099</v>
      </c>
      <c r="CD4" s="65" t="s">
        <v>3100</v>
      </c>
      <c r="CE4" s="65" t="s">
        <v>3101</v>
      </c>
      <c r="CF4" s="65" t="s">
        <v>3102</v>
      </c>
      <c r="CG4" s="65" t="s">
        <v>3103</v>
      </c>
      <c r="CH4" s="65" t="s">
        <v>3104</v>
      </c>
      <c r="CI4" s="65" t="s">
        <v>3105</v>
      </c>
      <c r="CJ4" s="65" t="s">
        <v>3106</v>
      </c>
      <c r="CK4" s="65" t="s">
        <v>3107</v>
      </c>
      <c r="CL4" s="65" t="s">
        <v>3108</v>
      </c>
      <c r="CM4" s="65" t="s">
        <v>3109</v>
      </c>
      <c r="CN4" s="65" t="s">
        <v>3110</v>
      </c>
      <c r="CO4" s="65" t="s">
        <v>3111</v>
      </c>
      <c r="CP4" s="65" t="s">
        <v>3112</v>
      </c>
      <c r="CQ4" s="65" t="s">
        <v>3113</v>
      </c>
      <c r="CR4" s="65" t="s">
        <v>3114</v>
      </c>
      <c r="CS4" s="65" t="s">
        <v>3115</v>
      </c>
      <c r="CT4" s="65" t="s">
        <v>3116</v>
      </c>
      <c r="CU4" s="65" t="s">
        <v>3117</v>
      </c>
      <c r="CV4" s="65" t="s">
        <v>3118</v>
      </c>
      <c r="CW4" s="65" t="s">
        <v>3119</v>
      </c>
      <c r="CX4" s="65" t="s">
        <v>3120</v>
      </c>
      <c r="CY4" s="65" t="s">
        <v>3121</v>
      </c>
      <c r="CZ4" s="65" t="s">
        <v>3122</v>
      </c>
      <c r="DA4" s="65" t="s">
        <v>3123</v>
      </c>
      <c r="DB4" s="36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</row>
    <row r="5" spans="1:127" ht="15">
      <c r="A5" s="64" t="s">
        <v>156</v>
      </c>
      <c r="B5" s="65" t="s">
        <v>3124</v>
      </c>
      <c r="C5" s="65" t="s">
        <v>3125</v>
      </c>
      <c r="D5" s="65" t="s">
        <v>3126</v>
      </c>
      <c r="E5" s="65" t="s">
        <v>3127</v>
      </c>
      <c r="F5" s="65" t="s">
        <v>3128</v>
      </c>
      <c r="G5" s="65" t="s">
        <v>3129</v>
      </c>
      <c r="H5" s="65" t="s">
        <v>3130</v>
      </c>
      <c r="I5" s="65" t="s">
        <v>3131</v>
      </c>
      <c r="J5" s="65" t="s">
        <v>3132</v>
      </c>
      <c r="K5" s="65" t="s">
        <v>3133</v>
      </c>
      <c r="L5" s="65" t="s">
        <v>3134</v>
      </c>
      <c r="M5" s="65" t="s">
        <v>3135</v>
      </c>
      <c r="N5" s="65" t="s">
        <v>3136</v>
      </c>
      <c r="O5" s="65" t="s">
        <v>3137</v>
      </c>
      <c r="P5" s="65" t="s">
        <v>3138</v>
      </c>
      <c r="Q5" s="65" t="s">
        <v>3139</v>
      </c>
      <c r="R5" s="65" t="s">
        <v>3140</v>
      </c>
      <c r="S5" s="65" t="s">
        <v>3141</v>
      </c>
      <c r="T5" s="65" t="s">
        <v>3142</v>
      </c>
      <c r="U5" s="65" t="s">
        <v>3143</v>
      </c>
      <c r="V5" s="65" t="s">
        <v>3144</v>
      </c>
      <c r="W5" s="65" t="s">
        <v>3145</v>
      </c>
      <c r="X5" s="65" t="s">
        <v>3146</v>
      </c>
      <c r="Y5" s="65" t="s">
        <v>3147</v>
      </c>
      <c r="Z5" s="65" t="s">
        <v>3148</v>
      </c>
      <c r="AA5" s="65" t="s">
        <v>3149</v>
      </c>
      <c r="AB5" s="65" t="s">
        <v>3150</v>
      </c>
      <c r="AC5" s="65" t="s">
        <v>3151</v>
      </c>
      <c r="AD5" s="65" t="s">
        <v>3152</v>
      </c>
      <c r="AE5" s="65" t="s">
        <v>3153</v>
      </c>
      <c r="AF5" s="65" t="s">
        <v>3154</v>
      </c>
      <c r="AG5" s="65" t="s">
        <v>3155</v>
      </c>
      <c r="AH5" s="65" t="s">
        <v>3156</v>
      </c>
      <c r="AI5" s="65" t="s">
        <v>3157</v>
      </c>
      <c r="AJ5" s="65" t="s">
        <v>3158</v>
      </c>
      <c r="AK5" s="65" t="s">
        <v>3159</v>
      </c>
      <c r="AL5" s="65" t="s">
        <v>3160</v>
      </c>
      <c r="AM5" s="65" t="s">
        <v>3161</v>
      </c>
      <c r="AN5" s="65" t="s">
        <v>3162</v>
      </c>
      <c r="AO5" s="65" t="s">
        <v>3163</v>
      </c>
      <c r="AP5" s="65" t="s">
        <v>3164</v>
      </c>
      <c r="AQ5" s="65" t="s">
        <v>3165</v>
      </c>
      <c r="AR5" s="65" t="s">
        <v>3166</v>
      </c>
      <c r="AS5" s="65" t="s">
        <v>3167</v>
      </c>
      <c r="AT5" s="65" t="s">
        <v>3168</v>
      </c>
      <c r="AU5" s="65" t="s">
        <v>3169</v>
      </c>
      <c r="AV5" s="65" t="s">
        <v>3170</v>
      </c>
      <c r="AW5" s="65" t="s">
        <v>3171</v>
      </c>
      <c r="AX5" s="65" t="s">
        <v>3172</v>
      </c>
      <c r="AY5" s="65" t="s">
        <v>3173</v>
      </c>
      <c r="AZ5" s="65" t="s">
        <v>3174</v>
      </c>
      <c r="BA5" s="65" t="s">
        <v>3175</v>
      </c>
      <c r="BB5" s="65" t="s">
        <v>3176</v>
      </c>
      <c r="BC5" s="65" t="s">
        <v>3177</v>
      </c>
      <c r="BD5" s="65" t="s">
        <v>3178</v>
      </c>
      <c r="BE5" s="65" t="s">
        <v>3179</v>
      </c>
      <c r="BF5" s="65" t="s">
        <v>3180</v>
      </c>
      <c r="BG5" s="65" t="s">
        <v>3181</v>
      </c>
      <c r="BH5" s="65" t="s">
        <v>3182</v>
      </c>
      <c r="BI5" s="65" t="s">
        <v>3183</v>
      </c>
      <c r="BJ5" s="65" t="s">
        <v>3184</v>
      </c>
      <c r="BK5" s="65" t="s">
        <v>3185</v>
      </c>
      <c r="BL5" s="65" t="s">
        <v>3186</v>
      </c>
      <c r="BM5" s="65" t="s">
        <v>3187</v>
      </c>
      <c r="BN5" s="65" t="s">
        <v>3188</v>
      </c>
      <c r="BO5" s="65" t="s">
        <v>3189</v>
      </c>
      <c r="BP5" s="65" t="s">
        <v>3190</v>
      </c>
      <c r="BQ5" s="65" t="s">
        <v>3191</v>
      </c>
      <c r="BR5" s="65" t="s">
        <v>3192</v>
      </c>
      <c r="BS5" s="65" t="s">
        <v>3193</v>
      </c>
      <c r="BT5" s="65" t="s">
        <v>3194</v>
      </c>
      <c r="BU5" s="65" t="s">
        <v>3195</v>
      </c>
      <c r="BV5" s="65" t="s">
        <v>3196</v>
      </c>
      <c r="BW5" s="65" t="s">
        <v>3197</v>
      </c>
      <c r="BX5" s="65" t="s">
        <v>3198</v>
      </c>
      <c r="BY5" s="65" t="s">
        <v>3199</v>
      </c>
      <c r="BZ5" s="65" t="s">
        <v>3200</v>
      </c>
      <c r="CA5" s="65" t="s">
        <v>3201</v>
      </c>
      <c r="CB5" s="65" t="s">
        <v>3202</v>
      </c>
      <c r="CC5" s="65" t="s">
        <v>3203</v>
      </c>
      <c r="CD5" s="65" t="s">
        <v>3204</v>
      </c>
      <c r="CE5" s="65" t="s">
        <v>3205</v>
      </c>
      <c r="CF5" s="65" t="s">
        <v>3206</v>
      </c>
      <c r="CG5" s="65" t="s">
        <v>3207</v>
      </c>
      <c r="CH5" s="65" t="s">
        <v>3208</v>
      </c>
      <c r="CI5" s="65" t="s">
        <v>3209</v>
      </c>
      <c r="CJ5" s="65" t="s">
        <v>3210</v>
      </c>
      <c r="CK5" s="65" t="s">
        <v>3211</v>
      </c>
      <c r="CL5" s="65" t="s">
        <v>3212</v>
      </c>
      <c r="CM5" s="65" t="s">
        <v>3213</v>
      </c>
      <c r="CN5" s="65" t="s">
        <v>3214</v>
      </c>
      <c r="CO5" s="65" t="s">
        <v>3215</v>
      </c>
      <c r="CP5" s="65" t="s">
        <v>3216</v>
      </c>
      <c r="CQ5" s="65" t="s">
        <v>3217</v>
      </c>
      <c r="CR5" s="65" t="s">
        <v>3218</v>
      </c>
      <c r="CS5" s="65" t="s">
        <v>3219</v>
      </c>
      <c r="CT5" s="65" t="s">
        <v>3220</v>
      </c>
      <c r="CU5" s="65" t="s">
        <v>3221</v>
      </c>
      <c r="CV5" s="65" t="s">
        <v>3222</v>
      </c>
      <c r="CW5" s="65" t="s">
        <v>3223</v>
      </c>
      <c r="CX5" s="65" t="s">
        <v>3224</v>
      </c>
      <c r="CY5" s="65" t="s">
        <v>3225</v>
      </c>
      <c r="CZ5" s="65" t="s">
        <v>3226</v>
      </c>
      <c r="DA5" s="65" t="s">
        <v>3227</v>
      </c>
      <c r="DB5" s="36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</row>
    <row r="6" spans="1:127" ht="15.75" customHeight="1">
      <c r="A6" s="64" t="s">
        <v>331</v>
      </c>
      <c r="B6" s="32" t="str">
        <f t="shared" ref="B6:DA6" si="0">CONCATENATE("https://fragalysis.diamond.ac.uk/viewer/react/preview/direct/target/Mac1/mols/",B4,"/L/P/C")</f>
        <v>https://fragalysis.diamond.ac.uk/viewer/react/preview/direct/target/Mac1/mols/EN300-321461/L/P/C</v>
      </c>
      <c r="C6" s="32" t="str">
        <f t="shared" si="0"/>
        <v>https://fragalysis.diamond.ac.uk/viewer/react/preview/direct/target/Mac1/mols/EN300-43406/L/P/C</v>
      </c>
      <c r="D6" s="32" t="str">
        <f t="shared" si="0"/>
        <v>https://fragalysis.diamond.ac.uk/viewer/react/preview/direct/target/Mac1/mols/Z3034471507/L/P/C</v>
      </c>
      <c r="E6" s="32" t="str">
        <f t="shared" si="0"/>
        <v>https://fragalysis.diamond.ac.uk/viewer/react/preview/direct/target/Mac1/mols/AB-601_30915014/L/P/C</v>
      </c>
      <c r="F6" s="32" t="str">
        <f t="shared" si="0"/>
        <v>https://fragalysis.diamond.ac.uk/viewer/react/preview/direct/target/Mac1/mols/EN300-108952/L/P/C</v>
      </c>
      <c r="G6" s="32" t="str">
        <f t="shared" si="0"/>
        <v>https://fragalysis.diamond.ac.uk/viewer/react/preview/direct/target/Mac1/mols/EN300-301084/L/P/C</v>
      </c>
      <c r="H6" s="32" t="str">
        <f t="shared" si="0"/>
        <v>https://fragalysis.diamond.ac.uk/viewer/react/preview/direct/target/Mac1/mols/EN300-105873/L/P/C</v>
      </c>
      <c r="I6" s="32" t="str">
        <f t="shared" si="0"/>
        <v>https://fragalysis.diamond.ac.uk/viewer/react/preview/direct/target/Mac1/mols/STK497968/L/P/C</v>
      </c>
      <c r="J6" s="32" t="str">
        <f t="shared" si="0"/>
        <v>https://fragalysis.diamond.ac.uk/viewer/react/preview/direct/target/Mac1/mols/STL414928/L/P/C</v>
      </c>
      <c r="K6" s="32" t="str">
        <f t="shared" si="0"/>
        <v>https://fragalysis.diamond.ac.uk/viewer/react/preview/direct/target/Mac1/mols/EN300-17035/L/P/C</v>
      </c>
      <c r="L6" s="32" t="str">
        <f t="shared" si="0"/>
        <v>https://fragalysis.diamond.ac.uk/viewer/react/preview/direct/target/Mac1/mols/Z1613477500/L/P/C</v>
      </c>
      <c r="M6" s="32" t="str">
        <f t="shared" si="0"/>
        <v>https://fragalysis.diamond.ac.uk/viewer/react/preview/direct/target/Mac1/mols/EN300-52144/L/P/C</v>
      </c>
      <c r="N6" s="32" t="str">
        <f t="shared" si="0"/>
        <v>https://fragalysis.diamond.ac.uk/viewer/react/preview/direct/target/Mac1/mols/Z838838708/L/P/C</v>
      </c>
      <c r="O6" s="32" t="str">
        <f t="shared" si="0"/>
        <v>https://fragalysis.diamond.ac.uk/viewer/react/preview/direct/target/Mac1/mols/STK346965/L/P/C</v>
      </c>
      <c r="P6" s="32" t="str">
        <f t="shared" si="0"/>
        <v>https://fragalysis.diamond.ac.uk/viewer/react/preview/direct/target/Mac1/mols/PB1827975385/L/P/C</v>
      </c>
      <c r="Q6" s="32" t="str">
        <f t="shared" si="0"/>
        <v>https://fragalysis.diamond.ac.uk/viewer/react/preview/direct/target/Mac1/mols/Z145120524/L/P/C</v>
      </c>
      <c r="R6" s="32" t="str">
        <f t="shared" si="0"/>
        <v>https://fragalysis.diamond.ac.uk/viewer/react/preview/direct/target/Mac1/mols/EN300-697611/L/P/C</v>
      </c>
      <c r="S6" s="32" t="str">
        <f t="shared" si="0"/>
        <v>https://fragalysis.diamond.ac.uk/viewer/react/preview/direct/target/Mac1/mols/Z605596346/L/P/C</v>
      </c>
      <c r="T6" s="32" t="str">
        <f t="shared" si="0"/>
        <v>https://fragalysis.diamond.ac.uk/viewer/react/preview/direct/target/Mac1/mols/Z1262398530/L/P/C</v>
      </c>
      <c r="U6" s="32" t="str">
        <f t="shared" si="0"/>
        <v>https://fragalysis.diamond.ac.uk/viewer/react/preview/direct/target/Mac1/mols/Z409974522/L/P/C</v>
      </c>
      <c r="V6" s="32" t="str">
        <f t="shared" si="0"/>
        <v>https://fragalysis.diamond.ac.uk/viewer/react/preview/direct/target/Mac1/mols/Z199959602/L/P/C</v>
      </c>
      <c r="W6" s="32" t="str">
        <f t="shared" si="0"/>
        <v>https://fragalysis.diamond.ac.uk/viewer/react/preview/direct/target/Mac1/mols/Z1263529624/L/P/C</v>
      </c>
      <c r="X6" s="32" t="str">
        <f t="shared" si="0"/>
        <v>https://fragalysis.diamond.ac.uk/viewer/react/preview/direct/target/Mac1/mols/Z373769142/L/P/C</v>
      </c>
      <c r="Y6" s="32" t="str">
        <f t="shared" si="0"/>
        <v>https://fragalysis.diamond.ac.uk/viewer/react/preview/direct/target/Mac1/mols/Z45612755/L/P/C</v>
      </c>
      <c r="Z6" s="32" t="str">
        <f t="shared" si="0"/>
        <v>https://fragalysis.diamond.ac.uk/viewer/react/preview/direct/target/Mac1/mols/Z369936976/L/P/C</v>
      </c>
      <c r="AA6" s="32" t="str">
        <f t="shared" si="0"/>
        <v>https://fragalysis.diamond.ac.uk/viewer/react/preview/direct/target/Mac1/mols/Z1152242726/L/P/C</v>
      </c>
      <c r="AB6" s="32" t="str">
        <f t="shared" si="0"/>
        <v>https://fragalysis.diamond.ac.uk/viewer/react/preview/direct/target/Mac1/mols/Z44592329/L/P/C</v>
      </c>
      <c r="AC6" s="32" t="str">
        <f t="shared" si="0"/>
        <v>https://fragalysis.diamond.ac.uk/viewer/react/preview/direct/target/Mac1/mols/Z321318226/L/P/C</v>
      </c>
      <c r="AD6" s="32" t="str">
        <f t="shared" si="0"/>
        <v>https://fragalysis.diamond.ac.uk/viewer/react/preview/direct/target/Mac1/mols/Z2856434920/L/P/C</v>
      </c>
      <c r="AE6" s="32" t="str">
        <f t="shared" si="0"/>
        <v>https://fragalysis.diamond.ac.uk/viewer/react/preview/direct/target/Mac1/mols/Z57299529/L/P/C</v>
      </c>
      <c r="AF6" s="32" t="str">
        <f t="shared" si="0"/>
        <v>https://fragalysis.diamond.ac.uk/viewer/react/preview/direct/target/Mac1/mols/Z509756472/L/P/C</v>
      </c>
      <c r="AG6" s="32" t="str">
        <f t="shared" si="0"/>
        <v>https://fragalysis.diamond.ac.uk/viewer/react/preview/direct/target/Mac1/mols/Z445856640/L/P/C</v>
      </c>
      <c r="AH6" s="32" t="str">
        <f t="shared" si="0"/>
        <v>https://fragalysis.diamond.ac.uk/viewer/react/preview/direct/target/Mac1/mols/Z2234920345/L/P/C</v>
      </c>
      <c r="AI6" s="32" t="str">
        <f t="shared" si="0"/>
        <v>https://fragalysis.diamond.ac.uk/viewer/react/preview/direct/target/Mac1/mols/Z56827661/L/P/C</v>
      </c>
      <c r="AJ6" s="32" t="str">
        <f t="shared" si="0"/>
        <v>https://fragalysis.diamond.ac.uk/viewer/react/preview/direct/target/Mac1/mols/Z1787627869/L/P/C</v>
      </c>
      <c r="AK6" s="32" t="str">
        <f t="shared" si="0"/>
        <v>https://fragalysis.diamond.ac.uk/viewer/react/preview/direct/target/Mac1/mols/Z645232558/L/P/C</v>
      </c>
      <c r="AL6" s="32" t="str">
        <f t="shared" si="0"/>
        <v>https://fragalysis.diamond.ac.uk/viewer/react/preview/direct/target/Mac1/mols/Z927746322/L/P/C</v>
      </c>
      <c r="AM6" s="32" t="str">
        <f t="shared" si="0"/>
        <v>https://fragalysis.diamond.ac.uk/viewer/react/preview/direct/target/Mac1/mols/Z26781952/L/P/C</v>
      </c>
      <c r="AN6" s="32" t="str">
        <f t="shared" si="0"/>
        <v>https://fragalysis.diamond.ac.uk/viewer/react/preview/direct/target/Mac1/mols/Z57292369/L/P/C</v>
      </c>
      <c r="AO6" s="32" t="str">
        <f t="shared" si="0"/>
        <v>https://fragalysis.diamond.ac.uk/viewer/react/preview/direct/target/Mac1/mols/Z2856434894/L/P/C</v>
      </c>
      <c r="AP6" s="32" t="str">
        <f t="shared" si="0"/>
        <v>https://fragalysis.diamond.ac.uk/viewer/react/preview/direct/target/Mac1/mols/Z26781964/L/P/C</v>
      </c>
      <c r="AQ6" s="32" t="str">
        <f t="shared" si="0"/>
        <v>https://fragalysis.diamond.ac.uk/viewer/react/preview/direct/target/Mac1/mols/Z85956652/L/P/C</v>
      </c>
      <c r="AR6" s="32" t="str">
        <f t="shared" si="0"/>
        <v>https://fragalysis.diamond.ac.uk/viewer/react/preview/direct/target/Mac1/mols/Z1186029914/L/P/C</v>
      </c>
      <c r="AS6" s="32" t="str">
        <f t="shared" si="0"/>
        <v>https://fragalysis.diamond.ac.uk/viewer/react/preview/direct/target/Mac1/mols/Z1407672867/L/P/C</v>
      </c>
      <c r="AT6" s="32" t="str">
        <f t="shared" si="0"/>
        <v>https://fragalysis.diamond.ac.uk/viewer/react/preview/direct/target/Mac1/mols/Z1139246057/L/P/C</v>
      </c>
      <c r="AU6" s="32" t="str">
        <f t="shared" si="0"/>
        <v>https://fragalysis.diamond.ac.uk/viewer/react/preview/direct/target/Mac1/mols/Z19727416/L/P/C</v>
      </c>
      <c r="AV6" s="32" t="str">
        <f t="shared" si="0"/>
        <v>https://fragalysis.diamond.ac.uk/viewer/react/preview/direct/target/Mac1/mols/Z126932614/L/P/C</v>
      </c>
      <c r="AW6" s="32" t="str">
        <f t="shared" si="0"/>
        <v>https://fragalysis.diamond.ac.uk/viewer/react/preview/direct/target/Mac1/mols/Z65532537/L/P/C</v>
      </c>
      <c r="AX6" s="32" t="str">
        <f t="shared" si="0"/>
        <v>https://fragalysis.diamond.ac.uk/viewer/react/preview/direct/target/Mac1/mols/Z1741959530/L/P/C</v>
      </c>
      <c r="AY6" s="32" t="str">
        <f t="shared" si="0"/>
        <v>https://fragalysis.diamond.ac.uk/viewer/react/preview/direct/target/Mac1/mols/Z26781943/L/P/C</v>
      </c>
      <c r="AZ6" s="32" t="str">
        <f t="shared" si="0"/>
        <v>https://fragalysis.diamond.ac.uk/viewer/react/preview/direct/target/Mac1/mols/Z906021418/L/P/C</v>
      </c>
      <c r="BA6" s="32" t="str">
        <f t="shared" si="0"/>
        <v>https://fragalysis.diamond.ac.uk/viewer/react/preview/direct/target/Mac1/mols/Z2856434941/L/P/C</v>
      </c>
      <c r="BB6" s="32" t="str">
        <f t="shared" si="0"/>
        <v>https://fragalysis.diamond.ac.uk/viewer/react/preview/direct/target/Mac1/mols/Z68404778/L/P/C</v>
      </c>
      <c r="BC6" s="32" t="str">
        <f t="shared" si="0"/>
        <v>https://fragalysis.diamond.ac.uk/viewer/react/preview/direct/target/Mac1/mols/Z2856434938/L/P/C</v>
      </c>
      <c r="BD6" s="32" t="str">
        <f t="shared" si="0"/>
        <v>https://fragalysis.diamond.ac.uk/viewer/react/preview/direct/target/Mac1/mols/Z1954800564/L/P/C</v>
      </c>
      <c r="BE6" s="32" t="str">
        <f t="shared" si="0"/>
        <v>https://fragalysis.diamond.ac.uk/viewer/react/preview/direct/target/Mac1/mols/Z1745658474/L/P/C</v>
      </c>
      <c r="BF6" s="32" t="str">
        <f t="shared" si="0"/>
        <v>https://fragalysis.diamond.ac.uk/viewer/react/preview/direct/target/Mac1/mols/Z165170770/L/P/C</v>
      </c>
      <c r="BG6" s="32" t="str">
        <f t="shared" si="0"/>
        <v>https://fragalysis.diamond.ac.uk/viewer/react/preview/direct/target/Mac1/mols/Z1562205518/L/P/C</v>
      </c>
      <c r="BH6" s="32" t="str">
        <f t="shared" si="0"/>
        <v>https://fragalysis.diamond.ac.uk/viewer/react/preview/direct/target/Mac1/mols/Z1741966151/L/P/C</v>
      </c>
      <c r="BI6" s="32" t="str">
        <f t="shared" si="0"/>
        <v>https://fragalysis.diamond.ac.uk/viewer/react/preview/direct/target/Mac1/mols/Z2856434937/L/P/C</v>
      </c>
      <c r="BJ6" s="32" t="str">
        <f t="shared" si="0"/>
        <v>https://fragalysis.diamond.ac.uk/viewer/react/preview/direct/target/Mac1/mols/Z30820160/L/P/C</v>
      </c>
      <c r="BK6" s="32" t="str">
        <f t="shared" si="0"/>
        <v>https://fragalysis.diamond.ac.uk/viewer/react/preview/direct/target/Mac1/mols/Z274553586/L/P/C</v>
      </c>
      <c r="BL6" s="32" t="str">
        <f t="shared" si="0"/>
        <v>https://fragalysis.diamond.ac.uk/viewer/react/preview/direct/target/Mac1/mols/Z57446103/L/P/C</v>
      </c>
      <c r="BM6" s="32" t="str">
        <f t="shared" si="0"/>
        <v>https://fragalysis.diamond.ac.uk/viewer/react/preview/direct/target/Mac1/mols/Z384468096/L/P/C</v>
      </c>
      <c r="BN6" s="32" t="str">
        <f t="shared" si="0"/>
        <v>https://fragalysis.diamond.ac.uk/viewer/react/preview/direct/target/Mac1/mols/Z2856434892/L/P/C</v>
      </c>
      <c r="BO6" s="32" t="str">
        <f t="shared" si="0"/>
        <v>https://fragalysis.diamond.ac.uk/viewer/react/preview/direct/target/Mac1/mols/Z50145861/L/P/C</v>
      </c>
      <c r="BP6" s="32" t="str">
        <f t="shared" si="0"/>
        <v>https://fragalysis.diamond.ac.uk/viewer/react/preview/direct/target/Mac1/mols/Z1324853681/L/P/C</v>
      </c>
      <c r="BQ6" s="32" t="str">
        <f t="shared" si="0"/>
        <v>https://fragalysis.diamond.ac.uk/viewer/react/preview/direct/target/Mac1/mols/Z219104216/L/P/C</v>
      </c>
      <c r="BR6" s="32" t="str">
        <f t="shared" si="0"/>
        <v>https://fragalysis.diamond.ac.uk/viewer/react/preview/direct/target/Mac1/mols/Z54628578/L/P/C</v>
      </c>
      <c r="BS6" s="32" t="str">
        <f t="shared" si="0"/>
        <v>https://fragalysis.diamond.ac.uk/viewer/react/preview/direct/target/Mac1/mols/Z45656995/L/P/C</v>
      </c>
      <c r="BT6" s="32" t="str">
        <f t="shared" si="0"/>
        <v>https://fragalysis.diamond.ac.uk/viewer/react/preview/direct/target/Mac1/mols/Z287484230/L/P/C</v>
      </c>
      <c r="BU6" s="32" t="str">
        <f t="shared" si="0"/>
        <v>https://fragalysis.diamond.ac.uk/viewer/react/preview/direct/target/Mac1/mols/Z102768020/L/P/C</v>
      </c>
      <c r="BV6" s="32" t="str">
        <f t="shared" si="0"/>
        <v>https://fragalysis.diamond.ac.uk/viewer/react/preview/direct/target/Mac1/mols/Z1238477790/L/P/C</v>
      </c>
      <c r="BW6" s="32" t="str">
        <f t="shared" si="0"/>
        <v>https://fragalysis.diamond.ac.uk/viewer/react/preview/direct/target/Mac1/mols/POB0013/L/P/C</v>
      </c>
      <c r="BX6" s="32" t="str">
        <f t="shared" si="0"/>
        <v>https://fragalysis.diamond.ac.uk/viewer/react/preview/direct/target/Mac1/mols/POB0014/L/P/C</v>
      </c>
      <c r="BY6" s="32" t="str">
        <f t="shared" si="0"/>
        <v>https://fragalysis.diamond.ac.uk/viewer/react/preview/direct/target/Mac1/mols/POB0103/L/P/C</v>
      </c>
      <c r="BZ6" s="32" t="str">
        <f t="shared" si="0"/>
        <v>https://fragalysis.diamond.ac.uk/viewer/react/preview/direct/target/Mac1/mols/POB0128/L/P/C</v>
      </c>
      <c r="CA6" s="32" t="str">
        <f t="shared" si="0"/>
        <v>https://fragalysis.diamond.ac.uk/viewer/react/preview/direct/target/Mac1/mols/POB0041/L/P/C</v>
      </c>
      <c r="CB6" s="32" t="str">
        <f t="shared" si="0"/>
        <v>https://fragalysis.diamond.ac.uk/viewer/react/preview/direct/target/Mac1/mols/POB0120/L/P/C</v>
      </c>
      <c r="CC6" s="32" t="str">
        <f t="shared" si="0"/>
        <v>https://fragalysis.diamond.ac.uk/viewer/react/preview/direct/target/Mac1/mols/POB0135/L/P/C</v>
      </c>
      <c r="CD6" s="32" t="str">
        <f t="shared" si="0"/>
        <v>https://fragalysis.diamond.ac.uk/viewer/react/preview/direct/target/Mac1/mols/POB0136/L/P/C</v>
      </c>
      <c r="CE6" s="32" t="str">
        <f t="shared" si="0"/>
        <v>https://fragalysis.diamond.ac.uk/viewer/react/preview/direct/target/Mac1/mols/POB0012/L/P/C</v>
      </c>
      <c r="CF6" s="32" t="str">
        <f t="shared" si="0"/>
        <v>https://fragalysis.diamond.ac.uk/viewer/react/preview/direct/target/Mac1/mols/POB0140/L/P/C</v>
      </c>
      <c r="CG6" s="32" t="str">
        <f t="shared" si="0"/>
        <v>https://fragalysis.diamond.ac.uk/viewer/react/preview/direct/target/Mac1/mols/NCL-00023824/L/P/C</v>
      </c>
      <c r="CH6" s="32" t="str">
        <f t="shared" si="0"/>
        <v>https://fragalysis.diamond.ac.uk/viewer/react/preview/direct/target/Mac1/mols/NCL-00023825/L/P/C</v>
      </c>
      <c r="CI6" s="32" t="str">
        <f t="shared" si="0"/>
        <v>https://fragalysis.diamond.ac.uk/viewer/react/preview/direct/target/Mac1/mols/NCL-00023833/L/P/C</v>
      </c>
      <c r="CJ6" s="32" t="str">
        <f t="shared" si="0"/>
        <v>https://fragalysis.diamond.ac.uk/viewer/react/preview/direct/target/Mac1/mols/NCL-00024661/L/P/C</v>
      </c>
      <c r="CK6" s="32" t="str">
        <f t="shared" si="0"/>
        <v>https://fragalysis.diamond.ac.uk/viewer/react/preview/direct/target/Mac1/mols/NCL-00024890/L/P/C</v>
      </c>
      <c r="CL6" s="32" t="str">
        <f t="shared" si="0"/>
        <v>https://fragalysis.diamond.ac.uk/viewer/react/preview/direct/target/Mac1/mols/NCL-00024773/L/P/C</v>
      </c>
      <c r="CM6" s="32" t="str">
        <f t="shared" si="0"/>
        <v>https://fragalysis.diamond.ac.uk/viewer/react/preview/direct/target/Mac1/mols/Z57131035/L/P/C</v>
      </c>
      <c r="CN6" s="32" t="str">
        <f t="shared" si="0"/>
        <v>https://fragalysis.diamond.ac.uk/viewer/react/preview/direct/target/Mac1/mols/Z940713508/L/P/C</v>
      </c>
      <c r="CO6" s="32" t="str">
        <f t="shared" si="0"/>
        <v>https://fragalysis.diamond.ac.uk/viewer/react/preview/direct/target/Mac1/mols/Z1741982125/L/P/C</v>
      </c>
      <c r="CP6" s="32" t="str">
        <f t="shared" si="0"/>
        <v>https://fragalysis.diamond.ac.uk/viewer/react/preview/direct/target/Mac1/mols/Z56866006/L/P/C</v>
      </c>
      <c r="CQ6" s="32" t="str">
        <f t="shared" si="0"/>
        <v>https://fragalysis.diamond.ac.uk/viewer/react/preview/direct/target/Mac1/mols/Z955123498/L/P/C</v>
      </c>
      <c r="CR6" s="32" t="str">
        <f t="shared" si="0"/>
        <v>https://fragalysis.diamond.ac.uk/viewer/react/preview/direct/target/Mac1/mols/Z3219959731/L/P/C</v>
      </c>
      <c r="CS6" s="32" t="str">
        <f t="shared" si="0"/>
        <v>https://fragalysis.diamond.ac.uk/viewer/react/preview/direct/target/Mac1/mols/Z1954800348/L/P/C</v>
      </c>
      <c r="CT6" s="32" t="str">
        <f t="shared" si="0"/>
        <v>https://fragalysis.diamond.ac.uk/viewer/react/preview/direct/target/Mac1/mols/Z1741982441/L/P/C</v>
      </c>
      <c r="CU6" s="32" t="str">
        <f t="shared" si="0"/>
        <v>https://fragalysis.diamond.ac.uk/viewer/react/preview/direct/target/Mac1/mols/Z2301685688/L/P/C</v>
      </c>
      <c r="CV6" s="32" t="str">
        <f t="shared" si="0"/>
        <v>https://fragalysis.diamond.ac.uk/viewer/react/preview/direct/target/Mac1/mols/SF003/L/P/C</v>
      </c>
      <c r="CW6" s="32" t="str">
        <f t="shared" si="0"/>
        <v>https://fragalysis.diamond.ac.uk/viewer/react/preview/direct/target/Mac1/mols/SF005/L/P/C</v>
      </c>
      <c r="CX6" s="32" t="str">
        <f t="shared" si="0"/>
        <v>https://fragalysis.diamond.ac.uk/viewer/react/preview/direct/target/Mac1/mols/SF048/L/P/C</v>
      </c>
      <c r="CY6" s="32" t="str">
        <f t="shared" si="0"/>
        <v>https://fragalysis.diamond.ac.uk/viewer/react/preview/direct/target/Mac1/mols/SF051/L/P/C</v>
      </c>
      <c r="CZ6" s="32" t="str">
        <f t="shared" si="0"/>
        <v>https://fragalysis.diamond.ac.uk/viewer/react/preview/direct/target/Mac1/mols/SF054/L/P/C</v>
      </c>
      <c r="DA6" s="32" t="str">
        <f t="shared" si="0"/>
        <v>https://fragalysis.diamond.ac.uk/viewer/react/preview/direct/target/Mac1/mols/FMOOA000509a/L/P/C</v>
      </c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</row>
    <row r="7" spans="1:127" ht="15.75" customHeight="1">
      <c r="A7" s="64" t="s">
        <v>163</v>
      </c>
      <c r="B7" s="30">
        <v>0.91190000000000004</v>
      </c>
      <c r="C7" s="30">
        <v>0.91190000000000004</v>
      </c>
      <c r="D7" s="30">
        <v>0.91190000000000004</v>
      </c>
      <c r="E7" s="30">
        <v>0.91190000000000004</v>
      </c>
      <c r="F7" s="30">
        <v>0.91190000000000004</v>
      </c>
      <c r="G7" s="30">
        <v>0.91190000000000004</v>
      </c>
      <c r="H7" s="30">
        <v>0.91190000000000004</v>
      </c>
      <c r="I7" s="30">
        <v>0.91190000000000004</v>
      </c>
      <c r="J7" s="30">
        <v>0.91190000000000004</v>
      </c>
      <c r="K7" s="30">
        <v>0.91190000000000004</v>
      </c>
      <c r="L7" s="30">
        <v>0.91190000000000004</v>
      </c>
      <c r="M7" s="30">
        <v>0.91190000000000004</v>
      </c>
      <c r="N7" s="30">
        <v>0.91190000000000004</v>
      </c>
      <c r="O7" s="30">
        <v>0.91190000000000004</v>
      </c>
      <c r="P7" s="30">
        <v>0.91190000000000004</v>
      </c>
      <c r="Q7" s="30">
        <v>0.91190000000000004</v>
      </c>
      <c r="R7" s="30">
        <v>0.91190000000000004</v>
      </c>
      <c r="S7" s="30">
        <v>0.91190000000000004</v>
      </c>
      <c r="T7" s="30">
        <v>0.91190000000000004</v>
      </c>
      <c r="U7" s="30">
        <v>0.91190000000000004</v>
      </c>
      <c r="V7" s="30">
        <v>0.91190000000000004</v>
      </c>
      <c r="W7" s="30">
        <v>0.91190000000000004</v>
      </c>
      <c r="X7" s="30">
        <v>0.91190000000000004</v>
      </c>
      <c r="Y7" s="30">
        <v>0.91190000000000004</v>
      </c>
      <c r="Z7" s="30">
        <v>0.91190000000000004</v>
      </c>
      <c r="AA7" s="30">
        <v>0.91190000000000004</v>
      </c>
      <c r="AB7" s="30">
        <v>0.91190000000000004</v>
      </c>
      <c r="AC7" s="30">
        <v>0.91190000000000004</v>
      </c>
      <c r="AD7" s="30">
        <v>0.91190000000000004</v>
      </c>
      <c r="AE7" s="30">
        <v>0.91190000000000004</v>
      </c>
      <c r="AF7" s="30">
        <v>0.91190000000000004</v>
      </c>
      <c r="AG7" s="30">
        <v>0.91190000000000004</v>
      </c>
      <c r="AH7" s="30">
        <v>0.91190000000000004</v>
      </c>
      <c r="AI7" s="30">
        <v>0.91190000000000004</v>
      </c>
      <c r="AJ7" s="30">
        <v>0.91190000000000004</v>
      </c>
      <c r="AK7" s="30">
        <v>0.91190000000000004</v>
      </c>
      <c r="AL7" s="30">
        <v>0.91190000000000004</v>
      </c>
      <c r="AM7" s="30">
        <v>0.91190000000000004</v>
      </c>
      <c r="AN7" s="30">
        <v>0.91190000000000004</v>
      </c>
      <c r="AO7" s="30">
        <v>0.91190000000000004</v>
      </c>
      <c r="AP7" s="30">
        <v>0.91190000000000004</v>
      </c>
      <c r="AQ7" s="30">
        <v>0.91190000000000004</v>
      </c>
      <c r="AR7" s="30">
        <v>0.91190000000000004</v>
      </c>
      <c r="AS7" s="30">
        <v>0.91190000000000004</v>
      </c>
      <c r="AT7" s="30">
        <v>0.91190000000000004</v>
      </c>
      <c r="AU7" s="30">
        <v>0.91190000000000004</v>
      </c>
      <c r="AV7" s="30">
        <v>0.91190000000000004</v>
      </c>
      <c r="AW7" s="30">
        <v>0.91190000000000004</v>
      </c>
      <c r="AX7" s="30">
        <v>0.91190000000000004</v>
      </c>
      <c r="AY7" s="30">
        <v>0.91190000000000004</v>
      </c>
      <c r="AZ7" s="30">
        <v>0.91190000000000004</v>
      </c>
      <c r="BA7" s="30">
        <v>0.91190000000000004</v>
      </c>
      <c r="BB7" s="30">
        <v>0.91190000000000004</v>
      </c>
      <c r="BC7" s="30">
        <v>0.91190000000000004</v>
      </c>
      <c r="BD7" s="30">
        <v>0.91190000000000004</v>
      </c>
      <c r="BE7" s="30">
        <v>0.91190000000000004</v>
      </c>
      <c r="BF7" s="30">
        <v>0.91190000000000004</v>
      </c>
      <c r="BG7" s="30">
        <v>0.91190000000000004</v>
      </c>
      <c r="BH7" s="30">
        <v>0.91190000000000004</v>
      </c>
      <c r="BI7" s="30">
        <v>0.91190000000000004</v>
      </c>
      <c r="BJ7" s="30">
        <v>0.91190000000000004</v>
      </c>
      <c r="BK7" s="30">
        <v>0.91190000000000004</v>
      </c>
      <c r="BL7" s="30">
        <v>0.91190000000000004</v>
      </c>
      <c r="BM7" s="30">
        <v>0.91190000000000004</v>
      </c>
      <c r="BN7" s="30">
        <v>0.91190000000000004</v>
      </c>
      <c r="BO7" s="30">
        <v>0.91190000000000004</v>
      </c>
      <c r="BP7" s="30">
        <v>0.91190000000000004</v>
      </c>
      <c r="BQ7" s="30">
        <v>0.91190000000000004</v>
      </c>
      <c r="BR7" s="30">
        <v>0.91190000000000004</v>
      </c>
      <c r="BS7" s="30">
        <v>0.91190000000000004</v>
      </c>
      <c r="BT7" s="30">
        <v>0.91190000000000004</v>
      </c>
      <c r="BU7" s="30">
        <v>0.91190000000000004</v>
      </c>
      <c r="BV7" s="30">
        <v>0.91190000000000004</v>
      </c>
      <c r="BW7" s="30">
        <v>0.91190000000000004</v>
      </c>
      <c r="BX7" s="30">
        <v>0.91190000000000004</v>
      </c>
      <c r="BY7" s="30">
        <v>0.91190000000000004</v>
      </c>
      <c r="BZ7" s="30">
        <v>0.91190000000000004</v>
      </c>
      <c r="CA7" s="30">
        <v>0.91190000000000004</v>
      </c>
      <c r="CB7" s="30">
        <v>0.91190000000000004</v>
      </c>
      <c r="CC7" s="30">
        <v>0.91190000000000004</v>
      </c>
      <c r="CD7" s="30">
        <v>0.91190000000000004</v>
      </c>
      <c r="CE7" s="30">
        <v>0.91190000000000004</v>
      </c>
      <c r="CF7" s="30">
        <v>0.91190000000000004</v>
      </c>
      <c r="CG7" s="30">
        <v>0.91190000000000004</v>
      </c>
      <c r="CH7" s="30">
        <v>0.91190000000000004</v>
      </c>
      <c r="CI7" s="30">
        <v>0.91190000000000004</v>
      </c>
      <c r="CJ7" s="30">
        <v>0.91190000000000004</v>
      </c>
      <c r="CK7" s="30">
        <v>0.91190000000000004</v>
      </c>
      <c r="CL7" s="30">
        <v>0.91190000000000004</v>
      </c>
      <c r="CM7" s="30">
        <v>0.91190000000000004</v>
      </c>
      <c r="CN7" s="30">
        <v>0.91190000000000004</v>
      </c>
      <c r="CO7" s="30">
        <v>0.91190000000000004</v>
      </c>
      <c r="CP7" s="30">
        <v>0.91190000000000004</v>
      </c>
      <c r="CQ7" s="30">
        <v>0.91190000000000004</v>
      </c>
      <c r="CR7" s="30">
        <v>0.91190000000000004</v>
      </c>
      <c r="CS7" s="30">
        <v>0.91190000000000004</v>
      </c>
      <c r="CT7" s="30">
        <v>0.91190000000000004</v>
      </c>
      <c r="CU7" s="30">
        <v>0.91190000000000004</v>
      </c>
      <c r="CV7" s="30">
        <v>0.91190000000000004</v>
      </c>
      <c r="CW7" s="30">
        <v>0.91190000000000004</v>
      </c>
      <c r="CX7" s="30">
        <v>0.91190000000000004</v>
      </c>
      <c r="CY7" s="30">
        <v>0.91190000000000004</v>
      </c>
      <c r="CZ7" s="30">
        <v>0.91190000000000004</v>
      </c>
      <c r="DA7" s="30">
        <v>0.91190000000000004</v>
      </c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</row>
    <row r="8" spans="1:127" ht="15.75" customHeight="1">
      <c r="A8" s="64" t="s">
        <v>164</v>
      </c>
      <c r="B8" s="28" t="s">
        <v>3228</v>
      </c>
      <c r="C8" s="28" t="s">
        <v>3229</v>
      </c>
      <c r="D8" s="28" t="s">
        <v>3230</v>
      </c>
      <c r="E8" s="28" t="s">
        <v>3231</v>
      </c>
      <c r="F8" s="28" t="s">
        <v>3232</v>
      </c>
      <c r="G8" s="28" t="s">
        <v>3233</v>
      </c>
      <c r="H8" s="28" t="s">
        <v>3234</v>
      </c>
      <c r="I8" s="28" t="s">
        <v>3235</v>
      </c>
      <c r="J8" s="28" t="s">
        <v>3236</v>
      </c>
      <c r="K8" s="28" t="s">
        <v>3237</v>
      </c>
      <c r="L8" s="28" t="s">
        <v>3238</v>
      </c>
      <c r="M8" s="28" t="s">
        <v>3239</v>
      </c>
      <c r="N8" s="28" t="s">
        <v>3240</v>
      </c>
      <c r="O8" s="28" t="s">
        <v>3241</v>
      </c>
      <c r="P8" s="28" t="s">
        <v>3242</v>
      </c>
      <c r="Q8" s="28" t="s">
        <v>3243</v>
      </c>
      <c r="R8" s="28" t="s">
        <v>3244</v>
      </c>
      <c r="S8" s="28" t="s">
        <v>3245</v>
      </c>
      <c r="T8" s="28" t="s">
        <v>3246</v>
      </c>
      <c r="U8" s="28" t="s">
        <v>3247</v>
      </c>
      <c r="V8" s="28" t="s">
        <v>3248</v>
      </c>
      <c r="W8" s="28" t="s">
        <v>3249</v>
      </c>
      <c r="X8" s="28" t="s">
        <v>3250</v>
      </c>
      <c r="Y8" s="28" t="s">
        <v>3251</v>
      </c>
      <c r="Z8" s="28" t="s">
        <v>3252</v>
      </c>
      <c r="AA8" s="28" t="s">
        <v>3253</v>
      </c>
      <c r="AB8" s="28" t="s">
        <v>3254</v>
      </c>
      <c r="AC8" s="28" t="s">
        <v>3255</v>
      </c>
      <c r="AD8" s="28" t="s">
        <v>3256</v>
      </c>
      <c r="AE8" s="28" t="s">
        <v>3257</v>
      </c>
      <c r="AF8" s="28" t="s">
        <v>3258</v>
      </c>
      <c r="AG8" s="28" t="s">
        <v>3259</v>
      </c>
      <c r="AH8" s="28" t="s">
        <v>3260</v>
      </c>
      <c r="AI8" s="28" t="s">
        <v>3261</v>
      </c>
      <c r="AJ8" s="28" t="s">
        <v>3262</v>
      </c>
      <c r="AK8" s="28" t="s">
        <v>3263</v>
      </c>
      <c r="AL8" s="28" t="s">
        <v>3264</v>
      </c>
      <c r="AM8" s="28" t="s">
        <v>3265</v>
      </c>
      <c r="AN8" s="28" t="s">
        <v>3266</v>
      </c>
      <c r="AO8" s="28" t="s">
        <v>3267</v>
      </c>
      <c r="AP8" s="28" t="s">
        <v>3268</v>
      </c>
      <c r="AQ8" s="28" t="s">
        <v>3269</v>
      </c>
      <c r="AR8" s="28" t="s">
        <v>3270</v>
      </c>
      <c r="AS8" s="28" t="s">
        <v>3271</v>
      </c>
      <c r="AT8" s="28" t="s">
        <v>3272</v>
      </c>
      <c r="AU8" s="28" t="s">
        <v>3273</v>
      </c>
      <c r="AV8" s="28" t="s">
        <v>3274</v>
      </c>
      <c r="AW8" s="28" t="s">
        <v>3275</v>
      </c>
      <c r="AX8" s="28" t="s">
        <v>3276</v>
      </c>
      <c r="AY8" s="28" t="s">
        <v>3277</v>
      </c>
      <c r="AZ8" s="28" t="s">
        <v>3278</v>
      </c>
      <c r="BA8" s="28" t="s">
        <v>3279</v>
      </c>
      <c r="BB8" s="28" t="s">
        <v>3280</v>
      </c>
      <c r="BC8" s="28" t="s">
        <v>3281</v>
      </c>
      <c r="BD8" s="28" t="s">
        <v>3282</v>
      </c>
      <c r="BE8" s="28" t="s">
        <v>3283</v>
      </c>
      <c r="BF8" s="28" t="s">
        <v>3284</v>
      </c>
      <c r="BG8" s="28" t="s">
        <v>3285</v>
      </c>
      <c r="BH8" s="28" t="s">
        <v>3286</v>
      </c>
      <c r="BI8" s="28" t="s">
        <v>3287</v>
      </c>
      <c r="BJ8" s="28" t="s">
        <v>3288</v>
      </c>
      <c r="BK8" s="28" t="s">
        <v>3289</v>
      </c>
      <c r="BL8" s="28" t="s">
        <v>3290</v>
      </c>
      <c r="BM8" s="28" t="s">
        <v>3291</v>
      </c>
      <c r="BN8" s="28" t="s">
        <v>3292</v>
      </c>
      <c r="BO8" s="28" t="s">
        <v>3293</v>
      </c>
      <c r="BP8" s="28" t="s">
        <v>3294</v>
      </c>
      <c r="BQ8" s="28" t="s">
        <v>3295</v>
      </c>
      <c r="BR8" s="28" t="s">
        <v>3296</v>
      </c>
      <c r="BS8" s="28" t="s">
        <v>3297</v>
      </c>
      <c r="BT8" s="28" t="s">
        <v>3298</v>
      </c>
      <c r="BU8" s="28" t="s">
        <v>3299</v>
      </c>
      <c r="BV8" s="28" t="s">
        <v>3300</v>
      </c>
      <c r="BW8" s="28" t="s">
        <v>3301</v>
      </c>
      <c r="BX8" s="28" t="s">
        <v>3302</v>
      </c>
      <c r="BY8" s="28" t="s">
        <v>3303</v>
      </c>
      <c r="BZ8" s="28" t="s">
        <v>3304</v>
      </c>
      <c r="CA8" s="28" t="s">
        <v>3305</v>
      </c>
      <c r="CB8" s="28" t="s">
        <v>3306</v>
      </c>
      <c r="CC8" s="28" t="s">
        <v>3307</v>
      </c>
      <c r="CD8" s="28" t="s">
        <v>3308</v>
      </c>
      <c r="CE8" s="28" t="s">
        <v>3309</v>
      </c>
      <c r="CF8" s="28" t="s">
        <v>3310</v>
      </c>
      <c r="CG8" s="28" t="s">
        <v>3311</v>
      </c>
      <c r="CH8" s="28" t="s">
        <v>3312</v>
      </c>
      <c r="CI8" s="28" t="s">
        <v>3313</v>
      </c>
      <c r="CJ8" s="28" t="s">
        <v>3314</v>
      </c>
      <c r="CK8" s="28" t="s">
        <v>3315</v>
      </c>
      <c r="CL8" s="28" t="s">
        <v>3316</v>
      </c>
      <c r="CM8" s="28" t="s">
        <v>3317</v>
      </c>
      <c r="CN8" s="28" t="s">
        <v>3318</v>
      </c>
      <c r="CO8" s="28" t="s">
        <v>3319</v>
      </c>
      <c r="CP8" s="28" t="s">
        <v>3320</v>
      </c>
      <c r="CQ8" s="28" t="s">
        <v>3321</v>
      </c>
      <c r="CR8" s="28" t="s">
        <v>3322</v>
      </c>
      <c r="CS8" s="28" t="s">
        <v>3323</v>
      </c>
      <c r="CT8" s="28" t="s">
        <v>3324</v>
      </c>
      <c r="CU8" s="28" t="s">
        <v>3325</v>
      </c>
      <c r="CV8" s="28" t="s">
        <v>3326</v>
      </c>
      <c r="CW8" s="28" t="s">
        <v>3327</v>
      </c>
      <c r="CX8" s="28" t="s">
        <v>3328</v>
      </c>
      <c r="CY8" s="28" t="s">
        <v>3329</v>
      </c>
      <c r="CZ8" s="28" t="s">
        <v>3330</v>
      </c>
      <c r="DA8" s="28" t="s">
        <v>3331</v>
      </c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</row>
    <row r="9" spans="1:127" ht="15.75" customHeight="1">
      <c r="A9" s="64" t="s">
        <v>170</v>
      </c>
      <c r="B9" s="28" t="s">
        <v>172</v>
      </c>
      <c r="C9" s="28" t="s">
        <v>172</v>
      </c>
      <c r="D9" s="28" t="s">
        <v>172</v>
      </c>
      <c r="E9" s="28" t="s">
        <v>172</v>
      </c>
      <c r="F9" s="28" t="s">
        <v>172</v>
      </c>
      <c r="G9" s="28" t="s">
        <v>172</v>
      </c>
      <c r="H9" s="28" t="s">
        <v>172</v>
      </c>
      <c r="I9" s="28" t="s">
        <v>172</v>
      </c>
      <c r="J9" s="28" t="s">
        <v>172</v>
      </c>
      <c r="K9" s="28" t="s">
        <v>172</v>
      </c>
      <c r="L9" s="28" t="s">
        <v>172</v>
      </c>
      <c r="M9" s="28" t="s">
        <v>172</v>
      </c>
      <c r="N9" s="28" t="s">
        <v>172</v>
      </c>
      <c r="O9" s="28" t="s">
        <v>172</v>
      </c>
      <c r="P9" s="28" t="s">
        <v>172</v>
      </c>
      <c r="Q9" s="28" t="s">
        <v>172</v>
      </c>
      <c r="R9" s="28" t="s">
        <v>172</v>
      </c>
      <c r="S9" s="28" t="s">
        <v>172</v>
      </c>
      <c r="T9" s="28" t="s">
        <v>172</v>
      </c>
      <c r="U9" s="28" t="s">
        <v>172</v>
      </c>
      <c r="V9" s="28" t="s">
        <v>172</v>
      </c>
      <c r="W9" s="28" t="s">
        <v>172</v>
      </c>
      <c r="X9" s="28" t="s">
        <v>172</v>
      </c>
      <c r="Y9" s="28" t="s">
        <v>172</v>
      </c>
      <c r="Z9" s="28" t="s">
        <v>172</v>
      </c>
      <c r="AA9" s="28" t="s">
        <v>172</v>
      </c>
      <c r="AB9" s="28" t="s">
        <v>172</v>
      </c>
      <c r="AC9" s="28" t="s">
        <v>172</v>
      </c>
      <c r="AD9" s="28" t="s">
        <v>172</v>
      </c>
      <c r="AE9" s="28" t="s">
        <v>172</v>
      </c>
      <c r="AF9" s="28" t="s">
        <v>172</v>
      </c>
      <c r="AG9" s="28" t="s">
        <v>172</v>
      </c>
      <c r="AH9" s="28" t="s">
        <v>172</v>
      </c>
      <c r="AI9" s="28" t="s">
        <v>172</v>
      </c>
      <c r="AJ9" s="28" t="s">
        <v>172</v>
      </c>
      <c r="AK9" s="28" t="s">
        <v>172</v>
      </c>
      <c r="AL9" s="28" t="s">
        <v>172</v>
      </c>
      <c r="AM9" s="28" t="s">
        <v>172</v>
      </c>
      <c r="AN9" s="28" t="s">
        <v>172</v>
      </c>
      <c r="AO9" s="28" t="s">
        <v>172</v>
      </c>
      <c r="AP9" s="28" t="s">
        <v>172</v>
      </c>
      <c r="AQ9" s="28" t="s">
        <v>172</v>
      </c>
      <c r="AR9" s="28" t="s">
        <v>172</v>
      </c>
      <c r="AS9" s="28" t="s">
        <v>172</v>
      </c>
      <c r="AT9" s="28" t="s">
        <v>172</v>
      </c>
      <c r="AU9" s="28" t="s">
        <v>172</v>
      </c>
      <c r="AV9" s="28" t="s">
        <v>172</v>
      </c>
      <c r="AW9" s="28" t="s">
        <v>172</v>
      </c>
      <c r="AX9" s="28" t="s">
        <v>172</v>
      </c>
      <c r="AY9" s="28" t="s">
        <v>172</v>
      </c>
      <c r="AZ9" s="28" t="s">
        <v>172</v>
      </c>
      <c r="BA9" s="28" t="s">
        <v>172</v>
      </c>
      <c r="BB9" s="28" t="s">
        <v>172</v>
      </c>
      <c r="BC9" s="28" t="s">
        <v>172</v>
      </c>
      <c r="BD9" s="28" t="s">
        <v>172</v>
      </c>
      <c r="BE9" s="28" t="s">
        <v>172</v>
      </c>
      <c r="BF9" s="28" t="s">
        <v>172</v>
      </c>
      <c r="BG9" s="28" t="s">
        <v>172</v>
      </c>
      <c r="BH9" s="28" t="s">
        <v>172</v>
      </c>
      <c r="BI9" s="28" t="s">
        <v>172</v>
      </c>
      <c r="BJ9" s="28" t="s">
        <v>172</v>
      </c>
      <c r="BK9" s="28" t="s">
        <v>172</v>
      </c>
      <c r="BL9" s="28" t="s">
        <v>172</v>
      </c>
      <c r="BM9" s="28" t="s">
        <v>172</v>
      </c>
      <c r="BN9" s="28" t="s">
        <v>172</v>
      </c>
      <c r="BO9" s="28" t="s">
        <v>172</v>
      </c>
      <c r="BP9" s="28" t="s">
        <v>172</v>
      </c>
      <c r="BQ9" s="28" t="s">
        <v>172</v>
      </c>
      <c r="BR9" s="28" t="s">
        <v>172</v>
      </c>
      <c r="BS9" s="28" t="s">
        <v>172</v>
      </c>
      <c r="BT9" s="28" t="s">
        <v>172</v>
      </c>
      <c r="BU9" s="28" t="s">
        <v>172</v>
      </c>
      <c r="BV9" s="28" t="s">
        <v>172</v>
      </c>
      <c r="BW9" s="28" t="s">
        <v>172</v>
      </c>
      <c r="BX9" s="28" t="s">
        <v>172</v>
      </c>
      <c r="BY9" s="28" t="s">
        <v>172</v>
      </c>
      <c r="BZ9" s="28" t="s">
        <v>172</v>
      </c>
      <c r="CA9" s="28" t="s">
        <v>172</v>
      </c>
      <c r="CB9" s="28" t="s">
        <v>172</v>
      </c>
      <c r="CC9" s="28" t="s">
        <v>172</v>
      </c>
      <c r="CD9" s="28" t="s">
        <v>172</v>
      </c>
      <c r="CE9" s="28" t="s">
        <v>172</v>
      </c>
      <c r="CF9" s="28" t="s">
        <v>172</v>
      </c>
      <c r="CG9" s="28" t="s">
        <v>172</v>
      </c>
      <c r="CH9" s="28" t="s">
        <v>172</v>
      </c>
      <c r="CI9" s="28" t="s">
        <v>172</v>
      </c>
      <c r="CJ9" s="28" t="s">
        <v>172</v>
      </c>
      <c r="CK9" s="28" t="s">
        <v>172</v>
      </c>
      <c r="CL9" s="28" t="s">
        <v>172</v>
      </c>
      <c r="CM9" s="28" t="s">
        <v>172</v>
      </c>
      <c r="CN9" s="28" t="s">
        <v>172</v>
      </c>
      <c r="CO9" s="28" t="s">
        <v>172</v>
      </c>
      <c r="CP9" s="28" t="s">
        <v>172</v>
      </c>
      <c r="CQ9" s="28" t="s">
        <v>172</v>
      </c>
      <c r="CR9" s="28" t="s">
        <v>172</v>
      </c>
      <c r="CS9" s="28" t="s">
        <v>172</v>
      </c>
      <c r="CT9" s="28" t="s">
        <v>172</v>
      </c>
      <c r="CU9" s="28" t="s">
        <v>172</v>
      </c>
      <c r="CV9" s="28" t="s">
        <v>172</v>
      </c>
      <c r="CW9" s="28" t="s">
        <v>172</v>
      </c>
      <c r="CX9" s="28" t="s">
        <v>172</v>
      </c>
      <c r="CY9" s="28" t="s">
        <v>172</v>
      </c>
      <c r="CZ9" s="28" t="s">
        <v>172</v>
      </c>
      <c r="DA9" s="28" t="s">
        <v>172</v>
      </c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</row>
    <row r="10" spans="1:127" ht="15.75" customHeight="1">
      <c r="A10" s="64" t="s">
        <v>173</v>
      </c>
      <c r="B10" s="28" t="s">
        <v>3332</v>
      </c>
      <c r="C10" s="28" t="s">
        <v>3333</v>
      </c>
      <c r="D10" s="28" t="s">
        <v>3334</v>
      </c>
      <c r="E10" s="28" t="s">
        <v>3335</v>
      </c>
      <c r="F10" s="28" t="s">
        <v>3336</v>
      </c>
      <c r="G10" s="28" t="s">
        <v>3337</v>
      </c>
      <c r="H10" s="28" t="s">
        <v>3338</v>
      </c>
      <c r="I10" s="28" t="s">
        <v>3339</v>
      </c>
      <c r="J10" s="28" t="s">
        <v>3340</v>
      </c>
      <c r="K10" s="28" t="s">
        <v>3341</v>
      </c>
      <c r="L10" s="28" t="s">
        <v>3342</v>
      </c>
      <c r="M10" s="28" t="s">
        <v>3343</v>
      </c>
      <c r="N10" s="28" t="s">
        <v>3344</v>
      </c>
      <c r="O10" s="28" t="s">
        <v>3345</v>
      </c>
      <c r="P10" s="28" t="s">
        <v>3346</v>
      </c>
      <c r="Q10" s="28" t="s">
        <v>3347</v>
      </c>
      <c r="R10" s="28" t="s">
        <v>3348</v>
      </c>
      <c r="S10" s="28" t="s">
        <v>3349</v>
      </c>
      <c r="T10" s="28" t="s">
        <v>3350</v>
      </c>
      <c r="U10" s="28" t="s">
        <v>3351</v>
      </c>
      <c r="V10" s="28" t="s">
        <v>3352</v>
      </c>
      <c r="W10" s="28" t="s">
        <v>3353</v>
      </c>
      <c r="X10" s="28" t="s">
        <v>3354</v>
      </c>
      <c r="Y10" s="28" t="s">
        <v>3355</v>
      </c>
      <c r="Z10" s="28" t="s">
        <v>3356</v>
      </c>
      <c r="AA10" s="28" t="s">
        <v>3357</v>
      </c>
      <c r="AB10" s="28" t="s">
        <v>3358</v>
      </c>
      <c r="AC10" s="28" t="s">
        <v>3359</v>
      </c>
      <c r="AD10" s="28" t="s">
        <v>3360</v>
      </c>
      <c r="AE10" s="28" t="s">
        <v>3361</v>
      </c>
      <c r="AF10" s="28" t="s">
        <v>3362</v>
      </c>
      <c r="AG10" s="28" t="s">
        <v>3363</v>
      </c>
      <c r="AH10" s="28" t="s">
        <v>3364</v>
      </c>
      <c r="AI10" s="28" t="s">
        <v>3365</v>
      </c>
      <c r="AJ10" s="28" t="s">
        <v>3366</v>
      </c>
      <c r="AK10" s="28" t="s">
        <v>3367</v>
      </c>
      <c r="AL10" s="28" t="s">
        <v>3368</v>
      </c>
      <c r="AM10" s="28" t="s">
        <v>3369</v>
      </c>
      <c r="AN10" s="28" t="s">
        <v>3370</v>
      </c>
      <c r="AO10" s="28" t="s">
        <v>3371</v>
      </c>
      <c r="AP10" s="28" t="s">
        <v>3372</v>
      </c>
      <c r="AQ10" s="28" t="s">
        <v>3373</v>
      </c>
      <c r="AR10" s="28" t="s">
        <v>3374</v>
      </c>
      <c r="AS10" s="28" t="s">
        <v>3375</v>
      </c>
      <c r="AT10" s="28" t="s">
        <v>3376</v>
      </c>
      <c r="AU10" s="28" t="s">
        <v>3377</v>
      </c>
      <c r="AV10" s="28" t="s">
        <v>3378</v>
      </c>
      <c r="AW10" s="28" t="s">
        <v>3379</v>
      </c>
      <c r="AX10" s="28" t="s">
        <v>3380</v>
      </c>
      <c r="AY10" s="28" t="s">
        <v>3381</v>
      </c>
      <c r="AZ10" s="28" t="s">
        <v>3382</v>
      </c>
      <c r="BA10" s="28" t="s">
        <v>3383</v>
      </c>
      <c r="BB10" s="28" t="s">
        <v>3384</v>
      </c>
      <c r="BC10" s="28" t="s">
        <v>3385</v>
      </c>
      <c r="BD10" s="28" t="s">
        <v>3386</v>
      </c>
      <c r="BE10" s="28" t="s">
        <v>3387</v>
      </c>
      <c r="BF10" s="28" t="s">
        <v>3388</v>
      </c>
      <c r="BG10" s="28" t="s">
        <v>3389</v>
      </c>
      <c r="BH10" s="28" t="s">
        <v>3390</v>
      </c>
      <c r="BI10" s="28" t="s">
        <v>3391</v>
      </c>
      <c r="BJ10" s="28" t="s">
        <v>3392</v>
      </c>
      <c r="BK10" s="28" t="s">
        <v>3393</v>
      </c>
      <c r="BL10" s="28" t="s">
        <v>3394</v>
      </c>
      <c r="BM10" s="28" t="s">
        <v>3395</v>
      </c>
      <c r="BN10" s="28" t="s">
        <v>3396</v>
      </c>
      <c r="BO10" s="28" t="s">
        <v>3397</v>
      </c>
      <c r="BP10" s="28" t="s">
        <v>3398</v>
      </c>
      <c r="BQ10" s="28" t="s">
        <v>3399</v>
      </c>
      <c r="BR10" s="28" t="s">
        <v>3400</v>
      </c>
      <c r="BS10" s="28" t="s">
        <v>3401</v>
      </c>
      <c r="BT10" s="28" t="s">
        <v>3402</v>
      </c>
      <c r="BU10" s="28" t="s">
        <v>3403</v>
      </c>
      <c r="BV10" s="28" t="s">
        <v>3404</v>
      </c>
      <c r="BW10" s="28" t="s">
        <v>3405</v>
      </c>
      <c r="BX10" s="28" t="s">
        <v>3406</v>
      </c>
      <c r="BY10" s="28" t="s">
        <v>3407</v>
      </c>
      <c r="BZ10" s="28" t="s">
        <v>3408</v>
      </c>
      <c r="CA10" s="28" t="s">
        <v>3409</v>
      </c>
      <c r="CB10" s="28" t="s">
        <v>3410</v>
      </c>
      <c r="CC10" s="28" t="s">
        <v>3411</v>
      </c>
      <c r="CD10" s="28" t="s">
        <v>3412</v>
      </c>
      <c r="CE10" s="28" t="s">
        <v>3413</v>
      </c>
      <c r="CF10" s="28" t="s">
        <v>3414</v>
      </c>
      <c r="CG10" s="28" t="s">
        <v>3415</v>
      </c>
      <c r="CH10" s="28" t="s">
        <v>3416</v>
      </c>
      <c r="CI10" s="28" t="s">
        <v>3417</v>
      </c>
      <c r="CJ10" s="28" t="s">
        <v>3418</v>
      </c>
      <c r="CK10" s="28" t="s">
        <v>3419</v>
      </c>
      <c r="CL10" s="28" t="s">
        <v>3420</v>
      </c>
      <c r="CM10" s="28" t="s">
        <v>3421</v>
      </c>
      <c r="CN10" s="28" t="s">
        <v>3422</v>
      </c>
      <c r="CO10" s="28" t="s">
        <v>3423</v>
      </c>
      <c r="CP10" s="28" t="s">
        <v>3424</v>
      </c>
      <c r="CQ10" s="28" t="s">
        <v>3425</v>
      </c>
      <c r="CR10" s="28" t="s">
        <v>3426</v>
      </c>
      <c r="CS10" s="28" t="s">
        <v>3427</v>
      </c>
      <c r="CT10" s="28" t="s">
        <v>3428</v>
      </c>
      <c r="CU10" s="28" t="s">
        <v>3429</v>
      </c>
      <c r="CV10" s="28" t="s">
        <v>3430</v>
      </c>
      <c r="CW10" s="28" t="s">
        <v>3431</v>
      </c>
      <c r="CX10" s="28" t="s">
        <v>3432</v>
      </c>
      <c r="CY10" s="28" t="s">
        <v>3433</v>
      </c>
      <c r="CZ10" s="28" t="s">
        <v>3434</v>
      </c>
      <c r="DA10" s="28" t="s">
        <v>3435</v>
      </c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</row>
    <row r="11" spans="1:127" ht="15.75" customHeight="1">
      <c r="A11" s="64" t="s">
        <v>179</v>
      </c>
      <c r="B11" s="28" t="s">
        <v>3436</v>
      </c>
      <c r="C11" s="28" t="s">
        <v>12986</v>
      </c>
      <c r="D11" s="28" t="s">
        <v>3437</v>
      </c>
      <c r="E11" s="28" t="s">
        <v>3438</v>
      </c>
      <c r="F11" s="28" t="s">
        <v>3439</v>
      </c>
      <c r="G11" s="28" t="s">
        <v>3440</v>
      </c>
      <c r="H11" s="28" t="s">
        <v>12987</v>
      </c>
      <c r="I11" s="28" t="s">
        <v>3441</v>
      </c>
      <c r="J11" s="28" t="s">
        <v>3442</v>
      </c>
      <c r="K11" s="28" t="s">
        <v>3443</v>
      </c>
      <c r="L11" s="28" t="s">
        <v>3444</v>
      </c>
      <c r="M11" s="28" t="s">
        <v>3445</v>
      </c>
      <c r="N11" s="28" t="s">
        <v>3446</v>
      </c>
      <c r="O11" s="28" t="s">
        <v>3447</v>
      </c>
      <c r="P11" s="28" t="s">
        <v>3448</v>
      </c>
      <c r="Q11" s="28" t="s">
        <v>3449</v>
      </c>
      <c r="R11" s="28" t="s">
        <v>3450</v>
      </c>
      <c r="S11" s="28" t="s">
        <v>3451</v>
      </c>
      <c r="T11" s="28" t="s">
        <v>3452</v>
      </c>
      <c r="U11" s="28" t="s">
        <v>3453</v>
      </c>
      <c r="V11" s="28" t="s">
        <v>3454</v>
      </c>
      <c r="W11" s="28" t="s">
        <v>3455</v>
      </c>
      <c r="X11" s="28" t="s">
        <v>3456</v>
      </c>
      <c r="Y11" s="28" t="s">
        <v>3457</v>
      </c>
      <c r="Z11" s="28" t="s">
        <v>3458</v>
      </c>
      <c r="AA11" s="28" t="s">
        <v>3459</v>
      </c>
      <c r="AB11" s="28" t="s">
        <v>3460</v>
      </c>
      <c r="AC11" s="28" t="s">
        <v>3461</v>
      </c>
      <c r="AD11" s="28" t="s">
        <v>3462</v>
      </c>
      <c r="AE11" s="28" t="s">
        <v>3463</v>
      </c>
      <c r="AF11" s="28" t="s">
        <v>3464</v>
      </c>
      <c r="AG11" s="28" t="s">
        <v>12988</v>
      </c>
      <c r="AH11" s="28" t="s">
        <v>3465</v>
      </c>
      <c r="AI11" s="28" t="s">
        <v>3466</v>
      </c>
      <c r="AJ11" s="28" t="s">
        <v>3467</v>
      </c>
      <c r="AK11" s="28" t="s">
        <v>3468</v>
      </c>
      <c r="AL11" s="28" t="s">
        <v>3469</v>
      </c>
      <c r="AM11" s="28" t="s">
        <v>3470</v>
      </c>
      <c r="AN11" s="28" t="s">
        <v>3471</v>
      </c>
      <c r="AO11" s="28" t="s">
        <v>3472</v>
      </c>
      <c r="AP11" s="28" t="s">
        <v>3473</v>
      </c>
      <c r="AQ11" s="28" t="s">
        <v>3474</v>
      </c>
      <c r="AR11" s="28" t="s">
        <v>3475</v>
      </c>
      <c r="AS11" s="28" t="s">
        <v>3476</v>
      </c>
      <c r="AT11" s="28" t="s">
        <v>3477</v>
      </c>
      <c r="AU11" s="28" t="s">
        <v>3478</v>
      </c>
      <c r="AV11" s="28" t="s">
        <v>3479</v>
      </c>
      <c r="AW11" s="28" t="s">
        <v>3480</v>
      </c>
      <c r="AX11" s="28" t="s">
        <v>3481</v>
      </c>
      <c r="AY11" s="28" t="s">
        <v>3482</v>
      </c>
      <c r="AZ11" s="28" t="s">
        <v>3483</v>
      </c>
      <c r="BA11" s="28" t="s">
        <v>3484</v>
      </c>
      <c r="BB11" s="28" t="s">
        <v>3485</v>
      </c>
      <c r="BC11" s="28" t="s">
        <v>3486</v>
      </c>
      <c r="BD11" s="28" t="s">
        <v>3487</v>
      </c>
      <c r="BE11" s="28" t="s">
        <v>3488</v>
      </c>
      <c r="BF11" s="28" t="s">
        <v>3489</v>
      </c>
      <c r="BG11" s="28" t="s">
        <v>3490</v>
      </c>
      <c r="BH11" s="28" t="s">
        <v>3491</v>
      </c>
      <c r="BI11" s="28" t="s">
        <v>3492</v>
      </c>
      <c r="BJ11" s="28" t="s">
        <v>3493</v>
      </c>
      <c r="BK11" s="28" t="s">
        <v>3494</v>
      </c>
      <c r="BL11" s="28" t="s">
        <v>3495</v>
      </c>
      <c r="BM11" s="28" t="s">
        <v>3496</v>
      </c>
      <c r="BN11" s="28" t="s">
        <v>3497</v>
      </c>
      <c r="BO11" s="28" t="s">
        <v>3498</v>
      </c>
      <c r="BP11" s="28" t="s">
        <v>3499</v>
      </c>
      <c r="BQ11" s="28" t="s">
        <v>3500</v>
      </c>
      <c r="BR11" s="28" t="s">
        <v>12989</v>
      </c>
      <c r="BS11" s="28" t="s">
        <v>3501</v>
      </c>
      <c r="BT11" s="28" t="s">
        <v>3502</v>
      </c>
      <c r="BU11" s="28" t="s">
        <v>3503</v>
      </c>
      <c r="BV11" s="28" t="s">
        <v>3504</v>
      </c>
      <c r="BW11" s="28" t="s">
        <v>3505</v>
      </c>
      <c r="BX11" s="28" t="s">
        <v>3506</v>
      </c>
      <c r="BY11" s="28" t="s">
        <v>3507</v>
      </c>
      <c r="BZ11" s="28" t="s">
        <v>3508</v>
      </c>
      <c r="CA11" s="28" t="s">
        <v>3509</v>
      </c>
      <c r="CB11" s="28" t="s">
        <v>3510</v>
      </c>
      <c r="CC11" s="28" t="s">
        <v>3511</v>
      </c>
      <c r="CD11" s="28" t="s">
        <v>3512</v>
      </c>
      <c r="CE11" s="28" t="s">
        <v>3513</v>
      </c>
      <c r="CF11" s="28" t="s">
        <v>3514</v>
      </c>
      <c r="CG11" s="28" t="s">
        <v>3515</v>
      </c>
      <c r="CH11" s="28" t="s">
        <v>3516</v>
      </c>
      <c r="CI11" s="28" t="s">
        <v>3517</v>
      </c>
      <c r="CJ11" s="28" t="s">
        <v>3518</v>
      </c>
      <c r="CK11" s="28" t="s">
        <v>12990</v>
      </c>
      <c r="CL11" s="28" t="s">
        <v>3519</v>
      </c>
      <c r="CM11" s="28" t="s">
        <v>3520</v>
      </c>
      <c r="CN11" s="28" t="s">
        <v>3521</v>
      </c>
      <c r="CO11" s="28" t="s">
        <v>3522</v>
      </c>
      <c r="CP11" s="28" t="s">
        <v>3523</v>
      </c>
      <c r="CQ11" s="28" t="s">
        <v>3524</v>
      </c>
      <c r="CR11" s="28" t="s">
        <v>3525</v>
      </c>
      <c r="CS11" s="28" t="s">
        <v>12991</v>
      </c>
      <c r="CT11" s="28" t="s">
        <v>3526</v>
      </c>
      <c r="CU11" s="28" t="s">
        <v>3527</v>
      </c>
      <c r="CV11" s="28" t="s">
        <v>12992</v>
      </c>
      <c r="CW11" s="28" t="s">
        <v>3528</v>
      </c>
      <c r="CX11" s="28" t="s">
        <v>3529</v>
      </c>
      <c r="CY11" s="28" t="s">
        <v>3530</v>
      </c>
      <c r="CZ11" s="28" t="s">
        <v>3531</v>
      </c>
      <c r="DA11" s="28" t="s">
        <v>3532</v>
      </c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</row>
    <row r="12" spans="1:127" ht="15.75" customHeight="1">
      <c r="A12" s="64" t="s">
        <v>185</v>
      </c>
      <c r="B12" s="28" t="s">
        <v>3533</v>
      </c>
      <c r="C12" s="28" t="s">
        <v>12993</v>
      </c>
      <c r="D12" s="28" t="s">
        <v>3535</v>
      </c>
      <c r="E12" s="28" t="s">
        <v>3536</v>
      </c>
      <c r="F12" s="28" t="s">
        <v>3537</v>
      </c>
      <c r="G12" s="28" t="s">
        <v>3538</v>
      </c>
      <c r="H12" s="28" t="s">
        <v>12994</v>
      </c>
      <c r="I12" s="28" t="s">
        <v>3540</v>
      </c>
      <c r="J12" s="28" t="s">
        <v>3541</v>
      </c>
      <c r="K12" s="28" t="s">
        <v>3542</v>
      </c>
      <c r="L12" s="28" t="s">
        <v>3543</v>
      </c>
      <c r="M12" s="28" t="s">
        <v>3544</v>
      </c>
      <c r="N12" s="28" t="s">
        <v>3545</v>
      </c>
      <c r="O12" s="28" t="s">
        <v>3546</v>
      </c>
      <c r="P12" s="28" t="s">
        <v>3547</v>
      </c>
      <c r="Q12" s="28" t="s">
        <v>3548</v>
      </c>
      <c r="R12" s="28" t="s">
        <v>3549</v>
      </c>
      <c r="S12" s="28" t="s">
        <v>3550</v>
      </c>
      <c r="T12" s="28" t="s">
        <v>3551</v>
      </c>
      <c r="U12" s="28" t="s">
        <v>3552</v>
      </c>
      <c r="V12" s="28" t="s">
        <v>3553</v>
      </c>
      <c r="W12" s="28" t="s">
        <v>3554</v>
      </c>
      <c r="X12" s="28" t="s">
        <v>3555</v>
      </c>
      <c r="Y12" s="28" t="s">
        <v>3556</v>
      </c>
      <c r="Z12" s="28" t="s">
        <v>3557</v>
      </c>
      <c r="AA12" s="28" t="s">
        <v>3558</v>
      </c>
      <c r="AB12" s="28" t="s">
        <v>3559</v>
      </c>
      <c r="AC12" s="28" t="s">
        <v>3560</v>
      </c>
      <c r="AD12" s="28" t="s">
        <v>3561</v>
      </c>
      <c r="AE12" s="28" t="s">
        <v>3562</v>
      </c>
      <c r="AF12" s="28" t="s">
        <v>3563</v>
      </c>
      <c r="AG12" s="28" t="s">
        <v>12995</v>
      </c>
      <c r="AH12" s="28" t="s">
        <v>3565</v>
      </c>
      <c r="AI12" s="28" t="s">
        <v>3566</v>
      </c>
      <c r="AJ12" s="28" t="s">
        <v>3567</v>
      </c>
      <c r="AK12" s="28" t="s">
        <v>3568</v>
      </c>
      <c r="AL12" s="28" t="s">
        <v>3569</v>
      </c>
      <c r="AM12" s="28" t="s">
        <v>3570</v>
      </c>
      <c r="AN12" s="28" t="s">
        <v>3571</v>
      </c>
      <c r="AO12" s="28" t="s">
        <v>3572</v>
      </c>
      <c r="AP12" s="28" t="s">
        <v>3573</v>
      </c>
      <c r="AQ12" s="28" t="s">
        <v>3574</v>
      </c>
      <c r="AR12" s="28" t="s">
        <v>3575</v>
      </c>
      <c r="AS12" s="28" t="s">
        <v>3576</v>
      </c>
      <c r="AT12" s="28" t="s">
        <v>3577</v>
      </c>
      <c r="AU12" s="28" t="s">
        <v>3578</v>
      </c>
      <c r="AV12" s="28" t="s">
        <v>3579</v>
      </c>
      <c r="AW12" s="28" t="s">
        <v>3580</v>
      </c>
      <c r="AX12" s="28" t="s">
        <v>3581</v>
      </c>
      <c r="AY12" s="28" t="s">
        <v>3582</v>
      </c>
      <c r="AZ12" s="28" t="s">
        <v>3583</v>
      </c>
      <c r="BA12" s="28" t="s">
        <v>3584</v>
      </c>
      <c r="BB12" s="28" t="s">
        <v>3585</v>
      </c>
      <c r="BC12" s="28" t="s">
        <v>3586</v>
      </c>
      <c r="BD12" s="28" t="s">
        <v>3587</v>
      </c>
      <c r="BE12" s="28" t="s">
        <v>3588</v>
      </c>
      <c r="BF12" s="28" t="s">
        <v>3589</v>
      </c>
      <c r="BG12" s="28" t="s">
        <v>3590</v>
      </c>
      <c r="BH12" s="28" t="s">
        <v>3591</v>
      </c>
      <c r="BI12" s="28" t="s">
        <v>3592</v>
      </c>
      <c r="BJ12" s="28" t="s">
        <v>3593</v>
      </c>
      <c r="BK12" s="28" t="s">
        <v>3594</v>
      </c>
      <c r="BL12" s="28" t="s">
        <v>3595</v>
      </c>
      <c r="BM12" s="28" t="s">
        <v>3596</v>
      </c>
      <c r="BN12" s="28" t="s">
        <v>3597</v>
      </c>
      <c r="BO12" s="28" t="s">
        <v>3598</v>
      </c>
      <c r="BP12" s="28" t="s">
        <v>3599</v>
      </c>
      <c r="BQ12" s="28" t="s">
        <v>3600</v>
      </c>
      <c r="BR12" s="28" t="s">
        <v>12996</v>
      </c>
      <c r="BS12" s="28" t="s">
        <v>3602</v>
      </c>
      <c r="BT12" s="28" t="s">
        <v>3603</v>
      </c>
      <c r="BU12" s="28" t="s">
        <v>3604</v>
      </c>
      <c r="BV12" s="28" t="s">
        <v>3605</v>
      </c>
      <c r="BW12" s="28" t="s">
        <v>3606</v>
      </c>
      <c r="BX12" s="28" t="s">
        <v>3607</v>
      </c>
      <c r="BY12" s="28" t="s">
        <v>3608</v>
      </c>
      <c r="BZ12" s="28" t="s">
        <v>3609</v>
      </c>
      <c r="CA12" s="28" t="s">
        <v>3610</v>
      </c>
      <c r="CB12" s="28" t="s">
        <v>3611</v>
      </c>
      <c r="CC12" s="28" t="s">
        <v>3612</v>
      </c>
      <c r="CD12" s="28" t="s">
        <v>3613</v>
      </c>
      <c r="CE12" s="28" t="s">
        <v>3614</v>
      </c>
      <c r="CF12" s="28" t="s">
        <v>3615</v>
      </c>
      <c r="CG12" s="28" t="s">
        <v>3616</v>
      </c>
      <c r="CH12" s="28" t="s">
        <v>3617</v>
      </c>
      <c r="CI12" s="28" t="s">
        <v>3618</v>
      </c>
      <c r="CJ12" s="28" t="s">
        <v>3619</v>
      </c>
      <c r="CK12" s="28" t="s">
        <v>12997</v>
      </c>
      <c r="CL12" s="28" t="s">
        <v>3621</v>
      </c>
      <c r="CM12" s="28" t="s">
        <v>3622</v>
      </c>
      <c r="CN12" s="28" t="s">
        <v>3623</v>
      </c>
      <c r="CO12" s="28" t="s">
        <v>3624</v>
      </c>
      <c r="CP12" s="28" t="s">
        <v>3625</v>
      </c>
      <c r="CQ12" s="28" t="s">
        <v>3626</v>
      </c>
      <c r="CR12" s="28" t="s">
        <v>3627</v>
      </c>
      <c r="CS12" s="28" t="s">
        <v>12998</v>
      </c>
      <c r="CT12" s="28" t="s">
        <v>3629</v>
      </c>
      <c r="CU12" s="28" t="s">
        <v>3630</v>
      </c>
      <c r="CV12" s="28" t="s">
        <v>12999</v>
      </c>
      <c r="CW12" s="28" t="s">
        <v>3632</v>
      </c>
      <c r="CX12" s="28" t="s">
        <v>3633</v>
      </c>
      <c r="CY12" s="28" t="s">
        <v>3634</v>
      </c>
      <c r="CZ12" s="28" t="s">
        <v>3635</v>
      </c>
      <c r="DA12" s="28" t="s">
        <v>3636</v>
      </c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</row>
    <row r="13" spans="1:127" ht="15.75" customHeight="1">
      <c r="A13" s="64" t="s">
        <v>191</v>
      </c>
      <c r="B13" s="28" t="s">
        <v>3637</v>
      </c>
      <c r="C13" s="28" t="s">
        <v>3645</v>
      </c>
      <c r="D13" s="28" t="s">
        <v>3638</v>
      </c>
      <c r="E13" s="28" t="s">
        <v>3639</v>
      </c>
      <c r="F13" s="28" t="s">
        <v>3640</v>
      </c>
      <c r="G13" s="28" t="s">
        <v>3641</v>
      </c>
      <c r="H13" s="28" t="s">
        <v>13000</v>
      </c>
      <c r="I13" s="28" t="s">
        <v>3638</v>
      </c>
      <c r="J13" s="28" t="s">
        <v>3642</v>
      </c>
      <c r="K13" s="28" t="s">
        <v>3643</v>
      </c>
      <c r="L13" s="28" t="s">
        <v>3644</v>
      </c>
      <c r="M13" s="28" t="s">
        <v>3645</v>
      </c>
      <c r="N13" s="28" t="s">
        <v>3646</v>
      </c>
      <c r="O13" s="28" t="s">
        <v>3647</v>
      </c>
      <c r="P13" s="28" t="s">
        <v>3648</v>
      </c>
      <c r="Q13" s="28" t="s">
        <v>3639</v>
      </c>
      <c r="R13" s="28" t="s">
        <v>3649</v>
      </c>
      <c r="S13" s="28" t="s">
        <v>3646</v>
      </c>
      <c r="T13" s="28" t="s">
        <v>3640</v>
      </c>
      <c r="U13" s="28" t="s">
        <v>3650</v>
      </c>
      <c r="V13" s="28" t="s">
        <v>3651</v>
      </c>
      <c r="W13" s="28" t="s">
        <v>3647</v>
      </c>
      <c r="X13" s="28" t="s">
        <v>3640</v>
      </c>
      <c r="Y13" s="28" t="s">
        <v>3642</v>
      </c>
      <c r="Z13" s="28" t="s">
        <v>3652</v>
      </c>
      <c r="AA13" s="28" t="s">
        <v>3653</v>
      </c>
      <c r="AB13" s="28" t="s">
        <v>3638</v>
      </c>
      <c r="AC13" s="28" t="s">
        <v>1377</v>
      </c>
      <c r="AD13" s="28" t="s">
        <v>3654</v>
      </c>
      <c r="AE13" s="28" t="s">
        <v>3655</v>
      </c>
      <c r="AF13" s="28" t="s">
        <v>3643</v>
      </c>
      <c r="AG13" s="28" t="s">
        <v>3655</v>
      </c>
      <c r="AH13" s="28" t="s">
        <v>3646</v>
      </c>
      <c r="AI13" s="28" t="s">
        <v>3656</v>
      </c>
      <c r="AJ13" s="28" t="s">
        <v>3646</v>
      </c>
      <c r="AK13" s="28" t="s">
        <v>3657</v>
      </c>
      <c r="AL13" s="28" t="s">
        <v>3658</v>
      </c>
      <c r="AM13" s="28" t="s">
        <v>1396</v>
      </c>
      <c r="AN13" s="28" t="s">
        <v>3637</v>
      </c>
      <c r="AO13" s="28" t="s">
        <v>3659</v>
      </c>
      <c r="AP13" s="28" t="s">
        <v>3656</v>
      </c>
      <c r="AQ13" s="28" t="s">
        <v>3660</v>
      </c>
      <c r="AR13" s="28" t="s">
        <v>3657</v>
      </c>
      <c r="AS13" s="28" t="s">
        <v>3647</v>
      </c>
      <c r="AT13" s="28" t="s">
        <v>3661</v>
      </c>
      <c r="AU13" s="28" t="s">
        <v>3662</v>
      </c>
      <c r="AV13" s="28" t="s">
        <v>3641</v>
      </c>
      <c r="AW13" s="28" t="s">
        <v>3639</v>
      </c>
      <c r="AX13" s="28" t="s">
        <v>3663</v>
      </c>
      <c r="AY13" s="28" t="s">
        <v>1378</v>
      </c>
      <c r="AZ13" s="28" t="s">
        <v>3664</v>
      </c>
      <c r="BA13" s="28" t="s">
        <v>3664</v>
      </c>
      <c r="BB13" s="28" t="s">
        <v>3656</v>
      </c>
      <c r="BC13" s="28" t="s">
        <v>3663</v>
      </c>
      <c r="BD13" s="28" t="s">
        <v>1399</v>
      </c>
      <c r="BE13" s="28" t="s">
        <v>3654</v>
      </c>
      <c r="BF13" s="28" t="s">
        <v>3665</v>
      </c>
      <c r="BG13" s="28" t="s">
        <v>3666</v>
      </c>
      <c r="BH13" s="28" t="s">
        <v>3655</v>
      </c>
      <c r="BI13" s="28" t="s">
        <v>3667</v>
      </c>
      <c r="BJ13" s="28" t="s">
        <v>3638</v>
      </c>
      <c r="BK13" s="28" t="s">
        <v>3662</v>
      </c>
      <c r="BL13" s="28" t="s">
        <v>1409</v>
      </c>
      <c r="BM13" s="28" t="s">
        <v>1403</v>
      </c>
      <c r="BN13" s="28" t="s">
        <v>3668</v>
      </c>
      <c r="BO13" s="28" t="s">
        <v>3667</v>
      </c>
      <c r="BP13" s="28" t="s">
        <v>3655</v>
      </c>
      <c r="BQ13" s="28" t="s">
        <v>3669</v>
      </c>
      <c r="BR13" s="28" t="s">
        <v>3659</v>
      </c>
      <c r="BS13" s="28" t="s">
        <v>3670</v>
      </c>
      <c r="BT13" s="28" t="s">
        <v>3638</v>
      </c>
      <c r="BU13" s="28" t="s">
        <v>3671</v>
      </c>
      <c r="BV13" s="28" t="s">
        <v>3657</v>
      </c>
      <c r="BW13" s="28" t="s">
        <v>3657</v>
      </c>
      <c r="BX13" s="28" t="s">
        <v>3660</v>
      </c>
      <c r="BY13" s="28" t="s">
        <v>3672</v>
      </c>
      <c r="BZ13" s="28" t="s">
        <v>3640</v>
      </c>
      <c r="CA13" s="28" t="s">
        <v>3647</v>
      </c>
      <c r="CB13" s="28" t="s">
        <v>3659</v>
      </c>
      <c r="CC13" s="28" t="s">
        <v>3673</v>
      </c>
      <c r="CD13" s="28" t="s">
        <v>3674</v>
      </c>
      <c r="CE13" s="28" t="s">
        <v>3646</v>
      </c>
      <c r="CF13" s="28" t="s">
        <v>3675</v>
      </c>
      <c r="CG13" s="28" t="s">
        <v>3639</v>
      </c>
      <c r="CH13" s="28" t="s">
        <v>3638</v>
      </c>
      <c r="CI13" s="28" t="s">
        <v>3655</v>
      </c>
      <c r="CJ13" s="28" t="s">
        <v>3646</v>
      </c>
      <c r="CK13" s="28" t="s">
        <v>3661</v>
      </c>
      <c r="CL13" s="28" t="s">
        <v>1403</v>
      </c>
      <c r="CM13" s="28" t="s">
        <v>3638</v>
      </c>
      <c r="CN13" s="28" t="s">
        <v>3646</v>
      </c>
      <c r="CO13" s="28" t="s">
        <v>3641</v>
      </c>
      <c r="CP13" s="28" t="s">
        <v>3676</v>
      </c>
      <c r="CQ13" s="28" t="s">
        <v>3645</v>
      </c>
      <c r="CR13" s="28" t="s">
        <v>3667</v>
      </c>
      <c r="CS13" s="28" t="s">
        <v>3677</v>
      </c>
      <c r="CT13" s="28" t="s">
        <v>3678</v>
      </c>
      <c r="CU13" s="28" t="s">
        <v>3679</v>
      </c>
      <c r="CV13" s="28" t="s">
        <v>13001</v>
      </c>
      <c r="CW13" s="28" t="s">
        <v>3665</v>
      </c>
      <c r="CX13" s="28" t="s">
        <v>3680</v>
      </c>
      <c r="CY13" s="28" t="s">
        <v>3656</v>
      </c>
      <c r="CZ13" s="28" t="s">
        <v>3637</v>
      </c>
      <c r="DA13" s="28" t="s">
        <v>3680</v>
      </c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</row>
    <row r="14" spans="1:127" ht="15.75" customHeight="1">
      <c r="A14" s="64" t="s">
        <v>197</v>
      </c>
      <c r="B14" s="28" t="s">
        <v>3681</v>
      </c>
      <c r="C14" s="28" t="s">
        <v>3682</v>
      </c>
      <c r="D14" s="28" t="s">
        <v>3683</v>
      </c>
      <c r="E14" s="28" t="s">
        <v>3684</v>
      </c>
      <c r="F14" s="28" t="s">
        <v>3685</v>
      </c>
      <c r="G14" s="28" t="s">
        <v>3686</v>
      </c>
      <c r="H14" s="28" t="s">
        <v>3687</v>
      </c>
      <c r="I14" s="28" t="s">
        <v>3688</v>
      </c>
      <c r="J14" s="28" t="s">
        <v>3689</v>
      </c>
      <c r="K14" s="28" t="s">
        <v>3690</v>
      </c>
      <c r="L14" s="28" t="s">
        <v>3691</v>
      </c>
      <c r="M14" s="28" t="s">
        <v>3692</v>
      </c>
      <c r="N14" s="28" t="s">
        <v>3693</v>
      </c>
      <c r="O14" s="28" t="s">
        <v>3694</v>
      </c>
      <c r="P14" s="28" t="s">
        <v>3695</v>
      </c>
      <c r="Q14" s="28" t="s">
        <v>3696</v>
      </c>
      <c r="R14" s="28" t="s">
        <v>3697</v>
      </c>
      <c r="S14" s="28" t="s">
        <v>3698</v>
      </c>
      <c r="T14" s="28" t="s">
        <v>3699</v>
      </c>
      <c r="U14" s="28" t="s">
        <v>3700</v>
      </c>
      <c r="V14" s="28" t="s">
        <v>3701</v>
      </c>
      <c r="W14" s="28" t="s">
        <v>3702</v>
      </c>
      <c r="X14" s="28" t="s">
        <v>3703</v>
      </c>
      <c r="Y14" s="28" t="s">
        <v>3704</v>
      </c>
      <c r="Z14" s="28" t="s">
        <v>3705</v>
      </c>
      <c r="AA14" s="28" t="s">
        <v>3706</v>
      </c>
      <c r="AB14" s="28" t="s">
        <v>3707</v>
      </c>
      <c r="AC14" s="28" t="s">
        <v>3708</v>
      </c>
      <c r="AD14" s="28" t="s">
        <v>3709</v>
      </c>
      <c r="AE14" s="28" t="s">
        <v>3710</v>
      </c>
      <c r="AF14" s="28" t="s">
        <v>3711</v>
      </c>
      <c r="AG14" s="28" t="s">
        <v>3712</v>
      </c>
      <c r="AH14" s="28" t="s">
        <v>3713</v>
      </c>
      <c r="AI14" s="28" t="s">
        <v>3714</v>
      </c>
      <c r="AJ14" s="28" t="s">
        <v>3715</v>
      </c>
      <c r="AK14" s="28" t="s">
        <v>3716</v>
      </c>
      <c r="AL14" s="28" t="s">
        <v>3717</v>
      </c>
      <c r="AM14" s="28" t="s">
        <v>3718</v>
      </c>
      <c r="AN14" s="28" t="s">
        <v>3719</v>
      </c>
      <c r="AO14" s="28" t="s">
        <v>3720</v>
      </c>
      <c r="AP14" s="28" t="s">
        <v>3721</v>
      </c>
      <c r="AQ14" s="28" t="s">
        <v>3722</v>
      </c>
      <c r="AR14" s="28" t="s">
        <v>3723</v>
      </c>
      <c r="AS14" s="28" t="s">
        <v>3724</v>
      </c>
      <c r="AT14" s="28" t="s">
        <v>3725</v>
      </c>
      <c r="AU14" s="28" t="s">
        <v>3726</v>
      </c>
      <c r="AV14" s="28" t="s">
        <v>3727</v>
      </c>
      <c r="AW14" s="28" t="s">
        <v>3728</v>
      </c>
      <c r="AX14" s="28" t="s">
        <v>3729</v>
      </c>
      <c r="AY14" s="28" t="s">
        <v>3730</v>
      </c>
      <c r="AZ14" s="28" t="s">
        <v>3731</v>
      </c>
      <c r="BA14" s="28" t="s">
        <v>3732</v>
      </c>
      <c r="BB14" s="28" t="s">
        <v>3733</v>
      </c>
      <c r="BC14" s="28" t="s">
        <v>3734</v>
      </c>
      <c r="BD14" s="28" t="s">
        <v>3735</v>
      </c>
      <c r="BE14" s="28" t="s">
        <v>3736</v>
      </c>
      <c r="BF14" s="28" t="s">
        <v>3737</v>
      </c>
      <c r="BG14" s="28" t="s">
        <v>3738</v>
      </c>
      <c r="BH14" s="28" t="s">
        <v>3739</v>
      </c>
      <c r="BI14" s="28" t="s">
        <v>3740</v>
      </c>
      <c r="BJ14" s="28" t="s">
        <v>3741</v>
      </c>
      <c r="BK14" s="28" t="s">
        <v>3742</v>
      </c>
      <c r="BL14" s="28" t="s">
        <v>3743</v>
      </c>
      <c r="BM14" s="28" t="s">
        <v>3744</v>
      </c>
      <c r="BN14" s="28" t="s">
        <v>3745</v>
      </c>
      <c r="BO14" s="28" t="s">
        <v>3746</v>
      </c>
      <c r="BP14" s="28" t="s">
        <v>3747</v>
      </c>
      <c r="BQ14" s="28" t="s">
        <v>3748</v>
      </c>
      <c r="BR14" s="28" t="s">
        <v>3749</v>
      </c>
      <c r="BS14" s="28" t="s">
        <v>3750</v>
      </c>
      <c r="BT14" s="28" t="s">
        <v>3751</v>
      </c>
      <c r="BU14" s="28" t="s">
        <v>3752</v>
      </c>
      <c r="BV14" s="28" t="s">
        <v>3753</v>
      </c>
      <c r="BW14" s="28" t="s">
        <v>3754</v>
      </c>
      <c r="BX14" s="28" t="s">
        <v>3755</v>
      </c>
      <c r="BY14" s="28" t="s">
        <v>3756</v>
      </c>
      <c r="BZ14" s="28" t="s">
        <v>3757</v>
      </c>
      <c r="CA14" s="28" t="s">
        <v>3758</v>
      </c>
      <c r="CB14" s="28" t="s">
        <v>3759</v>
      </c>
      <c r="CC14" s="28" t="s">
        <v>3760</v>
      </c>
      <c r="CD14" s="28" t="s">
        <v>3761</v>
      </c>
      <c r="CE14" s="28" t="s">
        <v>3762</v>
      </c>
      <c r="CF14" s="28" t="s">
        <v>3763</v>
      </c>
      <c r="CG14" s="28" t="s">
        <v>3764</v>
      </c>
      <c r="CH14" s="28" t="s">
        <v>3765</v>
      </c>
      <c r="CI14" s="28" t="s">
        <v>3766</v>
      </c>
      <c r="CJ14" s="28" t="s">
        <v>3767</v>
      </c>
      <c r="CK14" s="28" t="s">
        <v>3768</v>
      </c>
      <c r="CL14" s="28" t="s">
        <v>3769</v>
      </c>
      <c r="CM14" s="28" t="s">
        <v>3770</v>
      </c>
      <c r="CN14" s="28" t="s">
        <v>3771</v>
      </c>
      <c r="CO14" s="28" t="s">
        <v>3772</v>
      </c>
      <c r="CP14" s="28" t="s">
        <v>3773</v>
      </c>
      <c r="CQ14" s="28" t="s">
        <v>3774</v>
      </c>
      <c r="CR14" s="28" t="s">
        <v>3775</v>
      </c>
      <c r="CS14" s="28" t="s">
        <v>3776</v>
      </c>
      <c r="CT14" s="28" t="s">
        <v>3777</v>
      </c>
      <c r="CU14" s="28" t="s">
        <v>3778</v>
      </c>
      <c r="CV14" s="28" t="s">
        <v>3779</v>
      </c>
      <c r="CW14" s="28" t="s">
        <v>3780</v>
      </c>
      <c r="CX14" s="28" t="s">
        <v>3781</v>
      </c>
      <c r="CY14" s="28" t="s">
        <v>3782</v>
      </c>
      <c r="CZ14" s="28" t="s">
        <v>3783</v>
      </c>
      <c r="DA14" s="28" t="s">
        <v>3784</v>
      </c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</row>
    <row r="15" spans="1:127" ht="15.75" customHeight="1">
      <c r="A15" s="64" t="s">
        <v>203</v>
      </c>
      <c r="B15" s="28" t="s">
        <v>3785</v>
      </c>
      <c r="C15" s="28" t="s">
        <v>13002</v>
      </c>
      <c r="D15" s="28" t="s">
        <v>3786</v>
      </c>
      <c r="E15" s="28" t="s">
        <v>3787</v>
      </c>
      <c r="F15" s="28" t="s">
        <v>3788</v>
      </c>
      <c r="G15" s="28" t="s">
        <v>3789</v>
      </c>
      <c r="H15" s="28" t="s">
        <v>13003</v>
      </c>
      <c r="I15" s="28" t="s">
        <v>3790</v>
      </c>
      <c r="J15" s="28" t="s">
        <v>3791</v>
      </c>
      <c r="K15" s="28" t="s">
        <v>3792</v>
      </c>
      <c r="L15" s="28" t="s">
        <v>3793</v>
      </c>
      <c r="M15" s="28" t="s">
        <v>3794</v>
      </c>
      <c r="N15" s="28" t="s">
        <v>3795</v>
      </c>
      <c r="O15" s="28" t="s">
        <v>3796</v>
      </c>
      <c r="P15" s="28" t="s">
        <v>3797</v>
      </c>
      <c r="Q15" s="28" t="s">
        <v>3798</v>
      </c>
      <c r="R15" s="28" t="s">
        <v>3799</v>
      </c>
      <c r="S15" s="28" t="s">
        <v>3800</v>
      </c>
      <c r="T15" s="28" t="s">
        <v>3801</v>
      </c>
      <c r="U15" s="28" t="s">
        <v>3802</v>
      </c>
      <c r="V15" s="28" t="s">
        <v>3803</v>
      </c>
      <c r="W15" s="28" t="s">
        <v>3804</v>
      </c>
      <c r="X15" s="28" t="s">
        <v>3805</v>
      </c>
      <c r="Y15" s="28" t="s">
        <v>3806</v>
      </c>
      <c r="Z15" s="28" t="s">
        <v>3807</v>
      </c>
      <c r="AA15" s="28" t="s">
        <v>3808</v>
      </c>
      <c r="AB15" s="28" t="s">
        <v>3809</v>
      </c>
      <c r="AC15" s="28" t="s">
        <v>3810</v>
      </c>
      <c r="AD15" s="28" t="s">
        <v>3811</v>
      </c>
      <c r="AE15" s="28" t="s">
        <v>3812</v>
      </c>
      <c r="AF15" s="28" t="s">
        <v>3813</v>
      </c>
      <c r="AG15" s="28" t="s">
        <v>13004</v>
      </c>
      <c r="AH15" s="28" t="s">
        <v>3814</v>
      </c>
      <c r="AI15" s="28" t="s">
        <v>3815</v>
      </c>
      <c r="AJ15" s="28" t="s">
        <v>3816</v>
      </c>
      <c r="AK15" s="28" t="s">
        <v>3817</v>
      </c>
      <c r="AL15" s="28" t="s">
        <v>3818</v>
      </c>
      <c r="AM15" s="28" t="s">
        <v>3819</v>
      </c>
      <c r="AN15" s="28" t="s">
        <v>3820</v>
      </c>
      <c r="AO15" s="28" t="s">
        <v>3821</v>
      </c>
      <c r="AP15" s="28" t="s">
        <v>3822</v>
      </c>
      <c r="AQ15" s="28" t="s">
        <v>3823</v>
      </c>
      <c r="AR15" s="28" t="s">
        <v>3824</v>
      </c>
      <c r="AS15" s="28" t="s">
        <v>3825</v>
      </c>
      <c r="AT15" s="28" t="s">
        <v>3826</v>
      </c>
      <c r="AU15" s="28" t="s">
        <v>3827</v>
      </c>
      <c r="AV15" s="28" t="s">
        <v>3828</v>
      </c>
      <c r="AW15" s="28" t="s">
        <v>3829</v>
      </c>
      <c r="AX15" s="28" t="s">
        <v>3830</v>
      </c>
      <c r="AY15" s="28" t="s">
        <v>3831</v>
      </c>
      <c r="AZ15" s="28" t="s">
        <v>3832</v>
      </c>
      <c r="BA15" s="28" t="s">
        <v>3833</v>
      </c>
      <c r="BB15" s="28" t="s">
        <v>3834</v>
      </c>
      <c r="BC15" s="28" t="s">
        <v>3835</v>
      </c>
      <c r="BD15" s="28" t="s">
        <v>3836</v>
      </c>
      <c r="BE15" s="28" t="s">
        <v>3837</v>
      </c>
      <c r="BF15" s="28" t="s">
        <v>3838</v>
      </c>
      <c r="BG15" s="28" t="s">
        <v>3839</v>
      </c>
      <c r="BH15" s="28" t="s">
        <v>3840</v>
      </c>
      <c r="BI15" s="28" t="s">
        <v>3841</v>
      </c>
      <c r="BJ15" s="28" t="s">
        <v>3842</v>
      </c>
      <c r="BK15" s="28" t="s">
        <v>3843</v>
      </c>
      <c r="BL15" s="28" t="s">
        <v>3844</v>
      </c>
      <c r="BM15" s="28" t="s">
        <v>3845</v>
      </c>
      <c r="BN15" s="28" t="s">
        <v>3846</v>
      </c>
      <c r="BO15" s="28" t="s">
        <v>3847</v>
      </c>
      <c r="BP15" s="28" t="s">
        <v>3848</v>
      </c>
      <c r="BQ15" s="28" t="s">
        <v>3849</v>
      </c>
      <c r="BR15" s="28" t="s">
        <v>3816</v>
      </c>
      <c r="BS15" s="28" t="s">
        <v>3850</v>
      </c>
      <c r="BT15" s="28" t="s">
        <v>3851</v>
      </c>
      <c r="BU15" s="28" t="s">
        <v>3852</v>
      </c>
      <c r="BV15" s="28" t="s">
        <v>3853</v>
      </c>
      <c r="BW15" s="28" t="s">
        <v>3854</v>
      </c>
      <c r="BX15" s="28" t="s">
        <v>3821</v>
      </c>
      <c r="BY15" s="28" t="s">
        <v>3855</v>
      </c>
      <c r="BZ15" s="28" t="s">
        <v>3856</v>
      </c>
      <c r="CA15" s="28" t="s">
        <v>3857</v>
      </c>
      <c r="CB15" s="28" t="s">
        <v>3858</v>
      </c>
      <c r="CC15" s="28" t="s">
        <v>3859</v>
      </c>
      <c r="CD15" s="28" t="s">
        <v>3860</v>
      </c>
      <c r="CE15" s="28" t="s">
        <v>3861</v>
      </c>
      <c r="CF15" s="28" t="s">
        <v>3862</v>
      </c>
      <c r="CG15" s="28" t="s">
        <v>3863</v>
      </c>
      <c r="CH15" s="28" t="s">
        <v>3864</v>
      </c>
      <c r="CI15" s="28" t="s">
        <v>3865</v>
      </c>
      <c r="CJ15" s="28" t="s">
        <v>3866</v>
      </c>
      <c r="CK15" s="28" t="s">
        <v>13005</v>
      </c>
      <c r="CL15" s="28" t="s">
        <v>3867</v>
      </c>
      <c r="CM15" s="28" t="s">
        <v>3868</v>
      </c>
      <c r="CN15" s="28" t="s">
        <v>3869</v>
      </c>
      <c r="CO15" s="28" t="s">
        <v>3870</v>
      </c>
      <c r="CP15" s="28" t="s">
        <v>3871</v>
      </c>
      <c r="CQ15" s="28" t="s">
        <v>3872</v>
      </c>
      <c r="CR15" s="28" t="s">
        <v>3873</v>
      </c>
      <c r="CS15" s="28" t="s">
        <v>13006</v>
      </c>
      <c r="CT15" s="28" t="s">
        <v>3874</v>
      </c>
      <c r="CU15" s="28" t="s">
        <v>3875</v>
      </c>
      <c r="CV15" s="28" t="s">
        <v>13007</v>
      </c>
      <c r="CW15" s="28" t="s">
        <v>3876</v>
      </c>
      <c r="CX15" s="28" t="s">
        <v>3877</v>
      </c>
      <c r="CY15" s="28" t="s">
        <v>3878</v>
      </c>
      <c r="CZ15" s="28" t="s">
        <v>3879</v>
      </c>
      <c r="DA15" s="28" t="s">
        <v>3880</v>
      </c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</row>
    <row r="16" spans="1:127" ht="15.75" customHeight="1">
      <c r="A16" s="64" t="s">
        <v>209</v>
      </c>
      <c r="B16" s="28">
        <v>13.73</v>
      </c>
      <c r="C16" s="28">
        <v>13.16</v>
      </c>
      <c r="D16" s="28">
        <v>14.44</v>
      </c>
      <c r="E16" s="28">
        <v>14.66</v>
      </c>
      <c r="F16" s="28">
        <v>13.77</v>
      </c>
      <c r="G16" s="28">
        <v>12.97</v>
      </c>
      <c r="H16" s="28">
        <v>13.23</v>
      </c>
      <c r="I16" s="28">
        <v>14.45</v>
      </c>
      <c r="J16" s="28">
        <v>13.99</v>
      </c>
      <c r="K16" s="28">
        <v>13.79</v>
      </c>
      <c r="L16" s="28">
        <v>13.69</v>
      </c>
      <c r="M16" s="28">
        <v>12.31</v>
      </c>
      <c r="N16" s="28">
        <v>13.69</v>
      </c>
      <c r="O16" s="28">
        <v>13.93</v>
      </c>
      <c r="P16" s="28">
        <v>12.53</v>
      </c>
      <c r="Q16" s="28">
        <v>13.54</v>
      </c>
      <c r="R16" s="28">
        <v>14.14</v>
      </c>
      <c r="S16" s="28">
        <v>13.67</v>
      </c>
      <c r="T16" s="28">
        <v>13.76</v>
      </c>
      <c r="U16" s="28">
        <v>13.79</v>
      </c>
      <c r="V16" s="28">
        <v>17.170000000000002</v>
      </c>
      <c r="W16" s="28">
        <v>13.47</v>
      </c>
      <c r="X16" s="28">
        <v>13.7</v>
      </c>
      <c r="Y16" s="28">
        <v>12.99</v>
      </c>
      <c r="Z16" s="28">
        <v>14.32</v>
      </c>
      <c r="AA16" s="28">
        <v>14.73</v>
      </c>
      <c r="AB16" s="28">
        <v>14.51</v>
      </c>
      <c r="AC16" s="28">
        <v>15.27</v>
      </c>
      <c r="AD16" s="28">
        <v>13.96</v>
      </c>
      <c r="AE16" s="28">
        <v>14.16</v>
      </c>
      <c r="AF16" s="28">
        <v>14.21</v>
      </c>
      <c r="AG16" s="28">
        <v>14.12</v>
      </c>
      <c r="AH16" s="28">
        <v>14.17</v>
      </c>
      <c r="AI16" s="28">
        <v>14.12</v>
      </c>
      <c r="AJ16" s="28">
        <v>14.15</v>
      </c>
      <c r="AK16" s="28">
        <v>14.16</v>
      </c>
      <c r="AL16" s="28">
        <v>13.09</v>
      </c>
      <c r="AM16" s="28">
        <v>15.5</v>
      </c>
      <c r="AN16" s="28">
        <v>14.61</v>
      </c>
      <c r="AO16" s="28">
        <v>13.59</v>
      </c>
      <c r="AP16" s="28">
        <v>14.88</v>
      </c>
      <c r="AQ16" s="28">
        <v>13.4</v>
      </c>
      <c r="AR16" s="28">
        <v>14.21</v>
      </c>
      <c r="AS16" s="28">
        <v>13.52</v>
      </c>
      <c r="AT16" s="28">
        <v>13.95</v>
      </c>
      <c r="AU16" s="28">
        <v>13.42</v>
      </c>
      <c r="AV16" s="28">
        <v>13.2</v>
      </c>
      <c r="AW16" s="28">
        <v>16.12</v>
      </c>
      <c r="AX16" s="28">
        <v>15.66</v>
      </c>
      <c r="AY16" s="28">
        <v>11.62</v>
      </c>
      <c r="AZ16" s="28">
        <v>14.4</v>
      </c>
      <c r="BA16" s="28">
        <v>13.4</v>
      </c>
      <c r="BB16" s="28">
        <v>14.94</v>
      </c>
      <c r="BC16" s="28">
        <v>13.73</v>
      </c>
      <c r="BD16" s="28">
        <v>15.8</v>
      </c>
      <c r="BE16" s="28">
        <v>14.89</v>
      </c>
      <c r="BF16" s="28">
        <v>14.71</v>
      </c>
      <c r="BG16" s="28">
        <v>15.48</v>
      </c>
      <c r="BH16" s="28">
        <v>13.98</v>
      </c>
      <c r="BI16" s="28">
        <v>15.65</v>
      </c>
      <c r="BJ16" s="28">
        <v>15.89</v>
      </c>
      <c r="BK16" s="28">
        <v>13.98</v>
      </c>
      <c r="BL16" s="28">
        <v>14.36</v>
      </c>
      <c r="BM16" s="28">
        <v>14.4</v>
      </c>
      <c r="BN16" s="28">
        <v>15.32</v>
      </c>
      <c r="BO16" s="28">
        <v>14.47</v>
      </c>
      <c r="BP16" s="28">
        <v>13.61</v>
      </c>
      <c r="BQ16" s="28">
        <v>14.16</v>
      </c>
      <c r="BR16" s="28">
        <v>14.19</v>
      </c>
      <c r="BS16" s="28">
        <v>16.920000000000002</v>
      </c>
      <c r="BT16" s="28">
        <v>14.84</v>
      </c>
      <c r="BU16" s="28">
        <v>13.63</v>
      </c>
      <c r="BV16" s="28">
        <v>13.48</v>
      </c>
      <c r="BW16" s="28">
        <v>13.73</v>
      </c>
      <c r="BX16" s="28">
        <v>12.88</v>
      </c>
      <c r="BY16" s="28">
        <v>12.22</v>
      </c>
      <c r="BZ16" s="28">
        <v>13.02</v>
      </c>
      <c r="CA16" s="28">
        <v>13.19</v>
      </c>
      <c r="CB16" s="28">
        <v>12.96</v>
      </c>
      <c r="CC16" s="28">
        <v>10.93</v>
      </c>
      <c r="CD16" s="28">
        <v>12.83</v>
      </c>
      <c r="CE16" s="28">
        <v>13.04</v>
      </c>
      <c r="CF16" s="28">
        <v>12.43</v>
      </c>
      <c r="CG16" s="28">
        <v>15.9</v>
      </c>
      <c r="CH16" s="28">
        <v>15.17</v>
      </c>
      <c r="CI16" s="28">
        <v>14.18</v>
      </c>
      <c r="CJ16" s="28">
        <v>14.14</v>
      </c>
      <c r="CK16" s="28">
        <v>12.83</v>
      </c>
      <c r="CL16" s="28">
        <v>15.24</v>
      </c>
      <c r="CM16" s="28">
        <v>16.100000000000001</v>
      </c>
      <c r="CN16" s="28">
        <v>14.33</v>
      </c>
      <c r="CO16" s="28">
        <v>13.18</v>
      </c>
      <c r="CP16" s="28">
        <v>11.49</v>
      </c>
      <c r="CQ16" s="28">
        <v>13.24</v>
      </c>
      <c r="CR16" s="28">
        <v>14.44</v>
      </c>
      <c r="CS16" s="28">
        <v>11.27</v>
      </c>
      <c r="CT16" s="28">
        <v>16.86</v>
      </c>
      <c r="CU16" s="28">
        <v>12.66</v>
      </c>
      <c r="CV16" s="28">
        <v>14.38</v>
      </c>
      <c r="CW16" s="28">
        <v>12.86</v>
      </c>
      <c r="CX16" s="28">
        <v>16.34</v>
      </c>
      <c r="CY16" s="28">
        <v>15.35</v>
      </c>
      <c r="CZ16" s="28">
        <v>14.72</v>
      </c>
      <c r="DA16" s="28">
        <v>14.2</v>
      </c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</row>
    <row r="17" spans="1:127" ht="15.75" customHeight="1">
      <c r="A17" s="64" t="s">
        <v>210</v>
      </c>
      <c r="B17" s="28" t="s">
        <v>3881</v>
      </c>
      <c r="C17" s="28" t="s">
        <v>13008</v>
      </c>
      <c r="D17" s="28" t="s">
        <v>3882</v>
      </c>
      <c r="E17" s="28" t="s">
        <v>3883</v>
      </c>
      <c r="F17" s="28" t="s">
        <v>3884</v>
      </c>
      <c r="G17" s="28" t="s">
        <v>3885</v>
      </c>
      <c r="H17" s="28" t="s">
        <v>13009</v>
      </c>
      <c r="I17" s="28" t="s">
        <v>3886</v>
      </c>
      <c r="J17" s="28" t="s">
        <v>3887</v>
      </c>
      <c r="K17" s="28" t="s">
        <v>3888</v>
      </c>
      <c r="L17" s="28" t="s">
        <v>3889</v>
      </c>
      <c r="M17" s="28" t="s">
        <v>3890</v>
      </c>
      <c r="N17" s="28" t="s">
        <v>3891</v>
      </c>
      <c r="O17" s="28" t="s">
        <v>3892</v>
      </c>
      <c r="P17" s="28" t="s">
        <v>3893</v>
      </c>
      <c r="Q17" s="28" t="s">
        <v>3894</v>
      </c>
      <c r="R17" s="28" t="s">
        <v>3895</v>
      </c>
      <c r="S17" s="28" t="s">
        <v>3896</v>
      </c>
      <c r="T17" s="28" t="s">
        <v>3897</v>
      </c>
      <c r="U17" s="28" t="s">
        <v>3898</v>
      </c>
      <c r="V17" s="28" t="s">
        <v>3899</v>
      </c>
      <c r="W17" s="28" t="s">
        <v>3900</v>
      </c>
      <c r="X17" s="28" t="s">
        <v>3901</v>
      </c>
      <c r="Y17" s="28" t="s">
        <v>3902</v>
      </c>
      <c r="Z17" s="28" t="s">
        <v>3903</v>
      </c>
      <c r="AA17" s="28" t="s">
        <v>3904</v>
      </c>
      <c r="AB17" s="28" t="s">
        <v>3905</v>
      </c>
      <c r="AC17" s="28" t="s">
        <v>3906</v>
      </c>
      <c r="AD17" s="28" t="s">
        <v>3907</v>
      </c>
      <c r="AE17" s="28" t="s">
        <v>3908</v>
      </c>
      <c r="AF17" s="28" t="s">
        <v>3909</v>
      </c>
      <c r="AG17" s="28" t="s">
        <v>13010</v>
      </c>
      <c r="AH17" s="28" t="s">
        <v>3910</v>
      </c>
      <c r="AI17" s="28" t="s">
        <v>3911</v>
      </c>
      <c r="AJ17" s="28" t="s">
        <v>3912</v>
      </c>
      <c r="AK17" s="28" t="s">
        <v>3913</v>
      </c>
      <c r="AL17" s="28" t="s">
        <v>3914</v>
      </c>
      <c r="AM17" s="28" t="s">
        <v>3915</v>
      </c>
      <c r="AN17" s="28" t="s">
        <v>3916</v>
      </c>
      <c r="AO17" s="28" t="s">
        <v>3917</v>
      </c>
      <c r="AP17" s="28" t="s">
        <v>3918</v>
      </c>
      <c r="AQ17" s="28" t="s">
        <v>3919</v>
      </c>
      <c r="AR17" s="28" t="s">
        <v>3920</v>
      </c>
      <c r="AS17" s="28" t="s">
        <v>3921</v>
      </c>
      <c r="AT17" s="28" t="s">
        <v>3922</v>
      </c>
      <c r="AU17" s="28" t="s">
        <v>3923</v>
      </c>
      <c r="AV17" s="28" t="s">
        <v>3924</v>
      </c>
      <c r="AW17" s="28" t="s">
        <v>3925</v>
      </c>
      <c r="AX17" s="28" t="s">
        <v>3926</v>
      </c>
      <c r="AY17" s="28" t="s">
        <v>3927</v>
      </c>
      <c r="AZ17" s="28" t="s">
        <v>3928</v>
      </c>
      <c r="BA17" s="28" t="s">
        <v>3929</v>
      </c>
      <c r="BB17" s="28" t="s">
        <v>3930</v>
      </c>
      <c r="BC17" s="28" t="s">
        <v>3931</v>
      </c>
      <c r="BD17" s="28" t="s">
        <v>3932</v>
      </c>
      <c r="BE17" s="28" t="s">
        <v>3933</v>
      </c>
      <c r="BF17" s="28" t="s">
        <v>3934</v>
      </c>
      <c r="BG17" s="28" t="s">
        <v>3935</v>
      </c>
      <c r="BH17" s="28" t="s">
        <v>3936</v>
      </c>
      <c r="BI17" s="28" t="s">
        <v>3937</v>
      </c>
      <c r="BJ17" s="28" t="s">
        <v>3938</v>
      </c>
      <c r="BK17" s="28" t="s">
        <v>3939</v>
      </c>
      <c r="BL17" s="28" t="s">
        <v>3940</v>
      </c>
      <c r="BM17" s="28" t="s">
        <v>3941</v>
      </c>
      <c r="BN17" s="28" t="s">
        <v>3942</v>
      </c>
      <c r="BO17" s="28" t="s">
        <v>3943</v>
      </c>
      <c r="BP17" s="28" t="s">
        <v>3944</v>
      </c>
      <c r="BQ17" s="28" t="s">
        <v>3945</v>
      </c>
      <c r="BR17" s="28" t="s">
        <v>13011</v>
      </c>
      <c r="BS17" s="28" t="s">
        <v>3946</v>
      </c>
      <c r="BT17" s="28" t="s">
        <v>3947</v>
      </c>
      <c r="BU17" s="28" t="s">
        <v>3948</v>
      </c>
      <c r="BV17" s="28" t="s">
        <v>3949</v>
      </c>
      <c r="BW17" s="28" t="s">
        <v>3950</v>
      </c>
      <c r="BX17" s="28" t="s">
        <v>3951</v>
      </c>
      <c r="BY17" s="28" t="s">
        <v>3952</v>
      </c>
      <c r="BZ17" s="28" t="s">
        <v>3953</v>
      </c>
      <c r="CA17" s="28" t="s">
        <v>3954</v>
      </c>
      <c r="CB17" s="28" t="s">
        <v>3955</v>
      </c>
      <c r="CC17" s="28" t="s">
        <v>3956</v>
      </c>
      <c r="CD17" s="28" t="s">
        <v>3957</v>
      </c>
      <c r="CE17" s="28" t="s">
        <v>3958</v>
      </c>
      <c r="CF17" s="28" t="s">
        <v>3959</v>
      </c>
      <c r="CG17" s="28" t="s">
        <v>3960</v>
      </c>
      <c r="CH17" s="28" t="s">
        <v>3961</v>
      </c>
      <c r="CI17" s="28" t="s">
        <v>3962</v>
      </c>
      <c r="CJ17" s="28" t="s">
        <v>3963</v>
      </c>
      <c r="CK17" s="28" t="s">
        <v>13012</v>
      </c>
      <c r="CL17" s="28" t="s">
        <v>3964</v>
      </c>
      <c r="CM17" s="28" t="s">
        <v>3965</v>
      </c>
      <c r="CN17" s="28" t="s">
        <v>3966</v>
      </c>
      <c r="CO17" s="28" t="s">
        <v>3967</v>
      </c>
      <c r="CP17" s="28" t="s">
        <v>3968</v>
      </c>
      <c r="CQ17" s="28" t="s">
        <v>3969</v>
      </c>
      <c r="CR17" s="28" t="s">
        <v>3970</v>
      </c>
      <c r="CS17" s="28" t="s">
        <v>13013</v>
      </c>
      <c r="CT17" s="28" t="s">
        <v>3971</v>
      </c>
      <c r="CU17" s="28" t="s">
        <v>3972</v>
      </c>
      <c r="CV17" s="28" t="s">
        <v>13014</v>
      </c>
      <c r="CW17" s="28" t="s">
        <v>3973</v>
      </c>
      <c r="CX17" s="28" t="s">
        <v>3974</v>
      </c>
      <c r="CY17" s="28" t="s">
        <v>3975</v>
      </c>
      <c r="CZ17" s="28" t="s">
        <v>3976</v>
      </c>
      <c r="DA17" s="28" t="s">
        <v>3977</v>
      </c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</row>
    <row r="18" spans="1:127" ht="15.75" customHeight="1">
      <c r="A18" s="64" t="s">
        <v>216</v>
      </c>
      <c r="B18" s="28" t="s">
        <v>3978</v>
      </c>
      <c r="C18" s="28" t="s">
        <v>13015</v>
      </c>
      <c r="D18" s="28" t="s">
        <v>3979</v>
      </c>
      <c r="E18" s="28" t="s">
        <v>3980</v>
      </c>
      <c r="F18" s="28" t="s">
        <v>3981</v>
      </c>
      <c r="G18" s="28" t="s">
        <v>3982</v>
      </c>
      <c r="H18" s="28" t="s">
        <v>13016</v>
      </c>
      <c r="I18" s="28" t="s">
        <v>3983</v>
      </c>
      <c r="J18" s="28" t="s">
        <v>3984</v>
      </c>
      <c r="K18" s="28" t="s">
        <v>3985</v>
      </c>
      <c r="L18" s="28" t="s">
        <v>3986</v>
      </c>
      <c r="M18" s="28" t="s">
        <v>3987</v>
      </c>
      <c r="N18" s="28" t="s">
        <v>3988</v>
      </c>
      <c r="O18" s="28" t="s">
        <v>3989</v>
      </c>
      <c r="P18" s="28" t="s">
        <v>3990</v>
      </c>
      <c r="Q18" s="28" t="s">
        <v>3991</v>
      </c>
      <c r="R18" s="28" t="s">
        <v>3992</v>
      </c>
      <c r="S18" s="28" t="s">
        <v>3993</v>
      </c>
      <c r="T18" s="28" t="s">
        <v>3994</v>
      </c>
      <c r="U18" s="28" t="s">
        <v>3995</v>
      </c>
      <c r="V18" s="28" t="s">
        <v>3996</v>
      </c>
      <c r="W18" s="28" t="s">
        <v>3997</v>
      </c>
      <c r="X18" s="28" t="s">
        <v>3998</v>
      </c>
      <c r="Y18" s="28" t="s">
        <v>3999</v>
      </c>
      <c r="Z18" s="28" t="s">
        <v>4000</v>
      </c>
      <c r="AA18" s="28" t="s">
        <v>4001</v>
      </c>
      <c r="AB18" s="28" t="s">
        <v>4002</v>
      </c>
      <c r="AC18" s="28" t="s">
        <v>4003</v>
      </c>
      <c r="AD18" s="28" t="s">
        <v>4004</v>
      </c>
      <c r="AE18" s="28" t="s">
        <v>4005</v>
      </c>
      <c r="AF18" s="28" t="s">
        <v>4006</v>
      </c>
      <c r="AG18" s="28" t="s">
        <v>13017</v>
      </c>
      <c r="AH18" s="28" t="s">
        <v>4007</v>
      </c>
      <c r="AI18" s="28" t="s">
        <v>4008</v>
      </c>
      <c r="AJ18" s="28" t="s">
        <v>4009</v>
      </c>
      <c r="AK18" s="28" t="s">
        <v>4010</v>
      </c>
      <c r="AL18" s="28" t="s">
        <v>4011</v>
      </c>
      <c r="AM18" s="28" t="s">
        <v>4012</v>
      </c>
      <c r="AN18" s="28" t="s">
        <v>4013</v>
      </c>
      <c r="AO18" s="28" t="s">
        <v>4014</v>
      </c>
      <c r="AP18" s="28" t="s">
        <v>4015</v>
      </c>
      <c r="AQ18" s="28" t="s">
        <v>4016</v>
      </c>
      <c r="AR18" s="28" t="s">
        <v>4017</v>
      </c>
      <c r="AS18" s="28" t="s">
        <v>4018</v>
      </c>
      <c r="AT18" s="28" t="s">
        <v>4019</v>
      </c>
      <c r="AU18" s="28" t="s">
        <v>4020</v>
      </c>
      <c r="AV18" s="28" t="s">
        <v>4021</v>
      </c>
      <c r="AW18" s="28" t="s">
        <v>4022</v>
      </c>
      <c r="AX18" s="28" t="s">
        <v>4023</v>
      </c>
      <c r="AY18" s="28" t="s">
        <v>4024</v>
      </c>
      <c r="AZ18" s="28" t="s">
        <v>4025</v>
      </c>
      <c r="BA18" s="28" t="s">
        <v>4026</v>
      </c>
      <c r="BB18" s="28" t="s">
        <v>4027</v>
      </c>
      <c r="BC18" s="28" t="s">
        <v>4028</v>
      </c>
      <c r="BD18" s="28" t="s">
        <v>4029</v>
      </c>
      <c r="BE18" s="28" t="s">
        <v>4030</v>
      </c>
      <c r="BF18" s="28" t="s">
        <v>4031</v>
      </c>
      <c r="BG18" s="28" t="s">
        <v>4032</v>
      </c>
      <c r="BH18" s="28" t="s">
        <v>4033</v>
      </c>
      <c r="BI18" s="28" t="s">
        <v>4034</v>
      </c>
      <c r="BJ18" s="28" t="s">
        <v>4035</v>
      </c>
      <c r="BK18" s="28" t="s">
        <v>4036</v>
      </c>
      <c r="BL18" s="28" t="s">
        <v>4037</v>
      </c>
      <c r="BM18" s="28" t="s">
        <v>4038</v>
      </c>
      <c r="BN18" s="28" t="s">
        <v>4039</v>
      </c>
      <c r="BO18" s="28" t="s">
        <v>4040</v>
      </c>
      <c r="BP18" s="28" t="s">
        <v>4041</v>
      </c>
      <c r="BQ18" s="28" t="s">
        <v>4042</v>
      </c>
      <c r="BR18" s="28" t="s">
        <v>13018</v>
      </c>
      <c r="BS18" s="28" t="s">
        <v>4043</v>
      </c>
      <c r="BT18" s="28" t="s">
        <v>4044</v>
      </c>
      <c r="BU18" s="28" t="s">
        <v>4045</v>
      </c>
      <c r="BV18" s="28" t="s">
        <v>4046</v>
      </c>
      <c r="BW18" s="28" t="s">
        <v>4047</v>
      </c>
      <c r="BX18" s="28" t="s">
        <v>4048</v>
      </c>
      <c r="BY18" s="28" t="s">
        <v>4049</v>
      </c>
      <c r="BZ18" s="28" t="s">
        <v>4050</v>
      </c>
      <c r="CA18" s="28" t="s">
        <v>4051</v>
      </c>
      <c r="CB18" s="28" t="s">
        <v>4052</v>
      </c>
      <c r="CC18" s="28" t="s">
        <v>4053</v>
      </c>
      <c r="CD18" s="28" t="s">
        <v>4054</v>
      </c>
      <c r="CE18" s="28" t="s">
        <v>4055</v>
      </c>
      <c r="CF18" s="28" t="s">
        <v>4056</v>
      </c>
      <c r="CG18" s="28" t="s">
        <v>4057</v>
      </c>
      <c r="CH18" s="28" t="s">
        <v>4058</v>
      </c>
      <c r="CI18" s="28" t="s">
        <v>4059</v>
      </c>
      <c r="CJ18" s="28" t="s">
        <v>4060</v>
      </c>
      <c r="CK18" s="28" t="s">
        <v>13019</v>
      </c>
      <c r="CL18" s="28" t="s">
        <v>4061</v>
      </c>
      <c r="CM18" s="28" t="s">
        <v>4062</v>
      </c>
      <c r="CN18" s="28" t="s">
        <v>4063</v>
      </c>
      <c r="CO18" s="28" t="s">
        <v>4064</v>
      </c>
      <c r="CP18" s="28" t="s">
        <v>4065</v>
      </c>
      <c r="CQ18" s="28" t="s">
        <v>4066</v>
      </c>
      <c r="CR18" s="28" t="s">
        <v>4067</v>
      </c>
      <c r="CS18" s="28" t="s">
        <v>13020</v>
      </c>
      <c r="CT18" s="28" t="s">
        <v>4068</v>
      </c>
      <c r="CU18" s="28" t="s">
        <v>4069</v>
      </c>
      <c r="CV18" s="28" t="s">
        <v>13021</v>
      </c>
      <c r="CW18" s="28" t="s">
        <v>4070</v>
      </c>
      <c r="CX18" s="28" t="s">
        <v>4071</v>
      </c>
      <c r="CY18" s="28" t="s">
        <v>4072</v>
      </c>
      <c r="CZ18" s="28" t="s">
        <v>4073</v>
      </c>
      <c r="DA18" s="28" t="s">
        <v>4074</v>
      </c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</row>
    <row r="19" spans="1:127" ht="15.75" customHeight="1">
      <c r="A19" s="64" t="s">
        <v>222</v>
      </c>
      <c r="B19" s="28" t="s">
        <v>4075</v>
      </c>
      <c r="C19" s="28" t="s">
        <v>13022</v>
      </c>
      <c r="D19" s="28" t="s">
        <v>4076</v>
      </c>
      <c r="E19" s="28" t="s">
        <v>4077</v>
      </c>
      <c r="F19" s="28" t="s">
        <v>4078</v>
      </c>
      <c r="G19" s="28" t="s">
        <v>4079</v>
      </c>
      <c r="H19" s="28" t="s">
        <v>13023</v>
      </c>
      <c r="I19" s="28" t="s">
        <v>4080</v>
      </c>
      <c r="J19" s="28" t="s">
        <v>4081</v>
      </c>
      <c r="K19" s="28" t="s">
        <v>4082</v>
      </c>
      <c r="L19" s="28" t="s">
        <v>4083</v>
      </c>
      <c r="M19" s="28" t="s">
        <v>4084</v>
      </c>
      <c r="N19" s="28" t="s">
        <v>4085</v>
      </c>
      <c r="O19" s="28" t="s">
        <v>4086</v>
      </c>
      <c r="P19" s="28" t="s">
        <v>4087</v>
      </c>
      <c r="Q19" s="28" t="s">
        <v>4088</v>
      </c>
      <c r="R19" s="28" t="s">
        <v>4089</v>
      </c>
      <c r="S19" s="28" t="s">
        <v>4090</v>
      </c>
      <c r="T19" s="28" t="s">
        <v>4091</v>
      </c>
      <c r="U19" s="28" t="s">
        <v>4092</v>
      </c>
      <c r="V19" s="28" t="s">
        <v>4093</v>
      </c>
      <c r="W19" s="28" t="s">
        <v>4094</v>
      </c>
      <c r="X19" s="28" t="s">
        <v>4095</v>
      </c>
      <c r="Y19" s="28" t="s">
        <v>4096</v>
      </c>
      <c r="Z19" s="28" t="s">
        <v>4097</v>
      </c>
      <c r="AA19" s="28" t="s">
        <v>4098</v>
      </c>
      <c r="AB19" s="28" t="s">
        <v>4099</v>
      </c>
      <c r="AC19" s="28" t="s">
        <v>4100</v>
      </c>
      <c r="AD19" s="28" t="s">
        <v>4101</v>
      </c>
      <c r="AE19" s="28" t="s">
        <v>4102</v>
      </c>
      <c r="AF19" s="28" t="s">
        <v>4103</v>
      </c>
      <c r="AG19" s="28" t="s">
        <v>13024</v>
      </c>
      <c r="AH19" s="28" t="s">
        <v>4104</v>
      </c>
      <c r="AI19" s="28" t="s">
        <v>4105</v>
      </c>
      <c r="AJ19" s="28" t="s">
        <v>4106</v>
      </c>
      <c r="AK19" s="28" t="s">
        <v>4107</v>
      </c>
      <c r="AL19" s="28" t="s">
        <v>4108</v>
      </c>
      <c r="AM19" s="28" t="s">
        <v>4109</v>
      </c>
      <c r="AN19" s="28" t="s">
        <v>4110</v>
      </c>
      <c r="AO19" s="28" t="s">
        <v>4111</v>
      </c>
      <c r="AP19" s="28" t="s">
        <v>4112</v>
      </c>
      <c r="AQ19" s="28" t="s">
        <v>4113</v>
      </c>
      <c r="AR19" s="28" t="s">
        <v>4114</v>
      </c>
      <c r="AS19" s="28" t="s">
        <v>4115</v>
      </c>
      <c r="AT19" s="28" t="s">
        <v>4116</v>
      </c>
      <c r="AU19" s="28" t="s">
        <v>4117</v>
      </c>
      <c r="AV19" s="28" t="s">
        <v>4118</v>
      </c>
      <c r="AW19" s="28" t="s">
        <v>4119</v>
      </c>
      <c r="AX19" s="28" t="s">
        <v>3926</v>
      </c>
      <c r="AY19" s="28" t="s">
        <v>4120</v>
      </c>
      <c r="AZ19" s="28" t="s">
        <v>4121</v>
      </c>
      <c r="BA19" s="28" t="s">
        <v>4122</v>
      </c>
      <c r="BB19" s="28" t="s">
        <v>4123</v>
      </c>
      <c r="BC19" s="28" t="s">
        <v>3931</v>
      </c>
      <c r="BD19" s="28" t="s">
        <v>4124</v>
      </c>
      <c r="BE19" s="28" t="s">
        <v>4125</v>
      </c>
      <c r="BF19" s="28" t="s">
        <v>4126</v>
      </c>
      <c r="BG19" s="28" t="s">
        <v>4127</v>
      </c>
      <c r="BH19" s="28" t="s">
        <v>4128</v>
      </c>
      <c r="BI19" s="28" t="s">
        <v>4129</v>
      </c>
      <c r="BJ19" s="28" t="s">
        <v>4130</v>
      </c>
      <c r="BK19" s="28" t="s">
        <v>4131</v>
      </c>
      <c r="BL19" s="28" t="s">
        <v>4132</v>
      </c>
      <c r="BM19" s="28" t="s">
        <v>4133</v>
      </c>
      <c r="BN19" s="28" t="s">
        <v>4134</v>
      </c>
      <c r="BO19" s="28" t="s">
        <v>4135</v>
      </c>
      <c r="BP19" s="28" t="s">
        <v>4136</v>
      </c>
      <c r="BQ19" s="28" t="s">
        <v>4137</v>
      </c>
      <c r="BR19" s="28" t="s">
        <v>13025</v>
      </c>
      <c r="BS19" s="28" t="s">
        <v>4138</v>
      </c>
      <c r="BT19" s="28" t="s">
        <v>4139</v>
      </c>
      <c r="BU19" s="28" t="s">
        <v>3948</v>
      </c>
      <c r="BV19" s="28" t="s">
        <v>4140</v>
      </c>
      <c r="BW19" s="28" t="s">
        <v>4141</v>
      </c>
      <c r="BX19" s="28" t="s">
        <v>4142</v>
      </c>
      <c r="BY19" s="28" t="s">
        <v>4143</v>
      </c>
      <c r="BZ19" s="28" t="s">
        <v>4144</v>
      </c>
      <c r="CA19" s="28" t="s">
        <v>4145</v>
      </c>
      <c r="CB19" s="28" t="s">
        <v>4146</v>
      </c>
      <c r="CC19" s="28" t="s">
        <v>4147</v>
      </c>
      <c r="CD19" s="28" t="s">
        <v>4148</v>
      </c>
      <c r="CE19" s="28" t="s">
        <v>4149</v>
      </c>
      <c r="CF19" s="28" t="s">
        <v>4150</v>
      </c>
      <c r="CG19" s="28" t="s">
        <v>4151</v>
      </c>
      <c r="CH19" s="28" t="s">
        <v>4152</v>
      </c>
      <c r="CI19" s="28" t="s">
        <v>4153</v>
      </c>
      <c r="CJ19" s="28" t="s">
        <v>4154</v>
      </c>
      <c r="CK19" s="28" t="s">
        <v>13026</v>
      </c>
      <c r="CL19" s="28" t="s">
        <v>4155</v>
      </c>
      <c r="CM19" s="28" t="s">
        <v>4156</v>
      </c>
      <c r="CN19" s="28" t="s">
        <v>4157</v>
      </c>
      <c r="CO19" s="28" t="s">
        <v>4158</v>
      </c>
      <c r="CP19" s="28" t="s">
        <v>4159</v>
      </c>
      <c r="CQ19" s="28" t="s">
        <v>4160</v>
      </c>
      <c r="CR19" s="28" t="s">
        <v>4161</v>
      </c>
      <c r="CS19" s="28" t="s">
        <v>13027</v>
      </c>
      <c r="CT19" s="28" t="s">
        <v>4162</v>
      </c>
      <c r="CU19" s="28" t="s">
        <v>4163</v>
      </c>
      <c r="CV19" s="28" t="s">
        <v>13028</v>
      </c>
      <c r="CW19" s="28" t="s">
        <v>4164</v>
      </c>
      <c r="CX19" s="28" t="s">
        <v>3974</v>
      </c>
      <c r="CY19" s="28" t="s">
        <v>4165</v>
      </c>
      <c r="CZ19" s="28" t="s">
        <v>4166</v>
      </c>
      <c r="DA19" s="28" t="s">
        <v>3977</v>
      </c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</row>
    <row r="20" spans="1:127" ht="15.75" customHeight="1">
      <c r="A20" s="64" t="s">
        <v>228</v>
      </c>
      <c r="B20" s="28" t="s">
        <v>4167</v>
      </c>
      <c r="C20" s="28" t="s">
        <v>13029</v>
      </c>
      <c r="D20" s="28" t="s">
        <v>4168</v>
      </c>
      <c r="E20" s="28" t="s">
        <v>4169</v>
      </c>
      <c r="F20" s="28" t="s">
        <v>4170</v>
      </c>
      <c r="G20" s="28" t="s">
        <v>4171</v>
      </c>
      <c r="H20" s="28" t="s">
        <v>13030</v>
      </c>
      <c r="I20" s="28" t="s">
        <v>4172</v>
      </c>
      <c r="J20" s="28" t="s">
        <v>469</v>
      </c>
      <c r="K20" s="28" t="s">
        <v>4173</v>
      </c>
      <c r="L20" s="28" t="s">
        <v>4174</v>
      </c>
      <c r="M20" s="28" t="s">
        <v>4175</v>
      </c>
      <c r="N20" s="28" t="s">
        <v>4176</v>
      </c>
      <c r="O20" s="28" t="s">
        <v>4177</v>
      </c>
      <c r="P20" s="28" t="s">
        <v>4178</v>
      </c>
      <c r="Q20" s="28" t="s">
        <v>4179</v>
      </c>
      <c r="R20" s="28" t="s">
        <v>4180</v>
      </c>
      <c r="S20" s="28" t="s">
        <v>4181</v>
      </c>
      <c r="T20" s="28" t="s">
        <v>4182</v>
      </c>
      <c r="U20" s="28" t="s">
        <v>4183</v>
      </c>
      <c r="V20" s="28" t="s">
        <v>4184</v>
      </c>
      <c r="W20" s="28" t="s">
        <v>4185</v>
      </c>
      <c r="X20" s="28" t="s">
        <v>4186</v>
      </c>
      <c r="Y20" s="28" t="s">
        <v>4187</v>
      </c>
      <c r="Z20" s="28" t="s">
        <v>4188</v>
      </c>
      <c r="AA20" s="28" t="s">
        <v>4189</v>
      </c>
      <c r="AB20" s="28" t="s">
        <v>4190</v>
      </c>
      <c r="AC20" s="28" t="s">
        <v>4191</v>
      </c>
      <c r="AD20" s="28" t="s">
        <v>4192</v>
      </c>
      <c r="AE20" s="28" t="s">
        <v>4193</v>
      </c>
      <c r="AF20" s="28" t="s">
        <v>4194</v>
      </c>
      <c r="AG20" s="28" t="s">
        <v>13031</v>
      </c>
      <c r="AH20" s="28" t="s">
        <v>4195</v>
      </c>
      <c r="AI20" s="28" t="s">
        <v>4196</v>
      </c>
      <c r="AJ20" s="28" t="s">
        <v>2049</v>
      </c>
      <c r="AK20" s="28" t="s">
        <v>4197</v>
      </c>
      <c r="AL20" s="28" t="s">
        <v>4198</v>
      </c>
      <c r="AM20" s="28" t="s">
        <v>4199</v>
      </c>
      <c r="AN20" s="28" t="s">
        <v>4200</v>
      </c>
      <c r="AO20" s="28" t="s">
        <v>4201</v>
      </c>
      <c r="AP20" s="28" t="s">
        <v>4202</v>
      </c>
      <c r="AQ20" s="28" t="s">
        <v>4203</v>
      </c>
      <c r="AR20" s="28" t="s">
        <v>4204</v>
      </c>
      <c r="AS20" s="28" t="s">
        <v>4205</v>
      </c>
      <c r="AT20" s="28" t="s">
        <v>4206</v>
      </c>
      <c r="AU20" s="28" t="s">
        <v>4207</v>
      </c>
      <c r="AV20" s="28" t="s">
        <v>4208</v>
      </c>
      <c r="AW20" s="28" t="s">
        <v>4209</v>
      </c>
      <c r="AX20" s="28" t="s">
        <v>4210</v>
      </c>
      <c r="AY20" s="28" t="s">
        <v>4211</v>
      </c>
      <c r="AZ20" s="28" t="s">
        <v>4212</v>
      </c>
      <c r="BA20" s="28" t="s">
        <v>4213</v>
      </c>
      <c r="BB20" s="28" t="s">
        <v>4214</v>
      </c>
      <c r="BC20" s="28" t="s">
        <v>4215</v>
      </c>
      <c r="BD20" s="28" t="s">
        <v>4216</v>
      </c>
      <c r="BE20" s="28" t="s">
        <v>4217</v>
      </c>
      <c r="BF20" s="28" t="s">
        <v>4218</v>
      </c>
      <c r="BG20" s="28" t="s">
        <v>4219</v>
      </c>
      <c r="BH20" s="28" t="s">
        <v>4220</v>
      </c>
      <c r="BI20" s="28" t="s">
        <v>4221</v>
      </c>
      <c r="BJ20" s="28" t="s">
        <v>4174</v>
      </c>
      <c r="BK20" s="28" t="s">
        <v>4222</v>
      </c>
      <c r="BL20" s="28" t="s">
        <v>4223</v>
      </c>
      <c r="BM20" s="28" t="s">
        <v>4224</v>
      </c>
      <c r="BN20" s="28" t="s">
        <v>4225</v>
      </c>
      <c r="BO20" s="28" t="s">
        <v>4226</v>
      </c>
      <c r="BP20" s="28" t="s">
        <v>4227</v>
      </c>
      <c r="BQ20" s="28" t="s">
        <v>4228</v>
      </c>
      <c r="BR20" s="28" t="s">
        <v>13032</v>
      </c>
      <c r="BS20" s="28" t="s">
        <v>4229</v>
      </c>
      <c r="BT20" s="28" t="s">
        <v>4230</v>
      </c>
      <c r="BU20" s="28" t="s">
        <v>4231</v>
      </c>
      <c r="BV20" s="28" t="s">
        <v>4232</v>
      </c>
      <c r="BW20" s="28" t="s">
        <v>4233</v>
      </c>
      <c r="BX20" s="28" t="s">
        <v>4234</v>
      </c>
      <c r="BY20" s="28" t="s">
        <v>4235</v>
      </c>
      <c r="BZ20" s="28" t="s">
        <v>4236</v>
      </c>
      <c r="CA20" s="28" t="s">
        <v>4237</v>
      </c>
      <c r="CB20" s="28" t="s">
        <v>4238</v>
      </c>
      <c r="CC20" s="28" t="s">
        <v>4239</v>
      </c>
      <c r="CD20" s="28" t="s">
        <v>4240</v>
      </c>
      <c r="CE20" s="28" t="s">
        <v>2020</v>
      </c>
      <c r="CF20" s="28" t="s">
        <v>13033</v>
      </c>
      <c r="CG20" s="28" t="s">
        <v>4241</v>
      </c>
      <c r="CH20" s="28" t="s">
        <v>4242</v>
      </c>
      <c r="CI20" s="28" t="s">
        <v>4243</v>
      </c>
      <c r="CJ20" s="28" t="s">
        <v>4244</v>
      </c>
      <c r="CK20" s="28" t="s">
        <v>13034</v>
      </c>
      <c r="CL20" s="28" t="s">
        <v>4245</v>
      </c>
      <c r="CM20" s="28" t="s">
        <v>4246</v>
      </c>
      <c r="CN20" s="28" t="s">
        <v>4247</v>
      </c>
      <c r="CO20" s="28" t="s">
        <v>4248</v>
      </c>
      <c r="CP20" s="28" t="s">
        <v>4249</v>
      </c>
      <c r="CQ20" s="28" t="s">
        <v>4250</v>
      </c>
      <c r="CR20" s="28" t="s">
        <v>4251</v>
      </c>
      <c r="CS20" s="28" t="s">
        <v>13035</v>
      </c>
      <c r="CT20" s="28" t="s">
        <v>4217</v>
      </c>
      <c r="CU20" s="28" t="s">
        <v>4252</v>
      </c>
      <c r="CV20" s="28" t="s">
        <v>13036</v>
      </c>
      <c r="CW20" s="28" t="s">
        <v>4253</v>
      </c>
      <c r="CX20" s="28" t="s">
        <v>4254</v>
      </c>
      <c r="CY20" s="28" t="s">
        <v>4255</v>
      </c>
      <c r="CZ20" s="28" t="s">
        <v>4256</v>
      </c>
      <c r="DA20" s="28" t="s">
        <v>4257</v>
      </c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</row>
    <row r="21" spans="1:127" ht="15.75" customHeight="1">
      <c r="A21" s="64" t="s">
        <v>234</v>
      </c>
      <c r="B21" s="28" t="s">
        <v>4258</v>
      </c>
      <c r="C21" s="28" t="s">
        <v>13037</v>
      </c>
      <c r="D21" s="28" t="s">
        <v>2130</v>
      </c>
      <c r="E21" s="28" t="s">
        <v>4259</v>
      </c>
      <c r="F21" s="28" t="s">
        <v>4260</v>
      </c>
      <c r="G21" s="28" t="s">
        <v>4261</v>
      </c>
      <c r="H21" s="30" t="s">
        <v>13038</v>
      </c>
      <c r="I21" s="28" t="s">
        <v>4262</v>
      </c>
      <c r="J21" s="28" t="s">
        <v>482</v>
      </c>
      <c r="K21" s="28" t="s">
        <v>4263</v>
      </c>
      <c r="L21" s="28" t="s">
        <v>4264</v>
      </c>
      <c r="M21" s="28" t="s">
        <v>4265</v>
      </c>
      <c r="N21" s="28" t="s">
        <v>4262</v>
      </c>
      <c r="O21" s="28" t="s">
        <v>2145</v>
      </c>
      <c r="P21" s="28" t="s">
        <v>2109</v>
      </c>
      <c r="Q21" s="28" t="s">
        <v>4266</v>
      </c>
      <c r="R21" s="28" t="s">
        <v>4267</v>
      </c>
      <c r="S21" s="28" t="s">
        <v>4268</v>
      </c>
      <c r="T21" s="28" t="s">
        <v>4269</v>
      </c>
      <c r="U21" s="28" t="s">
        <v>4270</v>
      </c>
      <c r="V21" s="28" t="s">
        <v>4271</v>
      </c>
      <c r="W21" s="28" t="s">
        <v>4272</v>
      </c>
      <c r="X21" s="28" t="s">
        <v>2082</v>
      </c>
      <c r="Y21" s="28" t="s">
        <v>4273</v>
      </c>
      <c r="Z21" s="28" t="s">
        <v>4274</v>
      </c>
      <c r="AA21" s="28" t="s">
        <v>4258</v>
      </c>
      <c r="AB21" s="28" t="s">
        <v>4275</v>
      </c>
      <c r="AC21" s="28" t="s">
        <v>4276</v>
      </c>
      <c r="AD21" s="28" t="s">
        <v>4277</v>
      </c>
      <c r="AE21" s="28" t="s">
        <v>4278</v>
      </c>
      <c r="AF21" s="28" t="s">
        <v>4279</v>
      </c>
      <c r="AG21" s="28" t="s">
        <v>2094</v>
      </c>
      <c r="AH21" s="28" t="s">
        <v>4280</v>
      </c>
      <c r="AI21" s="28" t="s">
        <v>4281</v>
      </c>
      <c r="AJ21" s="28" t="s">
        <v>4282</v>
      </c>
      <c r="AK21" s="28" t="s">
        <v>4283</v>
      </c>
      <c r="AL21" s="28" t="s">
        <v>4284</v>
      </c>
      <c r="AM21" s="28" t="s">
        <v>4285</v>
      </c>
      <c r="AN21" s="28" t="s">
        <v>4286</v>
      </c>
      <c r="AO21" s="28" t="s">
        <v>4287</v>
      </c>
      <c r="AP21" s="28" t="s">
        <v>4288</v>
      </c>
      <c r="AQ21" s="28" t="s">
        <v>2077</v>
      </c>
      <c r="AR21" s="28" t="s">
        <v>4289</v>
      </c>
      <c r="AS21" s="28" t="s">
        <v>4270</v>
      </c>
      <c r="AT21" s="28" t="s">
        <v>2055</v>
      </c>
      <c r="AU21" s="28" t="s">
        <v>4290</v>
      </c>
      <c r="AV21" s="28" t="s">
        <v>4291</v>
      </c>
      <c r="AW21" s="28" t="s">
        <v>4292</v>
      </c>
      <c r="AX21" s="28" t="s">
        <v>4293</v>
      </c>
      <c r="AY21" s="28" t="s">
        <v>4294</v>
      </c>
      <c r="AZ21" s="28" t="s">
        <v>4295</v>
      </c>
      <c r="BA21" s="28" t="s">
        <v>2135</v>
      </c>
      <c r="BB21" s="28" t="s">
        <v>2019</v>
      </c>
      <c r="BC21" s="28" t="s">
        <v>2070</v>
      </c>
      <c r="BD21" s="28" t="s">
        <v>4296</v>
      </c>
      <c r="BE21" s="28" t="s">
        <v>4297</v>
      </c>
      <c r="BF21" s="28" t="s">
        <v>4298</v>
      </c>
      <c r="BG21" s="28" t="s">
        <v>4299</v>
      </c>
      <c r="BH21" s="28" t="s">
        <v>2089</v>
      </c>
      <c r="BI21" s="28" t="s">
        <v>2144</v>
      </c>
      <c r="BJ21" s="28" t="s">
        <v>4264</v>
      </c>
      <c r="BK21" s="28" t="s">
        <v>4258</v>
      </c>
      <c r="BL21" s="28" t="s">
        <v>4300</v>
      </c>
      <c r="BM21" s="28" t="s">
        <v>4301</v>
      </c>
      <c r="BN21" s="28" t="s">
        <v>4269</v>
      </c>
      <c r="BO21" s="28" t="s">
        <v>4302</v>
      </c>
      <c r="BP21" s="28" t="s">
        <v>4282</v>
      </c>
      <c r="BQ21" s="28" t="s">
        <v>4303</v>
      </c>
      <c r="BR21" s="28" t="s">
        <v>13039</v>
      </c>
      <c r="BS21" s="28" t="s">
        <v>4304</v>
      </c>
      <c r="BT21" s="28" t="s">
        <v>4305</v>
      </c>
      <c r="BU21" s="28" t="s">
        <v>2151</v>
      </c>
      <c r="BV21" s="28" t="s">
        <v>4306</v>
      </c>
      <c r="BW21" s="28" t="s">
        <v>4307</v>
      </c>
      <c r="BX21" s="28" t="s">
        <v>4308</v>
      </c>
      <c r="BY21" s="28" t="s">
        <v>2068</v>
      </c>
      <c r="BZ21" s="28" t="s">
        <v>2146</v>
      </c>
      <c r="CA21" s="28" t="s">
        <v>4309</v>
      </c>
      <c r="CB21" s="28" t="s">
        <v>2109</v>
      </c>
      <c r="CC21" s="28" t="s">
        <v>4310</v>
      </c>
      <c r="CD21" s="28" t="s">
        <v>4311</v>
      </c>
      <c r="CE21" s="28" t="s">
        <v>2070</v>
      </c>
      <c r="CF21" s="28" t="s">
        <v>4312</v>
      </c>
      <c r="CG21" s="28" t="s">
        <v>4313</v>
      </c>
      <c r="CH21" s="28" t="s">
        <v>4314</v>
      </c>
      <c r="CI21" s="28" t="s">
        <v>4315</v>
      </c>
      <c r="CJ21" s="28" t="s">
        <v>4316</v>
      </c>
      <c r="CK21" s="28" t="s">
        <v>4270</v>
      </c>
      <c r="CL21" s="28" t="s">
        <v>4317</v>
      </c>
      <c r="CM21" s="28" t="s">
        <v>4318</v>
      </c>
      <c r="CN21" s="28" t="s">
        <v>4319</v>
      </c>
      <c r="CO21" s="28" t="s">
        <v>4263</v>
      </c>
      <c r="CP21" s="28" t="s">
        <v>4320</v>
      </c>
      <c r="CQ21" s="28" t="s">
        <v>4321</v>
      </c>
      <c r="CR21" s="28" t="s">
        <v>4322</v>
      </c>
      <c r="CS21" s="28" t="s">
        <v>4319</v>
      </c>
      <c r="CT21" s="28" t="s">
        <v>4297</v>
      </c>
      <c r="CU21" s="28" t="s">
        <v>4323</v>
      </c>
      <c r="CV21" s="28" t="s">
        <v>4263</v>
      </c>
      <c r="CW21" s="28" t="s">
        <v>4324</v>
      </c>
      <c r="CX21" s="28" t="s">
        <v>4325</v>
      </c>
      <c r="CY21" s="28" t="s">
        <v>4326</v>
      </c>
      <c r="CZ21" s="28" t="s">
        <v>4327</v>
      </c>
      <c r="DA21" s="28" t="s">
        <v>4301</v>
      </c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</row>
    <row r="22" spans="1:127" ht="15.75" customHeight="1">
      <c r="A22" s="64" t="s">
        <v>240</v>
      </c>
      <c r="B22" s="28" t="s">
        <v>4328</v>
      </c>
      <c r="C22" s="28" t="s">
        <v>3534</v>
      </c>
      <c r="D22" s="28" t="s">
        <v>4329</v>
      </c>
      <c r="E22" s="28" t="s">
        <v>4330</v>
      </c>
      <c r="F22" s="28" t="s">
        <v>4331</v>
      </c>
      <c r="G22" s="28" t="s">
        <v>4332</v>
      </c>
      <c r="H22" s="28" t="s">
        <v>3539</v>
      </c>
      <c r="I22" s="28" t="s">
        <v>4333</v>
      </c>
      <c r="J22" s="28" t="s">
        <v>4334</v>
      </c>
      <c r="K22" s="28" t="s">
        <v>4335</v>
      </c>
      <c r="L22" s="28" t="s">
        <v>4336</v>
      </c>
      <c r="M22" s="28" t="s">
        <v>4337</v>
      </c>
      <c r="N22" s="28" t="s">
        <v>4338</v>
      </c>
      <c r="O22" s="28" t="s">
        <v>4339</v>
      </c>
      <c r="P22" s="28" t="s">
        <v>4340</v>
      </c>
      <c r="Q22" s="28" t="s">
        <v>4341</v>
      </c>
      <c r="R22" s="28" t="s">
        <v>4342</v>
      </c>
      <c r="S22" s="28" t="s">
        <v>4343</v>
      </c>
      <c r="T22" s="28" t="s">
        <v>4344</v>
      </c>
      <c r="U22" s="28" t="s">
        <v>4345</v>
      </c>
      <c r="V22" s="28" t="s">
        <v>4346</v>
      </c>
      <c r="W22" s="28" t="s">
        <v>4347</v>
      </c>
      <c r="X22" s="28" t="s">
        <v>4348</v>
      </c>
      <c r="Y22" s="28" t="s">
        <v>4349</v>
      </c>
      <c r="Z22" s="28" t="s">
        <v>4350</v>
      </c>
      <c r="AA22" s="28" t="s">
        <v>4351</v>
      </c>
      <c r="AB22" s="28" t="s">
        <v>4352</v>
      </c>
      <c r="AC22" s="28" t="s">
        <v>4353</v>
      </c>
      <c r="AD22" s="28" t="s">
        <v>4354</v>
      </c>
      <c r="AE22" s="28" t="s">
        <v>4355</v>
      </c>
      <c r="AF22" s="28" t="s">
        <v>4356</v>
      </c>
      <c r="AG22" s="28" t="s">
        <v>3564</v>
      </c>
      <c r="AH22" s="28" t="s">
        <v>4357</v>
      </c>
      <c r="AI22" s="28" t="s">
        <v>4358</v>
      </c>
      <c r="AJ22" s="28" t="s">
        <v>4359</v>
      </c>
      <c r="AK22" s="28" t="s">
        <v>4360</v>
      </c>
      <c r="AL22" s="28" t="s">
        <v>4361</v>
      </c>
      <c r="AM22" s="28" t="s">
        <v>4362</v>
      </c>
      <c r="AN22" s="28" t="s">
        <v>4363</v>
      </c>
      <c r="AO22" s="28" t="s">
        <v>4364</v>
      </c>
      <c r="AP22" s="28" t="s">
        <v>4365</v>
      </c>
      <c r="AQ22" s="28" t="s">
        <v>4366</v>
      </c>
      <c r="AR22" s="28" t="s">
        <v>4367</v>
      </c>
      <c r="AS22" s="28" t="s">
        <v>4368</v>
      </c>
      <c r="AT22" s="28" t="s">
        <v>4369</v>
      </c>
      <c r="AU22" s="28" t="s">
        <v>4370</v>
      </c>
      <c r="AV22" s="28" t="s">
        <v>4371</v>
      </c>
      <c r="AW22" s="28" t="s">
        <v>4372</v>
      </c>
      <c r="AX22" s="28" t="s">
        <v>4373</v>
      </c>
      <c r="AY22" s="28" t="s">
        <v>4374</v>
      </c>
      <c r="AZ22" s="28" t="s">
        <v>4375</v>
      </c>
      <c r="BA22" s="28" t="s">
        <v>4376</v>
      </c>
      <c r="BB22" s="28" t="s">
        <v>4377</v>
      </c>
      <c r="BC22" s="28" t="s">
        <v>4378</v>
      </c>
      <c r="BD22" s="28" t="s">
        <v>4379</v>
      </c>
      <c r="BE22" s="28" t="s">
        <v>4380</v>
      </c>
      <c r="BF22" s="28" t="s">
        <v>4381</v>
      </c>
      <c r="BG22" s="28" t="s">
        <v>4382</v>
      </c>
      <c r="BH22" s="28" t="s">
        <v>4383</v>
      </c>
      <c r="BI22" s="28" t="s">
        <v>4384</v>
      </c>
      <c r="BJ22" s="28" t="s">
        <v>4385</v>
      </c>
      <c r="BK22" s="28" t="s">
        <v>4386</v>
      </c>
      <c r="BL22" s="28" t="s">
        <v>4387</v>
      </c>
      <c r="BM22" s="28" t="s">
        <v>4388</v>
      </c>
      <c r="BN22" s="28" t="s">
        <v>4389</v>
      </c>
      <c r="BO22" s="28" t="s">
        <v>4390</v>
      </c>
      <c r="BP22" s="28" t="s">
        <v>4391</v>
      </c>
      <c r="BQ22" s="28" t="s">
        <v>4392</v>
      </c>
      <c r="BR22" s="28" t="s">
        <v>3601</v>
      </c>
      <c r="BS22" s="28" t="s">
        <v>4393</v>
      </c>
      <c r="BT22" s="28" t="s">
        <v>4394</v>
      </c>
      <c r="BU22" s="28" t="s">
        <v>3604</v>
      </c>
      <c r="BV22" s="28" t="s">
        <v>4395</v>
      </c>
      <c r="BW22" s="28" t="s">
        <v>4396</v>
      </c>
      <c r="BX22" s="28" t="s">
        <v>4397</v>
      </c>
      <c r="BY22" s="28" t="s">
        <v>4398</v>
      </c>
      <c r="BZ22" s="28" t="s">
        <v>4399</v>
      </c>
      <c r="CA22" s="28" t="s">
        <v>4400</v>
      </c>
      <c r="CB22" s="28" t="s">
        <v>4401</v>
      </c>
      <c r="CC22" s="28" t="s">
        <v>4402</v>
      </c>
      <c r="CD22" s="28" t="s">
        <v>4403</v>
      </c>
      <c r="CE22" s="28" t="s">
        <v>4404</v>
      </c>
      <c r="CF22" s="28" t="s">
        <v>4405</v>
      </c>
      <c r="CG22" s="28" t="s">
        <v>4406</v>
      </c>
      <c r="CH22" s="28" t="s">
        <v>4407</v>
      </c>
      <c r="CI22" s="28" t="s">
        <v>4408</v>
      </c>
      <c r="CJ22" s="28" t="s">
        <v>4409</v>
      </c>
      <c r="CK22" s="28" t="s">
        <v>3620</v>
      </c>
      <c r="CL22" s="28" t="s">
        <v>4410</v>
      </c>
      <c r="CM22" s="28" t="s">
        <v>4411</v>
      </c>
      <c r="CN22" s="28" t="s">
        <v>4412</v>
      </c>
      <c r="CO22" s="28" t="s">
        <v>4413</v>
      </c>
      <c r="CP22" s="28" t="s">
        <v>4414</v>
      </c>
      <c r="CQ22" s="28" t="s">
        <v>4415</v>
      </c>
      <c r="CR22" s="28" t="s">
        <v>4416</v>
      </c>
      <c r="CS22" s="28" t="s">
        <v>3628</v>
      </c>
      <c r="CT22" s="28" t="s">
        <v>4417</v>
      </c>
      <c r="CU22" s="28" t="s">
        <v>4418</v>
      </c>
      <c r="CV22" s="28" t="s">
        <v>3631</v>
      </c>
      <c r="CW22" s="28" t="s">
        <v>4419</v>
      </c>
      <c r="CX22" s="28" t="s">
        <v>4420</v>
      </c>
      <c r="CY22" s="28" t="s">
        <v>4421</v>
      </c>
      <c r="CZ22" s="28" t="s">
        <v>4422</v>
      </c>
      <c r="DA22" s="28" t="s">
        <v>4423</v>
      </c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</row>
    <row r="23" spans="1:127" ht="15.75" customHeight="1">
      <c r="A23" s="64" t="s">
        <v>246</v>
      </c>
      <c r="B23" s="28" t="s">
        <v>4424</v>
      </c>
      <c r="C23" s="28" t="s">
        <v>4425</v>
      </c>
      <c r="D23" s="28" t="s">
        <v>4426</v>
      </c>
      <c r="E23" s="28" t="s">
        <v>4427</v>
      </c>
      <c r="F23" s="28" t="s">
        <v>4428</v>
      </c>
      <c r="G23" s="28" t="s">
        <v>4429</v>
      </c>
      <c r="H23" s="28" t="s">
        <v>4430</v>
      </c>
      <c r="I23" s="28" t="s">
        <v>4431</v>
      </c>
      <c r="J23" s="28" t="s">
        <v>4432</v>
      </c>
      <c r="K23" s="28" t="s">
        <v>4433</v>
      </c>
      <c r="L23" s="28" t="s">
        <v>4434</v>
      </c>
      <c r="M23" s="28" t="s">
        <v>4435</v>
      </c>
      <c r="N23" s="28" t="s">
        <v>4436</v>
      </c>
      <c r="O23" s="28" t="s">
        <v>4437</v>
      </c>
      <c r="P23" s="28" t="s">
        <v>4438</v>
      </c>
      <c r="Q23" s="28" t="s">
        <v>4439</v>
      </c>
      <c r="R23" s="28" t="s">
        <v>4440</v>
      </c>
      <c r="S23" s="28" t="s">
        <v>4441</v>
      </c>
      <c r="T23" s="28" t="s">
        <v>4442</v>
      </c>
      <c r="U23" s="28" t="s">
        <v>4443</v>
      </c>
      <c r="V23" s="28" t="s">
        <v>4444</v>
      </c>
      <c r="W23" s="28" t="s">
        <v>4445</v>
      </c>
      <c r="X23" s="28" t="s">
        <v>4446</v>
      </c>
      <c r="Y23" s="28" t="s">
        <v>4447</v>
      </c>
      <c r="Z23" s="28" t="s">
        <v>4448</v>
      </c>
      <c r="AA23" s="28" t="s">
        <v>4449</v>
      </c>
      <c r="AB23" s="28" t="s">
        <v>4450</v>
      </c>
      <c r="AC23" s="28" t="s">
        <v>4451</v>
      </c>
      <c r="AD23" s="28" t="s">
        <v>4452</v>
      </c>
      <c r="AE23" s="28" t="s">
        <v>4453</v>
      </c>
      <c r="AF23" s="28" t="s">
        <v>4454</v>
      </c>
      <c r="AG23" s="28" t="s">
        <v>4455</v>
      </c>
      <c r="AH23" s="28" t="s">
        <v>4456</v>
      </c>
      <c r="AI23" s="28" t="s">
        <v>4457</v>
      </c>
      <c r="AJ23" s="28" t="s">
        <v>4458</v>
      </c>
      <c r="AK23" s="28" t="s">
        <v>4459</v>
      </c>
      <c r="AL23" s="28" t="s">
        <v>4460</v>
      </c>
      <c r="AM23" s="28" t="s">
        <v>4461</v>
      </c>
      <c r="AN23" s="28" t="s">
        <v>4462</v>
      </c>
      <c r="AO23" s="28" t="s">
        <v>4463</v>
      </c>
      <c r="AP23" s="28" t="s">
        <v>4464</v>
      </c>
      <c r="AQ23" s="28" t="s">
        <v>4465</v>
      </c>
      <c r="AR23" s="28" t="s">
        <v>4466</v>
      </c>
      <c r="AS23" s="28" t="s">
        <v>4467</v>
      </c>
      <c r="AT23" s="28" t="s">
        <v>4468</v>
      </c>
      <c r="AU23" s="28" t="s">
        <v>4469</v>
      </c>
      <c r="AV23" s="28" t="s">
        <v>4470</v>
      </c>
      <c r="AW23" s="28" t="s">
        <v>4471</v>
      </c>
      <c r="AX23" s="28" t="s">
        <v>4472</v>
      </c>
      <c r="AY23" s="28" t="s">
        <v>4473</v>
      </c>
      <c r="AZ23" s="28" t="s">
        <v>4474</v>
      </c>
      <c r="BA23" s="28" t="s">
        <v>4475</v>
      </c>
      <c r="BB23" s="28" t="s">
        <v>4476</v>
      </c>
      <c r="BC23" s="28" t="s">
        <v>4477</v>
      </c>
      <c r="BD23" s="28" t="s">
        <v>4478</v>
      </c>
      <c r="BE23" s="28" t="s">
        <v>4479</v>
      </c>
      <c r="BF23" s="28" t="s">
        <v>4480</v>
      </c>
      <c r="BG23" s="28" t="s">
        <v>4481</v>
      </c>
      <c r="BH23" s="28" t="s">
        <v>4482</v>
      </c>
      <c r="BI23" s="28" t="s">
        <v>4483</v>
      </c>
      <c r="BJ23" s="28" t="s">
        <v>4484</v>
      </c>
      <c r="BK23" s="28" t="s">
        <v>4485</v>
      </c>
      <c r="BL23" s="28" t="s">
        <v>4486</v>
      </c>
      <c r="BM23" s="28" t="s">
        <v>4487</v>
      </c>
      <c r="BN23" s="28" t="s">
        <v>4488</v>
      </c>
      <c r="BO23" s="28" t="s">
        <v>4489</v>
      </c>
      <c r="BP23" s="28" t="s">
        <v>4490</v>
      </c>
      <c r="BQ23" s="28" t="s">
        <v>4491</v>
      </c>
      <c r="BR23" s="28" t="s">
        <v>4492</v>
      </c>
      <c r="BS23" s="28" t="s">
        <v>4493</v>
      </c>
      <c r="BT23" s="28" t="s">
        <v>4494</v>
      </c>
      <c r="BU23" s="28" t="s">
        <v>4495</v>
      </c>
      <c r="BV23" s="28" t="s">
        <v>4496</v>
      </c>
      <c r="BW23" s="28" t="s">
        <v>4497</v>
      </c>
      <c r="BX23" s="28" t="s">
        <v>4498</v>
      </c>
      <c r="BY23" s="28" t="s">
        <v>4499</v>
      </c>
      <c r="BZ23" s="28" t="s">
        <v>4500</v>
      </c>
      <c r="CA23" s="28" t="s">
        <v>4501</v>
      </c>
      <c r="CB23" s="28" t="s">
        <v>4502</v>
      </c>
      <c r="CC23" s="28" t="s">
        <v>4503</v>
      </c>
      <c r="CD23" s="28" t="s">
        <v>4504</v>
      </c>
      <c r="CE23" s="28" t="s">
        <v>4505</v>
      </c>
      <c r="CF23" s="28" t="s">
        <v>4506</v>
      </c>
      <c r="CG23" s="28" t="s">
        <v>4507</v>
      </c>
      <c r="CH23" s="28" t="s">
        <v>4508</v>
      </c>
      <c r="CI23" s="28" t="s">
        <v>4509</v>
      </c>
      <c r="CJ23" s="28" t="s">
        <v>4510</v>
      </c>
      <c r="CK23" s="28" t="s">
        <v>13040</v>
      </c>
      <c r="CL23" s="28" t="s">
        <v>4511</v>
      </c>
      <c r="CM23" s="28" t="s">
        <v>4512</v>
      </c>
      <c r="CN23" s="28" t="s">
        <v>4513</v>
      </c>
      <c r="CO23" s="28" t="s">
        <v>4514</v>
      </c>
      <c r="CP23" s="28" t="s">
        <v>4515</v>
      </c>
      <c r="CQ23" s="28" t="s">
        <v>4516</v>
      </c>
      <c r="CR23" s="28" t="s">
        <v>4517</v>
      </c>
      <c r="CS23" s="28" t="s">
        <v>13041</v>
      </c>
      <c r="CT23" s="28" t="s">
        <v>4518</v>
      </c>
      <c r="CU23" s="28" t="s">
        <v>4519</v>
      </c>
      <c r="CV23" s="28" t="s">
        <v>4520</v>
      </c>
      <c r="CW23" s="28" t="s">
        <v>4521</v>
      </c>
      <c r="CX23" s="28" t="s">
        <v>4522</v>
      </c>
      <c r="CY23" s="28" t="s">
        <v>4523</v>
      </c>
      <c r="CZ23" s="28" t="s">
        <v>4524</v>
      </c>
      <c r="DA23" s="28" t="s">
        <v>4525</v>
      </c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</row>
    <row r="24" spans="1:127" ht="15.75" customHeight="1">
      <c r="A24" s="64" t="s">
        <v>252</v>
      </c>
      <c r="B24" s="28" t="s">
        <v>4526</v>
      </c>
      <c r="C24" s="28" t="s">
        <v>13042</v>
      </c>
      <c r="D24" s="28" t="s">
        <v>4527</v>
      </c>
      <c r="E24" s="28" t="s">
        <v>4528</v>
      </c>
      <c r="F24" s="28" t="s">
        <v>4529</v>
      </c>
      <c r="G24" s="28" t="s">
        <v>4530</v>
      </c>
      <c r="H24" s="28" t="s">
        <v>13043</v>
      </c>
      <c r="I24" s="28" t="s">
        <v>4531</v>
      </c>
      <c r="J24" s="28" t="s">
        <v>4532</v>
      </c>
      <c r="K24" s="28" t="s">
        <v>4533</v>
      </c>
      <c r="L24" s="28" t="s">
        <v>4534</v>
      </c>
      <c r="M24" s="28" t="s">
        <v>4535</v>
      </c>
      <c r="N24" s="28" t="s">
        <v>4536</v>
      </c>
      <c r="O24" s="28" t="s">
        <v>4537</v>
      </c>
      <c r="P24" s="28" t="s">
        <v>4538</v>
      </c>
      <c r="Q24" s="28" t="s">
        <v>4539</v>
      </c>
      <c r="R24" s="28" t="s">
        <v>4540</v>
      </c>
      <c r="S24" s="28" t="s">
        <v>4541</v>
      </c>
      <c r="T24" s="28" t="s">
        <v>4542</v>
      </c>
      <c r="U24" s="28" t="s">
        <v>4543</v>
      </c>
      <c r="V24" s="28" t="s">
        <v>4544</v>
      </c>
      <c r="W24" s="28" t="s">
        <v>4545</v>
      </c>
      <c r="X24" s="28" t="s">
        <v>4546</v>
      </c>
      <c r="Y24" s="28" t="s">
        <v>4547</v>
      </c>
      <c r="Z24" s="28" t="s">
        <v>4548</v>
      </c>
      <c r="AA24" s="28" t="s">
        <v>4549</v>
      </c>
      <c r="AB24" s="28" t="s">
        <v>4550</v>
      </c>
      <c r="AC24" s="28" t="s">
        <v>4551</v>
      </c>
      <c r="AD24" s="28" t="s">
        <v>4552</v>
      </c>
      <c r="AE24" s="28" t="s">
        <v>4553</v>
      </c>
      <c r="AF24" s="28" t="s">
        <v>4554</v>
      </c>
      <c r="AG24" s="28" t="s">
        <v>13044</v>
      </c>
      <c r="AH24" s="28" t="s">
        <v>4555</v>
      </c>
      <c r="AI24" s="28" t="s">
        <v>4556</v>
      </c>
      <c r="AJ24" s="28" t="s">
        <v>4557</v>
      </c>
      <c r="AK24" s="28" t="s">
        <v>4558</v>
      </c>
      <c r="AL24" s="28" t="s">
        <v>4559</v>
      </c>
      <c r="AM24" s="28" t="s">
        <v>4560</v>
      </c>
      <c r="AN24" s="28" t="s">
        <v>4561</v>
      </c>
      <c r="AO24" s="28" t="s">
        <v>4562</v>
      </c>
      <c r="AP24" s="28" t="s">
        <v>4563</v>
      </c>
      <c r="AQ24" s="28" t="s">
        <v>4564</v>
      </c>
      <c r="AR24" s="28" t="s">
        <v>4565</v>
      </c>
      <c r="AS24" s="28" t="s">
        <v>4566</v>
      </c>
      <c r="AT24" s="28" t="s">
        <v>4567</v>
      </c>
      <c r="AU24" s="28" t="s">
        <v>4568</v>
      </c>
      <c r="AV24" s="28" t="s">
        <v>4569</v>
      </c>
      <c r="AW24" s="28" t="s">
        <v>4570</v>
      </c>
      <c r="AX24" s="28" t="s">
        <v>4571</v>
      </c>
      <c r="AY24" s="28" t="s">
        <v>4572</v>
      </c>
      <c r="AZ24" s="28" t="s">
        <v>4573</v>
      </c>
      <c r="BA24" s="28" t="s">
        <v>4574</v>
      </c>
      <c r="BB24" s="28" t="s">
        <v>4575</v>
      </c>
      <c r="BC24" s="28" t="s">
        <v>4576</v>
      </c>
      <c r="BD24" s="28" t="s">
        <v>4577</v>
      </c>
      <c r="BE24" s="28" t="s">
        <v>4578</v>
      </c>
      <c r="BF24" s="28" t="s">
        <v>4579</v>
      </c>
      <c r="BG24" s="28" t="s">
        <v>4580</v>
      </c>
      <c r="BH24" s="28" t="s">
        <v>4581</v>
      </c>
      <c r="BI24" s="28" t="s">
        <v>4582</v>
      </c>
      <c r="BJ24" s="28" t="s">
        <v>4583</v>
      </c>
      <c r="BK24" s="28" t="s">
        <v>4584</v>
      </c>
      <c r="BL24" s="28" t="s">
        <v>4585</v>
      </c>
      <c r="BM24" s="28" t="s">
        <v>4586</v>
      </c>
      <c r="BN24" s="28" t="s">
        <v>4587</v>
      </c>
      <c r="BO24" s="28" t="s">
        <v>4588</v>
      </c>
      <c r="BP24" s="28" t="s">
        <v>4589</v>
      </c>
      <c r="BQ24" s="28" t="s">
        <v>4590</v>
      </c>
      <c r="BR24" s="28" t="s">
        <v>13045</v>
      </c>
      <c r="BS24" s="28" t="s">
        <v>4591</v>
      </c>
      <c r="BT24" s="28" t="s">
        <v>4592</v>
      </c>
      <c r="BU24" s="28" t="s">
        <v>4593</v>
      </c>
      <c r="BV24" s="28" t="s">
        <v>4594</v>
      </c>
      <c r="BW24" s="28" t="s">
        <v>4595</v>
      </c>
      <c r="BX24" s="28" t="s">
        <v>4596</v>
      </c>
      <c r="BY24" s="28" t="s">
        <v>4597</v>
      </c>
      <c r="BZ24" s="28" t="s">
        <v>4598</v>
      </c>
      <c r="CA24" s="28" t="s">
        <v>4599</v>
      </c>
      <c r="CB24" s="28" t="s">
        <v>4600</v>
      </c>
      <c r="CC24" s="28" t="s">
        <v>4601</v>
      </c>
      <c r="CD24" s="28" t="s">
        <v>4602</v>
      </c>
      <c r="CE24" s="28" t="s">
        <v>4603</v>
      </c>
      <c r="CF24" s="28" t="s">
        <v>4604</v>
      </c>
      <c r="CG24" s="28" t="s">
        <v>4605</v>
      </c>
      <c r="CH24" s="28" t="s">
        <v>4606</v>
      </c>
      <c r="CI24" s="28" t="s">
        <v>4607</v>
      </c>
      <c r="CJ24" s="28" t="s">
        <v>4608</v>
      </c>
      <c r="CK24" s="28" t="s">
        <v>13046</v>
      </c>
      <c r="CL24" s="28" t="s">
        <v>4609</v>
      </c>
      <c r="CM24" s="28" t="s">
        <v>4610</v>
      </c>
      <c r="CN24" s="28" t="s">
        <v>4611</v>
      </c>
      <c r="CO24" s="28" t="s">
        <v>4612</v>
      </c>
      <c r="CP24" s="28" t="s">
        <v>4613</v>
      </c>
      <c r="CQ24" s="28" t="s">
        <v>4614</v>
      </c>
      <c r="CR24" s="28" t="s">
        <v>4615</v>
      </c>
      <c r="CS24" s="28" t="s">
        <v>13047</v>
      </c>
      <c r="CT24" s="28" t="s">
        <v>4616</v>
      </c>
      <c r="CU24" s="28" t="s">
        <v>4617</v>
      </c>
      <c r="CV24" s="28" t="s">
        <v>13048</v>
      </c>
      <c r="CW24" s="28" t="s">
        <v>4618</v>
      </c>
      <c r="CX24" s="28" t="s">
        <v>4619</v>
      </c>
      <c r="CY24" s="28" t="s">
        <v>4620</v>
      </c>
      <c r="CZ24" s="28" t="s">
        <v>4621</v>
      </c>
      <c r="DA24" s="28" t="s">
        <v>4622</v>
      </c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</row>
    <row r="25" spans="1:127" ht="15.75" customHeight="1">
      <c r="A25" s="64" t="s">
        <v>258</v>
      </c>
      <c r="B25" s="28" t="s">
        <v>4623</v>
      </c>
      <c r="C25" s="28">
        <v>0.21099999999999999</v>
      </c>
      <c r="D25" s="28" t="s">
        <v>4624</v>
      </c>
      <c r="E25" s="28" t="s">
        <v>4625</v>
      </c>
      <c r="F25" s="28" t="s">
        <v>4626</v>
      </c>
      <c r="G25" s="28" t="s">
        <v>4627</v>
      </c>
      <c r="H25" s="28">
        <v>0.20530000000000001</v>
      </c>
      <c r="I25" s="28" t="s">
        <v>4628</v>
      </c>
      <c r="J25" s="28" t="s">
        <v>4629</v>
      </c>
      <c r="K25" s="28" t="s">
        <v>4630</v>
      </c>
      <c r="L25" s="28" t="s">
        <v>4631</v>
      </c>
      <c r="M25" s="28" t="s">
        <v>4632</v>
      </c>
      <c r="N25" s="28" t="s">
        <v>4633</v>
      </c>
      <c r="O25" s="28" t="s">
        <v>4634</v>
      </c>
      <c r="P25" s="28" t="s">
        <v>4635</v>
      </c>
      <c r="Q25" s="28" t="s">
        <v>4636</v>
      </c>
      <c r="R25" s="28" t="s">
        <v>4637</v>
      </c>
      <c r="S25" s="28" t="s">
        <v>4638</v>
      </c>
      <c r="T25" s="28" t="s">
        <v>4639</v>
      </c>
      <c r="U25" s="28" t="s">
        <v>4640</v>
      </c>
      <c r="V25" s="28" t="s">
        <v>4641</v>
      </c>
      <c r="W25" s="28" t="s">
        <v>4642</v>
      </c>
      <c r="X25" s="28" t="s">
        <v>4643</v>
      </c>
      <c r="Y25" s="28" t="s">
        <v>4644</v>
      </c>
      <c r="Z25" s="28" t="s">
        <v>4645</v>
      </c>
      <c r="AA25" s="28" t="s">
        <v>4646</v>
      </c>
      <c r="AB25" s="28" t="s">
        <v>4647</v>
      </c>
      <c r="AC25" s="28" t="s">
        <v>4648</v>
      </c>
      <c r="AD25" s="28" t="s">
        <v>4649</v>
      </c>
      <c r="AE25" s="28" t="s">
        <v>4650</v>
      </c>
      <c r="AF25" s="28" t="s">
        <v>4651</v>
      </c>
      <c r="AG25" s="28">
        <v>0.1925</v>
      </c>
      <c r="AH25" s="28" t="s">
        <v>4652</v>
      </c>
      <c r="AI25" s="28" t="s">
        <v>4653</v>
      </c>
      <c r="AJ25" s="28" t="s">
        <v>4654</v>
      </c>
      <c r="AK25" s="28" t="s">
        <v>4655</v>
      </c>
      <c r="AL25" s="28" t="s">
        <v>4656</v>
      </c>
      <c r="AM25" s="28" t="s">
        <v>4657</v>
      </c>
      <c r="AN25" s="28" t="s">
        <v>4658</v>
      </c>
      <c r="AO25" s="28" t="s">
        <v>4659</v>
      </c>
      <c r="AP25" s="28" t="s">
        <v>4660</v>
      </c>
      <c r="AQ25" s="28" t="s">
        <v>4661</v>
      </c>
      <c r="AR25" s="28" t="s">
        <v>4662</v>
      </c>
      <c r="AS25" s="28" t="s">
        <v>4663</v>
      </c>
      <c r="AT25" s="28" t="s">
        <v>4664</v>
      </c>
      <c r="AU25" s="28" t="s">
        <v>4665</v>
      </c>
      <c r="AV25" s="28" t="s">
        <v>4666</v>
      </c>
      <c r="AW25" s="28" t="s">
        <v>4667</v>
      </c>
      <c r="AX25" s="28" t="s">
        <v>4668</v>
      </c>
      <c r="AY25" s="28" t="s">
        <v>4669</v>
      </c>
      <c r="AZ25" s="28" t="s">
        <v>4670</v>
      </c>
      <c r="BA25" s="28" t="s">
        <v>4671</v>
      </c>
      <c r="BB25" s="28" t="s">
        <v>4672</v>
      </c>
      <c r="BC25" s="28" t="s">
        <v>4673</v>
      </c>
      <c r="BD25" s="28" t="s">
        <v>4674</v>
      </c>
      <c r="BE25" s="28" t="s">
        <v>4675</v>
      </c>
      <c r="BF25" s="28" t="s">
        <v>4676</v>
      </c>
      <c r="BG25" s="28" t="s">
        <v>4677</v>
      </c>
      <c r="BH25" s="28" t="s">
        <v>4678</v>
      </c>
      <c r="BI25" s="28" t="s">
        <v>4679</v>
      </c>
      <c r="BJ25" s="28" t="s">
        <v>4680</v>
      </c>
      <c r="BK25" s="28" t="s">
        <v>4681</v>
      </c>
      <c r="BL25" s="28" t="s">
        <v>4682</v>
      </c>
      <c r="BM25" s="28" t="s">
        <v>4683</v>
      </c>
      <c r="BN25" s="28" t="s">
        <v>4684</v>
      </c>
      <c r="BO25" s="28" t="s">
        <v>4685</v>
      </c>
      <c r="BP25" s="28" t="s">
        <v>4686</v>
      </c>
      <c r="BQ25" s="28" t="s">
        <v>4687</v>
      </c>
      <c r="BR25" s="28">
        <v>0.19639999999999999</v>
      </c>
      <c r="BS25" s="28" t="s">
        <v>4688</v>
      </c>
      <c r="BT25" s="28" t="s">
        <v>4689</v>
      </c>
      <c r="BU25" s="28" t="s">
        <v>4690</v>
      </c>
      <c r="BV25" s="28" t="s">
        <v>4691</v>
      </c>
      <c r="BW25" s="28" t="s">
        <v>4692</v>
      </c>
      <c r="BX25" s="28" t="s">
        <v>4693</v>
      </c>
      <c r="BY25" s="28" t="s">
        <v>4694</v>
      </c>
      <c r="BZ25" s="28" t="s">
        <v>4695</v>
      </c>
      <c r="CA25" s="28" t="s">
        <v>4696</v>
      </c>
      <c r="CB25" s="28" t="s">
        <v>4697</v>
      </c>
      <c r="CC25" s="28" t="s">
        <v>4698</v>
      </c>
      <c r="CD25" s="28" t="s">
        <v>4699</v>
      </c>
      <c r="CE25" s="28" t="s">
        <v>4700</v>
      </c>
      <c r="CF25" s="28" t="s">
        <v>4701</v>
      </c>
      <c r="CG25" s="28" t="s">
        <v>4702</v>
      </c>
      <c r="CH25" s="28" t="s">
        <v>4703</v>
      </c>
      <c r="CI25" s="28" t="s">
        <v>4704</v>
      </c>
      <c r="CJ25" s="28" t="s">
        <v>4705</v>
      </c>
      <c r="CK25" s="28" t="s">
        <v>13049</v>
      </c>
      <c r="CL25" s="28" t="s">
        <v>4706</v>
      </c>
      <c r="CM25" s="28" t="s">
        <v>4707</v>
      </c>
      <c r="CN25" s="28" t="s">
        <v>4708</v>
      </c>
      <c r="CO25" s="28" t="s">
        <v>4709</v>
      </c>
      <c r="CP25" s="28" t="s">
        <v>4710</v>
      </c>
      <c r="CQ25" s="28" t="s">
        <v>4711</v>
      </c>
      <c r="CR25" s="28" t="s">
        <v>4712</v>
      </c>
      <c r="CS25" s="28" t="s">
        <v>13050</v>
      </c>
      <c r="CT25" s="28" t="s">
        <v>4713</v>
      </c>
      <c r="CU25" s="28" t="s">
        <v>4714</v>
      </c>
      <c r="CV25" s="28">
        <v>0.21279999999999999</v>
      </c>
      <c r="CW25" s="28" t="s">
        <v>4715</v>
      </c>
      <c r="CX25" s="28" t="s">
        <v>4716</v>
      </c>
      <c r="CY25" s="28" t="s">
        <v>4717</v>
      </c>
      <c r="CZ25" s="28" t="s">
        <v>4718</v>
      </c>
      <c r="DA25" s="28" t="s">
        <v>4719</v>
      </c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</row>
    <row r="26" spans="1:127" ht="15.75" customHeight="1">
      <c r="A26" s="64" t="s">
        <v>264</v>
      </c>
      <c r="B26" s="28" t="s">
        <v>4720</v>
      </c>
      <c r="C26" s="28">
        <v>0.5</v>
      </c>
      <c r="D26" s="28" t="s">
        <v>4721</v>
      </c>
      <c r="E26" s="28" t="s">
        <v>4722</v>
      </c>
      <c r="F26" s="28" t="s">
        <v>4723</v>
      </c>
      <c r="G26" s="28" t="s">
        <v>4724</v>
      </c>
      <c r="H26" s="30">
        <v>0.96799999999999997</v>
      </c>
      <c r="I26" s="28" t="s">
        <v>4725</v>
      </c>
      <c r="J26" s="28" t="s">
        <v>4726</v>
      </c>
      <c r="K26" s="28" t="s">
        <v>4727</v>
      </c>
      <c r="L26" s="28" t="s">
        <v>4728</v>
      </c>
      <c r="M26" s="28" t="s">
        <v>4729</v>
      </c>
      <c r="N26" s="28" t="s">
        <v>4730</v>
      </c>
      <c r="O26" s="28" t="s">
        <v>4731</v>
      </c>
      <c r="P26" s="28" t="s">
        <v>4732</v>
      </c>
      <c r="Q26" s="28" t="s">
        <v>4733</v>
      </c>
      <c r="R26" s="28" t="s">
        <v>4734</v>
      </c>
      <c r="S26" s="28" t="s">
        <v>4735</v>
      </c>
      <c r="T26" s="28" t="s">
        <v>4736</v>
      </c>
      <c r="U26" s="28" t="s">
        <v>4737</v>
      </c>
      <c r="V26" s="28" t="s">
        <v>4738</v>
      </c>
      <c r="W26" s="28" t="s">
        <v>4739</v>
      </c>
      <c r="X26" s="28" t="s">
        <v>4740</v>
      </c>
      <c r="Y26" s="28" t="s">
        <v>4741</v>
      </c>
      <c r="Z26" s="28" t="s">
        <v>4742</v>
      </c>
      <c r="AA26" s="28" t="s">
        <v>4743</v>
      </c>
      <c r="AB26" s="28" t="s">
        <v>4744</v>
      </c>
      <c r="AC26" s="28" t="s">
        <v>4745</v>
      </c>
      <c r="AD26" s="28" t="s">
        <v>4746</v>
      </c>
      <c r="AE26" s="28" t="s">
        <v>4747</v>
      </c>
      <c r="AF26" s="28" t="s">
        <v>4748</v>
      </c>
      <c r="AG26" s="28">
        <v>0.496</v>
      </c>
      <c r="AH26" s="28" t="s">
        <v>4749</v>
      </c>
      <c r="AI26" s="28" t="s">
        <v>4750</v>
      </c>
      <c r="AJ26" s="28" t="s">
        <v>4751</v>
      </c>
      <c r="AK26" s="28" t="s">
        <v>4752</v>
      </c>
      <c r="AL26" s="28" t="s">
        <v>4753</v>
      </c>
      <c r="AM26" s="28" t="s">
        <v>4754</v>
      </c>
      <c r="AN26" s="28" t="s">
        <v>4755</v>
      </c>
      <c r="AO26" s="28" t="s">
        <v>4756</v>
      </c>
      <c r="AP26" s="28" t="s">
        <v>4757</v>
      </c>
      <c r="AQ26" s="28" t="s">
        <v>4758</v>
      </c>
      <c r="AR26" s="28" t="s">
        <v>4759</v>
      </c>
      <c r="AS26" s="28" t="s">
        <v>4760</v>
      </c>
      <c r="AT26" s="28" t="s">
        <v>4761</v>
      </c>
      <c r="AU26" s="28" t="s">
        <v>4762</v>
      </c>
      <c r="AV26" s="28" t="s">
        <v>4763</v>
      </c>
      <c r="AW26" s="28" t="s">
        <v>4764</v>
      </c>
      <c r="AX26" s="28" t="s">
        <v>4765</v>
      </c>
      <c r="AY26" s="28" t="s">
        <v>4766</v>
      </c>
      <c r="AZ26" s="28" t="s">
        <v>4767</v>
      </c>
      <c r="BA26" s="28" t="s">
        <v>4768</v>
      </c>
      <c r="BB26" s="28" t="s">
        <v>4769</v>
      </c>
      <c r="BC26" s="28" t="s">
        <v>4770</v>
      </c>
      <c r="BD26" s="28" t="s">
        <v>4771</v>
      </c>
      <c r="BE26" s="28" t="s">
        <v>4772</v>
      </c>
      <c r="BF26" s="28" t="s">
        <v>4773</v>
      </c>
      <c r="BG26" s="28" t="s">
        <v>4774</v>
      </c>
      <c r="BH26" s="28" t="s">
        <v>4775</v>
      </c>
      <c r="BI26" s="28" t="s">
        <v>4776</v>
      </c>
      <c r="BJ26" s="28" t="s">
        <v>4777</v>
      </c>
      <c r="BK26" s="28" t="s">
        <v>4778</v>
      </c>
      <c r="BL26" s="28" t="s">
        <v>4779</v>
      </c>
      <c r="BM26" s="28" t="s">
        <v>4780</v>
      </c>
      <c r="BN26" s="28" t="s">
        <v>4781</v>
      </c>
      <c r="BO26" s="28" t="s">
        <v>4782</v>
      </c>
      <c r="BP26" s="28" t="s">
        <v>4783</v>
      </c>
      <c r="BQ26" s="28" t="s">
        <v>4784</v>
      </c>
      <c r="BR26" s="28">
        <v>0.497</v>
      </c>
      <c r="BS26" s="28" t="s">
        <v>4785</v>
      </c>
      <c r="BT26" s="28" t="s">
        <v>4786</v>
      </c>
      <c r="BU26" s="28" t="s">
        <v>4787</v>
      </c>
      <c r="BV26" s="28" t="s">
        <v>4788</v>
      </c>
      <c r="BW26" s="28" t="s">
        <v>4789</v>
      </c>
      <c r="BX26" s="28" t="s">
        <v>4790</v>
      </c>
      <c r="BY26" s="28" t="s">
        <v>4791</v>
      </c>
      <c r="BZ26" s="28" t="s">
        <v>4792</v>
      </c>
      <c r="CA26" s="28" t="s">
        <v>4793</v>
      </c>
      <c r="CB26" s="28" t="s">
        <v>4794</v>
      </c>
      <c r="CC26" s="28" t="s">
        <v>4795</v>
      </c>
      <c r="CD26" s="28" t="s">
        <v>4796</v>
      </c>
      <c r="CE26" s="28" t="s">
        <v>4797</v>
      </c>
      <c r="CF26" s="28" t="s">
        <v>4798</v>
      </c>
      <c r="CG26" s="28" t="s">
        <v>4799</v>
      </c>
      <c r="CH26" s="28" t="s">
        <v>4800</v>
      </c>
      <c r="CI26" s="28" t="s">
        <v>4801</v>
      </c>
      <c r="CJ26" s="28" t="s">
        <v>4802</v>
      </c>
      <c r="CK26" s="28" t="s">
        <v>13051</v>
      </c>
      <c r="CL26" s="28" t="s">
        <v>4803</v>
      </c>
      <c r="CM26" s="28" t="s">
        <v>4804</v>
      </c>
      <c r="CN26" s="28" t="s">
        <v>4805</v>
      </c>
      <c r="CO26" s="28" t="s">
        <v>4806</v>
      </c>
      <c r="CP26" s="28" t="s">
        <v>4807</v>
      </c>
      <c r="CQ26" s="28" t="s">
        <v>4808</v>
      </c>
      <c r="CR26" s="28" t="s">
        <v>4809</v>
      </c>
      <c r="CS26" s="28" t="s">
        <v>13052</v>
      </c>
      <c r="CT26" s="28" t="s">
        <v>4810</v>
      </c>
      <c r="CU26" s="28" t="s">
        <v>4811</v>
      </c>
      <c r="CV26" s="28">
        <v>0.97</v>
      </c>
      <c r="CW26" s="28" t="s">
        <v>4812</v>
      </c>
      <c r="CX26" s="28" t="s">
        <v>4813</v>
      </c>
      <c r="CY26" s="28" t="s">
        <v>4814</v>
      </c>
      <c r="CZ26" s="28" t="s">
        <v>4815</v>
      </c>
      <c r="DA26" s="28" t="s">
        <v>4816</v>
      </c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</row>
    <row r="27" spans="1:127" ht="15.75" customHeight="1">
      <c r="A27" s="64" t="s">
        <v>270</v>
      </c>
      <c r="B27" s="28" t="s">
        <v>4817</v>
      </c>
      <c r="C27" s="28">
        <v>0.42799999999999999</v>
      </c>
      <c r="D27" s="28" t="s">
        <v>4818</v>
      </c>
      <c r="E27" s="28" t="s">
        <v>4819</v>
      </c>
      <c r="F27" s="28" t="s">
        <v>4820</v>
      </c>
      <c r="G27" s="28" t="s">
        <v>4821</v>
      </c>
      <c r="H27" s="30">
        <v>0.91100000000000003</v>
      </c>
      <c r="I27" s="28" t="s">
        <v>4822</v>
      </c>
      <c r="J27" s="28" t="s">
        <v>4823</v>
      </c>
      <c r="K27" s="28" t="s">
        <v>4824</v>
      </c>
      <c r="L27" s="28" t="s">
        <v>4825</v>
      </c>
      <c r="M27" s="28" t="s">
        <v>4826</v>
      </c>
      <c r="N27" s="28" t="s">
        <v>4827</v>
      </c>
      <c r="O27" s="28" t="s">
        <v>4828</v>
      </c>
      <c r="P27" s="28" t="s">
        <v>4829</v>
      </c>
      <c r="Q27" s="28" t="s">
        <v>4830</v>
      </c>
      <c r="R27" s="28" t="s">
        <v>4831</v>
      </c>
      <c r="S27" s="28" t="s">
        <v>4832</v>
      </c>
      <c r="T27" s="28" t="s">
        <v>4833</v>
      </c>
      <c r="U27" s="28" t="s">
        <v>4834</v>
      </c>
      <c r="V27" s="28" t="s">
        <v>4835</v>
      </c>
      <c r="W27" s="28" t="s">
        <v>4836</v>
      </c>
      <c r="X27" s="28" t="s">
        <v>4837</v>
      </c>
      <c r="Y27" s="28" t="s">
        <v>4838</v>
      </c>
      <c r="Z27" s="28" t="s">
        <v>4839</v>
      </c>
      <c r="AA27" s="28" t="s">
        <v>4840</v>
      </c>
      <c r="AB27" s="28" t="s">
        <v>4841</v>
      </c>
      <c r="AC27" s="28" t="s">
        <v>4842</v>
      </c>
      <c r="AD27" s="28" t="s">
        <v>4843</v>
      </c>
      <c r="AE27" s="28" t="s">
        <v>4844</v>
      </c>
      <c r="AF27" s="28" t="s">
        <v>4845</v>
      </c>
      <c r="AG27" s="28">
        <v>0.46600000000000003</v>
      </c>
      <c r="AH27" s="28" t="s">
        <v>4846</v>
      </c>
      <c r="AI27" s="28" t="s">
        <v>4847</v>
      </c>
      <c r="AJ27" s="28" t="s">
        <v>4848</v>
      </c>
      <c r="AK27" s="28" t="s">
        <v>4849</v>
      </c>
      <c r="AL27" s="28" t="s">
        <v>4850</v>
      </c>
      <c r="AM27" s="28" t="s">
        <v>4851</v>
      </c>
      <c r="AN27" s="28" t="s">
        <v>4852</v>
      </c>
      <c r="AO27" s="28" t="s">
        <v>4853</v>
      </c>
      <c r="AP27" s="28" t="s">
        <v>4854</v>
      </c>
      <c r="AQ27" s="28" t="s">
        <v>4855</v>
      </c>
      <c r="AR27" s="28" t="s">
        <v>4856</v>
      </c>
      <c r="AS27" s="28" t="s">
        <v>4857</v>
      </c>
      <c r="AT27" s="28" t="s">
        <v>4858</v>
      </c>
      <c r="AU27" s="28" t="s">
        <v>4859</v>
      </c>
      <c r="AV27" s="28" t="s">
        <v>4860</v>
      </c>
      <c r="AW27" s="28" t="s">
        <v>4861</v>
      </c>
      <c r="AX27" s="28" t="s">
        <v>4862</v>
      </c>
      <c r="AY27" s="28" t="s">
        <v>4863</v>
      </c>
      <c r="AZ27" s="28" t="s">
        <v>4864</v>
      </c>
      <c r="BA27" s="28" t="s">
        <v>4865</v>
      </c>
      <c r="BB27" s="28" t="s">
        <v>4866</v>
      </c>
      <c r="BC27" s="28" t="s">
        <v>4867</v>
      </c>
      <c r="BD27" s="28" t="s">
        <v>4868</v>
      </c>
      <c r="BE27" s="28" t="s">
        <v>4869</v>
      </c>
      <c r="BF27" s="28" t="s">
        <v>4870</v>
      </c>
      <c r="BG27" s="28" t="s">
        <v>4871</v>
      </c>
      <c r="BH27" s="28" t="s">
        <v>4872</v>
      </c>
      <c r="BI27" s="28" t="s">
        <v>4873</v>
      </c>
      <c r="BJ27" s="28" t="s">
        <v>4874</v>
      </c>
      <c r="BK27" s="28" t="s">
        <v>4875</v>
      </c>
      <c r="BL27" s="28" t="s">
        <v>4876</v>
      </c>
      <c r="BM27" s="28" t="s">
        <v>4877</v>
      </c>
      <c r="BN27" s="28" t="s">
        <v>4878</v>
      </c>
      <c r="BO27" s="28" t="s">
        <v>4879</v>
      </c>
      <c r="BP27" s="28" t="s">
        <v>4880</v>
      </c>
      <c r="BQ27" s="28" t="s">
        <v>4881</v>
      </c>
      <c r="BR27" s="28">
        <v>0.46300000000000002</v>
      </c>
      <c r="BS27" s="28" t="s">
        <v>4882</v>
      </c>
      <c r="BT27" s="28" t="s">
        <v>4883</v>
      </c>
      <c r="BU27" s="28" t="s">
        <v>4884</v>
      </c>
      <c r="BV27" s="28" t="s">
        <v>4885</v>
      </c>
      <c r="BW27" s="28" t="s">
        <v>4886</v>
      </c>
      <c r="BX27" s="28" t="s">
        <v>4887</v>
      </c>
      <c r="BY27" s="28" t="s">
        <v>4888</v>
      </c>
      <c r="BZ27" s="28" t="s">
        <v>4889</v>
      </c>
      <c r="CA27" s="28" t="s">
        <v>4890</v>
      </c>
      <c r="CB27" s="28" t="s">
        <v>4891</v>
      </c>
      <c r="CC27" s="28" t="s">
        <v>4892</v>
      </c>
      <c r="CD27" s="28" t="s">
        <v>4893</v>
      </c>
      <c r="CE27" s="28" t="s">
        <v>4894</v>
      </c>
      <c r="CF27" s="28" t="s">
        <v>4895</v>
      </c>
      <c r="CG27" s="28" t="s">
        <v>4896</v>
      </c>
      <c r="CH27" s="28" t="s">
        <v>4897</v>
      </c>
      <c r="CI27" s="28" t="s">
        <v>4898</v>
      </c>
      <c r="CJ27" s="28" t="s">
        <v>4899</v>
      </c>
      <c r="CK27" s="28" t="s">
        <v>13053</v>
      </c>
      <c r="CL27" s="28" t="s">
        <v>4900</v>
      </c>
      <c r="CM27" s="28" t="s">
        <v>4901</v>
      </c>
      <c r="CN27" s="28" t="s">
        <v>4902</v>
      </c>
      <c r="CO27" s="28" t="s">
        <v>4903</v>
      </c>
      <c r="CP27" s="28" t="s">
        <v>4904</v>
      </c>
      <c r="CQ27" s="28" t="s">
        <v>4905</v>
      </c>
      <c r="CR27" s="28" t="s">
        <v>4906</v>
      </c>
      <c r="CS27" s="28" t="s">
        <v>13054</v>
      </c>
      <c r="CT27" s="28" t="s">
        <v>4907</v>
      </c>
      <c r="CU27" s="28" t="s">
        <v>4908</v>
      </c>
      <c r="CV27" s="28">
        <v>0.93300000000000005</v>
      </c>
      <c r="CW27" s="28" t="s">
        <v>4909</v>
      </c>
      <c r="CX27" s="28" t="s">
        <v>4910</v>
      </c>
      <c r="CY27" s="28" t="s">
        <v>4911</v>
      </c>
      <c r="CZ27" s="28" t="s">
        <v>4912</v>
      </c>
      <c r="DA27" s="28" t="s">
        <v>4913</v>
      </c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</row>
    <row r="28" spans="1:127" ht="15.75" customHeight="1">
      <c r="A28" s="64" t="s">
        <v>276</v>
      </c>
      <c r="B28" s="28">
        <v>3023</v>
      </c>
      <c r="C28" s="28">
        <v>2969</v>
      </c>
      <c r="D28" s="28">
        <v>2985</v>
      </c>
      <c r="E28" s="28">
        <v>2978</v>
      </c>
      <c r="F28" s="28">
        <v>3035</v>
      </c>
      <c r="G28" s="28">
        <v>3030</v>
      </c>
      <c r="H28" s="28">
        <v>3014</v>
      </c>
      <c r="I28" s="28">
        <v>3006</v>
      </c>
      <c r="J28" s="28">
        <v>2987</v>
      </c>
      <c r="K28" s="28">
        <v>3003</v>
      </c>
      <c r="L28" s="28">
        <v>2960</v>
      </c>
      <c r="M28" s="28">
        <v>3034</v>
      </c>
      <c r="N28" s="28">
        <v>3003</v>
      </c>
      <c r="O28" s="28">
        <v>2993</v>
      </c>
      <c r="P28" s="28">
        <v>3028</v>
      </c>
      <c r="Q28" s="28">
        <v>2918</v>
      </c>
      <c r="R28" s="28">
        <v>2963</v>
      </c>
      <c r="S28" s="28">
        <v>2984</v>
      </c>
      <c r="T28" s="28">
        <v>2988</v>
      </c>
      <c r="U28" s="28">
        <v>2990</v>
      </c>
      <c r="V28" s="28">
        <v>2947</v>
      </c>
      <c r="W28" s="28">
        <v>3031</v>
      </c>
      <c r="X28" s="28">
        <v>3004</v>
      </c>
      <c r="Y28" s="28">
        <v>2982</v>
      </c>
      <c r="Z28" s="28">
        <v>3063</v>
      </c>
      <c r="AA28" s="28">
        <v>3065</v>
      </c>
      <c r="AB28" s="28">
        <v>3048</v>
      </c>
      <c r="AC28" s="28">
        <v>3034</v>
      </c>
      <c r="AD28" s="28">
        <v>3058</v>
      </c>
      <c r="AE28" s="28">
        <v>3068</v>
      </c>
      <c r="AF28" s="28">
        <v>3090</v>
      </c>
      <c r="AG28" s="28">
        <v>3068</v>
      </c>
      <c r="AH28" s="28">
        <v>3099</v>
      </c>
      <c r="AI28" s="28">
        <v>3065</v>
      </c>
      <c r="AJ28" s="28">
        <v>3049</v>
      </c>
      <c r="AK28" s="28">
        <v>3118</v>
      </c>
      <c r="AL28" s="28">
        <v>3096</v>
      </c>
      <c r="AM28" s="28">
        <v>3074</v>
      </c>
      <c r="AN28" s="28">
        <v>3083</v>
      </c>
      <c r="AO28" s="28">
        <v>3088</v>
      </c>
      <c r="AP28" s="28">
        <v>3093</v>
      </c>
      <c r="AQ28" s="28">
        <v>3104</v>
      </c>
      <c r="AR28" s="28">
        <v>3060</v>
      </c>
      <c r="AS28" s="28">
        <v>3074</v>
      </c>
      <c r="AT28" s="28">
        <v>3072</v>
      </c>
      <c r="AU28" s="28">
        <v>3064</v>
      </c>
      <c r="AV28" s="28">
        <v>3051</v>
      </c>
      <c r="AW28" s="28">
        <v>3059</v>
      </c>
      <c r="AX28" s="28">
        <v>3023</v>
      </c>
      <c r="AY28" s="28">
        <v>3069</v>
      </c>
      <c r="AZ28" s="28">
        <v>3089</v>
      </c>
      <c r="BA28" s="28">
        <v>3105</v>
      </c>
      <c r="BB28" s="28">
        <v>3054</v>
      </c>
      <c r="BC28" s="28">
        <v>3101</v>
      </c>
      <c r="BD28" s="28">
        <v>3086</v>
      </c>
      <c r="BE28" s="28">
        <v>3075</v>
      </c>
      <c r="BF28" s="28">
        <v>3071</v>
      </c>
      <c r="BG28" s="28">
        <v>3081</v>
      </c>
      <c r="BH28" s="28">
        <v>3076</v>
      </c>
      <c r="BI28" s="28">
        <v>3027</v>
      </c>
      <c r="BJ28" s="28">
        <v>2922</v>
      </c>
      <c r="BK28" s="28">
        <v>3032</v>
      </c>
      <c r="BL28" s="28">
        <v>3039</v>
      </c>
      <c r="BM28" s="28">
        <v>3059</v>
      </c>
      <c r="BN28" s="28">
        <v>3054</v>
      </c>
      <c r="BO28" s="28">
        <v>3056</v>
      </c>
      <c r="BP28" s="28">
        <v>3060</v>
      </c>
      <c r="BQ28" s="28">
        <v>3089</v>
      </c>
      <c r="BR28" s="28">
        <v>3071</v>
      </c>
      <c r="BS28" s="28">
        <v>3023</v>
      </c>
      <c r="BT28" s="28">
        <v>3065</v>
      </c>
      <c r="BU28" s="28">
        <v>3077</v>
      </c>
      <c r="BV28" s="28">
        <v>3070</v>
      </c>
      <c r="BW28" s="28">
        <v>3086</v>
      </c>
      <c r="BX28" s="28">
        <v>3063</v>
      </c>
      <c r="BY28" s="28">
        <v>3123</v>
      </c>
      <c r="BZ28" s="28">
        <v>3079</v>
      </c>
      <c r="CA28" s="28">
        <v>3096</v>
      </c>
      <c r="CB28" s="28">
        <v>3078</v>
      </c>
      <c r="CC28" s="28">
        <v>3064</v>
      </c>
      <c r="CD28" s="28">
        <v>3080</v>
      </c>
      <c r="CE28" s="28">
        <v>3054</v>
      </c>
      <c r="CF28" s="28">
        <v>3135</v>
      </c>
      <c r="CG28" s="28">
        <v>3038</v>
      </c>
      <c r="CH28" s="28">
        <v>3066</v>
      </c>
      <c r="CI28" s="28">
        <v>3054</v>
      </c>
      <c r="CJ28" s="28">
        <v>3072</v>
      </c>
      <c r="CK28" s="28">
        <v>3072</v>
      </c>
      <c r="CL28" s="28">
        <v>3004</v>
      </c>
      <c r="CM28" s="28">
        <v>3053</v>
      </c>
      <c r="CN28" s="28">
        <v>3071</v>
      </c>
      <c r="CO28" s="28">
        <v>3061</v>
      </c>
      <c r="CP28" s="28">
        <v>3023</v>
      </c>
      <c r="CQ28" s="28">
        <v>3097</v>
      </c>
      <c r="CR28" s="28">
        <v>3030</v>
      </c>
      <c r="CS28" s="28">
        <v>3133</v>
      </c>
      <c r="CT28" s="28">
        <v>3034</v>
      </c>
      <c r="CU28" s="28">
        <v>3118</v>
      </c>
      <c r="CV28" s="28">
        <v>3048</v>
      </c>
      <c r="CW28" s="28">
        <v>2997</v>
      </c>
      <c r="CX28" s="28">
        <v>2988</v>
      </c>
      <c r="CY28" s="28">
        <v>3051</v>
      </c>
      <c r="CZ28" s="28">
        <v>3046</v>
      </c>
      <c r="DA28" s="28">
        <v>3080</v>
      </c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</row>
    <row r="29" spans="1:127" ht="15.75" customHeight="1">
      <c r="A29" s="64" t="s">
        <v>277</v>
      </c>
      <c r="B29" s="28">
        <v>2580</v>
      </c>
      <c r="C29" s="28">
        <v>2593</v>
      </c>
      <c r="D29" s="28">
        <v>2599</v>
      </c>
      <c r="E29" s="28">
        <v>2585</v>
      </c>
      <c r="F29" s="28">
        <v>2598</v>
      </c>
      <c r="G29" s="28">
        <v>2599</v>
      </c>
      <c r="H29" s="28">
        <v>2606</v>
      </c>
      <c r="I29" s="28">
        <v>2599</v>
      </c>
      <c r="J29" s="28">
        <v>2599</v>
      </c>
      <c r="K29" s="28">
        <v>2606</v>
      </c>
      <c r="L29" s="28">
        <v>2591</v>
      </c>
      <c r="M29" s="28">
        <v>2601</v>
      </c>
      <c r="N29" s="28">
        <v>2599</v>
      </c>
      <c r="O29" s="28">
        <v>2600</v>
      </c>
      <c r="P29" s="28">
        <v>2606</v>
      </c>
      <c r="Q29" s="28">
        <v>2583</v>
      </c>
      <c r="R29" s="28">
        <v>2606</v>
      </c>
      <c r="S29" s="28">
        <v>2593</v>
      </c>
      <c r="T29" s="28">
        <v>2606</v>
      </c>
      <c r="U29" s="28">
        <v>2606</v>
      </c>
      <c r="V29" s="28">
        <v>2606</v>
      </c>
      <c r="W29" s="28">
        <v>2606</v>
      </c>
      <c r="X29" s="28">
        <v>2593</v>
      </c>
      <c r="Y29" s="28">
        <v>2606</v>
      </c>
      <c r="Z29" s="28">
        <v>2560</v>
      </c>
      <c r="AA29" s="28">
        <v>2563</v>
      </c>
      <c r="AB29" s="28">
        <v>2572</v>
      </c>
      <c r="AC29" s="28">
        <v>2572</v>
      </c>
      <c r="AD29" s="28">
        <v>2564</v>
      </c>
      <c r="AE29" s="28">
        <v>2570</v>
      </c>
      <c r="AF29" s="28">
        <v>2576</v>
      </c>
      <c r="AG29" s="28">
        <v>2564</v>
      </c>
      <c r="AH29" s="28">
        <v>2577</v>
      </c>
      <c r="AI29" s="28">
        <v>2577</v>
      </c>
      <c r="AJ29" s="28">
        <v>2571</v>
      </c>
      <c r="AK29" s="28">
        <v>2584</v>
      </c>
      <c r="AL29" s="28">
        <v>2575</v>
      </c>
      <c r="AM29" s="28">
        <v>2571</v>
      </c>
      <c r="AN29" s="28">
        <v>2578</v>
      </c>
      <c r="AO29" s="28">
        <v>2585</v>
      </c>
      <c r="AP29" s="28">
        <v>2599</v>
      </c>
      <c r="AQ29" s="28">
        <v>2590</v>
      </c>
      <c r="AR29" s="28">
        <v>2568</v>
      </c>
      <c r="AS29" s="28">
        <v>2572</v>
      </c>
      <c r="AT29" s="28">
        <v>2563</v>
      </c>
      <c r="AU29" s="28">
        <v>2586</v>
      </c>
      <c r="AV29" s="28">
        <v>2580</v>
      </c>
      <c r="AW29" s="28">
        <v>2591</v>
      </c>
      <c r="AX29" s="28">
        <v>2579</v>
      </c>
      <c r="AY29" s="28">
        <v>2581</v>
      </c>
      <c r="AZ29" s="28">
        <v>2571</v>
      </c>
      <c r="BA29" s="28">
        <v>2568</v>
      </c>
      <c r="BB29" s="28">
        <v>2583</v>
      </c>
      <c r="BC29" s="28">
        <v>2591</v>
      </c>
      <c r="BD29" s="28">
        <v>2593</v>
      </c>
      <c r="BE29" s="28">
        <v>2585</v>
      </c>
      <c r="BF29" s="28">
        <v>2586</v>
      </c>
      <c r="BG29" s="28">
        <v>2586</v>
      </c>
      <c r="BH29" s="28">
        <v>2584</v>
      </c>
      <c r="BI29" s="28">
        <v>2572</v>
      </c>
      <c r="BJ29" s="28">
        <v>2550</v>
      </c>
      <c r="BK29" s="28">
        <v>2578</v>
      </c>
      <c r="BL29" s="28">
        <v>2577</v>
      </c>
      <c r="BM29" s="28">
        <v>2586</v>
      </c>
      <c r="BN29" s="28">
        <v>2580</v>
      </c>
      <c r="BO29" s="28">
        <v>2585</v>
      </c>
      <c r="BP29" s="28">
        <v>2562</v>
      </c>
      <c r="BQ29" s="28">
        <v>2586</v>
      </c>
      <c r="BR29" s="28">
        <v>2586</v>
      </c>
      <c r="BS29" s="28">
        <v>2565</v>
      </c>
      <c r="BT29" s="28">
        <v>2586</v>
      </c>
      <c r="BU29" s="28">
        <v>2586</v>
      </c>
      <c r="BV29" s="28">
        <v>2585</v>
      </c>
      <c r="BW29" s="28">
        <v>2574</v>
      </c>
      <c r="BX29" s="28">
        <v>2571</v>
      </c>
      <c r="BY29" s="28">
        <v>2592</v>
      </c>
      <c r="BZ29" s="28">
        <v>2594</v>
      </c>
      <c r="CA29" s="28">
        <v>2586</v>
      </c>
      <c r="CB29" s="28">
        <v>2580</v>
      </c>
      <c r="CC29" s="28">
        <v>2578</v>
      </c>
      <c r="CD29" s="28">
        <v>2585</v>
      </c>
      <c r="CE29" s="28">
        <v>2582</v>
      </c>
      <c r="CF29" s="28">
        <v>2598</v>
      </c>
      <c r="CG29" s="28">
        <v>2584</v>
      </c>
      <c r="CH29" s="28">
        <v>2579</v>
      </c>
      <c r="CI29" s="28">
        <v>2571</v>
      </c>
      <c r="CJ29" s="28">
        <v>2577</v>
      </c>
      <c r="CK29" s="28">
        <v>2582</v>
      </c>
      <c r="CL29" s="28">
        <v>2577</v>
      </c>
      <c r="CM29" s="28">
        <v>2588</v>
      </c>
      <c r="CN29" s="28">
        <v>2586</v>
      </c>
      <c r="CO29" s="28">
        <v>2583</v>
      </c>
      <c r="CP29" s="28">
        <v>2572</v>
      </c>
      <c r="CQ29" s="28">
        <v>2579</v>
      </c>
      <c r="CR29" s="28">
        <v>2580</v>
      </c>
      <c r="CS29" s="28">
        <v>2606</v>
      </c>
      <c r="CT29" s="28">
        <v>2581</v>
      </c>
      <c r="CU29" s="28">
        <v>2582</v>
      </c>
      <c r="CV29" s="28">
        <v>2572</v>
      </c>
      <c r="CW29" s="28">
        <v>2563</v>
      </c>
      <c r="CX29" s="28">
        <v>2570</v>
      </c>
      <c r="CY29" s="28">
        <v>2577</v>
      </c>
      <c r="CZ29" s="28">
        <v>2586</v>
      </c>
      <c r="DA29" s="28">
        <v>2568</v>
      </c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</row>
    <row r="30" spans="1:127" ht="15.75" customHeight="1">
      <c r="A30" s="64" t="s">
        <v>278</v>
      </c>
      <c r="B30" s="28">
        <v>17</v>
      </c>
      <c r="C30" s="28">
        <v>18</v>
      </c>
      <c r="D30" s="28">
        <v>17</v>
      </c>
      <c r="E30" s="28">
        <v>17</v>
      </c>
      <c r="F30" s="28">
        <v>9</v>
      </c>
      <c r="G30" s="28">
        <v>13</v>
      </c>
      <c r="H30" s="28">
        <v>10</v>
      </c>
      <c r="I30" s="28">
        <v>10</v>
      </c>
      <c r="J30" s="28">
        <v>14</v>
      </c>
      <c r="K30" s="28">
        <v>11</v>
      </c>
      <c r="L30" s="28">
        <v>11</v>
      </c>
      <c r="M30" s="28">
        <v>15</v>
      </c>
      <c r="N30" s="28">
        <v>12</v>
      </c>
      <c r="O30" s="28">
        <v>12</v>
      </c>
      <c r="P30" s="28">
        <v>12</v>
      </c>
      <c r="Q30" s="28">
        <v>13</v>
      </c>
      <c r="R30" s="28">
        <v>14</v>
      </c>
      <c r="S30" s="28">
        <v>15</v>
      </c>
      <c r="T30" s="28">
        <v>15</v>
      </c>
      <c r="U30" s="28">
        <v>16</v>
      </c>
      <c r="V30" s="28">
        <v>16</v>
      </c>
      <c r="W30" s="28">
        <v>16</v>
      </c>
      <c r="X30" s="28">
        <v>17</v>
      </c>
      <c r="Y30" s="28">
        <v>19</v>
      </c>
      <c r="Z30" s="28">
        <v>15</v>
      </c>
      <c r="AA30" s="28">
        <v>17</v>
      </c>
      <c r="AB30" s="28">
        <v>32</v>
      </c>
      <c r="AC30" s="28">
        <v>18</v>
      </c>
      <c r="AD30" s="28">
        <v>14</v>
      </c>
      <c r="AE30" s="28">
        <v>18</v>
      </c>
      <c r="AF30" s="28">
        <v>18</v>
      </c>
      <c r="AG30" s="28">
        <v>15</v>
      </c>
      <c r="AH30" s="28">
        <v>36</v>
      </c>
      <c r="AI30" s="28">
        <v>14</v>
      </c>
      <c r="AJ30" s="28">
        <v>15</v>
      </c>
      <c r="AK30" s="28">
        <v>14</v>
      </c>
      <c r="AL30" s="28">
        <v>13</v>
      </c>
      <c r="AM30" s="28">
        <v>16</v>
      </c>
      <c r="AN30" s="28">
        <v>12</v>
      </c>
      <c r="AO30" s="28">
        <v>14</v>
      </c>
      <c r="AP30" s="28">
        <v>18</v>
      </c>
      <c r="AQ30" s="28">
        <v>13</v>
      </c>
      <c r="AR30" s="28">
        <v>15</v>
      </c>
      <c r="AS30" s="28">
        <v>12</v>
      </c>
      <c r="AT30" s="28">
        <v>14</v>
      </c>
      <c r="AU30" s="28">
        <v>13</v>
      </c>
      <c r="AV30" s="28">
        <v>14</v>
      </c>
      <c r="AW30" s="28">
        <v>13</v>
      </c>
      <c r="AX30" s="28">
        <v>14</v>
      </c>
      <c r="AY30" s="28">
        <v>16</v>
      </c>
      <c r="AZ30" s="28">
        <v>13</v>
      </c>
      <c r="BA30" s="28">
        <v>19</v>
      </c>
      <c r="BB30" s="28">
        <v>17</v>
      </c>
      <c r="BC30" s="28">
        <v>30</v>
      </c>
      <c r="BD30" s="28">
        <v>12</v>
      </c>
      <c r="BE30" s="28">
        <v>13</v>
      </c>
      <c r="BF30" s="28">
        <v>18</v>
      </c>
      <c r="BG30" s="28">
        <v>15</v>
      </c>
      <c r="BH30" s="28">
        <v>12</v>
      </c>
      <c r="BI30" s="28">
        <v>22</v>
      </c>
      <c r="BJ30" s="28">
        <v>19</v>
      </c>
      <c r="BK30" s="28">
        <v>16</v>
      </c>
      <c r="BL30" s="28">
        <v>20</v>
      </c>
      <c r="BM30" s="28">
        <v>17</v>
      </c>
      <c r="BN30" s="28">
        <v>18</v>
      </c>
      <c r="BO30" s="28">
        <v>13</v>
      </c>
      <c r="BP30" s="28">
        <v>12</v>
      </c>
      <c r="BQ30" s="28">
        <v>24</v>
      </c>
      <c r="BR30" s="28">
        <v>8</v>
      </c>
      <c r="BS30" s="28">
        <v>14</v>
      </c>
      <c r="BT30" s="28">
        <v>12</v>
      </c>
      <c r="BU30" s="28">
        <v>14</v>
      </c>
      <c r="BV30" s="28">
        <v>13</v>
      </c>
      <c r="BW30" s="28">
        <v>39</v>
      </c>
      <c r="BX30" s="28">
        <v>15</v>
      </c>
      <c r="BY30" s="28">
        <v>15</v>
      </c>
      <c r="BZ30" s="28">
        <v>30</v>
      </c>
      <c r="CA30" s="28">
        <v>9</v>
      </c>
      <c r="CB30" s="28">
        <v>15</v>
      </c>
      <c r="CC30" s="28">
        <v>15</v>
      </c>
      <c r="CD30" s="28">
        <v>17</v>
      </c>
      <c r="CE30" s="28">
        <v>14</v>
      </c>
      <c r="CF30" s="28">
        <v>15</v>
      </c>
      <c r="CG30" s="28">
        <v>8</v>
      </c>
      <c r="CH30" s="28">
        <v>8</v>
      </c>
      <c r="CI30" s="28">
        <v>15</v>
      </c>
      <c r="CJ30" s="28">
        <v>10</v>
      </c>
      <c r="CK30" s="28">
        <v>10</v>
      </c>
      <c r="CL30" s="28">
        <v>12</v>
      </c>
      <c r="CM30" s="28">
        <v>14</v>
      </c>
      <c r="CN30" s="28">
        <v>12</v>
      </c>
      <c r="CO30" s="28">
        <v>18</v>
      </c>
      <c r="CP30" s="28">
        <v>22</v>
      </c>
      <c r="CQ30" s="28">
        <v>39</v>
      </c>
      <c r="CR30" s="28">
        <v>11</v>
      </c>
      <c r="CS30" s="28">
        <v>43</v>
      </c>
      <c r="CT30" s="28">
        <v>16</v>
      </c>
      <c r="CU30" s="28">
        <v>32</v>
      </c>
      <c r="CV30" s="28">
        <v>15</v>
      </c>
      <c r="CW30" s="28">
        <v>20</v>
      </c>
      <c r="CX30" s="28">
        <v>12</v>
      </c>
      <c r="CY30" s="28">
        <v>15</v>
      </c>
      <c r="CZ30" s="28">
        <v>10</v>
      </c>
      <c r="DA30" s="28">
        <v>18</v>
      </c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</row>
    <row r="31" spans="1:127" ht="15.75" customHeight="1">
      <c r="A31" s="64" t="s">
        <v>279</v>
      </c>
      <c r="B31" s="28">
        <v>426</v>
      </c>
      <c r="C31" s="28">
        <v>358</v>
      </c>
      <c r="D31" s="28">
        <v>369</v>
      </c>
      <c r="E31" s="28">
        <v>376</v>
      </c>
      <c r="F31" s="28">
        <v>428</v>
      </c>
      <c r="G31" s="28">
        <v>418</v>
      </c>
      <c r="H31" s="28">
        <v>398</v>
      </c>
      <c r="I31" s="28">
        <v>397</v>
      </c>
      <c r="J31" s="28">
        <v>374</v>
      </c>
      <c r="K31" s="28">
        <v>386</v>
      </c>
      <c r="L31" s="28">
        <v>358</v>
      </c>
      <c r="M31" s="28">
        <v>418</v>
      </c>
      <c r="N31" s="28">
        <v>392</v>
      </c>
      <c r="O31" s="28">
        <v>381</v>
      </c>
      <c r="P31" s="28">
        <v>410</v>
      </c>
      <c r="Q31" s="28">
        <v>322</v>
      </c>
      <c r="R31" s="28">
        <v>343</v>
      </c>
      <c r="S31" s="28">
        <v>376</v>
      </c>
      <c r="T31" s="28">
        <v>367</v>
      </c>
      <c r="U31" s="28">
        <v>368</v>
      </c>
      <c r="V31" s="28">
        <v>325</v>
      </c>
      <c r="W31" s="28">
        <v>409</v>
      </c>
      <c r="X31" s="28">
        <v>394</v>
      </c>
      <c r="Y31" s="28">
        <v>357</v>
      </c>
      <c r="Z31" s="28">
        <v>488</v>
      </c>
      <c r="AA31" s="28">
        <v>485</v>
      </c>
      <c r="AB31" s="28">
        <v>444</v>
      </c>
      <c r="AC31" s="28">
        <v>444</v>
      </c>
      <c r="AD31" s="28">
        <v>480</v>
      </c>
      <c r="AE31" s="28">
        <v>480</v>
      </c>
      <c r="AF31" s="28">
        <v>496</v>
      </c>
      <c r="AG31" s="28">
        <v>489</v>
      </c>
      <c r="AH31" s="28">
        <v>486</v>
      </c>
      <c r="AI31" s="28">
        <v>474</v>
      </c>
      <c r="AJ31" s="28">
        <v>463</v>
      </c>
      <c r="AK31" s="28">
        <v>520</v>
      </c>
      <c r="AL31" s="28">
        <v>508</v>
      </c>
      <c r="AM31" s="28">
        <v>487</v>
      </c>
      <c r="AN31" s="28">
        <v>493</v>
      </c>
      <c r="AO31" s="28">
        <v>489</v>
      </c>
      <c r="AP31" s="28">
        <v>476</v>
      </c>
      <c r="AQ31" s="28">
        <v>501</v>
      </c>
      <c r="AR31" s="28">
        <v>477</v>
      </c>
      <c r="AS31" s="28">
        <v>490</v>
      </c>
      <c r="AT31" s="28">
        <v>495</v>
      </c>
      <c r="AU31" s="28">
        <v>465</v>
      </c>
      <c r="AV31" s="28">
        <v>457</v>
      </c>
      <c r="AW31" s="28">
        <v>455</v>
      </c>
      <c r="AX31" s="28">
        <v>430</v>
      </c>
      <c r="AY31" s="28">
        <v>472</v>
      </c>
      <c r="AZ31" s="28">
        <v>505</v>
      </c>
      <c r="BA31" s="28">
        <v>518</v>
      </c>
      <c r="BB31" s="28">
        <v>454</v>
      </c>
      <c r="BC31" s="28">
        <v>480</v>
      </c>
      <c r="BD31" s="28">
        <v>481</v>
      </c>
      <c r="BE31" s="28">
        <v>477</v>
      </c>
      <c r="BF31" s="28">
        <v>467</v>
      </c>
      <c r="BG31" s="28">
        <v>480</v>
      </c>
      <c r="BH31" s="28">
        <v>480</v>
      </c>
      <c r="BI31" s="28">
        <v>433</v>
      </c>
      <c r="BJ31" s="28">
        <v>353</v>
      </c>
      <c r="BK31" s="28">
        <v>438</v>
      </c>
      <c r="BL31" s="28">
        <v>442</v>
      </c>
      <c r="BM31" s="28">
        <v>456</v>
      </c>
      <c r="BN31" s="28">
        <v>456</v>
      </c>
      <c r="BO31" s="28">
        <v>458</v>
      </c>
      <c r="BP31" s="28">
        <v>486</v>
      </c>
      <c r="BQ31" s="28">
        <v>479</v>
      </c>
      <c r="BR31" s="28">
        <v>477</v>
      </c>
      <c r="BS31" s="28">
        <v>444</v>
      </c>
      <c r="BT31" s="28">
        <v>467</v>
      </c>
      <c r="BU31" s="28">
        <v>477</v>
      </c>
      <c r="BV31" s="28">
        <v>472</v>
      </c>
      <c r="BW31" s="28">
        <v>473</v>
      </c>
      <c r="BX31" s="28">
        <v>477</v>
      </c>
      <c r="BY31" s="28">
        <v>516</v>
      </c>
      <c r="BZ31" s="28">
        <v>455</v>
      </c>
      <c r="CA31" s="28">
        <v>501</v>
      </c>
      <c r="CB31" s="28">
        <v>483</v>
      </c>
      <c r="CC31" s="28">
        <v>471</v>
      </c>
      <c r="CD31" s="28">
        <v>478</v>
      </c>
      <c r="CE31" s="28">
        <v>458</v>
      </c>
      <c r="CF31" s="28">
        <v>522</v>
      </c>
      <c r="CG31" s="28">
        <v>446</v>
      </c>
      <c r="CH31" s="28">
        <v>479</v>
      </c>
      <c r="CI31" s="28">
        <v>468</v>
      </c>
      <c r="CJ31" s="28">
        <v>485</v>
      </c>
      <c r="CK31" s="28">
        <v>480</v>
      </c>
      <c r="CL31" s="28">
        <v>415</v>
      </c>
      <c r="CM31" s="28">
        <v>451</v>
      </c>
      <c r="CN31" s="28">
        <v>473</v>
      </c>
      <c r="CO31" s="28">
        <v>460</v>
      </c>
      <c r="CP31" s="28">
        <v>429</v>
      </c>
      <c r="CQ31" s="28">
        <v>479</v>
      </c>
      <c r="CR31" s="28">
        <v>439</v>
      </c>
      <c r="CS31" s="28">
        <v>484</v>
      </c>
      <c r="CT31" s="28">
        <v>437</v>
      </c>
      <c r="CU31" s="28">
        <v>504</v>
      </c>
      <c r="CV31" s="28">
        <v>461</v>
      </c>
      <c r="CW31" s="28">
        <v>414</v>
      </c>
      <c r="CX31" s="28">
        <v>406</v>
      </c>
      <c r="CY31" s="28">
        <v>459</v>
      </c>
      <c r="CZ31" s="28">
        <v>450</v>
      </c>
      <c r="DA31" s="28">
        <v>494</v>
      </c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</row>
    <row r="32" spans="1:127" ht="15.75" customHeight="1">
      <c r="A32" s="64" t="s">
        <v>280</v>
      </c>
      <c r="B32" s="28">
        <v>334</v>
      </c>
      <c r="C32" s="28">
        <v>334</v>
      </c>
      <c r="D32" s="28">
        <v>334</v>
      </c>
      <c r="E32" s="28">
        <v>334</v>
      </c>
      <c r="F32" s="28">
        <v>334</v>
      </c>
      <c r="G32" s="28">
        <v>334</v>
      </c>
      <c r="H32" s="28">
        <v>334</v>
      </c>
      <c r="I32" s="28">
        <v>334</v>
      </c>
      <c r="J32" s="28">
        <v>334</v>
      </c>
      <c r="K32" s="28">
        <v>334</v>
      </c>
      <c r="L32" s="28">
        <v>334</v>
      </c>
      <c r="M32" s="28">
        <v>334</v>
      </c>
      <c r="N32" s="28">
        <v>334</v>
      </c>
      <c r="O32" s="28">
        <v>334</v>
      </c>
      <c r="P32" s="28">
        <v>334</v>
      </c>
      <c r="Q32" s="28">
        <v>334</v>
      </c>
      <c r="R32" s="28">
        <v>334</v>
      </c>
      <c r="S32" s="28">
        <v>334</v>
      </c>
      <c r="T32" s="28">
        <v>334</v>
      </c>
      <c r="U32" s="28">
        <v>334</v>
      </c>
      <c r="V32" s="28">
        <v>334</v>
      </c>
      <c r="W32" s="28">
        <v>334</v>
      </c>
      <c r="X32" s="28">
        <v>334</v>
      </c>
      <c r="Y32" s="28">
        <v>334</v>
      </c>
      <c r="Z32" s="28">
        <v>333</v>
      </c>
      <c r="AA32" s="28">
        <v>334</v>
      </c>
      <c r="AB32" s="28">
        <v>334</v>
      </c>
      <c r="AC32" s="28">
        <v>334</v>
      </c>
      <c r="AD32" s="28">
        <v>334</v>
      </c>
      <c r="AE32" s="28">
        <v>334</v>
      </c>
      <c r="AF32" s="28">
        <v>334</v>
      </c>
      <c r="AG32" s="28">
        <v>334</v>
      </c>
      <c r="AH32" s="28">
        <v>334</v>
      </c>
      <c r="AI32" s="28">
        <v>334</v>
      </c>
      <c r="AJ32" s="28">
        <v>334</v>
      </c>
      <c r="AK32" s="28">
        <v>334</v>
      </c>
      <c r="AL32" s="28">
        <v>334</v>
      </c>
      <c r="AM32" s="28">
        <v>334</v>
      </c>
      <c r="AN32" s="28">
        <v>334</v>
      </c>
      <c r="AO32" s="28">
        <v>334</v>
      </c>
      <c r="AP32" s="28">
        <v>334</v>
      </c>
      <c r="AQ32" s="28">
        <v>334</v>
      </c>
      <c r="AR32" s="28">
        <v>334</v>
      </c>
      <c r="AS32" s="28">
        <v>334</v>
      </c>
      <c r="AT32" s="28">
        <v>333</v>
      </c>
      <c r="AU32" s="28">
        <v>334</v>
      </c>
      <c r="AV32" s="28">
        <v>334</v>
      </c>
      <c r="AW32" s="28">
        <v>334</v>
      </c>
      <c r="AX32" s="28">
        <v>334</v>
      </c>
      <c r="AY32" s="28">
        <v>333</v>
      </c>
      <c r="AZ32" s="28">
        <v>334</v>
      </c>
      <c r="BA32" s="28">
        <v>334</v>
      </c>
      <c r="BB32" s="28">
        <v>334</v>
      </c>
      <c r="BC32" s="28">
        <v>334</v>
      </c>
      <c r="BD32" s="28">
        <v>334</v>
      </c>
      <c r="BE32" s="28">
        <v>334</v>
      </c>
      <c r="BF32" s="28">
        <v>334</v>
      </c>
      <c r="BG32" s="28">
        <v>334</v>
      </c>
      <c r="BH32" s="28">
        <v>334</v>
      </c>
      <c r="BI32" s="28">
        <v>334</v>
      </c>
      <c r="BJ32" s="28">
        <v>333</v>
      </c>
      <c r="BK32" s="28">
        <v>334</v>
      </c>
      <c r="BL32" s="28">
        <v>334</v>
      </c>
      <c r="BM32" s="28">
        <v>334</v>
      </c>
      <c r="BN32" s="28">
        <v>334</v>
      </c>
      <c r="BO32" s="28">
        <v>333</v>
      </c>
      <c r="BP32" s="28">
        <v>333</v>
      </c>
      <c r="BQ32" s="28">
        <v>334</v>
      </c>
      <c r="BR32" s="28">
        <v>334</v>
      </c>
      <c r="BS32" s="28">
        <v>333</v>
      </c>
      <c r="BT32" s="28">
        <v>334</v>
      </c>
      <c r="BU32" s="28">
        <v>334</v>
      </c>
      <c r="BV32" s="28">
        <v>334</v>
      </c>
      <c r="BW32" s="28">
        <v>333</v>
      </c>
      <c r="BX32" s="28">
        <v>333</v>
      </c>
      <c r="BY32" s="28">
        <v>334</v>
      </c>
      <c r="BZ32" s="28">
        <v>334</v>
      </c>
      <c r="CA32" s="28">
        <v>334</v>
      </c>
      <c r="CB32" s="28">
        <v>334</v>
      </c>
      <c r="CC32" s="28">
        <v>334</v>
      </c>
      <c r="CD32" s="28">
        <v>334</v>
      </c>
      <c r="CE32" s="28">
        <v>334</v>
      </c>
      <c r="CF32" s="28">
        <v>334</v>
      </c>
      <c r="CG32" s="28">
        <v>334</v>
      </c>
      <c r="CH32" s="28">
        <v>334</v>
      </c>
      <c r="CI32" s="28">
        <v>334</v>
      </c>
      <c r="CJ32" s="28">
        <v>334</v>
      </c>
      <c r="CK32" s="28">
        <v>334</v>
      </c>
      <c r="CL32" s="28">
        <v>334</v>
      </c>
      <c r="CM32" s="28">
        <v>334</v>
      </c>
      <c r="CN32" s="28">
        <v>334</v>
      </c>
      <c r="CO32" s="28">
        <v>334</v>
      </c>
      <c r="CP32" s="28">
        <v>334</v>
      </c>
      <c r="CQ32" s="28">
        <v>334</v>
      </c>
      <c r="CR32" s="28">
        <v>334</v>
      </c>
      <c r="CS32" s="28">
        <v>337</v>
      </c>
      <c r="CT32" s="28">
        <v>334</v>
      </c>
      <c r="CU32" s="28">
        <v>334</v>
      </c>
      <c r="CV32" s="28">
        <v>334</v>
      </c>
      <c r="CW32" s="28">
        <v>334</v>
      </c>
      <c r="CX32" s="28">
        <v>334</v>
      </c>
      <c r="CY32" s="28">
        <v>334</v>
      </c>
      <c r="CZ32" s="28">
        <v>334</v>
      </c>
      <c r="DA32" s="28">
        <v>334</v>
      </c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</row>
    <row r="33" spans="1:127" ht="15.75" customHeight="1">
      <c r="A33" s="64" t="s">
        <v>281</v>
      </c>
      <c r="B33" s="28">
        <v>1.2999999999999999E-2</v>
      </c>
      <c r="C33" s="28">
        <v>1.4E-2</v>
      </c>
      <c r="D33" s="28">
        <v>1.2999999999999999E-2</v>
      </c>
      <c r="E33" s="28">
        <v>1.4E-2</v>
      </c>
      <c r="F33" s="28">
        <v>1.2999999999999999E-2</v>
      </c>
      <c r="G33" s="28">
        <v>1.2999999999999999E-2</v>
      </c>
      <c r="H33" s="28">
        <v>1.4999999999999999E-2</v>
      </c>
      <c r="I33" s="28">
        <v>1.2999999999999999E-2</v>
      </c>
      <c r="J33" s="28">
        <v>1.4999999999999999E-2</v>
      </c>
      <c r="K33" s="28">
        <v>1.4E-2</v>
      </c>
      <c r="L33" s="28">
        <v>1.2999999999999999E-2</v>
      </c>
      <c r="M33" s="28">
        <v>1.2999999999999999E-2</v>
      </c>
      <c r="N33" s="28">
        <v>1.2999999999999999E-2</v>
      </c>
      <c r="O33" s="28">
        <v>1.2999999999999999E-2</v>
      </c>
      <c r="P33" s="28">
        <v>1.2999999999999999E-2</v>
      </c>
      <c r="Q33" s="28">
        <v>1.4E-2</v>
      </c>
      <c r="R33" s="28">
        <v>1.4E-2</v>
      </c>
      <c r="S33" s="28">
        <v>1.4E-2</v>
      </c>
      <c r="T33" s="28">
        <v>0.125</v>
      </c>
      <c r="U33" s="28">
        <v>1.6E-2</v>
      </c>
      <c r="V33" s="28">
        <v>1.2999999999999999E-2</v>
      </c>
      <c r="W33" s="28">
        <v>1.2999999999999999E-2</v>
      </c>
      <c r="X33" s="28">
        <v>1.2999999999999999E-2</v>
      </c>
      <c r="Y33" s="28">
        <v>1.2999999999999999E-2</v>
      </c>
      <c r="Z33" s="28">
        <v>1.2999999999999999E-2</v>
      </c>
      <c r="AA33" s="28">
        <v>1.4E-2</v>
      </c>
      <c r="AB33" s="28">
        <v>1.2999999999999999E-2</v>
      </c>
      <c r="AC33" s="28">
        <v>1.4E-2</v>
      </c>
      <c r="AD33" s="28">
        <v>1.2999999999999999E-2</v>
      </c>
      <c r="AE33" s="28">
        <v>1.2999999999999999E-2</v>
      </c>
      <c r="AF33" s="28">
        <v>1.2999999999999999E-2</v>
      </c>
      <c r="AG33" s="28">
        <v>1.2999999999999999E-2</v>
      </c>
      <c r="AH33" s="28">
        <v>1.2999999999999999E-2</v>
      </c>
      <c r="AI33" s="28">
        <v>1.2999999999999999E-2</v>
      </c>
      <c r="AJ33" s="28">
        <v>1.2999999999999999E-2</v>
      </c>
      <c r="AK33" s="28">
        <v>1.2999999999999999E-2</v>
      </c>
      <c r="AL33" s="28">
        <v>1.2999999999999999E-2</v>
      </c>
      <c r="AM33" s="28">
        <v>1.2999999999999999E-2</v>
      </c>
      <c r="AN33" s="28">
        <v>1.2999999999999999E-2</v>
      </c>
      <c r="AO33" s="28">
        <v>1.2999999999999999E-2</v>
      </c>
      <c r="AP33" s="28">
        <v>1.2999999999999999E-2</v>
      </c>
      <c r="AQ33" s="28">
        <v>1.2999999999999999E-2</v>
      </c>
      <c r="AR33" s="28">
        <v>1.2999999999999999E-2</v>
      </c>
      <c r="AS33" s="28">
        <v>1.2999999999999999E-2</v>
      </c>
      <c r="AT33" s="28">
        <v>1.2999999999999999E-2</v>
      </c>
      <c r="AU33" s="28">
        <v>1.2999999999999999E-2</v>
      </c>
      <c r="AV33" s="28">
        <v>1.2999999999999999E-2</v>
      </c>
      <c r="AW33" s="28">
        <v>1.2999999999999999E-2</v>
      </c>
      <c r="AX33" s="28">
        <v>1.4999999999999999E-2</v>
      </c>
      <c r="AY33" s="28">
        <v>1.2999999999999999E-2</v>
      </c>
      <c r="AZ33" s="28">
        <v>1.2999999999999999E-2</v>
      </c>
      <c r="BA33" s="28">
        <v>1.2999999999999999E-2</v>
      </c>
      <c r="BB33" s="28">
        <v>1.2999999999999999E-2</v>
      </c>
      <c r="BC33" s="28">
        <v>1.2999999999999999E-2</v>
      </c>
      <c r="BD33" s="28">
        <v>1.2999999999999999E-2</v>
      </c>
      <c r="BE33" s="28">
        <v>1.2999999999999999E-2</v>
      </c>
      <c r="BF33" s="28">
        <v>1.4E-2</v>
      </c>
      <c r="BG33" s="28">
        <v>1.2999999999999999E-2</v>
      </c>
      <c r="BH33" s="28">
        <v>1.2999999999999999E-2</v>
      </c>
      <c r="BI33" s="28">
        <v>1.4E-2</v>
      </c>
      <c r="BJ33" s="28">
        <v>0.108</v>
      </c>
      <c r="BK33" s="28">
        <v>1.2999999999999999E-2</v>
      </c>
      <c r="BL33" s="28">
        <v>1.2999999999999999E-2</v>
      </c>
      <c r="BM33" s="28">
        <v>1.2999999999999999E-2</v>
      </c>
      <c r="BN33" s="28">
        <v>1.2999999999999999E-2</v>
      </c>
      <c r="BO33" s="28">
        <v>1.2999999999999999E-2</v>
      </c>
      <c r="BP33" s="28">
        <v>1.2999999999999999E-2</v>
      </c>
      <c r="BQ33" s="28">
        <v>1.2999999999999999E-2</v>
      </c>
      <c r="BR33" s="28">
        <v>1.2999999999999999E-2</v>
      </c>
      <c r="BS33" s="28">
        <v>1.2999999999999999E-2</v>
      </c>
      <c r="BT33" s="28">
        <v>1.2999999999999999E-2</v>
      </c>
      <c r="BU33" s="28">
        <v>1.4999999999999999E-2</v>
      </c>
      <c r="BV33" s="28">
        <v>1.2999999999999999E-2</v>
      </c>
      <c r="BW33" s="28">
        <v>1.2999999999999999E-2</v>
      </c>
      <c r="BX33" s="28">
        <v>1.2999999999999999E-2</v>
      </c>
      <c r="BY33" s="28">
        <v>1.2999999999999999E-2</v>
      </c>
      <c r="BZ33" s="28">
        <v>1.2999999999999999E-2</v>
      </c>
      <c r="CA33" s="28">
        <v>1.2999999999999999E-2</v>
      </c>
      <c r="CB33" s="28">
        <v>1.2999999999999999E-2</v>
      </c>
      <c r="CC33" s="28">
        <v>1.2999999999999999E-2</v>
      </c>
      <c r="CD33" s="28">
        <v>1.2999999999999999E-2</v>
      </c>
      <c r="CE33" s="28">
        <v>1.2999999999999999E-2</v>
      </c>
      <c r="CF33" s="28">
        <v>1.2999999999999999E-2</v>
      </c>
      <c r="CG33" s="28">
        <v>1.2999999999999999E-2</v>
      </c>
      <c r="CH33" s="28">
        <v>1.2999999999999999E-2</v>
      </c>
      <c r="CI33" s="28">
        <v>1.2999999999999999E-2</v>
      </c>
      <c r="CJ33" s="28">
        <v>1.2999999999999999E-2</v>
      </c>
      <c r="CK33" s="28">
        <v>1.2999999999999999E-2</v>
      </c>
      <c r="CL33" s="28">
        <v>1.2999999999999999E-2</v>
      </c>
      <c r="CM33" s="28">
        <v>1.2999999999999999E-2</v>
      </c>
      <c r="CN33" s="28">
        <v>1.2999999999999999E-2</v>
      </c>
      <c r="CO33" s="28">
        <v>1.2999999999999999E-2</v>
      </c>
      <c r="CP33" s="28">
        <v>1.2999999999999999E-2</v>
      </c>
      <c r="CQ33" s="28">
        <v>1.2999999999999999E-2</v>
      </c>
      <c r="CR33" s="28">
        <v>1.2999999999999999E-2</v>
      </c>
      <c r="CS33" s="28">
        <v>1.2999999999999999E-2</v>
      </c>
      <c r="CT33" s="28">
        <v>1.2999999999999999E-2</v>
      </c>
      <c r="CU33" s="28">
        <v>1.2999999999999999E-2</v>
      </c>
      <c r="CV33" s="28">
        <v>1.4E-2</v>
      </c>
      <c r="CW33" s="28">
        <v>1.4E-2</v>
      </c>
      <c r="CX33" s="28">
        <v>1.4999999999999999E-2</v>
      </c>
      <c r="CY33" s="28">
        <v>1.2999999999999999E-2</v>
      </c>
      <c r="CZ33" s="28">
        <v>1.2999999999999999E-2</v>
      </c>
      <c r="DA33" s="28">
        <v>1.2999999999999999E-2</v>
      </c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</row>
    <row r="34" spans="1:127" ht="15.75" customHeight="1">
      <c r="A34" s="64" t="s">
        <v>282</v>
      </c>
      <c r="B34" s="28">
        <v>1.59</v>
      </c>
      <c r="C34" s="28">
        <v>1.55</v>
      </c>
      <c r="D34" s="28">
        <v>1.56</v>
      </c>
      <c r="E34" s="28">
        <v>1.58</v>
      </c>
      <c r="F34" s="28">
        <v>1.57</v>
      </c>
      <c r="G34" s="28">
        <v>1.59</v>
      </c>
      <c r="H34" s="28">
        <v>1.57</v>
      </c>
      <c r="I34" s="28">
        <v>1.55</v>
      </c>
      <c r="J34" s="28">
        <v>1.57</v>
      </c>
      <c r="K34" s="28">
        <v>1.56</v>
      </c>
      <c r="L34" s="28">
        <v>1.57</v>
      </c>
      <c r="M34" s="28">
        <v>1.57</v>
      </c>
      <c r="N34" s="28">
        <v>1.57</v>
      </c>
      <c r="O34" s="28">
        <v>1.56</v>
      </c>
      <c r="P34" s="28">
        <v>1.57</v>
      </c>
      <c r="Q34" s="28">
        <v>1.58</v>
      </c>
      <c r="R34" s="28">
        <v>1.57</v>
      </c>
      <c r="S34" s="28">
        <v>1.56</v>
      </c>
      <c r="T34" s="28">
        <v>4.6399999999999997</v>
      </c>
      <c r="U34" s="28">
        <v>1.56</v>
      </c>
      <c r="V34" s="28">
        <v>1.57</v>
      </c>
      <c r="W34" s="28">
        <v>1.6</v>
      </c>
      <c r="X34" s="28">
        <v>1.59</v>
      </c>
      <c r="Y34" s="28">
        <v>1.59</v>
      </c>
      <c r="Z34" s="28">
        <v>1.59</v>
      </c>
      <c r="AA34" s="28">
        <v>1.59</v>
      </c>
      <c r="AB34" s="28">
        <v>1.56</v>
      </c>
      <c r="AC34" s="28">
        <v>1.56</v>
      </c>
      <c r="AD34" s="28">
        <v>1.57</v>
      </c>
      <c r="AE34" s="28">
        <v>1.58</v>
      </c>
      <c r="AF34" s="28">
        <v>1.59</v>
      </c>
      <c r="AG34" s="28">
        <v>1.58</v>
      </c>
      <c r="AH34" s="28">
        <v>1.59</v>
      </c>
      <c r="AI34" s="28">
        <v>1.56</v>
      </c>
      <c r="AJ34" s="28">
        <v>1.6</v>
      </c>
      <c r="AK34" s="28">
        <v>1.6</v>
      </c>
      <c r="AL34" s="28">
        <v>1.61</v>
      </c>
      <c r="AM34" s="28">
        <v>1.59</v>
      </c>
      <c r="AN34" s="28">
        <v>1.59</v>
      </c>
      <c r="AO34" s="28">
        <v>1.58</v>
      </c>
      <c r="AP34" s="28">
        <v>1.59</v>
      </c>
      <c r="AQ34" s="28">
        <v>1.57</v>
      </c>
      <c r="AR34" s="28">
        <v>1.56</v>
      </c>
      <c r="AS34" s="28">
        <v>1.56</v>
      </c>
      <c r="AT34" s="28">
        <v>1.57</v>
      </c>
      <c r="AU34" s="28">
        <v>1.58</v>
      </c>
      <c r="AV34" s="28">
        <v>1.58</v>
      </c>
      <c r="AW34" s="28">
        <v>1.54</v>
      </c>
      <c r="AX34" s="28">
        <v>1.62</v>
      </c>
      <c r="AY34" s="28">
        <v>1.61</v>
      </c>
      <c r="AZ34" s="28">
        <v>1.58</v>
      </c>
      <c r="BA34" s="28">
        <v>1.6</v>
      </c>
      <c r="BB34" s="28">
        <v>1.57</v>
      </c>
      <c r="BC34" s="28">
        <v>1.58</v>
      </c>
      <c r="BD34" s="28">
        <v>1.59</v>
      </c>
      <c r="BE34" s="28">
        <v>1.59</v>
      </c>
      <c r="BF34" s="28">
        <v>1.58</v>
      </c>
      <c r="BG34" s="28">
        <v>1.57</v>
      </c>
      <c r="BH34" s="28">
        <v>1.59</v>
      </c>
      <c r="BI34" s="28">
        <v>1.61</v>
      </c>
      <c r="BJ34" s="28">
        <v>4.3</v>
      </c>
      <c r="BK34" s="28">
        <v>1.59</v>
      </c>
      <c r="BL34" s="28">
        <v>1.57</v>
      </c>
      <c r="BM34" s="28">
        <v>1.58</v>
      </c>
      <c r="BN34" s="28">
        <v>1.57</v>
      </c>
      <c r="BO34" s="28">
        <v>1.58</v>
      </c>
      <c r="BP34" s="28">
        <v>1.6</v>
      </c>
      <c r="BQ34" s="28">
        <v>1.57</v>
      </c>
      <c r="BR34" s="28">
        <v>1.59</v>
      </c>
      <c r="BS34" s="28">
        <v>1.53</v>
      </c>
      <c r="BT34" s="28">
        <v>1.55</v>
      </c>
      <c r="BU34" s="28">
        <v>1.56</v>
      </c>
      <c r="BV34" s="28">
        <v>1.58</v>
      </c>
      <c r="BW34" s="28">
        <v>1.58</v>
      </c>
      <c r="BX34" s="28">
        <v>1.59</v>
      </c>
      <c r="BY34" s="28">
        <v>1.55</v>
      </c>
      <c r="BZ34" s="28">
        <v>1.63</v>
      </c>
      <c r="CA34" s="28">
        <v>1.57</v>
      </c>
      <c r="CB34" s="28">
        <v>1.59</v>
      </c>
      <c r="CC34" s="28">
        <v>1.57</v>
      </c>
      <c r="CD34" s="28">
        <v>1.61</v>
      </c>
      <c r="CE34" s="28">
        <v>1.57</v>
      </c>
      <c r="CF34" s="28">
        <v>1.59</v>
      </c>
      <c r="CG34" s="28">
        <v>1.59</v>
      </c>
      <c r="CH34" s="28">
        <v>1.59</v>
      </c>
      <c r="CI34" s="28">
        <v>1.59</v>
      </c>
      <c r="CJ34" s="28">
        <v>1.57</v>
      </c>
      <c r="CK34" s="28">
        <v>1.59</v>
      </c>
      <c r="CL34" s="28">
        <v>1.57</v>
      </c>
      <c r="CM34" s="28">
        <v>1.56</v>
      </c>
      <c r="CN34" s="28">
        <v>1.59</v>
      </c>
      <c r="CO34" s="28">
        <v>1.61</v>
      </c>
      <c r="CP34" s="28">
        <v>1.58</v>
      </c>
      <c r="CQ34" s="28">
        <v>1.55</v>
      </c>
      <c r="CR34" s="28">
        <v>1.56</v>
      </c>
      <c r="CS34" s="28">
        <v>1.54</v>
      </c>
      <c r="CT34" s="28">
        <v>1.57</v>
      </c>
      <c r="CU34" s="28">
        <v>1.56</v>
      </c>
      <c r="CV34" s="28">
        <v>1.56</v>
      </c>
      <c r="CW34" s="28">
        <v>1.59</v>
      </c>
      <c r="CX34" s="28">
        <v>1.57</v>
      </c>
      <c r="CY34" s="28">
        <v>1.6</v>
      </c>
      <c r="CZ34" s="28">
        <v>1.58</v>
      </c>
      <c r="DA34" s="28">
        <v>1.59</v>
      </c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</row>
    <row r="35" spans="1:127" ht="15.75" customHeight="1">
      <c r="A35" s="64" t="s">
        <v>283</v>
      </c>
      <c r="B35" s="28">
        <v>99.7</v>
      </c>
      <c r="C35" s="28">
        <v>99.09</v>
      </c>
      <c r="D35" s="28">
        <v>99.09</v>
      </c>
      <c r="E35" s="28">
        <v>99.39</v>
      </c>
      <c r="F35" s="28">
        <v>99.7</v>
      </c>
      <c r="G35" s="28">
        <v>100</v>
      </c>
      <c r="H35" s="28">
        <v>99.7</v>
      </c>
      <c r="I35" s="28">
        <v>99.7</v>
      </c>
      <c r="J35" s="28">
        <v>99.39</v>
      </c>
      <c r="K35" s="28">
        <v>99.09</v>
      </c>
      <c r="L35" s="28">
        <v>99.39</v>
      </c>
      <c r="M35" s="28">
        <v>99.7</v>
      </c>
      <c r="N35" s="28">
        <v>99.39</v>
      </c>
      <c r="O35" s="28">
        <v>99.39</v>
      </c>
      <c r="P35" s="28">
        <v>99.7</v>
      </c>
      <c r="Q35" s="28">
        <v>98.79</v>
      </c>
      <c r="R35" s="28">
        <v>99.09</v>
      </c>
      <c r="S35" s="28">
        <v>99.39</v>
      </c>
      <c r="T35" s="28">
        <v>97.88</v>
      </c>
      <c r="U35" s="28">
        <v>99.7</v>
      </c>
      <c r="V35" s="28">
        <v>99.39</v>
      </c>
      <c r="W35" s="28">
        <v>99.7</v>
      </c>
      <c r="X35" s="28">
        <v>99.39</v>
      </c>
      <c r="Y35" s="28">
        <v>100</v>
      </c>
      <c r="Z35" s="28">
        <v>99.7</v>
      </c>
      <c r="AA35" s="28">
        <v>99.7</v>
      </c>
      <c r="AB35" s="28">
        <v>99.39</v>
      </c>
      <c r="AC35" s="28">
        <v>100</v>
      </c>
      <c r="AD35" s="28">
        <v>99.09</v>
      </c>
      <c r="AE35" s="28">
        <v>99.09</v>
      </c>
      <c r="AF35" s="28">
        <v>100</v>
      </c>
      <c r="AG35" s="28">
        <v>99.7</v>
      </c>
      <c r="AH35" s="28">
        <v>99.7</v>
      </c>
      <c r="AI35" s="28">
        <v>99.09</v>
      </c>
      <c r="AJ35" s="28">
        <v>99.39</v>
      </c>
      <c r="AK35" s="28">
        <v>99.39</v>
      </c>
      <c r="AL35" s="28">
        <v>99.39</v>
      </c>
      <c r="AM35" s="28">
        <v>99.7</v>
      </c>
      <c r="AN35" s="28">
        <v>99.7</v>
      </c>
      <c r="AO35" s="28">
        <v>100</v>
      </c>
      <c r="AP35" s="28">
        <v>100</v>
      </c>
      <c r="AQ35" s="28">
        <v>99.7</v>
      </c>
      <c r="AR35" s="28">
        <v>100</v>
      </c>
      <c r="AS35" s="28">
        <v>99.39</v>
      </c>
      <c r="AT35" s="28">
        <v>99.7</v>
      </c>
      <c r="AU35" s="28">
        <v>99.39</v>
      </c>
      <c r="AV35" s="28">
        <v>99.7</v>
      </c>
      <c r="AW35" s="28">
        <v>98.48</v>
      </c>
      <c r="AX35" s="28">
        <v>99.39</v>
      </c>
      <c r="AY35" s="28">
        <v>99.09</v>
      </c>
      <c r="AZ35" s="28">
        <v>100</v>
      </c>
      <c r="BA35" s="28">
        <v>100</v>
      </c>
      <c r="BB35" s="28">
        <v>99.39</v>
      </c>
      <c r="BC35" s="28">
        <v>100</v>
      </c>
      <c r="BD35" s="28">
        <v>99.09</v>
      </c>
      <c r="BE35" s="28">
        <v>99.7</v>
      </c>
      <c r="BF35" s="28">
        <v>99.7</v>
      </c>
      <c r="BG35" s="28">
        <v>99.39</v>
      </c>
      <c r="BH35" s="28">
        <v>99.7</v>
      </c>
      <c r="BI35" s="28">
        <v>99.09</v>
      </c>
      <c r="BJ35" s="28">
        <v>98.78</v>
      </c>
      <c r="BK35" s="28">
        <v>99.09</v>
      </c>
      <c r="BL35" s="28">
        <v>100</v>
      </c>
      <c r="BM35" s="28">
        <v>99.39</v>
      </c>
      <c r="BN35" s="28">
        <v>99.09</v>
      </c>
      <c r="BO35" s="28">
        <v>100</v>
      </c>
      <c r="BP35" s="28">
        <v>98.78</v>
      </c>
      <c r="BQ35" s="28">
        <v>99.09</v>
      </c>
      <c r="BR35" s="28">
        <v>99.7</v>
      </c>
      <c r="BS35" s="28">
        <v>99.7</v>
      </c>
      <c r="BT35" s="28">
        <v>99.09</v>
      </c>
      <c r="BU35" s="28">
        <v>100</v>
      </c>
      <c r="BV35" s="28">
        <v>99.7</v>
      </c>
      <c r="BW35" s="28">
        <v>100</v>
      </c>
      <c r="BX35" s="28">
        <v>99.39</v>
      </c>
      <c r="BY35" s="28">
        <v>99.7</v>
      </c>
      <c r="BZ35" s="28">
        <v>98.48</v>
      </c>
      <c r="CA35" s="28">
        <v>99.39</v>
      </c>
      <c r="CB35" s="28">
        <v>100</v>
      </c>
      <c r="CC35" s="28">
        <v>99.39</v>
      </c>
      <c r="CD35" s="28">
        <v>99.09</v>
      </c>
      <c r="CE35" s="28">
        <v>99.7</v>
      </c>
      <c r="CF35" s="28">
        <v>99.7</v>
      </c>
      <c r="CG35" s="28">
        <v>99.7</v>
      </c>
      <c r="CH35" s="28">
        <v>99.09</v>
      </c>
      <c r="CI35" s="28">
        <v>100</v>
      </c>
      <c r="CJ35" s="28">
        <v>99.39</v>
      </c>
      <c r="CK35" s="28">
        <v>98.79</v>
      </c>
      <c r="CL35" s="28">
        <v>99.09</v>
      </c>
      <c r="CM35" s="28">
        <v>99.7</v>
      </c>
      <c r="CN35" s="28">
        <v>100</v>
      </c>
      <c r="CO35" s="28">
        <v>99.7</v>
      </c>
      <c r="CP35" s="28">
        <v>99.7</v>
      </c>
      <c r="CQ35" s="28">
        <v>98.79</v>
      </c>
      <c r="CR35" s="28">
        <v>99.7</v>
      </c>
      <c r="CS35" s="28">
        <v>99.7</v>
      </c>
      <c r="CT35" s="28">
        <v>99.7</v>
      </c>
      <c r="CU35" s="28">
        <v>99.09</v>
      </c>
      <c r="CV35" s="28">
        <v>99.39</v>
      </c>
      <c r="CW35" s="28">
        <v>98.79</v>
      </c>
      <c r="CX35" s="28">
        <v>99.09</v>
      </c>
      <c r="CY35" s="28">
        <v>99.39</v>
      </c>
      <c r="CZ35" s="28">
        <v>99.7</v>
      </c>
      <c r="DA35" s="28">
        <v>98.48</v>
      </c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</row>
    <row r="36" spans="1:127" ht="15.75" customHeight="1">
      <c r="A36" s="64" t="s">
        <v>284</v>
      </c>
      <c r="B36" s="28">
        <v>0.3</v>
      </c>
      <c r="C36" s="28">
        <v>0.91</v>
      </c>
      <c r="D36" s="28">
        <v>0.91</v>
      </c>
      <c r="E36" s="28">
        <v>0.61</v>
      </c>
      <c r="F36" s="28">
        <v>0.3</v>
      </c>
      <c r="G36" s="28">
        <v>0</v>
      </c>
      <c r="H36" s="28">
        <v>0.3</v>
      </c>
      <c r="I36" s="28">
        <v>0.3</v>
      </c>
      <c r="J36" s="28">
        <v>0.61</v>
      </c>
      <c r="K36" s="28">
        <v>0.91</v>
      </c>
      <c r="L36" s="28">
        <v>0.61</v>
      </c>
      <c r="M36" s="28">
        <v>0.3</v>
      </c>
      <c r="N36" s="28">
        <v>0.61</v>
      </c>
      <c r="O36" s="28">
        <v>0.61</v>
      </c>
      <c r="P36" s="28">
        <v>0.3</v>
      </c>
      <c r="Q36" s="28">
        <v>1.21</v>
      </c>
      <c r="R36" s="28">
        <v>0.91</v>
      </c>
      <c r="S36" s="28">
        <v>0.61</v>
      </c>
      <c r="T36" s="28">
        <v>2.12</v>
      </c>
      <c r="U36" s="28">
        <v>0.3</v>
      </c>
      <c r="V36" s="28">
        <v>0.61</v>
      </c>
      <c r="W36" s="28">
        <v>0.3</v>
      </c>
      <c r="X36" s="28">
        <v>0.61</v>
      </c>
      <c r="Y36" s="28">
        <v>0</v>
      </c>
      <c r="Z36" s="28">
        <v>0.3</v>
      </c>
      <c r="AA36" s="28">
        <v>0.3</v>
      </c>
      <c r="AB36" s="28">
        <v>0.61</v>
      </c>
      <c r="AC36" s="28">
        <v>0</v>
      </c>
      <c r="AD36" s="28">
        <v>0.91</v>
      </c>
      <c r="AE36" s="28">
        <v>0.91</v>
      </c>
      <c r="AF36" s="28">
        <v>0</v>
      </c>
      <c r="AG36" s="28">
        <v>0.3</v>
      </c>
      <c r="AH36" s="28">
        <v>0.3</v>
      </c>
      <c r="AI36" s="28">
        <v>0.91</v>
      </c>
      <c r="AJ36" s="28">
        <v>0.61</v>
      </c>
      <c r="AK36" s="28">
        <v>0.61</v>
      </c>
      <c r="AL36" s="28">
        <v>0.61</v>
      </c>
      <c r="AM36" s="28">
        <v>0.3</v>
      </c>
      <c r="AN36" s="28">
        <v>0.3</v>
      </c>
      <c r="AO36" s="28">
        <v>0</v>
      </c>
      <c r="AP36" s="28">
        <v>0</v>
      </c>
      <c r="AQ36" s="28">
        <v>0.3</v>
      </c>
      <c r="AR36" s="28">
        <v>0</v>
      </c>
      <c r="AS36" s="28">
        <v>0.61</v>
      </c>
      <c r="AT36" s="28">
        <v>0.3</v>
      </c>
      <c r="AU36" s="28">
        <v>0.61</v>
      </c>
      <c r="AV36" s="28">
        <v>0.3</v>
      </c>
      <c r="AW36" s="28">
        <v>1.52</v>
      </c>
      <c r="AX36" s="28">
        <v>0.61</v>
      </c>
      <c r="AY36" s="28">
        <v>0.91</v>
      </c>
      <c r="AZ36" s="28">
        <v>0</v>
      </c>
      <c r="BA36" s="28">
        <v>0</v>
      </c>
      <c r="BB36" s="28">
        <v>0.61</v>
      </c>
      <c r="BC36" s="28">
        <v>0</v>
      </c>
      <c r="BD36" s="28">
        <v>0.91</v>
      </c>
      <c r="BE36" s="28">
        <v>0.3</v>
      </c>
      <c r="BF36" s="28">
        <v>0.3</v>
      </c>
      <c r="BG36" s="28">
        <v>0.61</v>
      </c>
      <c r="BH36" s="28">
        <v>0.3</v>
      </c>
      <c r="BI36" s="28">
        <v>0.91</v>
      </c>
      <c r="BJ36" s="28">
        <v>0.91</v>
      </c>
      <c r="BK36" s="28">
        <v>0.91</v>
      </c>
      <c r="BL36" s="28">
        <v>0</v>
      </c>
      <c r="BM36" s="28">
        <v>0.61</v>
      </c>
      <c r="BN36" s="28">
        <v>0.91</v>
      </c>
      <c r="BO36" s="28">
        <v>0</v>
      </c>
      <c r="BP36" s="28">
        <v>1.22</v>
      </c>
      <c r="BQ36" s="28">
        <v>0.91</v>
      </c>
      <c r="BR36" s="28">
        <v>0.3</v>
      </c>
      <c r="BS36" s="28">
        <v>0.3</v>
      </c>
      <c r="BT36" s="28">
        <v>0.91</v>
      </c>
      <c r="BU36" s="28">
        <v>0</v>
      </c>
      <c r="BV36" s="28">
        <v>0.3</v>
      </c>
      <c r="BW36" s="28">
        <v>0</v>
      </c>
      <c r="BX36" s="28">
        <v>0.61</v>
      </c>
      <c r="BY36" s="28">
        <v>0.3</v>
      </c>
      <c r="BZ36" s="28">
        <v>1.52</v>
      </c>
      <c r="CA36" s="28">
        <v>0.61</v>
      </c>
      <c r="CB36" s="28">
        <v>0</v>
      </c>
      <c r="CC36" s="28">
        <v>0.61</v>
      </c>
      <c r="CD36" s="28">
        <v>0.91</v>
      </c>
      <c r="CE36" s="28">
        <v>0.3</v>
      </c>
      <c r="CF36" s="28">
        <v>0.3</v>
      </c>
      <c r="CG36" s="28">
        <v>0.3</v>
      </c>
      <c r="CH36" s="28">
        <v>0.91</v>
      </c>
      <c r="CI36" s="28">
        <v>0</v>
      </c>
      <c r="CJ36" s="28">
        <v>0.61</v>
      </c>
      <c r="CK36" s="28">
        <v>1.21</v>
      </c>
      <c r="CL36" s="28">
        <v>0.91</v>
      </c>
      <c r="CM36" s="28">
        <v>0.3</v>
      </c>
      <c r="CN36" s="28">
        <v>0</v>
      </c>
      <c r="CO36" s="28">
        <v>0.3</v>
      </c>
      <c r="CP36" s="28">
        <v>0.3</v>
      </c>
      <c r="CQ36" s="28">
        <v>1.21</v>
      </c>
      <c r="CR36" s="28">
        <v>0.3</v>
      </c>
      <c r="CS36" s="28">
        <v>0.3</v>
      </c>
      <c r="CT36" s="28">
        <v>0</v>
      </c>
      <c r="CU36" s="28">
        <v>0.91</v>
      </c>
      <c r="CV36" s="28">
        <v>0.61</v>
      </c>
      <c r="CW36" s="28">
        <v>1.21</v>
      </c>
      <c r="CX36" s="28">
        <v>0.91</v>
      </c>
      <c r="CY36" s="28">
        <v>0.61</v>
      </c>
      <c r="CZ36" s="28">
        <v>0.3</v>
      </c>
      <c r="DA36" s="28">
        <v>1.52</v>
      </c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</row>
    <row r="37" spans="1:127" ht="15.75" customHeight="1">
      <c r="A37" s="64" t="s">
        <v>285</v>
      </c>
      <c r="B37" s="28">
        <v>0</v>
      </c>
      <c r="C37" s="28">
        <v>0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0.3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  <c r="CM37" s="28">
        <v>0</v>
      </c>
      <c r="CN37" s="28">
        <v>0</v>
      </c>
      <c r="CO37" s="28">
        <v>0</v>
      </c>
      <c r="CP37" s="28">
        <v>0</v>
      </c>
      <c r="CQ37" s="28">
        <v>0</v>
      </c>
      <c r="CR37" s="28">
        <v>0</v>
      </c>
      <c r="CS37" s="28">
        <v>0</v>
      </c>
      <c r="CT37" s="28">
        <v>0.3</v>
      </c>
      <c r="CU37" s="28">
        <v>0</v>
      </c>
      <c r="CV37" s="28">
        <v>0</v>
      </c>
      <c r="CW37" s="28">
        <v>0</v>
      </c>
      <c r="CX37" s="28">
        <v>0</v>
      </c>
      <c r="CY37" s="28">
        <v>0</v>
      </c>
      <c r="CZ37" s="28">
        <v>0</v>
      </c>
      <c r="DA37" s="28">
        <v>0</v>
      </c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</row>
    <row r="38" spans="1:127" ht="15.75" customHeight="1">
      <c r="A38" s="64" t="s">
        <v>286</v>
      </c>
      <c r="B38" s="28">
        <v>0.7</v>
      </c>
      <c r="C38" s="28">
        <v>1.74</v>
      </c>
      <c r="D38" s="28">
        <v>1.04</v>
      </c>
      <c r="E38" s="28">
        <v>1.39</v>
      </c>
      <c r="F38" s="28">
        <v>1.04</v>
      </c>
      <c r="G38" s="28">
        <v>1.38</v>
      </c>
      <c r="H38" s="28">
        <v>1.72</v>
      </c>
      <c r="I38" s="28">
        <v>0.69</v>
      </c>
      <c r="J38" s="28">
        <v>1.04</v>
      </c>
      <c r="K38" s="28">
        <v>1.38</v>
      </c>
      <c r="L38" s="28">
        <v>1.39</v>
      </c>
      <c r="M38" s="28">
        <v>1.73</v>
      </c>
      <c r="N38" s="28">
        <v>1.04</v>
      </c>
      <c r="O38" s="28">
        <v>1.73</v>
      </c>
      <c r="P38" s="28">
        <v>1.38</v>
      </c>
      <c r="Q38" s="28">
        <v>1.39</v>
      </c>
      <c r="R38" s="28">
        <v>1.38</v>
      </c>
      <c r="S38" s="28">
        <v>1.04</v>
      </c>
      <c r="T38" s="28">
        <v>1.72</v>
      </c>
      <c r="U38" s="28">
        <v>1.38</v>
      </c>
      <c r="V38" s="28">
        <v>1.72</v>
      </c>
      <c r="W38" s="28">
        <v>1.72</v>
      </c>
      <c r="X38" s="28">
        <v>1.39</v>
      </c>
      <c r="Y38" s="28">
        <v>1.38</v>
      </c>
      <c r="Z38" s="28">
        <v>0.7</v>
      </c>
      <c r="AA38" s="28">
        <v>1.06</v>
      </c>
      <c r="AB38" s="28">
        <v>1.05</v>
      </c>
      <c r="AC38" s="28">
        <v>0.35</v>
      </c>
      <c r="AD38" s="28">
        <v>1.41</v>
      </c>
      <c r="AE38" s="28">
        <v>1.4</v>
      </c>
      <c r="AF38" s="28">
        <v>0.35</v>
      </c>
      <c r="AG38" s="28">
        <v>1.41</v>
      </c>
      <c r="AH38" s="28">
        <v>1.4</v>
      </c>
      <c r="AI38" s="28">
        <v>0.7</v>
      </c>
      <c r="AJ38" s="28">
        <v>1.4</v>
      </c>
      <c r="AK38" s="28">
        <v>0.7</v>
      </c>
      <c r="AL38" s="28">
        <v>0.7</v>
      </c>
      <c r="AM38" s="28">
        <v>1.75</v>
      </c>
      <c r="AN38" s="28">
        <v>1.05</v>
      </c>
      <c r="AO38" s="28">
        <v>0.7</v>
      </c>
      <c r="AP38" s="28">
        <v>1.04</v>
      </c>
      <c r="AQ38" s="28">
        <v>0</v>
      </c>
      <c r="AR38" s="28">
        <v>2.11</v>
      </c>
      <c r="AS38" s="28">
        <v>0.7</v>
      </c>
      <c r="AT38" s="28">
        <v>0.35</v>
      </c>
      <c r="AU38" s="28">
        <v>1.39</v>
      </c>
      <c r="AV38" s="28">
        <v>1.75</v>
      </c>
      <c r="AW38" s="28">
        <v>1.05</v>
      </c>
      <c r="AX38" s="28">
        <v>1.05</v>
      </c>
      <c r="AY38" s="28">
        <v>0.7</v>
      </c>
      <c r="AZ38" s="28">
        <v>0.35</v>
      </c>
      <c r="BA38" s="28">
        <v>0.7</v>
      </c>
      <c r="BB38" s="28">
        <v>0.7</v>
      </c>
      <c r="BC38" s="28">
        <v>0.35</v>
      </c>
      <c r="BD38" s="28">
        <v>0.69</v>
      </c>
      <c r="BE38" s="28">
        <v>0.7</v>
      </c>
      <c r="BF38" s="28">
        <v>0.35</v>
      </c>
      <c r="BG38" s="28">
        <v>1.39</v>
      </c>
      <c r="BH38" s="28">
        <v>1.39</v>
      </c>
      <c r="BI38" s="28">
        <v>2.46</v>
      </c>
      <c r="BJ38" s="28">
        <v>2.48</v>
      </c>
      <c r="BK38" s="28">
        <v>0.7</v>
      </c>
      <c r="BL38" s="28">
        <v>0.7</v>
      </c>
      <c r="BM38" s="28">
        <v>1.05</v>
      </c>
      <c r="BN38" s="28">
        <v>1.75</v>
      </c>
      <c r="BO38" s="28">
        <v>1.74</v>
      </c>
      <c r="BP38" s="28">
        <v>0.35</v>
      </c>
      <c r="BQ38" s="28">
        <v>1.39</v>
      </c>
      <c r="BR38" s="28">
        <v>1.74</v>
      </c>
      <c r="BS38" s="28">
        <v>1.4</v>
      </c>
      <c r="BT38" s="28">
        <v>1.74</v>
      </c>
      <c r="BU38" s="28">
        <v>0.7</v>
      </c>
      <c r="BV38" s="28">
        <v>0.7</v>
      </c>
      <c r="BW38" s="28">
        <v>0.35</v>
      </c>
      <c r="BX38" s="28">
        <v>0</v>
      </c>
      <c r="BY38" s="28">
        <v>1.04</v>
      </c>
      <c r="BZ38" s="28">
        <v>1.39</v>
      </c>
      <c r="CA38" s="28">
        <v>1.39</v>
      </c>
      <c r="CB38" s="28">
        <v>1.05</v>
      </c>
      <c r="CC38" s="28">
        <v>1.05</v>
      </c>
      <c r="CD38" s="28">
        <v>0.35</v>
      </c>
      <c r="CE38" s="28">
        <v>1.39</v>
      </c>
      <c r="CF38" s="28">
        <v>0.69</v>
      </c>
      <c r="CG38" s="28">
        <v>1.39</v>
      </c>
      <c r="CH38" s="28">
        <v>2.4500000000000002</v>
      </c>
      <c r="CI38" s="28">
        <v>0.7</v>
      </c>
      <c r="CJ38" s="28">
        <v>0.7</v>
      </c>
      <c r="CK38" s="28">
        <v>0.7</v>
      </c>
      <c r="CL38" s="28">
        <v>1.05</v>
      </c>
      <c r="CM38" s="28">
        <v>1.74</v>
      </c>
      <c r="CN38" s="28">
        <v>1.05</v>
      </c>
      <c r="CO38" s="28">
        <v>1.05</v>
      </c>
      <c r="CP38" s="28">
        <v>1.4</v>
      </c>
      <c r="CQ38" s="28">
        <v>0.35</v>
      </c>
      <c r="CR38" s="28">
        <v>0.35</v>
      </c>
      <c r="CS38" s="28">
        <v>0.69</v>
      </c>
      <c r="CT38" s="28">
        <v>1.4</v>
      </c>
      <c r="CU38" s="28">
        <v>0.7</v>
      </c>
      <c r="CV38" s="28">
        <v>1.05</v>
      </c>
      <c r="CW38" s="28">
        <v>1.06</v>
      </c>
      <c r="CX38" s="28">
        <v>1.05</v>
      </c>
      <c r="CY38" s="28">
        <v>0.7</v>
      </c>
      <c r="CZ38" s="28">
        <v>1.05</v>
      </c>
      <c r="DA38" s="28">
        <v>1.05</v>
      </c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</row>
    <row r="39" spans="1:127" ht="15.75" customHeight="1">
      <c r="A39" s="64" t="s">
        <v>287</v>
      </c>
      <c r="B39" s="28">
        <v>3.83</v>
      </c>
      <c r="C39" s="28">
        <v>2.67</v>
      </c>
      <c r="D39" s="28">
        <v>1.52</v>
      </c>
      <c r="E39" s="28">
        <v>1.72</v>
      </c>
      <c r="F39" s="28">
        <v>1.1399999999999999</v>
      </c>
      <c r="G39" s="28">
        <v>2.2799999999999998</v>
      </c>
      <c r="H39" s="28">
        <v>2.09</v>
      </c>
      <c r="I39" s="28">
        <v>1.1399999999999999</v>
      </c>
      <c r="J39" s="28">
        <v>1.71</v>
      </c>
      <c r="K39" s="28">
        <v>2.85</v>
      </c>
      <c r="L39" s="28">
        <v>1.53</v>
      </c>
      <c r="M39" s="28">
        <v>2.2799999999999998</v>
      </c>
      <c r="N39" s="28">
        <v>1.53</v>
      </c>
      <c r="O39" s="28">
        <v>2.1</v>
      </c>
      <c r="P39" s="28">
        <v>1.9</v>
      </c>
      <c r="Q39" s="28">
        <v>1.92</v>
      </c>
      <c r="R39" s="28">
        <v>1.52</v>
      </c>
      <c r="S39" s="28">
        <v>1.72</v>
      </c>
      <c r="T39" s="28">
        <v>0.76</v>
      </c>
      <c r="U39" s="28">
        <v>2.2799999999999998</v>
      </c>
      <c r="V39" s="28">
        <v>1.71</v>
      </c>
      <c r="W39" s="28">
        <v>2.2799999999999998</v>
      </c>
      <c r="X39" s="28">
        <v>2.29</v>
      </c>
      <c r="Y39" s="28">
        <v>1.71</v>
      </c>
      <c r="Z39" s="28">
        <v>1.1599999999999999</v>
      </c>
      <c r="AA39" s="28">
        <v>1.74</v>
      </c>
      <c r="AB39" s="28">
        <v>1.34</v>
      </c>
      <c r="AC39" s="28">
        <v>1.73</v>
      </c>
      <c r="AD39" s="28">
        <v>1.1599999999999999</v>
      </c>
      <c r="AE39" s="28">
        <v>1.35</v>
      </c>
      <c r="AF39" s="28">
        <v>0.96</v>
      </c>
      <c r="AG39" s="28">
        <v>0.77</v>
      </c>
      <c r="AH39" s="28">
        <v>1.72</v>
      </c>
      <c r="AI39" s="28">
        <v>1.1499999999999999</v>
      </c>
      <c r="AJ39" s="28">
        <v>1.73</v>
      </c>
      <c r="AK39" s="28">
        <v>1.53</v>
      </c>
      <c r="AL39" s="28">
        <v>1.54</v>
      </c>
      <c r="AM39" s="28">
        <v>1.92</v>
      </c>
      <c r="AN39" s="28">
        <v>2.31</v>
      </c>
      <c r="AO39" s="28">
        <v>0.96</v>
      </c>
      <c r="AP39" s="28">
        <v>2.66</v>
      </c>
      <c r="AQ39" s="28">
        <v>1.34</v>
      </c>
      <c r="AR39" s="28">
        <v>0.96</v>
      </c>
      <c r="AS39" s="28">
        <v>1.73</v>
      </c>
      <c r="AT39" s="28">
        <v>1.55</v>
      </c>
      <c r="AU39" s="28">
        <v>1.91</v>
      </c>
      <c r="AV39" s="28">
        <v>2.11</v>
      </c>
      <c r="AW39" s="28">
        <v>1.53</v>
      </c>
      <c r="AX39" s="28">
        <v>1.92</v>
      </c>
      <c r="AY39" s="28">
        <v>3.07</v>
      </c>
      <c r="AZ39" s="28">
        <v>1.54</v>
      </c>
      <c r="BA39" s="28">
        <v>0.39</v>
      </c>
      <c r="BB39" s="28">
        <v>1.72</v>
      </c>
      <c r="BC39" s="28">
        <v>1.33</v>
      </c>
      <c r="BD39" s="28">
        <v>2.29</v>
      </c>
      <c r="BE39" s="28">
        <v>2.87</v>
      </c>
      <c r="BF39" s="28">
        <v>2.29</v>
      </c>
      <c r="BG39" s="28">
        <v>1.91</v>
      </c>
      <c r="BH39" s="28">
        <v>1.53</v>
      </c>
      <c r="BI39" s="28">
        <v>2.4900000000000002</v>
      </c>
      <c r="BJ39" s="28">
        <v>2.52</v>
      </c>
      <c r="BK39" s="28">
        <v>1.92</v>
      </c>
      <c r="BL39" s="28">
        <v>1.53</v>
      </c>
      <c r="BM39" s="28">
        <v>1.53</v>
      </c>
      <c r="BN39" s="28">
        <v>1.1499999999999999</v>
      </c>
      <c r="BO39" s="28">
        <v>1.73</v>
      </c>
      <c r="BP39" s="28">
        <v>0.97</v>
      </c>
      <c r="BQ39" s="28">
        <v>1.53</v>
      </c>
      <c r="BR39" s="28">
        <v>1.1499999999999999</v>
      </c>
      <c r="BS39" s="28">
        <v>1.35</v>
      </c>
      <c r="BT39" s="28">
        <v>0.96</v>
      </c>
      <c r="BU39" s="28">
        <v>2.68</v>
      </c>
      <c r="BV39" s="28">
        <v>1.1499999999999999</v>
      </c>
      <c r="BW39" s="28">
        <v>1.53</v>
      </c>
      <c r="BX39" s="28">
        <v>0.96</v>
      </c>
      <c r="BY39" s="28">
        <v>2.29</v>
      </c>
      <c r="BZ39" s="28">
        <v>1.52</v>
      </c>
      <c r="CA39" s="28">
        <v>1.34</v>
      </c>
      <c r="CB39" s="28">
        <v>1.53</v>
      </c>
      <c r="CC39" s="28">
        <v>1.53</v>
      </c>
      <c r="CD39" s="28">
        <v>1.1499999999999999</v>
      </c>
      <c r="CE39" s="28">
        <v>0.96</v>
      </c>
      <c r="CF39" s="28">
        <v>1.72</v>
      </c>
      <c r="CG39" s="28">
        <v>1.92</v>
      </c>
      <c r="CH39" s="28">
        <v>1.35</v>
      </c>
      <c r="CI39" s="28">
        <v>1.92</v>
      </c>
      <c r="CJ39" s="28">
        <v>1.1499999999999999</v>
      </c>
      <c r="CK39" s="28">
        <v>1.73</v>
      </c>
      <c r="CL39" s="28">
        <v>1.73</v>
      </c>
      <c r="CM39" s="28">
        <v>1.34</v>
      </c>
      <c r="CN39" s="28">
        <v>1.34</v>
      </c>
      <c r="CO39" s="28">
        <v>2.1</v>
      </c>
      <c r="CP39" s="28">
        <v>2.11</v>
      </c>
      <c r="CQ39" s="28">
        <v>0.95</v>
      </c>
      <c r="CR39" s="28">
        <v>2.11</v>
      </c>
      <c r="CS39" s="28">
        <v>1.51</v>
      </c>
      <c r="CT39" s="28">
        <v>0.96</v>
      </c>
      <c r="CU39" s="28">
        <v>1.71</v>
      </c>
      <c r="CV39" s="28">
        <v>2.12</v>
      </c>
      <c r="CW39" s="28">
        <v>1.93</v>
      </c>
      <c r="CX39" s="28">
        <v>1.35</v>
      </c>
      <c r="CY39" s="28">
        <v>1.92</v>
      </c>
      <c r="CZ39" s="28">
        <v>1.92</v>
      </c>
      <c r="DA39" s="28">
        <v>1.1499999999999999</v>
      </c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</row>
    <row r="40" spans="1:127" ht="15.75" customHeight="1">
      <c r="A40" s="64" t="s">
        <v>288</v>
      </c>
      <c r="B40" s="28">
        <v>20.85</v>
      </c>
      <c r="C40" s="28">
        <v>18.75</v>
      </c>
      <c r="D40" s="28">
        <v>20.8</v>
      </c>
      <c r="E40" s="28">
        <v>21.93</v>
      </c>
      <c r="F40" s="28">
        <v>18.77</v>
      </c>
      <c r="G40" s="28">
        <v>18.39</v>
      </c>
      <c r="H40" s="28">
        <v>19.32</v>
      </c>
      <c r="I40" s="28">
        <v>19.7</v>
      </c>
      <c r="J40" s="28">
        <v>21.39</v>
      </c>
      <c r="K40" s="28">
        <v>20.29</v>
      </c>
      <c r="L40" s="28">
        <v>19.25</v>
      </c>
      <c r="M40" s="28">
        <v>17.54</v>
      </c>
      <c r="N40" s="28">
        <v>19.760000000000002</v>
      </c>
      <c r="O40" s="28">
        <v>18.63</v>
      </c>
      <c r="P40" s="28">
        <v>18.54</v>
      </c>
      <c r="Q40" s="28">
        <v>21.68</v>
      </c>
      <c r="R40" s="28">
        <v>22.93</v>
      </c>
      <c r="S40" s="28">
        <v>20.79</v>
      </c>
      <c r="T40" s="28">
        <v>20.78</v>
      </c>
      <c r="U40" s="28">
        <v>20.63</v>
      </c>
      <c r="V40" s="28">
        <v>22.39</v>
      </c>
      <c r="W40" s="28">
        <v>20.100000000000001</v>
      </c>
      <c r="X40" s="28">
        <v>18.66</v>
      </c>
      <c r="Y40" s="28">
        <v>18.16</v>
      </c>
      <c r="Z40" s="28">
        <v>20.399999999999999</v>
      </c>
      <c r="AA40" s="28">
        <v>21.7</v>
      </c>
      <c r="AB40" s="28">
        <v>22.84</v>
      </c>
      <c r="AC40" s="28">
        <v>24.27</v>
      </c>
      <c r="AD40" s="28">
        <v>20.53</v>
      </c>
      <c r="AE40" s="28">
        <v>20.91</v>
      </c>
      <c r="AF40" s="28">
        <v>19.89</v>
      </c>
      <c r="AG40" s="28">
        <v>20.77</v>
      </c>
      <c r="AH40" s="28">
        <v>19.47</v>
      </c>
      <c r="AI40" s="28">
        <v>19.8</v>
      </c>
      <c r="AJ40" s="28">
        <v>19.690000000000001</v>
      </c>
      <c r="AK40" s="28">
        <v>20.78</v>
      </c>
      <c r="AL40" s="28">
        <v>19</v>
      </c>
      <c r="AM40" s="28">
        <v>21.32</v>
      </c>
      <c r="AN40" s="28">
        <v>20.12</v>
      </c>
      <c r="AO40" s="28">
        <v>17.829999999999998</v>
      </c>
      <c r="AP40" s="28">
        <v>22.09</v>
      </c>
      <c r="AQ40" s="28">
        <v>19.489999999999998</v>
      </c>
      <c r="AR40" s="28">
        <v>20.309999999999999</v>
      </c>
      <c r="AS40" s="28">
        <v>20.5</v>
      </c>
      <c r="AT40" s="28">
        <v>20.69</v>
      </c>
      <c r="AU40" s="28">
        <v>19.88</v>
      </c>
      <c r="AV40" s="28">
        <v>18.829999999999998</v>
      </c>
      <c r="AW40" s="28">
        <v>22.32</v>
      </c>
      <c r="AX40" s="28">
        <v>24.88</v>
      </c>
      <c r="AY40" s="28">
        <v>17.57</v>
      </c>
      <c r="AZ40" s="28">
        <v>21.62</v>
      </c>
      <c r="BA40" s="28">
        <v>19.79</v>
      </c>
      <c r="BB40" s="28">
        <v>21.81</v>
      </c>
      <c r="BC40" s="28">
        <v>21.69</v>
      </c>
      <c r="BD40" s="28">
        <v>22.65</v>
      </c>
      <c r="BE40" s="28">
        <v>22.29</v>
      </c>
      <c r="BF40" s="28">
        <v>21.69</v>
      </c>
      <c r="BG40" s="28">
        <v>23.27</v>
      </c>
      <c r="BH40" s="28">
        <v>20.18</v>
      </c>
      <c r="BI40" s="28">
        <v>23.66</v>
      </c>
      <c r="BJ40" s="28">
        <v>22.34</v>
      </c>
      <c r="BK40" s="28">
        <v>21.37</v>
      </c>
      <c r="BL40" s="28">
        <v>21.37</v>
      </c>
      <c r="BM40" s="28">
        <v>20.54</v>
      </c>
      <c r="BN40" s="28">
        <v>21.6</v>
      </c>
      <c r="BO40" s="28">
        <v>20.350000000000001</v>
      </c>
      <c r="BP40" s="28">
        <v>18.309999999999999</v>
      </c>
      <c r="BQ40" s="28">
        <v>19.260000000000002</v>
      </c>
      <c r="BR40" s="28">
        <v>19.09</v>
      </c>
      <c r="BS40" s="28">
        <v>21.83</v>
      </c>
      <c r="BT40" s="28">
        <v>20.14</v>
      </c>
      <c r="BU40" s="28">
        <v>20.59</v>
      </c>
      <c r="BV40" s="28">
        <v>19.63</v>
      </c>
      <c r="BW40" s="28">
        <v>19.920000000000002</v>
      </c>
      <c r="BX40" s="28">
        <v>18.22</v>
      </c>
      <c r="BY40" s="28">
        <v>18.07</v>
      </c>
      <c r="BZ40" s="28">
        <v>17.03</v>
      </c>
      <c r="CA40" s="28">
        <v>18.059999999999999</v>
      </c>
      <c r="CB40" s="28">
        <v>18.25</v>
      </c>
      <c r="CC40" s="28">
        <v>15.04</v>
      </c>
      <c r="CD40" s="28">
        <v>20.260000000000002</v>
      </c>
      <c r="CE40" s="28">
        <v>17.809999999999999</v>
      </c>
      <c r="CF40" s="28">
        <v>16.27</v>
      </c>
      <c r="CG40" s="28">
        <v>22.05</v>
      </c>
      <c r="CH40" s="28">
        <v>21.64</v>
      </c>
      <c r="CI40" s="28">
        <v>19.29</v>
      </c>
      <c r="CJ40" s="28">
        <v>20.75</v>
      </c>
      <c r="CK40" s="28">
        <v>17.600000000000001</v>
      </c>
      <c r="CL40" s="28">
        <v>21.13</v>
      </c>
      <c r="CM40" s="28">
        <v>21.38</v>
      </c>
      <c r="CN40" s="28">
        <v>19.86</v>
      </c>
      <c r="CO40" s="28">
        <v>18.95</v>
      </c>
      <c r="CP40" s="28">
        <v>15.7</v>
      </c>
      <c r="CQ40" s="28">
        <v>16.66</v>
      </c>
      <c r="CR40" s="28">
        <v>20.12</v>
      </c>
      <c r="CS40" s="28">
        <v>16.36</v>
      </c>
      <c r="CT40" s="28">
        <v>24.01</v>
      </c>
      <c r="CU40" s="28">
        <v>17.48</v>
      </c>
      <c r="CV40" s="28">
        <v>21.57</v>
      </c>
      <c r="CW40" s="28">
        <v>22.64</v>
      </c>
      <c r="CX40" s="28">
        <v>25.76</v>
      </c>
      <c r="CY40" s="28">
        <v>22.25</v>
      </c>
      <c r="CZ40" s="28">
        <v>20.83</v>
      </c>
      <c r="DA40" s="28">
        <v>22.5</v>
      </c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</row>
    <row r="41" spans="1:127" ht="15.75" customHeight="1">
      <c r="A41" s="64" t="s">
        <v>277</v>
      </c>
      <c r="B41" s="28">
        <v>19.02</v>
      </c>
      <c r="C41" s="28">
        <v>17.420000000000002</v>
      </c>
      <c r="D41" s="28">
        <v>19.27</v>
      </c>
      <c r="E41" s="28">
        <v>20.47</v>
      </c>
      <c r="F41" s="28">
        <v>17.02</v>
      </c>
      <c r="G41" s="28">
        <v>16.66</v>
      </c>
      <c r="H41" s="28">
        <v>17.86</v>
      </c>
      <c r="I41" s="28">
        <v>18.23</v>
      </c>
      <c r="J41" s="28">
        <v>20.010000000000002</v>
      </c>
      <c r="K41" s="28">
        <v>18.75</v>
      </c>
      <c r="L41" s="28">
        <v>18.100000000000001</v>
      </c>
      <c r="M41" s="28">
        <v>15.88</v>
      </c>
      <c r="N41" s="28">
        <v>18.02</v>
      </c>
      <c r="O41" s="28">
        <v>17.37</v>
      </c>
      <c r="P41" s="28">
        <v>16.649999999999999</v>
      </c>
      <c r="Q41" s="28">
        <v>20.5</v>
      </c>
      <c r="R41" s="28">
        <v>21.71</v>
      </c>
      <c r="S41" s="28">
        <v>19.45</v>
      </c>
      <c r="T41" s="28">
        <v>19.68</v>
      </c>
      <c r="U41" s="28">
        <v>19.010000000000002</v>
      </c>
      <c r="V41" s="28">
        <v>21.65</v>
      </c>
      <c r="W41" s="28">
        <v>18.52</v>
      </c>
      <c r="X41" s="28">
        <v>17.23</v>
      </c>
      <c r="Y41" s="28">
        <v>16.670000000000002</v>
      </c>
      <c r="Z41" s="28">
        <v>18.18</v>
      </c>
      <c r="AA41" s="28">
        <v>19.48</v>
      </c>
      <c r="AB41" s="28">
        <v>19.93</v>
      </c>
      <c r="AC41" s="28">
        <v>22.31</v>
      </c>
      <c r="AD41" s="28">
        <v>18.34</v>
      </c>
      <c r="AE41" s="28">
        <v>18.77</v>
      </c>
      <c r="AF41" s="28">
        <v>17.670000000000002</v>
      </c>
      <c r="AG41" s="28">
        <v>18.07</v>
      </c>
      <c r="AH41" s="28">
        <v>17</v>
      </c>
      <c r="AI41" s="28">
        <v>17.62</v>
      </c>
      <c r="AJ41" s="28">
        <v>17.600000000000001</v>
      </c>
      <c r="AK41" s="28">
        <v>17.989999999999998</v>
      </c>
      <c r="AL41" s="28">
        <v>16.399999999999999</v>
      </c>
      <c r="AM41" s="28">
        <v>18.920000000000002</v>
      </c>
      <c r="AN41" s="28">
        <v>17.71</v>
      </c>
      <c r="AO41" s="28">
        <v>15.45</v>
      </c>
      <c r="AP41" s="28">
        <v>19.97</v>
      </c>
      <c r="AQ41" s="28">
        <v>17.100000000000001</v>
      </c>
      <c r="AR41" s="28">
        <v>18.18</v>
      </c>
      <c r="AS41" s="28">
        <v>18.46</v>
      </c>
      <c r="AT41" s="28">
        <v>18.309999999999999</v>
      </c>
      <c r="AU41" s="28">
        <v>17.8</v>
      </c>
      <c r="AV41" s="28">
        <v>16.66</v>
      </c>
      <c r="AW41" s="28">
        <v>20.3</v>
      </c>
      <c r="AX41" s="28">
        <v>23.23</v>
      </c>
      <c r="AY41" s="28">
        <v>15.4</v>
      </c>
      <c r="AZ41" s="28">
        <v>19.5</v>
      </c>
      <c r="BA41" s="28">
        <v>17.03</v>
      </c>
      <c r="BB41" s="28">
        <v>20.02</v>
      </c>
      <c r="BC41" s="28">
        <v>19.53</v>
      </c>
      <c r="BD41" s="28">
        <v>20.66</v>
      </c>
      <c r="BE41" s="28">
        <v>20.239999999999998</v>
      </c>
      <c r="BF41" s="28">
        <v>19.829999999999998</v>
      </c>
      <c r="BG41" s="28">
        <v>21.27</v>
      </c>
      <c r="BH41" s="28">
        <v>17.98</v>
      </c>
      <c r="BI41" s="28">
        <v>21.9</v>
      </c>
      <c r="BJ41" s="28">
        <v>20.77</v>
      </c>
      <c r="BK41" s="28">
        <v>19.34</v>
      </c>
      <c r="BL41" s="28">
        <v>19.32</v>
      </c>
      <c r="BM41" s="28">
        <v>18.48</v>
      </c>
      <c r="BN41" s="28">
        <v>19.59</v>
      </c>
      <c r="BO41" s="28">
        <v>18.41</v>
      </c>
      <c r="BP41" s="28">
        <v>16.18</v>
      </c>
      <c r="BQ41" s="28">
        <v>17.170000000000002</v>
      </c>
      <c r="BR41" s="28">
        <v>17</v>
      </c>
      <c r="BS41" s="28">
        <v>20.02</v>
      </c>
      <c r="BT41" s="28">
        <v>18.07</v>
      </c>
      <c r="BU41" s="28">
        <v>18.170000000000002</v>
      </c>
      <c r="BV41" s="28">
        <v>17.34</v>
      </c>
      <c r="BW41" s="28">
        <v>17.579999999999998</v>
      </c>
      <c r="BX41" s="28">
        <v>16.16</v>
      </c>
      <c r="BY41" s="28">
        <v>15.56</v>
      </c>
      <c r="BZ41" s="28">
        <v>14.81</v>
      </c>
      <c r="CA41" s="28">
        <v>15.83</v>
      </c>
      <c r="CB41" s="28">
        <v>15.93</v>
      </c>
      <c r="CC41" s="28">
        <v>12.69</v>
      </c>
      <c r="CD41" s="28">
        <v>17.78</v>
      </c>
      <c r="CE41" s="28">
        <v>15.82</v>
      </c>
      <c r="CF41" s="28">
        <v>13.8</v>
      </c>
      <c r="CG41" s="28">
        <v>20.29</v>
      </c>
      <c r="CH41" s="28">
        <v>19.690000000000001</v>
      </c>
      <c r="CI41" s="28">
        <v>17.170000000000002</v>
      </c>
      <c r="CJ41" s="28">
        <v>18.329999999999998</v>
      </c>
      <c r="CK41" s="28">
        <v>15.52</v>
      </c>
      <c r="CL41" s="28">
        <v>19.36</v>
      </c>
      <c r="CM41" s="28">
        <v>19.5</v>
      </c>
      <c r="CN41" s="28">
        <v>17.79</v>
      </c>
      <c r="CO41" s="28">
        <v>16.78</v>
      </c>
      <c r="CP41" s="28">
        <v>13.78</v>
      </c>
      <c r="CQ41" s="28">
        <v>14.38</v>
      </c>
      <c r="CR41" s="28">
        <v>18.329999999999998</v>
      </c>
      <c r="CS41" s="28">
        <v>13.95</v>
      </c>
      <c r="CT41" s="28">
        <v>22.05</v>
      </c>
      <c r="CU41" s="28">
        <v>15.05</v>
      </c>
      <c r="CV41" s="28">
        <v>19.84</v>
      </c>
      <c r="CW41" s="28">
        <v>21.37</v>
      </c>
      <c r="CX41" s="28">
        <v>24.14</v>
      </c>
      <c r="CY41" s="28">
        <v>20.12</v>
      </c>
      <c r="CZ41" s="28">
        <v>19.04</v>
      </c>
      <c r="DA41" s="28">
        <v>20.170000000000002</v>
      </c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</row>
    <row r="42" spans="1:127" ht="15.75" customHeight="1">
      <c r="A42" s="64" t="s">
        <v>278</v>
      </c>
      <c r="B42" s="28">
        <v>33.04</v>
      </c>
      <c r="C42" s="28">
        <v>39</v>
      </c>
      <c r="D42" s="28">
        <v>61.46</v>
      </c>
      <c r="E42" s="28">
        <v>39.53</v>
      </c>
      <c r="F42" s="28">
        <v>23.23</v>
      </c>
      <c r="G42" s="28">
        <v>34.67</v>
      </c>
      <c r="H42" s="28">
        <v>22.7</v>
      </c>
      <c r="I42" s="28">
        <v>23.42</v>
      </c>
      <c r="J42" s="28">
        <v>35.69</v>
      </c>
      <c r="K42" s="28">
        <v>60.98</v>
      </c>
      <c r="L42" s="28">
        <v>22.71</v>
      </c>
      <c r="M42" s="28">
        <v>21.04</v>
      </c>
      <c r="N42" s="28">
        <v>90.2</v>
      </c>
      <c r="O42" s="28">
        <v>20.84</v>
      </c>
      <c r="P42" s="28">
        <v>77.400000000000006</v>
      </c>
      <c r="Q42" s="28">
        <v>69.63</v>
      </c>
      <c r="R42" s="28">
        <v>60.07</v>
      </c>
      <c r="S42" s="28">
        <v>34.31</v>
      </c>
      <c r="T42" s="28">
        <v>27.36</v>
      </c>
      <c r="U42" s="28">
        <v>87.89</v>
      </c>
      <c r="V42" s="28">
        <v>21.87</v>
      </c>
      <c r="W42" s="28">
        <v>23.91</v>
      </c>
      <c r="X42" s="28">
        <v>23.04</v>
      </c>
      <c r="Y42" s="28">
        <v>36</v>
      </c>
      <c r="Z42" s="28">
        <v>22.1</v>
      </c>
      <c r="AA42" s="28">
        <v>24.59</v>
      </c>
      <c r="AB42" s="28">
        <v>126.07</v>
      </c>
      <c r="AC42" s="28">
        <v>33.17</v>
      </c>
      <c r="AD42" s="28">
        <v>63.66</v>
      </c>
      <c r="AE42" s="28">
        <v>26.23</v>
      </c>
      <c r="AF42" s="28">
        <v>21.47</v>
      </c>
      <c r="AG42" s="28">
        <v>100.82</v>
      </c>
      <c r="AH42" s="28">
        <v>32.090000000000003</v>
      </c>
      <c r="AI42" s="28">
        <v>18.03</v>
      </c>
      <c r="AJ42" s="28">
        <v>21.46</v>
      </c>
      <c r="AK42" s="28">
        <v>36.11</v>
      </c>
      <c r="AL42" s="28">
        <v>45.34</v>
      </c>
      <c r="AM42" s="28">
        <v>39.520000000000003</v>
      </c>
      <c r="AN42" s="28">
        <v>44.61</v>
      </c>
      <c r="AO42" s="28">
        <v>17.02</v>
      </c>
      <c r="AP42" s="28">
        <v>43.73</v>
      </c>
      <c r="AQ42" s="28">
        <v>19.2</v>
      </c>
      <c r="AR42" s="28">
        <v>21.79</v>
      </c>
      <c r="AS42" s="28">
        <v>12.74</v>
      </c>
      <c r="AT42" s="28">
        <v>21.83</v>
      </c>
      <c r="AU42" s="28">
        <v>25.95</v>
      </c>
      <c r="AV42" s="28">
        <v>18.3</v>
      </c>
      <c r="AW42" s="28">
        <v>18.89</v>
      </c>
      <c r="AX42" s="28">
        <v>24.45</v>
      </c>
      <c r="AY42" s="28">
        <v>23.74</v>
      </c>
      <c r="AZ42" s="28">
        <v>19.77</v>
      </c>
      <c r="BA42" s="28">
        <v>61.64</v>
      </c>
      <c r="BB42" s="28">
        <v>22.93</v>
      </c>
      <c r="BC42" s="28">
        <v>24.7</v>
      </c>
      <c r="BD42" s="28">
        <v>25.96</v>
      </c>
      <c r="BE42" s="28">
        <v>28.92</v>
      </c>
      <c r="BF42" s="28">
        <v>20.76</v>
      </c>
      <c r="BG42" s="28">
        <v>21.14</v>
      </c>
      <c r="BH42" s="28">
        <v>24.6</v>
      </c>
      <c r="BI42" s="28">
        <v>31.41</v>
      </c>
      <c r="BJ42" s="28">
        <v>24.72</v>
      </c>
      <c r="BK42" s="28">
        <v>22.85</v>
      </c>
      <c r="BL42" s="28">
        <v>23.3</v>
      </c>
      <c r="BM42" s="28">
        <v>34.36</v>
      </c>
      <c r="BN42" s="28">
        <v>23.46</v>
      </c>
      <c r="BO42" s="28">
        <v>20.91</v>
      </c>
      <c r="BP42" s="28">
        <v>18.98</v>
      </c>
      <c r="BQ42" s="28">
        <v>17.11</v>
      </c>
      <c r="BR42" s="28">
        <v>18.350000000000001</v>
      </c>
      <c r="BS42" s="28">
        <v>37.340000000000003</v>
      </c>
      <c r="BT42" s="28">
        <v>22.05</v>
      </c>
      <c r="BU42" s="28">
        <v>28.32</v>
      </c>
      <c r="BV42" s="28">
        <v>21.54</v>
      </c>
      <c r="BW42" s="28">
        <v>34.71</v>
      </c>
      <c r="BX42" s="28">
        <v>15.74</v>
      </c>
      <c r="BY42" s="28">
        <v>17.940000000000001</v>
      </c>
      <c r="BZ42" s="28">
        <v>29.1</v>
      </c>
      <c r="CA42" s="28">
        <v>23.45</v>
      </c>
      <c r="CB42" s="28">
        <v>17.77</v>
      </c>
      <c r="CC42" s="28">
        <v>17.329999999999998</v>
      </c>
      <c r="CD42" s="28">
        <v>19.350000000000001</v>
      </c>
      <c r="CE42" s="28">
        <v>15.12</v>
      </c>
      <c r="CF42" s="28">
        <v>13.95</v>
      </c>
      <c r="CG42" s="28">
        <v>26.56</v>
      </c>
      <c r="CH42" s="28">
        <v>25.54</v>
      </c>
      <c r="CI42" s="28">
        <v>28.58</v>
      </c>
      <c r="CJ42" s="28">
        <v>29.25</v>
      </c>
      <c r="CK42" s="28">
        <v>13.42</v>
      </c>
      <c r="CL42" s="28">
        <v>14.96</v>
      </c>
      <c r="CM42" s="28">
        <v>16.93</v>
      </c>
      <c r="CN42" s="28">
        <v>22.53</v>
      </c>
      <c r="CO42" s="28">
        <v>22.46</v>
      </c>
      <c r="CP42" s="28">
        <v>18.88</v>
      </c>
      <c r="CQ42" s="28">
        <v>19.86</v>
      </c>
      <c r="CR42" s="28">
        <v>22.91</v>
      </c>
      <c r="CS42" s="28">
        <v>20.79</v>
      </c>
      <c r="CT42" s="28">
        <v>25.7</v>
      </c>
      <c r="CU42" s="28">
        <v>14.02</v>
      </c>
      <c r="CV42" s="28">
        <v>23.55</v>
      </c>
      <c r="CW42" s="28">
        <v>19.940000000000001</v>
      </c>
      <c r="CX42" s="28">
        <v>24.39</v>
      </c>
      <c r="CY42" s="28">
        <v>21.42</v>
      </c>
      <c r="CZ42" s="28">
        <v>24.59</v>
      </c>
      <c r="DA42" s="28">
        <v>33.590000000000003</v>
      </c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</row>
    <row r="43" spans="1:127" ht="15.75" customHeight="1">
      <c r="A43" s="64" t="s">
        <v>279</v>
      </c>
      <c r="B43" s="28">
        <v>31.44</v>
      </c>
      <c r="C43" s="28">
        <v>27.39</v>
      </c>
      <c r="D43" s="28">
        <v>29.71</v>
      </c>
      <c r="E43" s="28">
        <v>31.17</v>
      </c>
      <c r="F43" s="28">
        <v>29.31</v>
      </c>
      <c r="G43" s="28">
        <v>28.63</v>
      </c>
      <c r="H43" s="28">
        <v>28.81</v>
      </c>
      <c r="I43" s="28">
        <v>29.23</v>
      </c>
      <c r="J43" s="28">
        <v>30.43</v>
      </c>
      <c r="K43" s="28">
        <v>29.49</v>
      </c>
      <c r="L43" s="28">
        <v>27.51</v>
      </c>
      <c r="M43" s="28">
        <v>27.74</v>
      </c>
      <c r="N43" s="28">
        <v>29.18</v>
      </c>
      <c r="O43" s="28">
        <v>27.18</v>
      </c>
      <c r="P43" s="28">
        <v>28.86</v>
      </c>
      <c r="Q43" s="28">
        <v>29.18</v>
      </c>
      <c r="R43" s="28">
        <v>30.62</v>
      </c>
      <c r="S43" s="28">
        <v>29.46</v>
      </c>
      <c r="T43" s="28">
        <v>28.35</v>
      </c>
      <c r="U43" s="28">
        <v>29.13</v>
      </c>
      <c r="V43" s="28">
        <v>28.36</v>
      </c>
      <c r="W43" s="28">
        <v>30.03</v>
      </c>
      <c r="X43" s="28">
        <v>27.85</v>
      </c>
      <c r="Y43" s="28">
        <v>28.05</v>
      </c>
      <c r="Z43" s="28">
        <v>31.99</v>
      </c>
      <c r="AA43" s="28">
        <v>33.31</v>
      </c>
      <c r="AB43" s="28">
        <v>32.25</v>
      </c>
      <c r="AC43" s="28">
        <v>35.21</v>
      </c>
      <c r="AD43" s="28">
        <v>30.94</v>
      </c>
      <c r="AE43" s="28">
        <v>32.18</v>
      </c>
      <c r="AF43" s="28">
        <v>31.32</v>
      </c>
      <c r="AG43" s="28">
        <v>32.43</v>
      </c>
      <c r="AH43" s="28">
        <v>31.63</v>
      </c>
      <c r="AI43" s="28">
        <v>31.73</v>
      </c>
      <c r="AJ43" s="28">
        <v>31.2</v>
      </c>
      <c r="AK43" s="28">
        <v>34.270000000000003</v>
      </c>
      <c r="AL43" s="28">
        <v>31.46</v>
      </c>
      <c r="AM43" s="28">
        <v>33.42</v>
      </c>
      <c r="AN43" s="28">
        <v>32.1</v>
      </c>
      <c r="AO43" s="28">
        <v>30.42</v>
      </c>
      <c r="AP43" s="28">
        <v>32.89</v>
      </c>
      <c r="AQ43" s="28">
        <v>31.88</v>
      </c>
      <c r="AR43" s="28">
        <v>31.77</v>
      </c>
      <c r="AS43" s="28">
        <v>31.41</v>
      </c>
      <c r="AT43" s="28">
        <v>32.97</v>
      </c>
      <c r="AU43" s="28">
        <v>31.28</v>
      </c>
      <c r="AV43" s="28">
        <v>31.13</v>
      </c>
      <c r="AW43" s="28">
        <v>33.909999999999997</v>
      </c>
      <c r="AX43" s="28">
        <v>34.78</v>
      </c>
      <c r="AY43" s="28">
        <v>29.24</v>
      </c>
      <c r="AZ43" s="28">
        <v>32.450000000000003</v>
      </c>
      <c r="BA43" s="28">
        <v>31.95</v>
      </c>
      <c r="BB43" s="28">
        <v>31.96</v>
      </c>
      <c r="BC43" s="28">
        <v>33.18</v>
      </c>
      <c r="BD43" s="28">
        <v>33.28</v>
      </c>
      <c r="BE43" s="28">
        <v>33.25</v>
      </c>
      <c r="BF43" s="28">
        <v>32.049999999999997</v>
      </c>
      <c r="BG43" s="28">
        <v>34.119999999999997</v>
      </c>
      <c r="BH43" s="28">
        <v>31.91</v>
      </c>
      <c r="BI43" s="28">
        <v>33.75</v>
      </c>
      <c r="BJ43" s="28">
        <v>33.54</v>
      </c>
      <c r="BK43" s="28">
        <v>33.29</v>
      </c>
      <c r="BL43" s="28">
        <v>33.26</v>
      </c>
      <c r="BM43" s="28">
        <v>31.71</v>
      </c>
      <c r="BN43" s="28">
        <v>32.89</v>
      </c>
      <c r="BO43" s="28">
        <v>31.29</v>
      </c>
      <c r="BP43" s="28">
        <v>29.53</v>
      </c>
      <c r="BQ43" s="28">
        <v>30.66</v>
      </c>
      <c r="BR43" s="28">
        <v>30.42</v>
      </c>
      <c r="BS43" s="28">
        <v>31.8</v>
      </c>
      <c r="BT43" s="28">
        <v>31.55</v>
      </c>
      <c r="BU43" s="28">
        <v>33.5</v>
      </c>
      <c r="BV43" s="28">
        <v>32.119999999999997</v>
      </c>
      <c r="BW43" s="28">
        <v>31.43</v>
      </c>
      <c r="BX43" s="28">
        <v>29.43</v>
      </c>
      <c r="BY43" s="28">
        <v>30.72</v>
      </c>
      <c r="BZ43" s="28">
        <v>28.84</v>
      </c>
      <c r="CA43" s="28">
        <v>29.49</v>
      </c>
      <c r="CB43" s="28">
        <v>30.66</v>
      </c>
      <c r="CC43" s="28">
        <v>27.84</v>
      </c>
      <c r="CD43" s="28">
        <v>33.74</v>
      </c>
      <c r="CE43" s="28">
        <v>29.1</v>
      </c>
      <c r="CF43" s="28">
        <v>28.6</v>
      </c>
      <c r="CG43" s="28">
        <v>32.18</v>
      </c>
      <c r="CH43" s="28">
        <v>32.06</v>
      </c>
      <c r="CI43" s="28">
        <v>30.62</v>
      </c>
      <c r="CJ43" s="28">
        <v>33.450000000000003</v>
      </c>
      <c r="CK43" s="28">
        <v>28.87</v>
      </c>
      <c r="CL43" s="28">
        <v>32.299999999999997</v>
      </c>
      <c r="CM43" s="28">
        <v>32.32</v>
      </c>
      <c r="CN43" s="28">
        <v>31.08</v>
      </c>
      <c r="CO43" s="28">
        <v>31.04</v>
      </c>
      <c r="CP43" s="28">
        <v>27.06</v>
      </c>
      <c r="CQ43" s="28">
        <v>28.63</v>
      </c>
      <c r="CR43" s="28">
        <v>30.61</v>
      </c>
      <c r="CS43" s="28">
        <v>28.94</v>
      </c>
      <c r="CT43" s="28">
        <v>35.53</v>
      </c>
      <c r="CU43" s="28">
        <v>30.15</v>
      </c>
      <c r="CV43" s="28">
        <v>31.2</v>
      </c>
      <c r="CW43" s="28">
        <v>30.66</v>
      </c>
      <c r="CX43" s="28">
        <v>36.08</v>
      </c>
      <c r="CY43" s="28">
        <v>34.25</v>
      </c>
      <c r="CZ43" s="28">
        <v>31.05</v>
      </c>
      <c r="DA43" s="28">
        <v>34.18</v>
      </c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</row>
    <row r="44" spans="1:127" ht="15.75" customHeight="1">
      <c r="A44" s="39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</row>
    <row r="45" spans="1:127" ht="15.75" customHeight="1">
      <c r="A45" s="39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</row>
    <row r="46" spans="1:127" ht="15.75" customHeight="1">
      <c r="A46" s="39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</row>
    <row r="47" spans="1:127" ht="15.75" customHeight="1">
      <c r="A47" s="39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</row>
    <row r="48" spans="1:127" ht="15.75" customHeight="1">
      <c r="A48" s="39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</row>
    <row r="49" spans="1:127" ht="15.75" customHeight="1">
      <c r="A49" s="39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</row>
    <row r="50" spans="1:127" ht="15.75" customHeight="1">
      <c r="A50" s="39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</row>
    <row r="51" spans="1:127" ht="15.75" customHeight="1">
      <c r="A51" s="39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</row>
    <row r="52" spans="1:127" ht="15.75" customHeight="1">
      <c r="A52" s="39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</row>
    <row r="53" spans="1:127" ht="15.75" customHeight="1">
      <c r="A53" s="39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</row>
    <row r="54" spans="1:127" ht="15.75" customHeight="1">
      <c r="A54" s="39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</row>
    <row r="55" spans="1:127" ht="15.75" customHeight="1">
      <c r="A55" s="39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</row>
    <row r="56" spans="1:127" ht="15.75" customHeight="1">
      <c r="A56" s="39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</row>
    <row r="57" spans="1:127" ht="15.75" customHeight="1">
      <c r="A57" s="39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</row>
    <row r="58" spans="1:127" ht="15.75" customHeight="1">
      <c r="A58" s="39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</row>
    <row r="59" spans="1:127" ht="15.75" customHeight="1">
      <c r="A59" s="39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</row>
    <row r="60" spans="1:127" ht="15.75" customHeight="1">
      <c r="A60" s="39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</row>
    <row r="61" spans="1:127" ht="15.75" customHeight="1">
      <c r="A61" s="39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</row>
    <row r="62" spans="1:127" ht="15.75" customHeight="1">
      <c r="A62" s="39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</row>
    <row r="63" spans="1:127" ht="15.75" customHeight="1">
      <c r="A63" s="39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</row>
    <row r="64" spans="1:127" ht="15.75" customHeight="1">
      <c r="A64" s="39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</row>
    <row r="65" spans="1:127" ht="15.75" customHeight="1">
      <c r="A65" s="39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</row>
    <row r="66" spans="1:127" ht="15.75" customHeight="1">
      <c r="A66" s="39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</row>
    <row r="67" spans="1:127" ht="15.75" customHeight="1">
      <c r="A67" s="39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</row>
    <row r="68" spans="1:127" ht="15.75" customHeight="1">
      <c r="A68" s="39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</row>
    <row r="69" spans="1:127" ht="15.75" customHeight="1">
      <c r="A69" s="39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</row>
    <row r="70" spans="1:127" ht="15.75" customHeight="1">
      <c r="A70" s="39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</row>
    <row r="71" spans="1:127" ht="15.75" customHeight="1">
      <c r="A71" s="39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</row>
    <row r="72" spans="1:127" ht="15.75" customHeight="1">
      <c r="A72" s="39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</row>
    <row r="73" spans="1:127" ht="15.75" customHeight="1">
      <c r="A73" s="39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</row>
    <row r="74" spans="1:127" ht="15.75" customHeight="1">
      <c r="A74" s="39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</row>
    <row r="75" spans="1:127" ht="15.75" customHeight="1">
      <c r="A75" s="39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</row>
    <row r="76" spans="1:127" ht="15.75" customHeight="1">
      <c r="A76" s="39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</row>
    <row r="77" spans="1:127" ht="15.75" customHeight="1">
      <c r="A77" s="39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</row>
    <row r="78" spans="1:127" ht="15.75" customHeight="1">
      <c r="A78" s="39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</row>
    <row r="79" spans="1:127" ht="15.75" customHeight="1">
      <c r="A79" s="39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</row>
    <row r="80" spans="1:127" ht="15.75" customHeight="1">
      <c r="A80" s="39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</row>
    <row r="81" spans="1:127" ht="15.75" customHeight="1">
      <c r="A81" s="39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</row>
    <row r="82" spans="1:127" ht="15.75" customHeight="1">
      <c r="A82" s="39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</row>
    <row r="83" spans="1:127" ht="15.75" customHeight="1">
      <c r="A83" s="39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</row>
    <row r="84" spans="1:127" ht="13">
      <c r="A84" s="39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</row>
    <row r="85" spans="1:127" ht="13">
      <c r="A85" s="39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  <c r="DU85" s="30"/>
      <c r="DV85" s="30"/>
      <c r="DW85" s="30"/>
    </row>
    <row r="86" spans="1:127" ht="13">
      <c r="A86" s="39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</row>
    <row r="87" spans="1:127" ht="13">
      <c r="A87" s="39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</row>
    <row r="88" spans="1:127" ht="13">
      <c r="A88" s="39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30"/>
      <c r="DO88" s="30"/>
      <c r="DP88" s="30"/>
      <c r="DQ88" s="30"/>
      <c r="DR88" s="30"/>
      <c r="DS88" s="30"/>
      <c r="DT88" s="30"/>
      <c r="DU88" s="30"/>
      <c r="DV88" s="30"/>
      <c r="DW88" s="30"/>
    </row>
    <row r="89" spans="1:127" ht="13">
      <c r="A89" s="39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30"/>
      <c r="DO89" s="30"/>
      <c r="DP89" s="30"/>
      <c r="DQ89" s="30"/>
      <c r="DR89" s="30"/>
      <c r="DS89" s="30"/>
      <c r="DT89" s="30"/>
      <c r="DU89" s="30"/>
      <c r="DV89" s="30"/>
      <c r="DW89" s="30"/>
    </row>
    <row r="90" spans="1:127" ht="13">
      <c r="A90" s="39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/>
      <c r="DH90" s="30"/>
      <c r="DI90" s="30"/>
      <c r="DJ90" s="30"/>
      <c r="DK90" s="30"/>
      <c r="DL90" s="30"/>
      <c r="DM90" s="30"/>
      <c r="DN90" s="30"/>
      <c r="DO90" s="30"/>
      <c r="DP90" s="30"/>
      <c r="DQ90" s="30"/>
      <c r="DR90" s="30"/>
      <c r="DS90" s="30"/>
      <c r="DT90" s="30"/>
      <c r="DU90" s="30"/>
      <c r="DV90" s="30"/>
      <c r="DW90" s="30"/>
    </row>
    <row r="91" spans="1:127" ht="13">
      <c r="A91" s="39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30"/>
      <c r="DR91" s="30"/>
      <c r="DS91" s="30"/>
      <c r="DT91" s="30"/>
      <c r="DU91" s="30"/>
      <c r="DV91" s="30"/>
      <c r="DW91" s="30"/>
    </row>
    <row r="92" spans="1:127" ht="13">
      <c r="A92" s="39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</row>
    <row r="93" spans="1:127" ht="13">
      <c r="A93" s="39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30"/>
      <c r="DR93" s="30"/>
      <c r="DS93" s="30"/>
      <c r="DT93" s="30"/>
      <c r="DU93" s="30"/>
      <c r="DV93" s="30"/>
      <c r="DW93" s="30"/>
    </row>
    <row r="94" spans="1:127" ht="13">
      <c r="A94" s="39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</row>
    <row r="95" spans="1:127" ht="13">
      <c r="A95" s="39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</row>
    <row r="96" spans="1:127" ht="13">
      <c r="A96" s="39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</row>
    <row r="97" spans="1:127" ht="13">
      <c r="A97" s="39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  <c r="DE97" s="30"/>
      <c r="DF97" s="30"/>
      <c r="DG97" s="30"/>
      <c r="DH97" s="30"/>
      <c r="DI97" s="30"/>
      <c r="DJ97" s="30"/>
      <c r="DK97" s="30"/>
      <c r="DL97" s="30"/>
      <c r="DM97" s="30"/>
      <c r="DN97" s="30"/>
      <c r="DO97" s="30"/>
      <c r="DP97" s="30"/>
      <c r="DQ97" s="30"/>
      <c r="DR97" s="30"/>
      <c r="DS97" s="30"/>
      <c r="DT97" s="30"/>
      <c r="DU97" s="30"/>
      <c r="DV97" s="30"/>
      <c r="DW97" s="30"/>
    </row>
    <row r="98" spans="1:127" ht="13">
      <c r="A98" s="39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30"/>
      <c r="DO98" s="30"/>
      <c r="DP98" s="30"/>
      <c r="DQ98" s="30"/>
      <c r="DR98" s="30"/>
      <c r="DS98" s="30"/>
      <c r="DT98" s="30"/>
      <c r="DU98" s="30"/>
      <c r="DV98" s="30"/>
      <c r="DW98" s="30"/>
    </row>
    <row r="99" spans="1:127" ht="13">
      <c r="A99" s="39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  <c r="DD99" s="30"/>
      <c r="DE99" s="30"/>
      <c r="DF99" s="30"/>
      <c r="DG99" s="30"/>
      <c r="DH99" s="30"/>
      <c r="DI99" s="30"/>
      <c r="DJ99" s="30"/>
      <c r="DK99" s="30"/>
      <c r="DL99" s="30"/>
      <c r="DM99" s="30"/>
      <c r="DN99" s="30"/>
      <c r="DO99" s="30"/>
      <c r="DP99" s="30"/>
      <c r="DQ99" s="30"/>
      <c r="DR99" s="30"/>
      <c r="DS99" s="30"/>
      <c r="DT99" s="30"/>
      <c r="DU99" s="30"/>
      <c r="DV99" s="30"/>
      <c r="DW99" s="30"/>
    </row>
    <row r="100" spans="1:127" ht="13">
      <c r="A100" s="39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  <c r="DE100" s="30"/>
      <c r="DF100" s="30"/>
      <c r="DG100" s="30"/>
      <c r="DH100" s="30"/>
      <c r="DI100" s="30"/>
      <c r="DJ100" s="30"/>
      <c r="DK100" s="30"/>
      <c r="DL100" s="30"/>
      <c r="DM100" s="30"/>
      <c r="DN100" s="30"/>
      <c r="DO100" s="30"/>
      <c r="DP100" s="30"/>
      <c r="DQ100" s="30"/>
      <c r="DR100" s="30"/>
      <c r="DS100" s="30"/>
      <c r="DT100" s="30"/>
      <c r="DU100" s="30"/>
      <c r="DV100" s="30"/>
      <c r="DW100" s="30"/>
    </row>
    <row r="101" spans="1:127" ht="13">
      <c r="A101" s="39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/>
      <c r="DD101" s="30"/>
      <c r="DE101" s="30"/>
      <c r="DF101" s="30"/>
      <c r="DG101" s="30"/>
      <c r="DH101" s="30"/>
      <c r="DI101" s="30"/>
      <c r="DJ101" s="30"/>
      <c r="DK101" s="30"/>
      <c r="DL101" s="30"/>
      <c r="DM101" s="30"/>
      <c r="DN101" s="30"/>
      <c r="DO101" s="30"/>
      <c r="DP101" s="30"/>
      <c r="DQ101" s="30"/>
      <c r="DR101" s="30"/>
      <c r="DS101" s="30"/>
      <c r="DT101" s="30"/>
      <c r="DU101" s="30"/>
      <c r="DV101" s="30"/>
      <c r="DW101" s="30"/>
    </row>
    <row r="102" spans="1:127" ht="13">
      <c r="A102" s="39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  <c r="DU102" s="30"/>
      <c r="DV102" s="30"/>
      <c r="DW102" s="30"/>
    </row>
    <row r="103" spans="1:127" ht="13">
      <c r="A103" s="39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  <c r="DC103" s="30"/>
      <c r="DD103" s="30"/>
      <c r="DE103" s="30"/>
      <c r="DF103" s="30"/>
      <c r="DG103" s="30"/>
      <c r="DH103" s="30"/>
      <c r="DI103" s="30"/>
      <c r="DJ103" s="30"/>
      <c r="DK103" s="30"/>
      <c r="DL103" s="30"/>
      <c r="DM103" s="30"/>
      <c r="DN103" s="30"/>
      <c r="DO103" s="30"/>
      <c r="DP103" s="30"/>
      <c r="DQ103" s="30"/>
      <c r="DR103" s="30"/>
      <c r="DS103" s="30"/>
      <c r="DT103" s="30"/>
      <c r="DU103" s="30"/>
      <c r="DV103" s="30"/>
      <c r="DW103" s="30"/>
    </row>
    <row r="104" spans="1:127" ht="13">
      <c r="A104" s="39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  <c r="DE104" s="30"/>
      <c r="DF104" s="30"/>
      <c r="DG104" s="30"/>
      <c r="DH104" s="30"/>
      <c r="DI104" s="30"/>
      <c r="DJ104" s="30"/>
      <c r="DK104" s="30"/>
      <c r="DL104" s="30"/>
      <c r="DM104" s="30"/>
      <c r="DN104" s="30"/>
      <c r="DO104" s="30"/>
      <c r="DP104" s="30"/>
      <c r="DQ104" s="30"/>
      <c r="DR104" s="30"/>
      <c r="DS104" s="30"/>
      <c r="DT104" s="30"/>
      <c r="DU104" s="30"/>
      <c r="DV104" s="30"/>
      <c r="DW104" s="30"/>
    </row>
    <row r="105" spans="1:127" ht="13">
      <c r="A105" s="39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  <c r="DC105" s="30"/>
      <c r="DD105" s="30"/>
      <c r="DE105" s="30"/>
      <c r="DF105" s="30"/>
      <c r="DG105" s="30"/>
      <c r="DH105" s="30"/>
      <c r="DI105" s="30"/>
      <c r="DJ105" s="30"/>
      <c r="DK105" s="30"/>
      <c r="DL105" s="30"/>
      <c r="DM105" s="30"/>
      <c r="DN105" s="30"/>
      <c r="DO105" s="30"/>
      <c r="DP105" s="30"/>
      <c r="DQ105" s="30"/>
      <c r="DR105" s="30"/>
      <c r="DS105" s="30"/>
      <c r="DT105" s="30"/>
      <c r="DU105" s="30"/>
      <c r="DV105" s="30"/>
      <c r="DW105" s="30"/>
    </row>
    <row r="106" spans="1:127" ht="13">
      <c r="A106" s="39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0"/>
      <c r="DL106" s="30"/>
      <c r="DM106" s="30"/>
      <c r="DN106" s="30"/>
      <c r="DO106" s="30"/>
      <c r="DP106" s="30"/>
      <c r="DQ106" s="30"/>
      <c r="DR106" s="30"/>
      <c r="DS106" s="30"/>
      <c r="DT106" s="30"/>
      <c r="DU106" s="30"/>
      <c r="DV106" s="30"/>
      <c r="DW106" s="30"/>
    </row>
    <row r="107" spans="1:127" ht="13">
      <c r="A107" s="39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  <c r="DC107" s="30"/>
      <c r="DD107" s="30"/>
      <c r="DE107" s="30"/>
      <c r="DF107" s="30"/>
      <c r="DG107" s="30"/>
      <c r="DH107" s="30"/>
      <c r="DI107" s="30"/>
      <c r="DJ107" s="30"/>
      <c r="DK107" s="30"/>
      <c r="DL107" s="30"/>
      <c r="DM107" s="30"/>
      <c r="DN107" s="30"/>
      <c r="DO107" s="30"/>
      <c r="DP107" s="30"/>
      <c r="DQ107" s="30"/>
      <c r="DR107" s="30"/>
      <c r="DS107" s="30"/>
      <c r="DT107" s="30"/>
      <c r="DU107" s="30"/>
      <c r="DV107" s="30"/>
      <c r="DW107" s="30"/>
    </row>
    <row r="108" spans="1:127" ht="13">
      <c r="A108" s="39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30"/>
      <c r="DL108" s="30"/>
      <c r="DM108" s="30"/>
      <c r="DN108" s="30"/>
      <c r="DO108" s="30"/>
      <c r="DP108" s="30"/>
      <c r="DQ108" s="30"/>
      <c r="DR108" s="30"/>
      <c r="DS108" s="30"/>
      <c r="DT108" s="30"/>
      <c r="DU108" s="30"/>
      <c r="DV108" s="30"/>
      <c r="DW108" s="30"/>
    </row>
    <row r="109" spans="1:127" ht="13">
      <c r="A109" s="39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  <c r="DC109" s="30"/>
      <c r="DD109" s="30"/>
      <c r="DE109" s="30"/>
      <c r="DF109" s="30"/>
      <c r="DG109" s="30"/>
      <c r="DH109" s="30"/>
      <c r="DI109" s="30"/>
      <c r="DJ109" s="30"/>
      <c r="DK109" s="30"/>
      <c r="DL109" s="30"/>
      <c r="DM109" s="30"/>
      <c r="DN109" s="30"/>
      <c r="DO109" s="30"/>
      <c r="DP109" s="30"/>
      <c r="DQ109" s="30"/>
      <c r="DR109" s="30"/>
      <c r="DS109" s="30"/>
      <c r="DT109" s="30"/>
      <c r="DU109" s="30"/>
      <c r="DV109" s="30"/>
      <c r="DW109" s="30"/>
    </row>
    <row r="110" spans="1:127" ht="13">
      <c r="A110" s="39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30"/>
      <c r="DC110" s="30"/>
      <c r="DD110" s="30"/>
      <c r="DE110" s="30"/>
      <c r="DF110" s="30"/>
      <c r="DG110" s="30"/>
      <c r="DH110" s="30"/>
      <c r="DI110" s="30"/>
      <c r="DJ110" s="30"/>
      <c r="DK110" s="30"/>
      <c r="DL110" s="30"/>
      <c r="DM110" s="30"/>
      <c r="DN110" s="30"/>
      <c r="DO110" s="30"/>
      <c r="DP110" s="30"/>
      <c r="DQ110" s="30"/>
      <c r="DR110" s="30"/>
      <c r="DS110" s="30"/>
      <c r="DT110" s="30"/>
      <c r="DU110" s="30"/>
      <c r="DV110" s="30"/>
      <c r="DW110" s="30"/>
    </row>
    <row r="111" spans="1:127" ht="13">
      <c r="A111" s="39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30"/>
      <c r="DC111" s="30"/>
      <c r="DD111" s="30"/>
      <c r="DE111" s="30"/>
      <c r="DF111" s="30"/>
      <c r="DG111" s="30"/>
      <c r="DH111" s="30"/>
      <c r="DI111" s="30"/>
      <c r="DJ111" s="30"/>
      <c r="DK111" s="30"/>
      <c r="DL111" s="30"/>
      <c r="DM111" s="30"/>
      <c r="DN111" s="30"/>
      <c r="DO111" s="30"/>
      <c r="DP111" s="30"/>
      <c r="DQ111" s="30"/>
      <c r="DR111" s="30"/>
      <c r="DS111" s="30"/>
      <c r="DT111" s="30"/>
      <c r="DU111" s="30"/>
      <c r="DV111" s="30"/>
      <c r="DW111" s="30"/>
    </row>
    <row r="112" spans="1:127" ht="13">
      <c r="A112" s="39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30"/>
      <c r="DC112" s="30"/>
      <c r="DD112" s="30"/>
      <c r="DE112" s="30"/>
      <c r="DF112" s="30"/>
      <c r="DG112" s="30"/>
      <c r="DH112" s="30"/>
      <c r="DI112" s="30"/>
      <c r="DJ112" s="30"/>
      <c r="DK112" s="30"/>
      <c r="DL112" s="30"/>
      <c r="DM112" s="30"/>
      <c r="DN112" s="30"/>
      <c r="DO112" s="30"/>
      <c r="DP112" s="30"/>
      <c r="DQ112" s="30"/>
      <c r="DR112" s="30"/>
      <c r="DS112" s="30"/>
      <c r="DT112" s="30"/>
      <c r="DU112" s="30"/>
      <c r="DV112" s="30"/>
      <c r="DW112" s="30"/>
    </row>
    <row r="113" spans="1:127" ht="13">
      <c r="A113" s="39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  <c r="DE113" s="30"/>
      <c r="DF113" s="30"/>
      <c r="DG113" s="30"/>
      <c r="DH113" s="30"/>
      <c r="DI113" s="30"/>
      <c r="DJ113" s="30"/>
      <c r="DK113" s="30"/>
      <c r="DL113" s="30"/>
      <c r="DM113" s="30"/>
      <c r="DN113" s="30"/>
      <c r="DO113" s="30"/>
      <c r="DP113" s="30"/>
      <c r="DQ113" s="30"/>
      <c r="DR113" s="30"/>
      <c r="DS113" s="30"/>
      <c r="DT113" s="30"/>
      <c r="DU113" s="30"/>
      <c r="DV113" s="30"/>
      <c r="DW113" s="30"/>
    </row>
    <row r="114" spans="1:127" ht="13">
      <c r="A114" s="39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0"/>
      <c r="DF114" s="30"/>
      <c r="DG114" s="30"/>
      <c r="DH114" s="30"/>
      <c r="DI114" s="30"/>
      <c r="DJ114" s="30"/>
      <c r="DK114" s="30"/>
      <c r="DL114" s="30"/>
      <c r="DM114" s="30"/>
      <c r="DN114" s="30"/>
      <c r="DO114" s="30"/>
      <c r="DP114" s="30"/>
      <c r="DQ114" s="30"/>
      <c r="DR114" s="30"/>
      <c r="DS114" s="30"/>
      <c r="DT114" s="30"/>
      <c r="DU114" s="30"/>
      <c r="DV114" s="30"/>
      <c r="DW114" s="30"/>
    </row>
    <row r="115" spans="1:127" ht="13">
      <c r="A115" s="39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0"/>
      <c r="DL115" s="30"/>
      <c r="DM115" s="30"/>
      <c r="DN115" s="30"/>
      <c r="DO115" s="30"/>
      <c r="DP115" s="30"/>
      <c r="DQ115" s="30"/>
      <c r="DR115" s="30"/>
      <c r="DS115" s="30"/>
      <c r="DT115" s="30"/>
      <c r="DU115" s="30"/>
      <c r="DV115" s="30"/>
      <c r="DW115" s="30"/>
    </row>
    <row r="116" spans="1:127" ht="13">
      <c r="A116" s="39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  <c r="DC116" s="30"/>
      <c r="DD116" s="30"/>
      <c r="DE116" s="30"/>
      <c r="DF116" s="30"/>
      <c r="DG116" s="30"/>
      <c r="DH116" s="30"/>
      <c r="DI116" s="30"/>
      <c r="DJ116" s="30"/>
      <c r="DK116" s="30"/>
      <c r="DL116" s="30"/>
      <c r="DM116" s="30"/>
      <c r="DN116" s="30"/>
      <c r="DO116" s="30"/>
      <c r="DP116" s="30"/>
      <c r="DQ116" s="30"/>
      <c r="DR116" s="30"/>
      <c r="DS116" s="30"/>
      <c r="DT116" s="30"/>
      <c r="DU116" s="30"/>
      <c r="DV116" s="30"/>
      <c r="DW116" s="30"/>
    </row>
    <row r="117" spans="1:127" ht="13">
      <c r="A117" s="39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  <c r="DE117" s="30"/>
      <c r="DF117" s="30"/>
      <c r="DG117" s="30"/>
      <c r="DH117" s="30"/>
      <c r="DI117" s="30"/>
      <c r="DJ117" s="30"/>
      <c r="DK117" s="30"/>
      <c r="DL117" s="30"/>
      <c r="DM117" s="30"/>
      <c r="DN117" s="30"/>
      <c r="DO117" s="30"/>
      <c r="DP117" s="30"/>
      <c r="DQ117" s="30"/>
      <c r="DR117" s="30"/>
      <c r="DS117" s="30"/>
      <c r="DT117" s="30"/>
      <c r="DU117" s="30"/>
      <c r="DV117" s="30"/>
      <c r="DW117" s="30"/>
    </row>
    <row r="118" spans="1:127" ht="13">
      <c r="A118" s="39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  <c r="DC118" s="30"/>
      <c r="DD118" s="30"/>
      <c r="DE118" s="30"/>
      <c r="DF118" s="30"/>
      <c r="DG118" s="30"/>
      <c r="DH118" s="30"/>
      <c r="DI118" s="30"/>
      <c r="DJ118" s="30"/>
      <c r="DK118" s="30"/>
      <c r="DL118" s="30"/>
      <c r="DM118" s="30"/>
      <c r="DN118" s="30"/>
      <c r="DO118" s="30"/>
      <c r="DP118" s="30"/>
      <c r="DQ118" s="30"/>
      <c r="DR118" s="30"/>
      <c r="DS118" s="30"/>
      <c r="DT118" s="30"/>
      <c r="DU118" s="30"/>
      <c r="DV118" s="30"/>
      <c r="DW118" s="30"/>
    </row>
    <row r="119" spans="1:127" ht="13">
      <c r="A119" s="39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  <c r="DE119" s="30"/>
      <c r="DF119" s="30"/>
      <c r="DG119" s="30"/>
      <c r="DH119" s="30"/>
      <c r="DI119" s="30"/>
      <c r="DJ119" s="30"/>
      <c r="DK119" s="30"/>
      <c r="DL119" s="30"/>
      <c r="DM119" s="30"/>
      <c r="DN119" s="30"/>
      <c r="DO119" s="30"/>
      <c r="DP119" s="30"/>
      <c r="DQ119" s="30"/>
      <c r="DR119" s="30"/>
      <c r="DS119" s="30"/>
      <c r="DT119" s="30"/>
      <c r="DU119" s="30"/>
      <c r="DV119" s="30"/>
      <c r="DW119" s="30"/>
    </row>
    <row r="120" spans="1:127" ht="13">
      <c r="A120" s="39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30"/>
      <c r="DC120" s="30"/>
      <c r="DD120" s="30"/>
      <c r="DE120" s="30"/>
      <c r="DF120" s="30"/>
      <c r="DG120" s="30"/>
      <c r="DH120" s="30"/>
      <c r="DI120" s="30"/>
      <c r="DJ120" s="30"/>
      <c r="DK120" s="30"/>
      <c r="DL120" s="30"/>
      <c r="DM120" s="30"/>
      <c r="DN120" s="30"/>
      <c r="DO120" s="30"/>
      <c r="DP120" s="30"/>
      <c r="DQ120" s="30"/>
      <c r="DR120" s="30"/>
      <c r="DS120" s="30"/>
      <c r="DT120" s="30"/>
      <c r="DU120" s="30"/>
      <c r="DV120" s="30"/>
      <c r="DW120" s="30"/>
    </row>
    <row r="121" spans="1:127" ht="13">
      <c r="A121" s="39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  <c r="DB121" s="30"/>
      <c r="DC121" s="30"/>
      <c r="DD121" s="30"/>
      <c r="DE121" s="30"/>
      <c r="DF121" s="30"/>
      <c r="DG121" s="30"/>
      <c r="DH121" s="30"/>
      <c r="DI121" s="30"/>
      <c r="DJ121" s="30"/>
      <c r="DK121" s="30"/>
      <c r="DL121" s="30"/>
      <c r="DM121" s="30"/>
      <c r="DN121" s="30"/>
      <c r="DO121" s="30"/>
      <c r="DP121" s="30"/>
      <c r="DQ121" s="30"/>
      <c r="DR121" s="30"/>
      <c r="DS121" s="30"/>
      <c r="DT121" s="30"/>
      <c r="DU121" s="30"/>
      <c r="DV121" s="30"/>
      <c r="DW121" s="30"/>
    </row>
    <row r="122" spans="1:127" ht="13">
      <c r="A122" s="39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  <c r="DE122" s="30"/>
      <c r="DF122" s="30"/>
      <c r="DG122" s="30"/>
      <c r="DH122" s="30"/>
      <c r="DI122" s="30"/>
      <c r="DJ122" s="30"/>
      <c r="DK122" s="30"/>
      <c r="DL122" s="30"/>
      <c r="DM122" s="30"/>
      <c r="DN122" s="30"/>
      <c r="DO122" s="30"/>
      <c r="DP122" s="30"/>
      <c r="DQ122" s="30"/>
      <c r="DR122" s="30"/>
      <c r="DS122" s="30"/>
      <c r="DT122" s="30"/>
      <c r="DU122" s="30"/>
      <c r="DV122" s="30"/>
      <c r="DW122" s="30"/>
    </row>
    <row r="123" spans="1:127" ht="13">
      <c r="A123" s="39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  <c r="DE123" s="30"/>
      <c r="DF123" s="30"/>
      <c r="DG123" s="30"/>
      <c r="DH123" s="30"/>
      <c r="DI123" s="30"/>
      <c r="DJ123" s="30"/>
      <c r="DK123" s="30"/>
      <c r="DL123" s="30"/>
      <c r="DM123" s="30"/>
      <c r="DN123" s="30"/>
      <c r="DO123" s="30"/>
      <c r="DP123" s="30"/>
      <c r="DQ123" s="30"/>
      <c r="DR123" s="30"/>
      <c r="DS123" s="30"/>
      <c r="DT123" s="30"/>
      <c r="DU123" s="30"/>
      <c r="DV123" s="30"/>
      <c r="DW123" s="30"/>
    </row>
    <row r="124" spans="1:127" ht="13">
      <c r="A124" s="39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  <c r="DI124" s="30"/>
      <c r="DJ124" s="30"/>
      <c r="DK124" s="30"/>
      <c r="DL124" s="30"/>
      <c r="DM124" s="30"/>
      <c r="DN124" s="30"/>
      <c r="DO124" s="30"/>
      <c r="DP124" s="30"/>
      <c r="DQ124" s="30"/>
      <c r="DR124" s="30"/>
      <c r="DS124" s="30"/>
      <c r="DT124" s="30"/>
      <c r="DU124" s="30"/>
      <c r="DV124" s="30"/>
      <c r="DW124" s="30"/>
    </row>
    <row r="125" spans="1:127" ht="13">
      <c r="A125" s="39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  <c r="DE125" s="30"/>
      <c r="DF125" s="30"/>
      <c r="DG125" s="30"/>
      <c r="DH125" s="30"/>
      <c r="DI125" s="30"/>
      <c r="DJ125" s="30"/>
      <c r="DK125" s="30"/>
      <c r="DL125" s="30"/>
      <c r="DM125" s="30"/>
      <c r="DN125" s="30"/>
      <c r="DO125" s="30"/>
      <c r="DP125" s="30"/>
      <c r="DQ125" s="30"/>
      <c r="DR125" s="30"/>
      <c r="DS125" s="30"/>
      <c r="DT125" s="30"/>
      <c r="DU125" s="30"/>
      <c r="DV125" s="30"/>
      <c r="DW125" s="30"/>
    </row>
    <row r="126" spans="1:127" ht="13">
      <c r="A126" s="39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30"/>
      <c r="DI126" s="30"/>
      <c r="DJ126" s="30"/>
      <c r="DK126" s="30"/>
      <c r="DL126" s="30"/>
      <c r="DM126" s="30"/>
      <c r="DN126" s="30"/>
      <c r="DO126" s="30"/>
      <c r="DP126" s="30"/>
      <c r="DQ126" s="30"/>
      <c r="DR126" s="30"/>
      <c r="DS126" s="30"/>
      <c r="DT126" s="30"/>
      <c r="DU126" s="30"/>
      <c r="DV126" s="30"/>
      <c r="DW126" s="30"/>
    </row>
    <row r="127" spans="1:127" ht="13">
      <c r="A127" s="39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  <c r="DE127" s="30"/>
      <c r="DF127" s="30"/>
      <c r="DG127" s="30"/>
      <c r="DH127" s="30"/>
      <c r="DI127" s="30"/>
      <c r="DJ127" s="30"/>
      <c r="DK127" s="30"/>
      <c r="DL127" s="30"/>
      <c r="DM127" s="30"/>
      <c r="DN127" s="30"/>
      <c r="DO127" s="30"/>
      <c r="DP127" s="30"/>
      <c r="DQ127" s="30"/>
      <c r="DR127" s="30"/>
      <c r="DS127" s="30"/>
      <c r="DT127" s="30"/>
      <c r="DU127" s="30"/>
      <c r="DV127" s="30"/>
      <c r="DW127" s="30"/>
    </row>
    <row r="128" spans="1:127" ht="13">
      <c r="A128" s="39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30"/>
      <c r="DO128" s="30"/>
      <c r="DP128" s="30"/>
      <c r="DQ128" s="30"/>
      <c r="DR128" s="30"/>
      <c r="DS128" s="30"/>
      <c r="DT128" s="30"/>
      <c r="DU128" s="30"/>
      <c r="DV128" s="30"/>
      <c r="DW128" s="30"/>
    </row>
    <row r="129" spans="1:127" ht="13">
      <c r="A129" s="39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  <c r="DE129" s="30"/>
      <c r="DF129" s="30"/>
      <c r="DG129" s="30"/>
      <c r="DH129" s="30"/>
      <c r="DI129" s="30"/>
      <c r="DJ129" s="30"/>
      <c r="DK129" s="30"/>
      <c r="DL129" s="30"/>
      <c r="DM129" s="30"/>
      <c r="DN129" s="30"/>
      <c r="DO129" s="30"/>
      <c r="DP129" s="30"/>
      <c r="DQ129" s="30"/>
      <c r="DR129" s="30"/>
      <c r="DS129" s="30"/>
      <c r="DT129" s="30"/>
      <c r="DU129" s="30"/>
      <c r="DV129" s="30"/>
      <c r="DW129" s="30"/>
    </row>
    <row r="130" spans="1:127" ht="13">
      <c r="A130" s="39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0"/>
      <c r="DL130" s="30"/>
      <c r="DM130" s="30"/>
      <c r="DN130" s="30"/>
      <c r="DO130" s="30"/>
      <c r="DP130" s="30"/>
      <c r="DQ130" s="30"/>
      <c r="DR130" s="30"/>
      <c r="DS130" s="30"/>
      <c r="DT130" s="30"/>
      <c r="DU130" s="30"/>
      <c r="DV130" s="30"/>
      <c r="DW130" s="30"/>
    </row>
    <row r="131" spans="1:127" ht="13">
      <c r="A131" s="39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0"/>
      <c r="DL131" s="30"/>
      <c r="DM131" s="30"/>
      <c r="DN131" s="30"/>
      <c r="DO131" s="30"/>
      <c r="DP131" s="30"/>
      <c r="DQ131" s="30"/>
      <c r="DR131" s="30"/>
      <c r="DS131" s="30"/>
      <c r="DT131" s="30"/>
      <c r="DU131" s="30"/>
      <c r="DV131" s="30"/>
      <c r="DW131" s="30"/>
    </row>
    <row r="132" spans="1:127" ht="13">
      <c r="A132" s="39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30"/>
      <c r="DL132" s="30"/>
      <c r="DM132" s="30"/>
      <c r="DN132" s="30"/>
      <c r="DO132" s="30"/>
      <c r="DP132" s="30"/>
      <c r="DQ132" s="30"/>
      <c r="DR132" s="30"/>
      <c r="DS132" s="30"/>
      <c r="DT132" s="30"/>
      <c r="DU132" s="30"/>
      <c r="DV132" s="30"/>
      <c r="DW132" s="30"/>
    </row>
    <row r="133" spans="1:127" ht="13">
      <c r="A133" s="39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/>
      <c r="DH133" s="30"/>
      <c r="DI133" s="30"/>
      <c r="DJ133" s="30"/>
      <c r="DK133" s="30"/>
      <c r="DL133" s="30"/>
      <c r="DM133" s="30"/>
      <c r="DN133" s="30"/>
      <c r="DO133" s="30"/>
      <c r="DP133" s="30"/>
      <c r="DQ133" s="30"/>
      <c r="DR133" s="30"/>
      <c r="DS133" s="30"/>
      <c r="DT133" s="30"/>
      <c r="DU133" s="30"/>
      <c r="DV133" s="30"/>
      <c r="DW133" s="30"/>
    </row>
    <row r="134" spans="1:127" ht="13">
      <c r="A134" s="39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0"/>
      <c r="DF134" s="30"/>
      <c r="DG134" s="30"/>
      <c r="DH134" s="30"/>
      <c r="DI134" s="30"/>
      <c r="DJ134" s="30"/>
      <c r="DK134" s="30"/>
      <c r="DL134" s="30"/>
      <c r="DM134" s="30"/>
      <c r="DN134" s="30"/>
      <c r="DO134" s="30"/>
      <c r="DP134" s="30"/>
      <c r="DQ134" s="30"/>
      <c r="DR134" s="30"/>
      <c r="DS134" s="30"/>
      <c r="DT134" s="30"/>
      <c r="DU134" s="30"/>
      <c r="DV134" s="30"/>
      <c r="DW134" s="30"/>
    </row>
    <row r="135" spans="1:127" ht="13">
      <c r="A135" s="39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30"/>
      <c r="DF135" s="30"/>
      <c r="DG135" s="30"/>
      <c r="DH135" s="30"/>
      <c r="DI135" s="30"/>
      <c r="DJ135" s="30"/>
      <c r="DK135" s="30"/>
      <c r="DL135" s="30"/>
      <c r="DM135" s="30"/>
      <c r="DN135" s="30"/>
      <c r="DO135" s="30"/>
      <c r="DP135" s="30"/>
      <c r="DQ135" s="30"/>
      <c r="DR135" s="30"/>
      <c r="DS135" s="30"/>
      <c r="DT135" s="30"/>
      <c r="DU135" s="30"/>
      <c r="DV135" s="30"/>
      <c r="DW135" s="30"/>
    </row>
    <row r="136" spans="1:127" ht="13">
      <c r="A136" s="39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0"/>
      <c r="DL136" s="30"/>
      <c r="DM136" s="30"/>
      <c r="DN136" s="30"/>
      <c r="DO136" s="30"/>
      <c r="DP136" s="30"/>
      <c r="DQ136" s="30"/>
      <c r="DR136" s="30"/>
      <c r="DS136" s="30"/>
      <c r="DT136" s="30"/>
      <c r="DU136" s="30"/>
      <c r="DV136" s="30"/>
      <c r="DW136" s="30"/>
    </row>
    <row r="137" spans="1:127" ht="13">
      <c r="A137" s="39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30"/>
      <c r="DF137" s="30"/>
      <c r="DG137" s="30"/>
      <c r="DH137" s="30"/>
      <c r="DI137" s="30"/>
      <c r="DJ137" s="30"/>
      <c r="DK137" s="30"/>
      <c r="DL137" s="30"/>
      <c r="DM137" s="30"/>
      <c r="DN137" s="30"/>
      <c r="DO137" s="30"/>
      <c r="DP137" s="30"/>
      <c r="DQ137" s="30"/>
      <c r="DR137" s="30"/>
      <c r="DS137" s="30"/>
      <c r="DT137" s="30"/>
      <c r="DU137" s="30"/>
      <c r="DV137" s="30"/>
      <c r="DW137" s="30"/>
    </row>
    <row r="138" spans="1:127" ht="13">
      <c r="A138" s="39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0"/>
      <c r="DH138" s="30"/>
      <c r="DI138" s="30"/>
      <c r="DJ138" s="30"/>
      <c r="DK138" s="30"/>
      <c r="DL138" s="30"/>
      <c r="DM138" s="30"/>
      <c r="DN138" s="30"/>
      <c r="DO138" s="30"/>
      <c r="DP138" s="30"/>
      <c r="DQ138" s="30"/>
      <c r="DR138" s="30"/>
      <c r="DS138" s="30"/>
      <c r="DT138" s="30"/>
      <c r="DU138" s="30"/>
      <c r="DV138" s="30"/>
      <c r="DW138" s="30"/>
    </row>
    <row r="139" spans="1:127" ht="13">
      <c r="A139" s="39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30"/>
      <c r="DF139" s="30"/>
      <c r="DG139" s="30"/>
      <c r="DH139" s="30"/>
      <c r="DI139" s="30"/>
      <c r="DJ139" s="30"/>
      <c r="DK139" s="30"/>
      <c r="DL139" s="30"/>
      <c r="DM139" s="30"/>
      <c r="DN139" s="30"/>
      <c r="DO139" s="30"/>
      <c r="DP139" s="30"/>
      <c r="DQ139" s="30"/>
      <c r="DR139" s="30"/>
      <c r="DS139" s="30"/>
      <c r="DT139" s="30"/>
      <c r="DU139" s="30"/>
      <c r="DV139" s="30"/>
      <c r="DW139" s="30"/>
    </row>
    <row r="140" spans="1:127" ht="13">
      <c r="A140" s="39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30"/>
      <c r="DF140" s="30"/>
      <c r="DG140" s="30"/>
      <c r="DH140" s="30"/>
      <c r="DI140" s="30"/>
      <c r="DJ140" s="30"/>
      <c r="DK140" s="30"/>
      <c r="DL140" s="30"/>
      <c r="DM140" s="30"/>
      <c r="DN140" s="30"/>
      <c r="DO140" s="30"/>
      <c r="DP140" s="30"/>
      <c r="DQ140" s="30"/>
      <c r="DR140" s="30"/>
      <c r="DS140" s="30"/>
      <c r="DT140" s="30"/>
      <c r="DU140" s="30"/>
      <c r="DV140" s="30"/>
      <c r="DW140" s="30"/>
    </row>
    <row r="141" spans="1:127" ht="13">
      <c r="A141" s="39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30"/>
      <c r="DF141" s="30"/>
      <c r="DG141" s="30"/>
      <c r="DH141" s="30"/>
      <c r="DI141" s="30"/>
      <c r="DJ141" s="30"/>
      <c r="DK141" s="30"/>
      <c r="DL141" s="30"/>
      <c r="DM141" s="30"/>
      <c r="DN141" s="30"/>
      <c r="DO141" s="30"/>
      <c r="DP141" s="30"/>
      <c r="DQ141" s="30"/>
      <c r="DR141" s="30"/>
      <c r="DS141" s="30"/>
      <c r="DT141" s="30"/>
      <c r="DU141" s="30"/>
      <c r="DV141" s="30"/>
      <c r="DW141" s="30"/>
    </row>
    <row r="142" spans="1:127" ht="13">
      <c r="A142" s="39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0"/>
      <c r="DL142" s="30"/>
      <c r="DM142" s="30"/>
      <c r="DN142" s="30"/>
      <c r="DO142" s="30"/>
      <c r="DP142" s="30"/>
      <c r="DQ142" s="30"/>
      <c r="DR142" s="30"/>
      <c r="DS142" s="30"/>
      <c r="DT142" s="30"/>
      <c r="DU142" s="30"/>
      <c r="DV142" s="30"/>
      <c r="DW142" s="30"/>
    </row>
    <row r="143" spans="1:127" ht="13">
      <c r="A143" s="39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30"/>
      <c r="DF143" s="30"/>
      <c r="DG143" s="30"/>
      <c r="DH143" s="30"/>
      <c r="DI143" s="30"/>
      <c r="DJ143" s="30"/>
      <c r="DK143" s="30"/>
      <c r="DL143" s="30"/>
      <c r="DM143" s="30"/>
      <c r="DN143" s="30"/>
      <c r="DO143" s="30"/>
      <c r="DP143" s="30"/>
      <c r="DQ143" s="30"/>
      <c r="DR143" s="30"/>
      <c r="DS143" s="30"/>
      <c r="DT143" s="30"/>
      <c r="DU143" s="30"/>
      <c r="DV143" s="30"/>
      <c r="DW143" s="30"/>
    </row>
    <row r="144" spans="1:127" ht="13">
      <c r="A144" s="39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30"/>
      <c r="DF144" s="30"/>
      <c r="DG144" s="30"/>
      <c r="DH144" s="30"/>
      <c r="DI144" s="30"/>
      <c r="DJ144" s="30"/>
      <c r="DK144" s="30"/>
      <c r="DL144" s="30"/>
      <c r="DM144" s="30"/>
      <c r="DN144" s="30"/>
      <c r="DO144" s="30"/>
      <c r="DP144" s="30"/>
      <c r="DQ144" s="30"/>
      <c r="DR144" s="30"/>
      <c r="DS144" s="30"/>
      <c r="DT144" s="30"/>
      <c r="DU144" s="30"/>
      <c r="DV144" s="30"/>
      <c r="DW144" s="30"/>
    </row>
    <row r="145" spans="1:127" ht="13">
      <c r="A145" s="39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30"/>
      <c r="DF145" s="30"/>
      <c r="DG145" s="30"/>
      <c r="DH145" s="30"/>
      <c r="DI145" s="30"/>
      <c r="DJ145" s="30"/>
      <c r="DK145" s="30"/>
      <c r="DL145" s="30"/>
      <c r="DM145" s="30"/>
      <c r="DN145" s="30"/>
      <c r="DO145" s="30"/>
      <c r="DP145" s="30"/>
      <c r="DQ145" s="30"/>
      <c r="DR145" s="30"/>
      <c r="DS145" s="30"/>
      <c r="DT145" s="30"/>
      <c r="DU145" s="30"/>
      <c r="DV145" s="30"/>
      <c r="DW145" s="30"/>
    </row>
    <row r="146" spans="1:127" ht="13">
      <c r="A146" s="39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30"/>
      <c r="DF146" s="30"/>
      <c r="DG146" s="30"/>
      <c r="DH146" s="30"/>
      <c r="DI146" s="30"/>
      <c r="DJ146" s="30"/>
      <c r="DK146" s="30"/>
      <c r="DL146" s="30"/>
      <c r="DM146" s="30"/>
      <c r="DN146" s="30"/>
      <c r="DO146" s="30"/>
      <c r="DP146" s="30"/>
      <c r="DQ146" s="30"/>
      <c r="DR146" s="30"/>
      <c r="DS146" s="30"/>
      <c r="DT146" s="30"/>
      <c r="DU146" s="30"/>
      <c r="DV146" s="30"/>
      <c r="DW146" s="30"/>
    </row>
    <row r="147" spans="1:127" ht="13">
      <c r="A147" s="39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30"/>
      <c r="DF147" s="30"/>
      <c r="DG147" s="30"/>
      <c r="DH147" s="30"/>
      <c r="DI147" s="30"/>
      <c r="DJ147" s="30"/>
      <c r="DK147" s="30"/>
      <c r="DL147" s="30"/>
      <c r="DM147" s="30"/>
      <c r="DN147" s="30"/>
      <c r="DO147" s="30"/>
      <c r="DP147" s="30"/>
      <c r="DQ147" s="30"/>
      <c r="DR147" s="30"/>
      <c r="DS147" s="30"/>
      <c r="DT147" s="30"/>
      <c r="DU147" s="30"/>
      <c r="DV147" s="30"/>
      <c r="DW147" s="30"/>
    </row>
    <row r="148" spans="1:127" ht="13">
      <c r="A148" s="39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30"/>
      <c r="DF148" s="30"/>
      <c r="DG148" s="30"/>
      <c r="DH148" s="30"/>
      <c r="DI148" s="30"/>
      <c r="DJ148" s="30"/>
      <c r="DK148" s="30"/>
      <c r="DL148" s="30"/>
      <c r="DM148" s="30"/>
      <c r="DN148" s="30"/>
      <c r="DO148" s="30"/>
      <c r="DP148" s="30"/>
      <c r="DQ148" s="30"/>
      <c r="DR148" s="30"/>
      <c r="DS148" s="30"/>
      <c r="DT148" s="30"/>
      <c r="DU148" s="30"/>
      <c r="DV148" s="30"/>
      <c r="DW148" s="30"/>
    </row>
    <row r="149" spans="1:127" ht="13">
      <c r="A149" s="39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30"/>
      <c r="DF149" s="30"/>
      <c r="DG149" s="30"/>
      <c r="DH149" s="30"/>
      <c r="DI149" s="30"/>
      <c r="DJ149" s="30"/>
      <c r="DK149" s="30"/>
      <c r="DL149" s="30"/>
      <c r="DM149" s="30"/>
      <c r="DN149" s="30"/>
      <c r="DO149" s="30"/>
      <c r="DP149" s="30"/>
      <c r="DQ149" s="30"/>
      <c r="DR149" s="30"/>
      <c r="DS149" s="30"/>
      <c r="DT149" s="30"/>
      <c r="DU149" s="30"/>
      <c r="DV149" s="30"/>
      <c r="DW149" s="30"/>
    </row>
    <row r="150" spans="1:127" ht="13">
      <c r="A150" s="39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30"/>
      <c r="DF150" s="30"/>
      <c r="DG150" s="30"/>
      <c r="DH150" s="30"/>
      <c r="DI150" s="30"/>
      <c r="DJ150" s="30"/>
      <c r="DK150" s="30"/>
      <c r="DL150" s="30"/>
      <c r="DM150" s="30"/>
      <c r="DN150" s="30"/>
      <c r="DO150" s="30"/>
      <c r="DP150" s="30"/>
      <c r="DQ150" s="30"/>
      <c r="DR150" s="30"/>
      <c r="DS150" s="30"/>
      <c r="DT150" s="30"/>
      <c r="DU150" s="30"/>
      <c r="DV150" s="30"/>
      <c r="DW150" s="30"/>
    </row>
    <row r="151" spans="1:127" ht="13">
      <c r="A151" s="39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30"/>
      <c r="DF151" s="30"/>
      <c r="DG151" s="30"/>
      <c r="DH151" s="30"/>
      <c r="DI151" s="30"/>
      <c r="DJ151" s="30"/>
      <c r="DK151" s="30"/>
      <c r="DL151" s="30"/>
      <c r="DM151" s="30"/>
      <c r="DN151" s="30"/>
      <c r="DO151" s="30"/>
      <c r="DP151" s="30"/>
      <c r="DQ151" s="30"/>
      <c r="DR151" s="30"/>
      <c r="DS151" s="30"/>
      <c r="DT151" s="30"/>
      <c r="DU151" s="30"/>
      <c r="DV151" s="30"/>
      <c r="DW151" s="30"/>
    </row>
    <row r="152" spans="1:127" ht="13">
      <c r="A152" s="39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30"/>
      <c r="DF152" s="30"/>
      <c r="DG152" s="30"/>
      <c r="DH152" s="30"/>
      <c r="DI152" s="30"/>
      <c r="DJ152" s="30"/>
      <c r="DK152" s="30"/>
      <c r="DL152" s="30"/>
      <c r="DM152" s="30"/>
      <c r="DN152" s="30"/>
      <c r="DO152" s="30"/>
      <c r="DP152" s="30"/>
      <c r="DQ152" s="30"/>
      <c r="DR152" s="30"/>
      <c r="DS152" s="30"/>
      <c r="DT152" s="30"/>
      <c r="DU152" s="30"/>
      <c r="DV152" s="30"/>
      <c r="DW152" s="30"/>
    </row>
    <row r="153" spans="1:127" ht="13">
      <c r="A153" s="39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0"/>
      <c r="DL153" s="30"/>
      <c r="DM153" s="30"/>
      <c r="DN153" s="30"/>
      <c r="DO153" s="30"/>
      <c r="DP153" s="30"/>
      <c r="DQ153" s="30"/>
      <c r="DR153" s="30"/>
      <c r="DS153" s="30"/>
      <c r="DT153" s="30"/>
      <c r="DU153" s="30"/>
      <c r="DV153" s="30"/>
      <c r="DW153" s="30"/>
    </row>
    <row r="154" spans="1:127" ht="13">
      <c r="A154" s="39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30"/>
      <c r="DF154" s="30"/>
      <c r="DG154" s="30"/>
      <c r="DH154" s="30"/>
      <c r="DI154" s="30"/>
      <c r="DJ154" s="30"/>
      <c r="DK154" s="30"/>
      <c r="DL154" s="30"/>
      <c r="DM154" s="30"/>
      <c r="DN154" s="30"/>
      <c r="DO154" s="30"/>
      <c r="DP154" s="30"/>
      <c r="DQ154" s="30"/>
      <c r="DR154" s="30"/>
      <c r="DS154" s="30"/>
      <c r="DT154" s="30"/>
      <c r="DU154" s="30"/>
      <c r="DV154" s="30"/>
      <c r="DW154" s="30"/>
    </row>
    <row r="155" spans="1:127" ht="13">
      <c r="A155" s="39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30"/>
      <c r="DC155" s="30"/>
      <c r="DD155" s="30"/>
      <c r="DE155" s="30"/>
      <c r="DF155" s="30"/>
      <c r="DG155" s="30"/>
      <c r="DH155" s="30"/>
      <c r="DI155" s="30"/>
      <c r="DJ155" s="30"/>
      <c r="DK155" s="30"/>
      <c r="DL155" s="30"/>
      <c r="DM155" s="30"/>
      <c r="DN155" s="30"/>
      <c r="DO155" s="30"/>
      <c r="DP155" s="30"/>
      <c r="DQ155" s="30"/>
      <c r="DR155" s="30"/>
      <c r="DS155" s="30"/>
      <c r="DT155" s="30"/>
      <c r="DU155" s="30"/>
      <c r="DV155" s="30"/>
      <c r="DW155" s="30"/>
    </row>
    <row r="156" spans="1:127" ht="13">
      <c r="A156" s="39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30"/>
      <c r="DF156" s="30"/>
      <c r="DG156" s="30"/>
      <c r="DH156" s="30"/>
      <c r="DI156" s="30"/>
      <c r="DJ156" s="30"/>
      <c r="DK156" s="30"/>
      <c r="DL156" s="30"/>
      <c r="DM156" s="30"/>
      <c r="DN156" s="30"/>
      <c r="DO156" s="30"/>
      <c r="DP156" s="30"/>
      <c r="DQ156" s="30"/>
      <c r="DR156" s="30"/>
      <c r="DS156" s="30"/>
      <c r="DT156" s="30"/>
      <c r="DU156" s="30"/>
      <c r="DV156" s="30"/>
      <c r="DW156" s="30"/>
    </row>
    <row r="157" spans="1:127" ht="13">
      <c r="A157" s="39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30"/>
      <c r="DF157" s="30"/>
      <c r="DG157" s="30"/>
      <c r="DH157" s="30"/>
      <c r="DI157" s="30"/>
      <c r="DJ157" s="30"/>
      <c r="DK157" s="30"/>
      <c r="DL157" s="30"/>
      <c r="DM157" s="30"/>
      <c r="DN157" s="30"/>
      <c r="DO157" s="30"/>
      <c r="DP157" s="30"/>
      <c r="DQ157" s="30"/>
      <c r="DR157" s="30"/>
      <c r="DS157" s="30"/>
      <c r="DT157" s="30"/>
      <c r="DU157" s="30"/>
      <c r="DV157" s="30"/>
      <c r="DW157" s="30"/>
    </row>
    <row r="158" spans="1:127" ht="13">
      <c r="A158" s="39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30"/>
      <c r="DF158" s="30"/>
      <c r="DG158" s="30"/>
      <c r="DH158" s="30"/>
      <c r="DI158" s="30"/>
      <c r="DJ158" s="30"/>
      <c r="DK158" s="30"/>
      <c r="DL158" s="30"/>
      <c r="DM158" s="30"/>
      <c r="DN158" s="30"/>
      <c r="DO158" s="30"/>
      <c r="DP158" s="30"/>
      <c r="DQ158" s="30"/>
      <c r="DR158" s="30"/>
      <c r="DS158" s="30"/>
      <c r="DT158" s="30"/>
      <c r="DU158" s="30"/>
      <c r="DV158" s="30"/>
      <c r="DW158" s="30"/>
    </row>
    <row r="159" spans="1:127" ht="13">
      <c r="A159" s="39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30"/>
      <c r="DF159" s="30"/>
      <c r="DG159" s="30"/>
      <c r="DH159" s="30"/>
      <c r="DI159" s="30"/>
      <c r="DJ159" s="30"/>
      <c r="DK159" s="30"/>
      <c r="DL159" s="30"/>
      <c r="DM159" s="30"/>
      <c r="DN159" s="30"/>
      <c r="DO159" s="30"/>
      <c r="DP159" s="30"/>
      <c r="DQ159" s="30"/>
      <c r="DR159" s="30"/>
      <c r="DS159" s="30"/>
      <c r="DT159" s="30"/>
      <c r="DU159" s="30"/>
      <c r="DV159" s="30"/>
      <c r="DW159" s="30"/>
    </row>
    <row r="160" spans="1:127" ht="13">
      <c r="A160" s="39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30"/>
      <c r="DF160" s="30"/>
      <c r="DG160" s="30"/>
      <c r="DH160" s="30"/>
      <c r="DI160" s="30"/>
      <c r="DJ160" s="30"/>
      <c r="DK160" s="30"/>
      <c r="DL160" s="30"/>
      <c r="DM160" s="30"/>
      <c r="DN160" s="30"/>
      <c r="DO160" s="30"/>
      <c r="DP160" s="30"/>
      <c r="DQ160" s="30"/>
      <c r="DR160" s="30"/>
      <c r="DS160" s="30"/>
      <c r="DT160" s="30"/>
      <c r="DU160" s="30"/>
      <c r="DV160" s="30"/>
      <c r="DW160" s="30"/>
    </row>
    <row r="161" spans="1:127" ht="13">
      <c r="A161" s="39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30"/>
      <c r="DF161" s="30"/>
      <c r="DG161" s="30"/>
      <c r="DH161" s="30"/>
      <c r="DI161" s="30"/>
      <c r="DJ161" s="30"/>
      <c r="DK161" s="30"/>
      <c r="DL161" s="30"/>
      <c r="DM161" s="30"/>
      <c r="DN161" s="30"/>
      <c r="DO161" s="30"/>
      <c r="DP161" s="30"/>
      <c r="DQ161" s="30"/>
      <c r="DR161" s="30"/>
      <c r="DS161" s="30"/>
      <c r="DT161" s="30"/>
      <c r="DU161" s="30"/>
      <c r="DV161" s="30"/>
      <c r="DW161" s="30"/>
    </row>
    <row r="162" spans="1:127" ht="13">
      <c r="A162" s="39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30"/>
      <c r="DF162" s="30"/>
      <c r="DG162" s="30"/>
      <c r="DH162" s="30"/>
      <c r="DI162" s="30"/>
      <c r="DJ162" s="30"/>
      <c r="DK162" s="30"/>
      <c r="DL162" s="30"/>
      <c r="DM162" s="30"/>
      <c r="DN162" s="30"/>
      <c r="DO162" s="30"/>
      <c r="DP162" s="30"/>
      <c r="DQ162" s="30"/>
      <c r="DR162" s="30"/>
      <c r="DS162" s="30"/>
      <c r="DT162" s="30"/>
      <c r="DU162" s="30"/>
      <c r="DV162" s="30"/>
      <c r="DW162" s="30"/>
    </row>
    <row r="163" spans="1:127" ht="13">
      <c r="A163" s="39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30"/>
      <c r="DF163" s="30"/>
      <c r="DG163" s="30"/>
      <c r="DH163" s="30"/>
      <c r="DI163" s="30"/>
      <c r="DJ163" s="30"/>
      <c r="DK163" s="30"/>
      <c r="DL163" s="30"/>
      <c r="DM163" s="30"/>
      <c r="DN163" s="30"/>
      <c r="DO163" s="30"/>
      <c r="DP163" s="30"/>
      <c r="DQ163" s="30"/>
      <c r="DR163" s="30"/>
      <c r="DS163" s="30"/>
      <c r="DT163" s="30"/>
      <c r="DU163" s="30"/>
      <c r="DV163" s="30"/>
      <c r="DW163" s="30"/>
    </row>
    <row r="164" spans="1:127" ht="13">
      <c r="A164" s="39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30"/>
      <c r="DF164" s="30"/>
      <c r="DG164" s="30"/>
      <c r="DH164" s="30"/>
      <c r="DI164" s="30"/>
      <c r="DJ164" s="30"/>
      <c r="DK164" s="30"/>
      <c r="DL164" s="30"/>
      <c r="DM164" s="30"/>
      <c r="DN164" s="30"/>
      <c r="DO164" s="30"/>
      <c r="DP164" s="30"/>
      <c r="DQ164" s="30"/>
      <c r="DR164" s="30"/>
      <c r="DS164" s="30"/>
      <c r="DT164" s="30"/>
      <c r="DU164" s="30"/>
      <c r="DV164" s="30"/>
      <c r="DW164" s="30"/>
    </row>
    <row r="165" spans="1:127" ht="13">
      <c r="A165" s="39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30"/>
      <c r="DF165" s="30"/>
      <c r="DG165" s="30"/>
      <c r="DH165" s="30"/>
      <c r="DI165" s="30"/>
      <c r="DJ165" s="30"/>
      <c r="DK165" s="30"/>
      <c r="DL165" s="30"/>
      <c r="DM165" s="30"/>
      <c r="DN165" s="30"/>
      <c r="DO165" s="30"/>
      <c r="DP165" s="30"/>
      <c r="DQ165" s="30"/>
      <c r="DR165" s="30"/>
      <c r="DS165" s="30"/>
      <c r="DT165" s="30"/>
      <c r="DU165" s="30"/>
      <c r="DV165" s="30"/>
      <c r="DW165" s="30"/>
    </row>
    <row r="166" spans="1:127" ht="13">
      <c r="A166" s="39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0"/>
      <c r="DL166" s="30"/>
      <c r="DM166" s="30"/>
      <c r="DN166" s="30"/>
      <c r="DO166" s="30"/>
      <c r="DP166" s="30"/>
      <c r="DQ166" s="30"/>
      <c r="DR166" s="30"/>
      <c r="DS166" s="30"/>
      <c r="DT166" s="30"/>
      <c r="DU166" s="30"/>
      <c r="DV166" s="30"/>
      <c r="DW166" s="30"/>
    </row>
    <row r="167" spans="1:127" ht="13">
      <c r="A167" s="39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  <c r="DE167" s="30"/>
      <c r="DF167" s="30"/>
      <c r="DG167" s="30"/>
      <c r="DH167" s="30"/>
      <c r="DI167" s="30"/>
      <c r="DJ167" s="30"/>
      <c r="DK167" s="30"/>
      <c r="DL167" s="30"/>
      <c r="DM167" s="30"/>
      <c r="DN167" s="30"/>
      <c r="DO167" s="30"/>
      <c r="DP167" s="30"/>
      <c r="DQ167" s="30"/>
      <c r="DR167" s="30"/>
      <c r="DS167" s="30"/>
      <c r="DT167" s="30"/>
      <c r="DU167" s="30"/>
      <c r="DV167" s="30"/>
      <c r="DW167" s="30"/>
    </row>
    <row r="168" spans="1:127" ht="13">
      <c r="A168" s="39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  <c r="DC168" s="30"/>
      <c r="DD168" s="30"/>
      <c r="DE168" s="30"/>
      <c r="DF168" s="30"/>
      <c r="DG168" s="30"/>
      <c r="DH168" s="30"/>
      <c r="DI168" s="30"/>
      <c r="DJ168" s="30"/>
      <c r="DK168" s="30"/>
      <c r="DL168" s="30"/>
      <c r="DM168" s="30"/>
      <c r="DN168" s="30"/>
      <c r="DO168" s="30"/>
      <c r="DP168" s="30"/>
      <c r="DQ168" s="30"/>
      <c r="DR168" s="30"/>
      <c r="DS168" s="30"/>
      <c r="DT168" s="30"/>
      <c r="DU168" s="30"/>
      <c r="DV168" s="30"/>
      <c r="DW168" s="30"/>
    </row>
    <row r="169" spans="1:127" ht="13">
      <c r="A169" s="39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  <c r="DD169" s="30"/>
      <c r="DE169" s="30"/>
      <c r="DF169" s="30"/>
      <c r="DG169" s="30"/>
      <c r="DH169" s="30"/>
      <c r="DI169" s="30"/>
      <c r="DJ169" s="30"/>
      <c r="DK169" s="30"/>
      <c r="DL169" s="30"/>
      <c r="DM169" s="30"/>
      <c r="DN169" s="30"/>
      <c r="DO169" s="30"/>
      <c r="DP169" s="30"/>
      <c r="DQ169" s="30"/>
      <c r="DR169" s="30"/>
      <c r="DS169" s="30"/>
      <c r="DT169" s="30"/>
      <c r="DU169" s="30"/>
      <c r="DV169" s="30"/>
      <c r="DW169" s="30"/>
    </row>
    <row r="170" spans="1:127" ht="13">
      <c r="A170" s="39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/>
      <c r="DD170" s="30"/>
      <c r="DE170" s="30"/>
      <c r="DF170" s="30"/>
      <c r="DG170" s="30"/>
      <c r="DH170" s="30"/>
      <c r="DI170" s="30"/>
      <c r="DJ170" s="30"/>
      <c r="DK170" s="30"/>
      <c r="DL170" s="30"/>
      <c r="DM170" s="30"/>
      <c r="DN170" s="30"/>
      <c r="DO170" s="30"/>
      <c r="DP170" s="30"/>
      <c r="DQ170" s="30"/>
      <c r="DR170" s="30"/>
      <c r="DS170" s="30"/>
      <c r="DT170" s="30"/>
      <c r="DU170" s="30"/>
      <c r="DV170" s="30"/>
      <c r="DW170" s="30"/>
    </row>
    <row r="171" spans="1:127" ht="13">
      <c r="A171" s="39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C171" s="30"/>
      <c r="DD171" s="30"/>
      <c r="DE171" s="30"/>
      <c r="DF171" s="30"/>
      <c r="DG171" s="30"/>
      <c r="DH171" s="30"/>
      <c r="DI171" s="30"/>
      <c r="DJ171" s="30"/>
      <c r="DK171" s="30"/>
      <c r="DL171" s="30"/>
      <c r="DM171" s="30"/>
      <c r="DN171" s="30"/>
      <c r="DO171" s="30"/>
      <c r="DP171" s="30"/>
      <c r="DQ171" s="30"/>
      <c r="DR171" s="30"/>
      <c r="DS171" s="30"/>
      <c r="DT171" s="30"/>
      <c r="DU171" s="30"/>
      <c r="DV171" s="30"/>
      <c r="DW171" s="30"/>
    </row>
    <row r="172" spans="1:127" ht="13">
      <c r="A172" s="39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C172" s="30"/>
      <c r="DD172" s="30"/>
      <c r="DE172" s="30"/>
      <c r="DF172" s="30"/>
      <c r="DG172" s="30"/>
      <c r="DH172" s="30"/>
      <c r="DI172" s="30"/>
      <c r="DJ172" s="30"/>
      <c r="DK172" s="30"/>
      <c r="DL172" s="30"/>
      <c r="DM172" s="30"/>
      <c r="DN172" s="30"/>
      <c r="DO172" s="30"/>
      <c r="DP172" s="30"/>
      <c r="DQ172" s="30"/>
      <c r="DR172" s="30"/>
      <c r="DS172" s="30"/>
      <c r="DT172" s="30"/>
      <c r="DU172" s="30"/>
      <c r="DV172" s="30"/>
      <c r="DW172" s="30"/>
    </row>
    <row r="173" spans="1:127" ht="13">
      <c r="A173" s="39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/>
      <c r="DH173" s="30"/>
      <c r="DI173" s="30"/>
      <c r="DJ173" s="30"/>
      <c r="DK173" s="30"/>
      <c r="DL173" s="30"/>
      <c r="DM173" s="30"/>
      <c r="DN173" s="30"/>
      <c r="DO173" s="30"/>
      <c r="DP173" s="30"/>
      <c r="DQ173" s="30"/>
      <c r="DR173" s="30"/>
      <c r="DS173" s="30"/>
      <c r="DT173" s="30"/>
      <c r="DU173" s="30"/>
      <c r="DV173" s="30"/>
      <c r="DW173" s="30"/>
    </row>
    <row r="174" spans="1:127" ht="13">
      <c r="A174" s="39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/>
      <c r="DH174" s="30"/>
      <c r="DI174" s="30"/>
      <c r="DJ174" s="30"/>
      <c r="DK174" s="30"/>
      <c r="DL174" s="30"/>
      <c r="DM174" s="30"/>
      <c r="DN174" s="30"/>
      <c r="DO174" s="30"/>
      <c r="DP174" s="30"/>
      <c r="DQ174" s="30"/>
      <c r="DR174" s="30"/>
      <c r="DS174" s="30"/>
      <c r="DT174" s="30"/>
      <c r="DU174" s="30"/>
      <c r="DV174" s="30"/>
      <c r="DW174" s="30"/>
    </row>
    <row r="175" spans="1:127" ht="13">
      <c r="A175" s="39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/>
      <c r="DK175" s="30"/>
      <c r="DL175" s="30"/>
      <c r="DM175" s="30"/>
      <c r="DN175" s="30"/>
      <c r="DO175" s="30"/>
      <c r="DP175" s="30"/>
      <c r="DQ175" s="30"/>
      <c r="DR175" s="30"/>
      <c r="DS175" s="30"/>
      <c r="DT175" s="30"/>
      <c r="DU175" s="30"/>
      <c r="DV175" s="30"/>
      <c r="DW175" s="30"/>
    </row>
    <row r="176" spans="1:127" ht="13">
      <c r="A176" s="39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  <c r="DE176" s="30"/>
      <c r="DF176" s="30"/>
      <c r="DG176" s="30"/>
      <c r="DH176" s="30"/>
      <c r="DI176" s="30"/>
      <c r="DJ176" s="30"/>
      <c r="DK176" s="30"/>
      <c r="DL176" s="30"/>
      <c r="DM176" s="30"/>
      <c r="DN176" s="30"/>
      <c r="DO176" s="30"/>
      <c r="DP176" s="30"/>
      <c r="DQ176" s="30"/>
      <c r="DR176" s="30"/>
      <c r="DS176" s="30"/>
      <c r="DT176" s="30"/>
      <c r="DU176" s="30"/>
      <c r="DV176" s="30"/>
      <c r="DW176" s="30"/>
    </row>
    <row r="177" spans="1:127" ht="13">
      <c r="A177" s="39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/>
      <c r="DD177" s="30"/>
      <c r="DE177" s="30"/>
      <c r="DF177" s="30"/>
      <c r="DG177" s="30"/>
      <c r="DH177" s="30"/>
      <c r="DI177" s="30"/>
      <c r="DJ177" s="30"/>
      <c r="DK177" s="30"/>
      <c r="DL177" s="30"/>
      <c r="DM177" s="30"/>
      <c r="DN177" s="30"/>
      <c r="DO177" s="30"/>
      <c r="DP177" s="30"/>
      <c r="DQ177" s="30"/>
      <c r="DR177" s="30"/>
      <c r="DS177" s="30"/>
      <c r="DT177" s="30"/>
      <c r="DU177" s="30"/>
      <c r="DV177" s="30"/>
      <c r="DW177" s="30"/>
    </row>
    <row r="178" spans="1:127" ht="13">
      <c r="A178" s="39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0"/>
      <c r="DL178" s="30"/>
      <c r="DM178" s="30"/>
      <c r="DN178" s="30"/>
      <c r="DO178" s="30"/>
      <c r="DP178" s="30"/>
      <c r="DQ178" s="30"/>
      <c r="DR178" s="30"/>
      <c r="DS178" s="30"/>
      <c r="DT178" s="30"/>
      <c r="DU178" s="30"/>
      <c r="DV178" s="30"/>
      <c r="DW178" s="30"/>
    </row>
    <row r="179" spans="1:127" ht="13">
      <c r="A179" s="39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30"/>
      <c r="DO179" s="30"/>
      <c r="DP179" s="30"/>
      <c r="DQ179" s="30"/>
      <c r="DR179" s="30"/>
      <c r="DS179" s="30"/>
      <c r="DT179" s="30"/>
      <c r="DU179" s="30"/>
      <c r="DV179" s="30"/>
      <c r="DW179" s="30"/>
    </row>
    <row r="180" spans="1:127" ht="13">
      <c r="A180" s="39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C180" s="30"/>
      <c r="DD180" s="30"/>
      <c r="DE180" s="30"/>
      <c r="DF180" s="30"/>
      <c r="DG180" s="30"/>
      <c r="DH180" s="30"/>
      <c r="DI180" s="30"/>
      <c r="DJ180" s="30"/>
      <c r="DK180" s="30"/>
      <c r="DL180" s="30"/>
      <c r="DM180" s="30"/>
      <c r="DN180" s="30"/>
      <c r="DO180" s="30"/>
      <c r="DP180" s="30"/>
      <c r="DQ180" s="30"/>
      <c r="DR180" s="30"/>
      <c r="DS180" s="30"/>
      <c r="DT180" s="30"/>
      <c r="DU180" s="30"/>
      <c r="DV180" s="30"/>
      <c r="DW180" s="30"/>
    </row>
    <row r="181" spans="1:127" ht="13">
      <c r="A181" s="39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30"/>
      <c r="DO181" s="30"/>
      <c r="DP181" s="30"/>
      <c r="DQ181" s="30"/>
      <c r="DR181" s="30"/>
      <c r="DS181" s="30"/>
      <c r="DT181" s="30"/>
      <c r="DU181" s="30"/>
      <c r="DV181" s="30"/>
      <c r="DW181" s="30"/>
    </row>
    <row r="182" spans="1:127" ht="13">
      <c r="A182" s="39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  <c r="CC182" s="30"/>
      <c r="CD182" s="3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C182" s="30"/>
      <c r="DD182" s="30"/>
      <c r="DE182" s="30"/>
      <c r="DF182" s="30"/>
      <c r="DG182" s="30"/>
      <c r="DH182" s="30"/>
      <c r="DI182" s="30"/>
      <c r="DJ182" s="30"/>
      <c r="DK182" s="30"/>
      <c r="DL182" s="30"/>
      <c r="DM182" s="30"/>
      <c r="DN182" s="30"/>
      <c r="DO182" s="30"/>
      <c r="DP182" s="30"/>
      <c r="DQ182" s="30"/>
      <c r="DR182" s="30"/>
      <c r="DS182" s="30"/>
      <c r="DT182" s="30"/>
      <c r="DU182" s="30"/>
      <c r="DV182" s="30"/>
      <c r="DW182" s="30"/>
    </row>
    <row r="183" spans="1:127" ht="13">
      <c r="A183" s="39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  <c r="DE183" s="30"/>
      <c r="DF183" s="30"/>
      <c r="DG183" s="30"/>
      <c r="DH183" s="30"/>
      <c r="DI183" s="30"/>
      <c r="DJ183" s="30"/>
      <c r="DK183" s="30"/>
      <c r="DL183" s="30"/>
      <c r="DM183" s="30"/>
      <c r="DN183" s="30"/>
      <c r="DO183" s="30"/>
      <c r="DP183" s="30"/>
      <c r="DQ183" s="30"/>
      <c r="DR183" s="30"/>
      <c r="DS183" s="30"/>
      <c r="DT183" s="30"/>
      <c r="DU183" s="30"/>
      <c r="DV183" s="30"/>
      <c r="DW183" s="30"/>
    </row>
    <row r="184" spans="1:127" ht="13">
      <c r="A184" s="39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/>
      <c r="DD184" s="30"/>
      <c r="DE184" s="30"/>
      <c r="DF184" s="30"/>
      <c r="DG184" s="30"/>
      <c r="DH184" s="30"/>
      <c r="DI184" s="30"/>
      <c r="DJ184" s="30"/>
      <c r="DK184" s="30"/>
      <c r="DL184" s="30"/>
      <c r="DM184" s="30"/>
      <c r="DN184" s="30"/>
      <c r="DO184" s="30"/>
      <c r="DP184" s="30"/>
      <c r="DQ184" s="30"/>
      <c r="DR184" s="30"/>
      <c r="DS184" s="30"/>
      <c r="DT184" s="30"/>
      <c r="DU184" s="30"/>
      <c r="DV184" s="30"/>
      <c r="DW184" s="30"/>
    </row>
    <row r="185" spans="1:127" ht="13">
      <c r="A185" s="39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  <c r="DE185" s="30"/>
      <c r="DF185" s="30"/>
      <c r="DG185" s="30"/>
      <c r="DH185" s="30"/>
      <c r="DI185" s="30"/>
      <c r="DJ185" s="30"/>
      <c r="DK185" s="30"/>
      <c r="DL185" s="30"/>
      <c r="DM185" s="30"/>
      <c r="DN185" s="30"/>
      <c r="DO185" s="30"/>
      <c r="DP185" s="30"/>
      <c r="DQ185" s="30"/>
      <c r="DR185" s="30"/>
      <c r="DS185" s="30"/>
      <c r="DT185" s="30"/>
      <c r="DU185" s="30"/>
      <c r="DV185" s="30"/>
      <c r="DW185" s="30"/>
    </row>
    <row r="186" spans="1:127" ht="13">
      <c r="A186" s="39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C186" s="30"/>
      <c r="DD186" s="30"/>
      <c r="DE186" s="30"/>
      <c r="DF186" s="30"/>
      <c r="DG186" s="30"/>
      <c r="DH186" s="30"/>
      <c r="DI186" s="30"/>
      <c r="DJ186" s="30"/>
      <c r="DK186" s="30"/>
      <c r="DL186" s="30"/>
      <c r="DM186" s="30"/>
      <c r="DN186" s="30"/>
      <c r="DO186" s="30"/>
      <c r="DP186" s="30"/>
      <c r="DQ186" s="30"/>
      <c r="DR186" s="30"/>
      <c r="DS186" s="30"/>
      <c r="DT186" s="30"/>
      <c r="DU186" s="30"/>
      <c r="DV186" s="30"/>
      <c r="DW186" s="30"/>
    </row>
    <row r="187" spans="1:127" ht="13">
      <c r="A187" s="39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/>
      <c r="DD187" s="30"/>
      <c r="DE187" s="30"/>
      <c r="DF187" s="30"/>
      <c r="DG187" s="30"/>
      <c r="DH187" s="30"/>
      <c r="DI187" s="30"/>
      <c r="DJ187" s="30"/>
      <c r="DK187" s="30"/>
      <c r="DL187" s="30"/>
      <c r="DM187" s="30"/>
      <c r="DN187" s="30"/>
      <c r="DO187" s="30"/>
      <c r="DP187" s="30"/>
      <c r="DQ187" s="30"/>
      <c r="DR187" s="30"/>
      <c r="DS187" s="30"/>
      <c r="DT187" s="30"/>
      <c r="DU187" s="30"/>
      <c r="DV187" s="30"/>
      <c r="DW187" s="30"/>
    </row>
    <row r="188" spans="1:127" ht="13">
      <c r="A188" s="39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  <c r="CB188" s="30"/>
      <c r="CC188" s="30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C188" s="30"/>
      <c r="DD188" s="30"/>
      <c r="DE188" s="30"/>
      <c r="DF188" s="30"/>
      <c r="DG188" s="30"/>
      <c r="DH188" s="30"/>
      <c r="DI188" s="30"/>
      <c r="DJ188" s="30"/>
      <c r="DK188" s="30"/>
      <c r="DL188" s="30"/>
      <c r="DM188" s="30"/>
      <c r="DN188" s="30"/>
      <c r="DO188" s="30"/>
      <c r="DP188" s="30"/>
      <c r="DQ188" s="30"/>
      <c r="DR188" s="30"/>
      <c r="DS188" s="30"/>
      <c r="DT188" s="30"/>
      <c r="DU188" s="30"/>
      <c r="DV188" s="30"/>
      <c r="DW188" s="30"/>
    </row>
    <row r="189" spans="1:127" ht="13">
      <c r="A189" s="39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C189" s="30"/>
      <c r="DD189" s="30"/>
      <c r="DE189" s="30"/>
      <c r="DF189" s="30"/>
      <c r="DG189" s="30"/>
      <c r="DH189" s="30"/>
      <c r="DI189" s="30"/>
      <c r="DJ189" s="30"/>
      <c r="DK189" s="30"/>
      <c r="DL189" s="30"/>
      <c r="DM189" s="30"/>
      <c r="DN189" s="30"/>
      <c r="DO189" s="30"/>
      <c r="DP189" s="30"/>
      <c r="DQ189" s="30"/>
      <c r="DR189" s="30"/>
      <c r="DS189" s="30"/>
      <c r="DT189" s="30"/>
      <c r="DU189" s="30"/>
      <c r="DV189" s="30"/>
      <c r="DW189" s="30"/>
    </row>
    <row r="190" spans="1:127" ht="13">
      <c r="A190" s="39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0"/>
      <c r="DL190" s="30"/>
      <c r="DM190" s="30"/>
      <c r="DN190" s="30"/>
      <c r="DO190" s="30"/>
      <c r="DP190" s="30"/>
      <c r="DQ190" s="30"/>
      <c r="DR190" s="30"/>
      <c r="DS190" s="30"/>
      <c r="DT190" s="30"/>
      <c r="DU190" s="30"/>
      <c r="DV190" s="30"/>
      <c r="DW190" s="30"/>
    </row>
    <row r="191" spans="1:127" ht="13">
      <c r="A191" s="39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C191" s="30"/>
      <c r="DD191" s="30"/>
      <c r="DE191" s="30"/>
      <c r="DF191" s="30"/>
      <c r="DG191" s="30"/>
      <c r="DH191" s="30"/>
      <c r="DI191" s="30"/>
      <c r="DJ191" s="30"/>
      <c r="DK191" s="30"/>
      <c r="DL191" s="30"/>
      <c r="DM191" s="30"/>
      <c r="DN191" s="30"/>
      <c r="DO191" s="30"/>
      <c r="DP191" s="30"/>
      <c r="DQ191" s="30"/>
      <c r="DR191" s="30"/>
      <c r="DS191" s="30"/>
      <c r="DT191" s="30"/>
      <c r="DU191" s="30"/>
      <c r="DV191" s="30"/>
      <c r="DW191" s="30"/>
    </row>
    <row r="192" spans="1:127" ht="13">
      <c r="A192" s="39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/>
      <c r="CA192" s="30"/>
      <c r="CB192" s="30"/>
      <c r="CC192" s="30"/>
      <c r="CD192" s="3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C192" s="30"/>
      <c r="DD192" s="30"/>
      <c r="DE192" s="30"/>
      <c r="DF192" s="30"/>
      <c r="DG192" s="30"/>
      <c r="DH192" s="30"/>
      <c r="DI192" s="30"/>
      <c r="DJ192" s="30"/>
      <c r="DK192" s="30"/>
      <c r="DL192" s="30"/>
      <c r="DM192" s="30"/>
      <c r="DN192" s="30"/>
      <c r="DO192" s="30"/>
      <c r="DP192" s="30"/>
      <c r="DQ192" s="30"/>
      <c r="DR192" s="30"/>
      <c r="DS192" s="30"/>
      <c r="DT192" s="30"/>
      <c r="DU192" s="30"/>
      <c r="DV192" s="30"/>
      <c r="DW192" s="30"/>
    </row>
    <row r="193" spans="1:127" ht="13">
      <c r="A193" s="39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  <c r="BW193" s="30"/>
      <c r="BX193" s="30"/>
      <c r="BY193" s="30"/>
      <c r="BZ193" s="30"/>
      <c r="CA193" s="30"/>
      <c r="CB193" s="30"/>
      <c r="CC193" s="30"/>
      <c r="CD193" s="3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C193" s="30"/>
      <c r="DD193" s="30"/>
      <c r="DE193" s="30"/>
      <c r="DF193" s="30"/>
      <c r="DG193" s="30"/>
      <c r="DH193" s="30"/>
      <c r="DI193" s="30"/>
      <c r="DJ193" s="30"/>
      <c r="DK193" s="30"/>
      <c r="DL193" s="30"/>
      <c r="DM193" s="30"/>
      <c r="DN193" s="30"/>
      <c r="DO193" s="30"/>
      <c r="DP193" s="30"/>
      <c r="DQ193" s="30"/>
      <c r="DR193" s="30"/>
      <c r="DS193" s="30"/>
      <c r="DT193" s="30"/>
      <c r="DU193" s="30"/>
      <c r="DV193" s="30"/>
      <c r="DW193" s="30"/>
    </row>
    <row r="194" spans="1:127" ht="13">
      <c r="A194" s="39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  <c r="BW194" s="30"/>
      <c r="BX194" s="30"/>
      <c r="BY194" s="30"/>
      <c r="BZ194" s="30"/>
      <c r="CA194" s="30"/>
      <c r="CB194" s="30"/>
      <c r="CC194" s="30"/>
      <c r="CD194" s="3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C194" s="30"/>
      <c r="DD194" s="30"/>
      <c r="DE194" s="30"/>
      <c r="DF194" s="30"/>
      <c r="DG194" s="30"/>
      <c r="DH194" s="30"/>
      <c r="DI194" s="30"/>
      <c r="DJ194" s="30"/>
      <c r="DK194" s="30"/>
      <c r="DL194" s="30"/>
      <c r="DM194" s="30"/>
      <c r="DN194" s="30"/>
      <c r="DO194" s="30"/>
      <c r="DP194" s="30"/>
      <c r="DQ194" s="30"/>
      <c r="DR194" s="30"/>
      <c r="DS194" s="30"/>
      <c r="DT194" s="30"/>
      <c r="DU194" s="30"/>
      <c r="DV194" s="30"/>
      <c r="DW194" s="30"/>
    </row>
    <row r="195" spans="1:127" ht="13">
      <c r="A195" s="39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  <c r="BV195" s="30"/>
      <c r="BW195" s="30"/>
      <c r="BX195" s="30"/>
      <c r="BY195" s="30"/>
      <c r="BZ195" s="30"/>
      <c r="CA195" s="30"/>
      <c r="CB195" s="30"/>
      <c r="CC195" s="30"/>
      <c r="CD195" s="30"/>
      <c r="CE195" s="30"/>
      <c r="CF195" s="30"/>
      <c r="CG195" s="30"/>
      <c r="CH195" s="30"/>
      <c r="CI195" s="30"/>
      <c r="CJ195" s="30"/>
      <c r="CK195" s="30"/>
      <c r="CL195" s="30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  <c r="DB195" s="30"/>
      <c r="DC195" s="30"/>
      <c r="DD195" s="30"/>
      <c r="DE195" s="30"/>
      <c r="DF195" s="30"/>
      <c r="DG195" s="30"/>
      <c r="DH195" s="30"/>
      <c r="DI195" s="30"/>
      <c r="DJ195" s="30"/>
      <c r="DK195" s="30"/>
      <c r="DL195" s="30"/>
      <c r="DM195" s="30"/>
      <c r="DN195" s="30"/>
      <c r="DO195" s="30"/>
      <c r="DP195" s="30"/>
      <c r="DQ195" s="30"/>
      <c r="DR195" s="30"/>
      <c r="DS195" s="30"/>
      <c r="DT195" s="30"/>
      <c r="DU195" s="30"/>
      <c r="DV195" s="30"/>
      <c r="DW195" s="30"/>
    </row>
    <row r="196" spans="1:127" ht="13">
      <c r="A196" s="39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C196" s="30"/>
      <c r="DD196" s="30"/>
      <c r="DE196" s="30"/>
      <c r="DF196" s="30"/>
      <c r="DG196" s="30"/>
      <c r="DH196" s="30"/>
      <c r="DI196" s="30"/>
      <c r="DJ196" s="30"/>
      <c r="DK196" s="30"/>
      <c r="DL196" s="30"/>
      <c r="DM196" s="30"/>
      <c r="DN196" s="30"/>
      <c r="DO196" s="30"/>
      <c r="DP196" s="30"/>
      <c r="DQ196" s="30"/>
      <c r="DR196" s="30"/>
      <c r="DS196" s="30"/>
      <c r="DT196" s="30"/>
      <c r="DU196" s="30"/>
      <c r="DV196" s="30"/>
      <c r="DW196" s="30"/>
    </row>
    <row r="197" spans="1:127" ht="13">
      <c r="A197" s="39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  <c r="BV197" s="30"/>
      <c r="BW197" s="30"/>
      <c r="BX197" s="30"/>
      <c r="BY197" s="30"/>
      <c r="BZ197" s="30"/>
      <c r="CA197" s="30"/>
      <c r="CB197" s="30"/>
      <c r="CC197" s="30"/>
      <c r="CD197" s="30"/>
      <c r="CE197" s="30"/>
      <c r="CF197" s="30"/>
      <c r="CG197" s="30"/>
      <c r="CH197" s="30"/>
      <c r="CI197" s="30"/>
      <c r="CJ197" s="30"/>
      <c r="CK197" s="30"/>
      <c r="CL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C197" s="30"/>
      <c r="DD197" s="30"/>
      <c r="DE197" s="30"/>
      <c r="DF197" s="30"/>
      <c r="DG197" s="30"/>
      <c r="DH197" s="30"/>
      <c r="DI197" s="30"/>
      <c r="DJ197" s="30"/>
      <c r="DK197" s="30"/>
      <c r="DL197" s="30"/>
      <c r="DM197" s="30"/>
      <c r="DN197" s="30"/>
      <c r="DO197" s="30"/>
      <c r="DP197" s="30"/>
      <c r="DQ197" s="30"/>
      <c r="DR197" s="30"/>
      <c r="DS197" s="30"/>
      <c r="DT197" s="30"/>
      <c r="DU197" s="30"/>
      <c r="DV197" s="30"/>
      <c r="DW197" s="30"/>
    </row>
    <row r="198" spans="1:127" ht="13">
      <c r="A198" s="39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C198" s="30"/>
      <c r="DD198" s="30"/>
      <c r="DE198" s="30"/>
      <c r="DF198" s="30"/>
      <c r="DG198" s="30"/>
      <c r="DH198" s="30"/>
      <c r="DI198" s="30"/>
      <c r="DJ198" s="30"/>
      <c r="DK198" s="30"/>
      <c r="DL198" s="30"/>
      <c r="DM198" s="30"/>
      <c r="DN198" s="30"/>
      <c r="DO198" s="30"/>
      <c r="DP198" s="30"/>
      <c r="DQ198" s="30"/>
      <c r="DR198" s="30"/>
      <c r="DS198" s="30"/>
      <c r="DT198" s="30"/>
      <c r="DU198" s="30"/>
      <c r="DV198" s="30"/>
      <c r="DW198" s="30"/>
    </row>
    <row r="199" spans="1:127" ht="13">
      <c r="A199" s="39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  <c r="BV199" s="30"/>
      <c r="BW199" s="30"/>
      <c r="BX199" s="30"/>
      <c r="BY199" s="30"/>
      <c r="BZ199" s="30"/>
      <c r="CA199" s="30"/>
      <c r="CB199" s="30"/>
      <c r="CC199" s="30"/>
      <c r="CD199" s="30"/>
      <c r="CE199" s="30"/>
      <c r="CF199" s="30"/>
      <c r="CG199" s="30"/>
      <c r="CH199" s="30"/>
      <c r="CI199" s="30"/>
      <c r="CJ199" s="30"/>
      <c r="CK199" s="30"/>
      <c r="CL199" s="30"/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  <c r="DB199" s="30"/>
      <c r="DC199" s="30"/>
      <c r="DD199" s="30"/>
      <c r="DE199" s="30"/>
      <c r="DF199" s="30"/>
      <c r="DG199" s="30"/>
      <c r="DH199" s="30"/>
      <c r="DI199" s="30"/>
      <c r="DJ199" s="30"/>
      <c r="DK199" s="30"/>
      <c r="DL199" s="30"/>
      <c r="DM199" s="30"/>
      <c r="DN199" s="30"/>
      <c r="DO199" s="30"/>
      <c r="DP199" s="30"/>
      <c r="DQ199" s="30"/>
      <c r="DR199" s="30"/>
      <c r="DS199" s="30"/>
      <c r="DT199" s="30"/>
      <c r="DU199" s="30"/>
      <c r="DV199" s="30"/>
      <c r="DW199" s="30"/>
    </row>
    <row r="200" spans="1:127" ht="13">
      <c r="A200" s="39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C200" s="30"/>
      <c r="DD200" s="30"/>
      <c r="DE200" s="30"/>
      <c r="DF200" s="30"/>
      <c r="DG200" s="30"/>
      <c r="DH200" s="30"/>
      <c r="DI200" s="30"/>
      <c r="DJ200" s="30"/>
      <c r="DK200" s="30"/>
      <c r="DL200" s="30"/>
      <c r="DM200" s="30"/>
      <c r="DN200" s="30"/>
      <c r="DO200" s="30"/>
      <c r="DP200" s="30"/>
      <c r="DQ200" s="30"/>
      <c r="DR200" s="30"/>
      <c r="DS200" s="30"/>
      <c r="DT200" s="30"/>
      <c r="DU200" s="30"/>
      <c r="DV200" s="30"/>
      <c r="DW200" s="30"/>
    </row>
    <row r="201" spans="1:127" ht="13">
      <c r="A201" s="39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  <c r="BV201" s="30"/>
      <c r="BW201" s="30"/>
      <c r="BX201" s="30"/>
      <c r="BY201" s="30"/>
      <c r="BZ201" s="30"/>
      <c r="CA201" s="30"/>
      <c r="CB201" s="30"/>
      <c r="CC201" s="30"/>
      <c r="CD201" s="30"/>
      <c r="CE201" s="30"/>
      <c r="CF201" s="30"/>
      <c r="CG201" s="30"/>
      <c r="CH201" s="30"/>
      <c r="CI201" s="30"/>
      <c r="CJ201" s="30"/>
      <c r="CK201" s="30"/>
      <c r="CL201" s="30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  <c r="CW201" s="30"/>
      <c r="CX201" s="30"/>
      <c r="CY201" s="30"/>
      <c r="CZ201" s="30"/>
      <c r="DA201" s="30"/>
      <c r="DB201" s="30"/>
      <c r="DC201" s="30"/>
      <c r="DD201" s="30"/>
      <c r="DE201" s="30"/>
      <c r="DF201" s="30"/>
      <c r="DG201" s="30"/>
      <c r="DH201" s="30"/>
      <c r="DI201" s="30"/>
      <c r="DJ201" s="30"/>
      <c r="DK201" s="30"/>
      <c r="DL201" s="30"/>
      <c r="DM201" s="30"/>
      <c r="DN201" s="30"/>
      <c r="DO201" s="30"/>
      <c r="DP201" s="30"/>
      <c r="DQ201" s="30"/>
      <c r="DR201" s="30"/>
      <c r="DS201" s="30"/>
      <c r="DT201" s="30"/>
      <c r="DU201" s="30"/>
      <c r="DV201" s="30"/>
      <c r="DW201" s="30"/>
    </row>
    <row r="202" spans="1:127" ht="13">
      <c r="A202" s="39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0"/>
      <c r="DL202" s="30"/>
      <c r="DM202" s="30"/>
      <c r="DN202" s="30"/>
      <c r="DO202" s="30"/>
      <c r="DP202" s="30"/>
      <c r="DQ202" s="30"/>
      <c r="DR202" s="30"/>
      <c r="DS202" s="30"/>
      <c r="DT202" s="30"/>
      <c r="DU202" s="30"/>
      <c r="DV202" s="30"/>
      <c r="DW202" s="30"/>
    </row>
    <row r="203" spans="1:127" ht="13">
      <c r="A203" s="39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  <c r="BV203" s="30"/>
      <c r="BW203" s="30"/>
      <c r="BX203" s="30"/>
      <c r="BY203" s="30"/>
      <c r="BZ203" s="30"/>
      <c r="CA203" s="30"/>
      <c r="CB203" s="30"/>
      <c r="CC203" s="30"/>
      <c r="CD203" s="30"/>
      <c r="CE203" s="30"/>
      <c r="CF203" s="30"/>
      <c r="CG203" s="30"/>
      <c r="CH203" s="30"/>
      <c r="CI203" s="30"/>
      <c r="CJ203" s="30"/>
      <c r="CK203" s="30"/>
      <c r="CL203" s="3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C203" s="30"/>
      <c r="DD203" s="30"/>
      <c r="DE203" s="30"/>
      <c r="DF203" s="30"/>
      <c r="DG203" s="30"/>
      <c r="DH203" s="30"/>
      <c r="DI203" s="30"/>
      <c r="DJ203" s="30"/>
      <c r="DK203" s="30"/>
      <c r="DL203" s="30"/>
      <c r="DM203" s="30"/>
      <c r="DN203" s="30"/>
      <c r="DO203" s="30"/>
      <c r="DP203" s="30"/>
      <c r="DQ203" s="30"/>
      <c r="DR203" s="30"/>
      <c r="DS203" s="30"/>
      <c r="DT203" s="30"/>
      <c r="DU203" s="30"/>
      <c r="DV203" s="30"/>
      <c r="DW203" s="30"/>
    </row>
    <row r="204" spans="1:127" ht="13">
      <c r="A204" s="39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  <c r="BW204" s="30"/>
      <c r="BX204" s="30"/>
      <c r="BY204" s="30"/>
      <c r="BZ204" s="30"/>
      <c r="CA204" s="30"/>
      <c r="CB204" s="30"/>
      <c r="CC204" s="30"/>
      <c r="CD204" s="3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C204" s="30"/>
      <c r="DD204" s="30"/>
      <c r="DE204" s="30"/>
      <c r="DF204" s="30"/>
      <c r="DG204" s="30"/>
      <c r="DH204" s="30"/>
      <c r="DI204" s="30"/>
      <c r="DJ204" s="30"/>
      <c r="DK204" s="30"/>
      <c r="DL204" s="30"/>
      <c r="DM204" s="30"/>
      <c r="DN204" s="30"/>
      <c r="DO204" s="30"/>
      <c r="DP204" s="30"/>
      <c r="DQ204" s="30"/>
      <c r="DR204" s="30"/>
      <c r="DS204" s="30"/>
      <c r="DT204" s="30"/>
      <c r="DU204" s="30"/>
      <c r="DV204" s="30"/>
      <c r="DW204" s="30"/>
    </row>
    <row r="205" spans="1:127" ht="13">
      <c r="A205" s="39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  <c r="CC205" s="30"/>
      <c r="CD205" s="3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C205" s="30"/>
      <c r="DD205" s="30"/>
      <c r="DE205" s="30"/>
      <c r="DF205" s="30"/>
      <c r="DG205" s="30"/>
      <c r="DH205" s="30"/>
      <c r="DI205" s="30"/>
      <c r="DJ205" s="30"/>
      <c r="DK205" s="30"/>
      <c r="DL205" s="30"/>
      <c r="DM205" s="30"/>
      <c r="DN205" s="30"/>
      <c r="DO205" s="30"/>
      <c r="DP205" s="30"/>
      <c r="DQ205" s="30"/>
      <c r="DR205" s="30"/>
      <c r="DS205" s="30"/>
      <c r="DT205" s="30"/>
      <c r="DU205" s="30"/>
      <c r="DV205" s="30"/>
      <c r="DW205" s="30"/>
    </row>
    <row r="206" spans="1:127" ht="13">
      <c r="A206" s="39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30"/>
      <c r="CA206" s="30"/>
      <c r="CB206" s="30"/>
      <c r="CC206" s="30"/>
      <c r="CD206" s="3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30"/>
      <c r="DC206" s="30"/>
      <c r="DD206" s="30"/>
      <c r="DE206" s="30"/>
      <c r="DF206" s="30"/>
      <c r="DG206" s="30"/>
      <c r="DH206" s="30"/>
      <c r="DI206" s="30"/>
      <c r="DJ206" s="30"/>
      <c r="DK206" s="30"/>
      <c r="DL206" s="30"/>
      <c r="DM206" s="30"/>
      <c r="DN206" s="30"/>
      <c r="DO206" s="30"/>
      <c r="DP206" s="30"/>
      <c r="DQ206" s="30"/>
      <c r="DR206" s="30"/>
      <c r="DS206" s="30"/>
      <c r="DT206" s="30"/>
      <c r="DU206" s="30"/>
      <c r="DV206" s="30"/>
      <c r="DW206" s="30"/>
    </row>
    <row r="207" spans="1:127" ht="13">
      <c r="A207" s="39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  <c r="CC207" s="30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C207" s="30"/>
      <c r="DD207" s="30"/>
      <c r="DE207" s="30"/>
      <c r="DF207" s="30"/>
      <c r="DG207" s="30"/>
      <c r="DH207" s="30"/>
      <c r="DI207" s="30"/>
      <c r="DJ207" s="30"/>
      <c r="DK207" s="30"/>
      <c r="DL207" s="30"/>
      <c r="DM207" s="30"/>
      <c r="DN207" s="30"/>
      <c r="DO207" s="30"/>
      <c r="DP207" s="30"/>
      <c r="DQ207" s="30"/>
      <c r="DR207" s="30"/>
      <c r="DS207" s="30"/>
      <c r="DT207" s="30"/>
      <c r="DU207" s="30"/>
      <c r="DV207" s="30"/>
      <c r="DW207" s="30"/>
    </row>
    <row r="208" spans="1:127" ht="13">
      <c r="A208" s="39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  <c r="BV208" s="30"/>
      <c r="BW208" s="30"/>
      <c r="BX208" s="30"/>
      <c r="BY208" s="30"/>
      <c r="BZ208" s="30"/>
      <c r="CA208" s="30"/>
      <c r="CB208" s="30"/>
      <c r="CC208" s="30"/>
      <c r="CD208" s="30"/>
      <c r="CE208" s="30"/>
      <c r="CF208" s="30"/>
      <c r="CG208" s="30"/>
      <c r="CH208" s="30"/>
      <c r="CI208" s="30"/>
      <c r="CJ208" s="30"/>
      <c r="CK208" s="30"/>
      <c r="CL208" s="30"/>
      <c r="CM208" s="30"/>
      <c r="CN208" s="30"/>
      <c r="CO208" s="30"/>
      <c r="CP208" s="30"/>
      <c r="CQ208" s="30"/>
      <c r="CR208" s="30"/>
      <c r="CS208" s="30"/>
      <c r="CT208" s="30"/>
      <c r="CU208" s="30"/>
      <c r="CV208" s="30"/>
      <c r="CW208" s="30"/>
      <c r="CX208" s="30"/>
      <c r="CY208" s="30"/>
      <c r="CZ208" s="30"/>
      <c r="DA208" s="30"/>
      <c r="DB208" s="30"/>
      <c r="DC208" s="30"/>
      <c r="DD208" s="30"/>
      <c r="DE208" s="30"/>
      <c r="DF208" s="30"/>
      <c r="DG208" s="30"/>
      <c r="DH208" s="30"/>
      <c r="DI208" s="30"/>
      <c r="DJ208" s="30"/>
      <c r="DK208" s="30"/>
      <c r="DL208" s="30"/>
      <c r="DM208" s="30"/>
      <c r="DN208" s="30"/>
      <c r="DO208" s="30"/>
      <c r="DP208" s="30"/>
      <c r="DQ208" s="30"/>
      <c r="DR208" s="30"/>
      <c r="DS208" s="30"/>
      <c r="DT208" s="30"/>
      <c r="DU208" s="30"/>
      <c r="DV208" s="30"/>
      <c r="DW208" s="30"/>
    </row>
    <row r="209" spans="1:127" ht="13">
      <c r="A209" s="39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  <c r="BV209" s="30"/>
      <c r="BW209" s="30"/>
      <c r="BX209" s="30"/>
      <c r="BY209" s="30"/>
      <c r="BZ209" s="30"/>
      <c r="CA209" s="30"/>
      <c r="CB209" s="30"/>
      <c r="CC209" s="30"/>
      <c r="CD209" s="30"/>
      <c r="CE209" s="30"/>
      <c r="CF209" s="30"/>
      <c r="CG209" s="30"/>
      <c r="CH209" s="30"/>
      <c r="CI209" s="30"/>
      <c r="CJ209" s="30"/>
      <c r="CK209" s="30"/>
      <c r="CL209" s="30"/>
      <c r="CM209" s="30"/>
      <c r="CN209" s="30"/>
      <c r="CO209" s="30"/>
      <c r="CP209" s="30"/>
      <c r="CQ209" s="30"/>
      <c r="CR209" s="30"/>
      <c r="CS209" s="30"/>
      <c r="CT209" s="30"/>
      <c r="CU209" s="30"/>
      <c r="CV209" s="30"/>
      <c r="CW209" s="30"/>
      <c r="CX209" s="30"/>
      <c r="CY209" s="30"/>
      <c r="CZ209" s="30"/>
      <c r="DA209" s="30"/>
      <c r="DB209" s="30"/>
      <c r="DC209" s="30"/>
      <c r="DD209" s="30"/>
      <c r="DE209" s="30"/>
      <c r="DF209" s="30"/>
      <c r="DG209" s="30"/>
      <c r="DH209" s="30"/>
      <c r="DI209" s="30"/>
      <c r="DJ209" s="30"/>
      <c r="DK209" s="30"/>
      <c r="DL209" s="30"/>
      <c r="DM209" s="30"/>
      <c r="DN209" s="30"/>
      <c r="DO209" s="30"/>
      <c r="DP209" s="30"/>
      <c r="DQ209" s="30"/>
      <c r="DR209" s="30"/>
      <c r="DS209" s="30"/>
      <c r="DT209" s="30"/>
      <c r="DU209" s="30"/>
      <c r="DV209" s="30"/>
      <c r="DW209" s="30"/>
    </row>
    <row r="210" spans="1:127" ht="13">
      <c r="A210" s="39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  <c r="BV210" s="30"/>
      <c r="BW210" s="30"/>
      <c r="BX210" s="30"/>
      <c r="BY210" s="30"/>
      <c r="BZ210" s="30"/>
      <c r="CA210" s="30"/>
      <c r="CB210" s="30"/>
      <c r="CC210" s="30"/>
      <c r="CD210" s="3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30"/>
      <c r="DC210" s="30"/>
      <c r="DD210" s="30"/>
      <c r="DE210" s="30"/>
      <c r="DF210" s="30"/>
      <c r="DG210" s="30"/>
      <c r="DH210" s="30"/>
      <c r="DI210" s="30"/>
      <c r="DJ210" s="30"/>
      <c r="DK210" s="30"/>
      <c r="DL210" s="30"/>
      <c r="DM210" s="30"/>
      <c r="DN210" s="30"/>
      <c r="DO210" s="30"/>
      <c r="DP210" s="30"/>
      <c r="DQ210" s="30"/>
      <c r="DR210" s="30"/>
      <c r="DS210" s="30"/>
      <c r="DT210" s="30"/>
      <c r="DU210" s="30"/>
      <c r="DV210" s="30"/>
      <c r="DW210" s="30"/>
    </row>
    <row r="211" spans="1:127" ht="13">
      <c r="A211" s="39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  <c r="BV211" s="30"/>
      <c r="BW211" s="30"/>
      <c r="BX211" s="30"/>
      <c r="BY211" s="30"/>
      <c r="BZ211" s="30"/>
      <c r="CA211" s="30"/>
      <c r="CB211" s="30"/>
      <c r="CC211" s="30"/>
      <c r="CD211" s="30"/>
      <c r="CE211" s="30"/>
      <c r="CF211" s="30"/>
      <c r="CG211" s="30"/>
      <c r="CH211" s="30"/>
      <c r="CI211" s="30"/>
      <c r="CJ211" s="30"/>
      <c r="CK211" s="30"/>
      <c r="CL211" s="30"/>
      <c r="CM211" s="30"/>
      <c r="CN211" s="30"/>
      <c r="CO211" s="30"/>
      <c r="CP211" s="30"/>
      <c r="CQ211" s="30"/>
      <c r="CR211" s="30"/>
      <c r="CS211" s="30"/>
      <c r="CT211" s="30"/>
      <c r="CU211" s="30"/>
      <c r="CV211" s="30"/>
      <c r="CW211" s="30"/>
      <c r="CX211" s="30"/>
      <c r="CY211" s="30"/>
      <c r="CZ211" s="30"/>
      <c r="DA211" s="30"/>
      <c r="DB211" s="30"/>
      <c r="DC211" s="30"/>
      <c r="DD211" s="30"/>
      <c r="DE211" s="30"/>
      <c r="DF211" s="30"/>
      <c r="DG211" s="30"/>
      <c r="DH211" s="30"/>
      <c r="DI211" s="30"/>
      <c r="DJ211" s="30"/>
      <c r="DK211" s="30"/>
      <c r="DL211" s="30"/>
      <c r="DM211" s="30"/>
      <c r="DN211" s="30"/>
      <c r="DO211" s="30"/>
      <c r="DP211" s="30"/>
      <c r="DQ211" s="30"/>
      <c r="DR211" s="30"/>
      <c r="DS211" s="30"/>
      <c r="DT211" s="30"/>
      <c r="DU211" s="30"/>
      <c r="DV211" s="30"/>
      <c r="DW211" s="30"/>
    </row>
    <row r="212" spans="1:127" ht="13">
      <c r="A212" s="39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  <c r="BV212" s="30"/>
      <c r="BW212" s="30"/>
      <c r="BX212" s="30"/>
      <c r="BY212" s="30"/>
      <c r="BZ212" s="30"/>
      <c r="CA212" s="30"/>
      <c r="CB212" s="30"/>
      <c r="CC212" s="30"/>
      <c r="CD212" s="3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  <c r="CQ212" s="30"/>
      <c r="CR212" s="30"/>
      <c r="CS212" s="30"/>
      <c r="CT212" s="30"/>
      <c r="CU212" s="30"/>
      <c r="CV212" s="30"/>
      <c r="CW212" s="30"/>
      <c r="CX212" s="30"/>
      <c r="CY212" s="30"/>
      <c r="CZ212" s="30"/>
      <c r="DA212" s="30"/>
      <c r="DB212" s="30"/>
      <c r="DC212" s="30"/>
      <c r="DD212" s="30"/>
      <c r="DE212" s="30"/>
      <c r="DF212" s="30"/>
      <c r="DG212" s="30"/>
      <c r="DH212" s="30"/>
      <c r="DI212" s="30"/>
      <c r="DJ212" s="30"/>
      <c r="DK212" s="30"/>
      <c r="DL212" s="30"/>
      <c r="DM212" s="30"/>
      <c r="DN212" s="30"/>
      <c r="DO212" s="30"/>
      <c r="DP212" s="30"/>
      <c r="DQ212" s="30"/>
      <c r="DR212" s="30"/>
      <c r="DS212" s="30"/>
      <c r="DT212" s="30"/>
      <c r="DU212" s="30"/>
      <c r="DV212" s="30"/>
      <c r="DW212" s="30"/>
    </row>
    <row r="213" spans="1:127" ht="13">
      <c r="A213" s="39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  <c r="BW213" s="30"/>
      <c r="BX213" s="30"/>
      <c r="BY213" s="30"/>
      <c r="BZ213" s="30"/>
      <c r="CA213" s="30"/>
      <c r="CB213" s="30"/>
      <c r="CC213" s="30"/>
      <c r="CD213" s="3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  <c r="CQ213" s="30"/>
      <c r="CR213" s="30"/>
      <c r="CS213" s="30"/>
      <c r="CT213" s="30"/>
      <c r="CU213" s="30"/>
      <c r="CV213" s="30"/>
      <c r="CW213" s="30"/>
      <c r="CX213" s="30"/>
      <c r="CY213" s="30"/>
      <c r="CZ213" s="30"/>
      <c r="DA213" s="30"/>
      <c r="DB213" s="30"/>
      <c r="DC213" s="30"/>
      <c r="DD213" s="30"/>
      <c r="DE213" s="30"/>
      <c r="DF213" s="30"/>
      <c r="DG213" s="30"/>
      <c r="DH213" s="30"/>
      <c r="DI213" s="30"/>
      <c r="DJ213" s="30"/>
      <c r="DK213" s="30"/>
      <c r="DL213" s="30"/>
      <c r="DM213" s="30"/>
      <c r="DN213" s="30"/>
      <c r="DO213" s="30"/>
      <c r="DP213" s="30"/>
      <c r="DQ213" s="30"/>
      <c r="DR213" s="30"/>
      <c r="DS213" s="30"/>
      <c r="DT213" s="30"/>
      <c r="DU213" s="30"/>
      <c r="DV213" s="30"/>
      <c r="DW213" s="30"/>
    </row>
    <row r="214" spans="1:127" ht="13">
      <c r="A214" s="39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0"/>
      <c r="DL214" s="30"/>
      <c r="DM214" s="30"/>
      <c r="DN214" s="30"/>
      <c r="DO214" s="30"/>
      <c r="DP214" s="30"/>
      <c r="DQ214" s="30"/>
      <c r="DR214" s="30"/>
      <c r="DS214" s="30"/>
      <c r="DT214" s="30"/>
      <c r="DU214" s="30"/>
      <c r="DV214" s="30"/>
      <c r="DW214" s="30"/>
    </row>
    <row r="215" spans="1:127" ht="13">
      <c r="A215" s="39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  <c r="BV215" s="30"/>
      <c r="BW215" s="30"/>
      <c r="BX215" s="30"/>
      <c r="BY215" s="30"/>
      <c r="BZ215" s="30"/>
      <c r="CA215" s="30"/>
      <c r="CB215" s="30"/>
      <c r="CC215" s="30"/>
      <c r="CD215" s="30"/>
      <c r="CE215" s="30"/>
      <c r="CF215" s="30"/>
      <c r="CG215" s="30"/>
      <c r="CH215" s="30"/>
      <c r="CI215" s="30"/>
      <c r="CJ215" s="30"/>
      <c r="CK215" s="30"/>
      <c r="CL215" s="30"/>
      <c r="CM215" s="30"/>
      <c r="CN215" s="30"/>
      <c r="CO215" s="30"/>
      <c r="CP215" s="30"/>
      <c r="CQ215" s="30"/>
      <c r="CR215" s="30"/>
      <c r="CS215" s="30"/>
      <c r="CT215" s="30"/>
      <c r="CU215" s="30"/>
      <c r="CV215" s="30"/>
      <c r="CW215" s="30"/>
      <c r="CX215" s="30"/>
      <c r="CY215" s="30"/>
      <c r="CZ215" s="30"/>
      <c r="DA215" s="30"/>
      <c r="DB215" s="30"/>
      <c r="DC215" s="30"/>
      <c r="DD215" s="30"/>
      <c r="DE215" s="30"/>
      <c r="DF215" s="30"/>
      <c r="DG215" s="30"/>
      <c r="DH215" s="30"/>
      <c r="DI215" s="30"/>
      <c r="DJ215" s="30"/>
      <c r="DK215" s="30"/>
      <c r="DL215" s="30"/>
      <c r="DM215" s="30"/>
      <c r="DN215" s="30"/>
      <c r="DO215" s="30"/>
      <c r="DP215" s="30"/>
      <c r="DQ215" s="30"/>
      <c r="DR215" s="30"/>
      <c r="DS215" s="30"/>
      <c r="DT215" s="30"/>
      <c r="DU215" s="30"/>
      <c r="DV215" s="30"/>
      <c r="DW215" s="30"/>
    </row>
    <row r="216" spans="1:127" ht="13">
      <c r="A216" s="39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  <c r="BV216" s="30"/>
      <c r="BW216" s="30"/>
      <c r="BX216" s="30"/>
      <c r="BY216" s="30"/>
      <c r="BZ216" s="30"/>
      <c r="CA216" s="30"/>
      <c r="CB216" s="30"/>
      <c r="CC216" s="30"/>
      <c r="CD216" s="30"/>
      <c r="CE216" s="30"/>
      <c r="CF216" s="30"/>
      <c r="CG216" s="30"/>
      <c r="CH216" s="30"/>
      <c r="CI216" s="30"/>
      <c r="CJ216" s="30"/>
      <c r="CK216" s="30"/>
      <c r="CL216" s="30"/>
      <c r="CM216" s="30"/>
      <c r="CN216" s="30"/>
      <c r="CO216" s="30"/>
      <c r="CP216" s="30"/>
      <c r="CQ216" s="30"/>
      <c r="CR216" s="30"/>
      <c r="CS216" s="30"/>
      <c r="CT216" s="30"/>
      <c r="CU216" s="30"/>
      <c r="CV216" s="30"/>
      <c r="CW216" s="30"/>
      <c r="CX216" s="30"/>
      <c r="CY216" s="30"/>
      <c r="CZ216" s="30"/>
      <c r="DA216" s="30"/>
      <c r="DB216" s="30"/>
      <c r="DC216" s="30"/>
      <c r="DD216" s="30"/>
      <c r="DE216" s="30"/>
      <c r="DF216" s="30"/>
      <c r="DG216" s="30"/>
      <c r="DH216" s="30"/>
      <c r="DI216" s="30"/>
      <c r="DJ216" s="30"/>
      <c r="DK216" s="30"/>
      <c r="DL216" s="30"/>
      <c r="DM216" s="30"/>
      <c r="DN216" s="30"/>
      <c r="DO216" s="30"/>
      <c r="DP216" s="30"/>
      <c r="DQ216" s="30"/>
      <c r="DR216" s="30"/>
      <c r="DS216" s="30"/>
      <c r="DT216" s="30"/>
      <c r="DU216" s="30"/>
      <c r="DV216" s="30"/>
      <c r="DW216" s="30"/>
    </row>
    <row r="217" spans="1:127" ht="13">
      <c r="A217" s="39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  <c r="BV217" s="30"/>
      <c r="BW217" s="30"/>
      <c r="BX217" s="30"/>
      <c r="BY217" s="30"/>
      <c r="BZ217" s="30"/>
      <c r="CA217" s="30"/>
      <c r="CB217" s="30"/>
      <c r="CC217" s="30"/>
      <c r="CD217" s="30"/>
      <c r="CE217" s="30"/>
      <c r="CF217" s="30"/>
      <c r="CG217" s="30"/>
      <c r="CH217" s="30"/>
      <c r="CI217" s="30"/>
      <c r="CJ217" s="30"/>
      <c r="CK217" s="30"/>
      <c r="CL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C217" s="30"/>
      <c r="DD217" s="30"/>
      <c r="DE217" s="30"/>
      <c r="DF217" s="30"/>
      <c r="DG217" s="30"/>
      <c r="DH217" s="30"/>
      <c r="DI217" s="30"/>
      <c r="DJ217" s="30"/>
      <c r="DK217" s="30"/>
      <c r="DL217" s="30"/>
      <c r="DM217" s="30"/>
      <c r="DN217" s="30"/>
      <c r="DO217" s="30"/>
      <c r="DP217" s="30"/>
      <c r="DQ217" s="30"/>
      <c r="DR217" s="30"/>
      <c r="DS217" s="30"/>
      <c r="DT217" s="30"/>
      <c r="DU217" s="30"/>
      <c r="DV217" s="30"/>
      <c r="DW217" s="30"/>
    </row>
    <row r="218" spans="1:127" ht="13">
      <c r="A218" s="39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  <c r="BV218" s="30"/>
      <c r="BW218" s="30"/>
      <c r="BX218" s="30"/>
      <c r="BY218" s="30"/>
      <c r="BZ218" s="30"/>
      <c r="CA218" s="30"/>
      <c r="CB218" s="30"/>
      <c r="CC218" s="30"/>
      <c r="CD218" s="30"/>
      <c r="CE218" s="30"/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C218" s="30"/>
      <c r="DD218" s="30"/>
      <c r="DE218" s="30"/>
      <c r="DF218" s="30"/>
      <c r="DG218" s="30"/>
      <c r="DH218" s="30"/>
      <c r="DI218" s="30"/>
      <c r="DJ218" s="30"/>
      <c r="DK218" s="30"/>
      <c r="DL218" s="30"/>
      <c r="DM218" s="30"/>
      <c r="DN218" s="30"/>
      <c r="DO218" s="30"/>
      <c r="DP218" s="30"/>
      <c r="DQ218" s="30"/>
      <c r="DR218" s="30"/>
      <c r="DS218" s="30"/>
      <c r="DT218" s="30"/>
      <c r="DU218" s="30"/>
      <c r="DV218" s="30"/>
      <c r="DW218" s="30"/>
    </row>
    <row r="219" spans="1:127" ht="13">
      <c r="A219" s="39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  <c r="BV219" s="30"/>
      <c r="BW219" s="30"/>
      <c r="BX219" s="30"/>
      <c r="BY219" s="30"/>
      <c r="BZ219" s="30"/>
      <c r="CA219" s="30"/>
      <c r="CB219" s="30"/>
      <c r="CC219" s="30"/>
      <c r="CD219" s="30"/>
      <c r="CE219" s="30"/>
      <c r="CF219" s="30"/>
      <c r="CG219" s="30"/>
      <c r="CH219" s="30"/>
      <c r="CI219" s="30"/>
      <c r="CJ219" s="30"/>
      <c r="CK219" s="30"/>
      <c r="CL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C219" s="30"/>
      <c r="DD219" s="30"/>
      <c r="DE219" s="30"/>
      <c r="DF219" s="30"/>
      <c r="DG219" s="30"/>
      <c r="DH219" s="30"/>
      <c r="DI219" s="30"/>
      <c r="DJ219" s="30"/>
      <c r="DK219" s="30"/>
      <c r="DL219" s="30"/>
      <c r="DM219" s="30"/>
      <c r="DN219" s="30"/>
      <c r="DO219" s="30"/>
      <c r="DP219" s="30"/>
      <c r="DQ219" s="30"/>
      <c r="DR219" s="30"/>
      <c r="DS219" s="30"/>
      <c r="DT219" s="30"/>
      <c r="DU219" s="30"/>
      <c r="DV219" s="30"/>
      <c r="DW219" s="30"/>
    </row>
    <row r="220" spans="1:127" ht="13">
      <c r="A220" s="39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  <c r="BV220" s="30"/>
      <c r="BW220" s="30"/>
      <c r="BX220" s="30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C220" s="30"/>
      <c r="DD220" s="30"/>
      <c r="DE220" s="30"/>
      <c r="DF220" s="30"/>
      <c r="DG220" s="30"/>
      <c r="DH220" s="30"/>
      <c r="DI220" s="30"/>
      <c r="DJ220" s="30"/>
      <c r="DK220" s="30"/>
      <c r="DL220" s="30"/>
      <c r="DM220" s="30"/>
      <c r="DN220" s="30"/>
      <c r="DO220" s="30"/>
      <c r="DP220" s="30"/>
      <c r="DQ220" s="30"/>
      <c r="DR220" s="30"/>
      <c r="DS220" s="30"/>
      <c r="DT220" s="30"/>
      <c r="DU220" s="30"/>
      <c r="DV220" s="30"/>
      <c r="DW220" s="30"/>
    </row>
    <row r="221" spans="1:127" ht="13">
      <c r="A221" s="39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C221" s="30"/>
      <c r="DD221" s="30"/>
      <c r="DE221" s="30"/>
      <c r="DF221" s="30"/>
      <c r="DG221" s="30"/>
      <c r="DH221" s="30"/>
      <c r="DI221" s="30"/>
      <c r="DJ221" s="30"/>
      <c r="DK221" s="30"/>
      <c r="DL221" s="30"/>
      <c r="DM221" s="30"/>
      <c r="DN221" s="30"/>
      <c r="DO221" s="30"/>
      <c r="DP221" s="30"/>
      <c r="DQ221" s="30"/>
      <c r="DR221" s="30"/>
      <c r="DS221" s="30"/>
      <c r="DT221" s="30"/>
      <c r="DU221" s="30"/>
      <c r="DV221" s="30"/>
      <c r="DW221" s="30"/>
    </row>
    <row r="222" spans="1:127" ht="13">
      <c r="A222" s="39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  <c r="BV222" s="30"/>
      <c r="BW222" s="30"/>
      <c r="BX222" s="30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C222" s="30"/>
      <c r="DD222" s="30"/>
      <c r="DE222" s="30"/>
      <c r="DF222" s="30"/>
      <c r="DG222" s="30"/>
      <c r="DH222" s="30"/>
      <c r="DI222" s="30"/>
      <c r="DJ222" s="30"/>
      <c r="DK222" s="30"/>
      <c r="DL222" s="30"/>
      <c r="DM222" s="30"/>
      <c r="DN222" s="30"/>
      <c r="DO222" s="30"/>
      <c r="DP222" s="30"/>
      <c r="DQ222" s="30"/>
      <c r="DR222" s="30"/>
      <c r="DS222" s="30"/>
      <c r="DT222" s="30"/>
      <c r="DU222" s="30"/>
      <c r="DV222" s="30"/>
      <c r="DW222" s="30"/>
    </row>
    <row r="223" spans="1:127" ht="13">
      <c r="A223" s="39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C223" s="30"/>
      <c r="DD223" s="30"/>
      <c r="DE223" s="30"/>
      <c r="DF223" s="30"/>
      <c r="DG223" s="30"/>
      <c r="DH223" s="30"/>
      <c r="DI223" s="30"/>
      <c r="DJ223" s="30"/>
      <c r="DK223" s="30"/>
      <c r="DL223" s="30"/>
      <c r="DM223" s="30"/>
      <c r="DN223" s="30"/>
      <c r="DO223" s="30"/>
      <c r="DP223" s="30"/>
      <c r="DQ223" s="30"/>
      <c r="DR223" s="30"/>
      <c r="DS223" s="30"/>
      <c r="DT223" s="30"/>
      <c r="DU223" s="30"/>
      <c r="DV223" s="30"/>
      <c r="DW223" s="30"/>
    </row>
    <row r="224" spans="1:127" ht="13">
      <c r="A224" s="39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  <c r="BV224" s="30"/>
      <c r="BW224" s="30"/>
      <c r="BX224" s="30"/>
      <c r="BY224" s="30"/>
      <c r="BZ224" s="30"/>
      <c r="CA224" s="30"/>
      <c r="CB224" s="30"/>
      <c r="CC224" s="30"/>
      <c r="CD224" s="30"/>
      <c r="CE224" s="30"/>
      <c r="CF224" s="30"/>
      <c r="CG224" s="30"/>
      <c r="CH224" s="30"/>
      <c r="CI224" s="30"/>
      <c r="CJ224" s="30"/>
      <c r="CK224" s="30"/>
      <c r="CL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C224" s="30"/>
      <c r="DD224" s="30"/>
      <c r="DE224" s="30"/>
      <c r="DF224" s="30"/>
      <c r="DG224" s="30"/>
      <c r="DH224" s="30"/>
      <c r="DI224" s="30"/>
      <c r="DJ224" s="30"/>
      <c r="DK224" s="30"/>
      <c r="DL224" s="30"/>
      <c r="DM224" s="30"/>
      <c r="DN224" s="30"/>
      <c r="DO224" s="30"/>
      <c r="DP224" s="30"/>
      <c r="DQ224" s="30"/>
      <c r="DR224" s="30"/>
      <c r="DS224" s="30"/>
      <c r="DT224" s="30"/>
      <c r="DU224" s="30"/>
      <c r="DV224" s="30"/>
      <c r="DW224" s="30"/>
    </row>
    <row r="225" spans="1:127" ht="13">
      <c r="A225" s="39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  <c r="CC225" s="30"/>
      <c r="CD225" s="3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C225" s="30"/>
      <c r="DD225" s="30"/>
      <c r="DE225" s="30"/>
      <c r="DF225" s="30"/>
      <c r="DG225" s="30"/>
      <c r="DH225" s="30"/>
      <c r="DI225" s="30"/>
      <c r="DJ225" s="30"/>
      <c r="DK225" s="30"/>
      <c r="DL225" s="30"/>
      <c r="DM225" s="30"/>
      <c r="DN225" s="30"/>
      <c r="DO225" s="30"/>
      <c r="DP225" s="30"/>
      <c r="DQ225" s="30"/>
      <c r="DR225" s="30"/>
      <c r="DS225" s="30"/>
      <c r="DT225" s="30"/>
      <c r="DU225" s="30"/>
      <c r="DV225" s="30"/>
      <c r="DW225" s="30"/>
    </row>
    <row r="226" spans="1:127" ht="13">
      <c r="A226" s="39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/>
      <c r="CB226" s="30"/>
      <c r="CC226" s="30"/>
      <c r="CD226" s="30"/>
      <c r="CE226" s="30"/>
      <c r="CF226" s="30"/>
      <c r="CG226" s="30"/>
      <c r="CH226" s="30"/>
      <c r="CI226" s="30"/>
      <c r="CJ226" s="30"/>
      <c r="CK226" s="30"/>
      <c r="CL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C226" s="30"/>
      <c r="DD226" s="30"/>
      <c r="DE226" s="30"/>
      <c r="DF226" s="30"/>
      <c r="DG226" s="30"/>
      <c r="DH226" s="30"/>
      <c r="DI226" s="30"/>
      <c r="DJ226" s="30"/>
      <c r="DK226" s="30"/>
      <c r="DL226" s="30"/>
      <c r="DM226" s="30"/>
      <c r="DN226" s="30"/>
      <c r="DO226" s="30"/>
      <c r="DP226" s="30"/>
      <c r="DQ226" s="30"/>
      <c r="DR226" s="30"/>
      <c r="DS226" s="30"/>
      <c r="DT226" s="30"/>
      <c r="DU226" s="30"/>
      <c r="DV226" s="30"/>
      <c r="DW226" s="30"/>
    </row>
    <row r="227" spans="1:127" ht="13">
      <c r="A227" s="39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  <c r="CA227" s="30"/>
      <c r="CB227" s="30"/>
      <c r="CC227" s="30"/>
      <c r="CD227" s="3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C227" s="30"/>
      <c r="DD227" s="30"/>
      <c r="DE227" s="30"/>
      <c r="DF227" s="30"/>
      <c r="DG227" s="30"/>
      <c r="DH227" s="30"/>
      <c r="DI227" s="30"/>
      <c r="DJ227" s="30"/>
      <c r="DK227" s="30"/>
      <c r="DL227" s="30"/>
      <c r="DM227" s="30"/>
      <c r="DN227" s="30"/>
      <c r="DO227" s="30"/>
      <c r="DP227" s="30"/>
      <c r="DQ227" s="30"/>
      <c r="DR227" s="30"/>
      <c r="DS227" s="30"/>
      <c r="DT227" s="30"/>
      <c r="DU227" s="30"/>
      <c r="DV227" s="30"/>
      <c r="DW227" s="30"/>
    </row>
    <row r="228" spans="1:127" ht="13">
      <c r="A228" s="39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C228" s="30"/>
      <c r="DD228" s="30"/>
      <c r="DE228" s="30"/>
      <c r="DF228" s="30"/>
      <c r="DG228" s="30"/>
      <c r="DH228" s="30"/>
      <c r="DI228" s="30"/>
      <c r="DJ228" s="30"/>
      <c r="DK228" s="30"/>
      <c r="DL228" s="30"/>
      <c r="DM228" s="30"/>
      <c r="DN228" s="30"/>
      <c r="DO228" s="30"/>
      <c r="DP228" s="30"/>
      <c r="DQ228" s="30"/>
      <c r="DR228" s="30"/>
      <c r="DS228" s="30"/>
      <c r="DT228" s="30"/>
      <c r="DU228" s="30"/>
      <c r="DV228" s="30"/>
      <c r="DW228" s="30"/>
    </row>
    <row r="229" spans="1:127" ht="13">
      <c r="A229" s="39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C229" s="30"/>
      <c r="DD229" s="30"/>
      <c r="DE229" s="30"/>
      <c r="DF229" s="30"/>
      <c r="DG229" s="30"/>
      <c r="DH229" s="30"/>
      <c r="DI229" s="30"/>
      <c r="DJ229" s="30"/>
      <c r="DK229" s="30"/>
      <c r="DL229" s="30"/>
      <c r="DM229" s="30"/>
      <c r="DN229" s="30"/>
      <c r="DO229" s="30"/>
      <c r="DP229" s="30"/>
      <c r="DQ229" s="30"/>
      <c r="DR229" s="30"/>
      <c r="DS229" s="30"/>
      <c r="DT229" s="30"/>
      <c r="DU229" s="30"/>
      <c r="DV229" s="30"/>
      <c r="DW229" s="30"/>
    </row>
    <row r="230" spans="1:127" ht="13">
      <c r="A230" s="39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  <c r="BV230" s="30"/>
      <c r="BW230" s="30"/>
      <c r="BX230" s="30"/>
      <c r="BY230" s="30"/>
      <c r="BZ230" s="30"/>
      <c r="CA230" s="30"/>
      <c r="CB230" s="30"/>
      <c r="CC230" s="30"/>
      <c r="CD230" s="3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C230" s="30"/>
      <c r="DD230" s="30"/>
      <c r="DE230" s="30"/>
      <c r="DF230" s="30"/>
      <c r="DG230" s="30"/>
      <c r="DH230" s="30"/>
      <c r="DI230" s="30"/>
      <c r="DJ230" s="30"/>
      <c r="DK230" s="30"/>
      <c r="DL230" s="30"/>
      <c r="DM230" s="30"/>
      <c r="DN230" s="30"/>
      <c r="DO230" s="30"/>
      <c r="DP230" s="30"/>
      <c r="DQ230" s="30"/>
      <c r="DR230" s="30"/>
      <c r="DS230" s="30"/>
      <c r="DT230" s="30"/>
      <c r="DU230" s="30"/>
      <c r="DV230" s="30"/>
      <c r="DW230" s="30"/>
    </row>
    <row r="231" spans="1:127" ht="13">
      <c r="A231" s="39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  <c r="BV231" s="30"/>
      <c r="BW231" s="30"/>
      <c r="BX231" s="30"/>
      <c r="BY231" s="30"/>
      <c r="BZ231" s="30"/>
      <c r="CA231" s="30"/>
      <c r="CB231" s="30"/>
      <c r="CC231" s="30"/>
      <c r="CD231" s="3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C231" s="30"/>
      <c r="DD231" s="30"/>
      <c r="DE231" s="30"/>
      <c r="DF231" s="30"/>
      <c r="DG231" s="30"/>
      <c r="DH231" s="30"/>
      <c r="DI231" s="30"/>
      <c r="DJ231" s="30"/>
      <c r="DK231" s="30"/>
      <c r="DL231" s="30"/>
      <c r="DM231" s="30"/>
      <c r="DN231" s="30"/>
      <c r="DO231" s="30"/>
      <c r="DP231" s="30"/>
      <c r="DQ231" s="30"/>
      <c r="DR231" s="30"/>
      <c r="DS231" s="30"/>
      <c r="DT231" s="30"/>
      <c r="DU231" s="30"/>
      <c r="DV231" s="30"/>
      <c r="DW231" s="30"/>
    </row>
    <row r="232" spans="1:127" ht="13">
      <c r="A232" s="39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  <c r="BV232" s="30"/>
      <c r="BW232" s="30"/>
      <c r="BX232" s="30"/>
      <c r="BY232" s="30"/>
      <c r="BZ232" s="30"/>
      <c r="CA232" s="30"/>
      <c r="CB232" s="30"/>
      <c r="CC232" s="30"/>
      <c r="CD232" s="3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C232" s="30"/>
      <c r="DD232" s="30"/>
      <c r="DE232" s="30"/>
      <c r="DF232" s="30"/>
      <c r="DG232" s="30"/>
      <c r="DH232" s="30"/>
      <c r="DI232" s="30"/>
      <c r="DJ232" s="30"/>
      <c r="DK232" s="30"/>
      <c r="DL232" s="30"/>
      <c r="DM232" s="30"/>
      <c r="DN232" s="30"/>
      <c r="DO232" s="30"/>
      <c r="DP232" s="30"/>
      <c r="DQ232" s="30"/>
      <c r="DR232" s="30"/>
      <c r="DS232" s="30"/>
      <c r="DT232" s="30"/>
      <c r="DU232" s="30"/>
      <c r="DV232" s="30"/>
      <c r="DW232" s="30"/>
    </row>
    <row r="233" spans="1:127" ht="13">
      <c r="A233" s="39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  <c r="BV233" s="30"/>
      <c r="BW233" s="30"/>
      <c r="BX233" s="30"/>
      <c r="BY233" s="30"/>
      <c r="BZ233" s="30"/>
      <c r="CA233" s="30"/>
      <c r="CB233" s="30"/>
      <c r="CC233" s="30"/>
      <c r="CD233" s="3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C233" s="30"/>
      <c r="DD233" s="30"/>
      <c r="DE233" s="30"/>
      <c r="DF233" s="30"/>
      <c r="DG233" s="30"/>
      <c r="DH233" s="30"/>
      <c r="DI233" s="30"/>
      <c r="DJ233" s="30"/>
      <c r="DK233" s="30"/>
      <c r="DL233" s="30"/>
      <c r="DM233" s="30"/>
      <c r="DN233" s="30"/>
      <c r="DO233" s="30"/>
      <c r="DP233" s="30"/>
      <c r="DQ233" s="30"/>
      <c r="DR233" s="30"/>
      <c r="DS233" s="30"/>
      <c r="DT233" s="30"/>
      <c r="DU233" s="30"/>
      <c r="DV233" s="30"/>
      <c r="DW233" s="30"/>
    </row>
    <row r="234" spans="1:127" ht="13">
      <c r="A234" s="39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  <c r="BV234" s="30"/>
      <c r="BW234" s="30"/>
      <c r="BX234" s="30"/>
      <c r="BY234" s="30"/>
      <c r="BZ234" s="30"/>
      <c r="CA234" s="30"/>
      <c r="CB234" s="30"/>
      <c r="CC234" s="30"/>
      <c r="CD234" s="3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C234" s="30"/>
      <c r="DD234" s="30"/>
      <c r="DE234" s="30"/>
      <c r="DF234" s="30"/>
      <c r="DG234" s="30"/>
      <c r="DH234" s="30"/>
      <c r="DI234" s="30"/>
      <c r="DJ234" s="30"/>
      <c r="DK234" s="30"/>
      <c r="DL234" s="30"/>
      <c r="DM234" s="30"/>
      <c r="DN234" s="30"/>
      <c r="DO234" s="30"/>
      <c r="DP234" s="30"/>
      <c r="DQ234" s="30"/>
      <c r="DR234" s="30"/>
      <c r="DS234" s="30"/>
      <c r="DT234" s="30"/>
      <c r="DU234" s="30"/>
      <c r="DV234" s="30"/>
      <c r="DW234" s="30"/>
    </row>
    <row r="235" spans="1:127" ht="13">
      <c r="A235" s="39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  <c r="BV235" s="30"/>
      <c r="BW235" s="30"/>
      <c r="BX235" s="30"/>
      <c r="BY235" s="30"/>
      <c r="BZ235" s="30"/>
      <c r="CA235" s="30"/>
      <c r="CB235" s="30"/>
      <c r="CC235" s="30"/>
      <c r="CD235" s="30"/>
      <c r="CE235" s="30"/>
      <c r="CF235" s="30"/>
      <c r="CG235" s="30"/>
      <c r="CH235" s="30"/>
      <c r="CI235" s="30"/>
      <c r="CJ235" s="30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C235" s="30"/>
      <c r="DD235" s="30"/>
      <c r="DE235" s="30"/>
      <c r="DF235" s="30"/>
      <c r="DG235" s="30"/>
      <c r="DH235" s="30"/>
      <c r="DI235" s="30"/>
      <c r="DJ235" s="30"/>
      <c r="DK235" s="30"/>
      <c r="DL235" s="30"/>
      <c r="DM235" s="30"/>
      <c r="DN235" s="30"/>
      <c r="DO235" s="30"/>
      <c r="DP235" s="30"/>
      <c r="DQ235" s="30"/>
      <c r="DR235" s="30"/>
      <c r="DS235" s="30"/>
      <c r="DT235" s="30"/>
      <c r="DU235" s="30"/>
      <c r="DV235" s="30"/>
      <c r="DW235" s="30"/>
    </row>
    <row r="236" spans="1:127" ht="13">
      <c r="A236" s="39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30"/>
      <c r="CA236" s="30"/>
      <c r="CB236" s="30"/>
      <c r="CC236" s="30"/>
      <c r="CD236" s="3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C236" s="30"/>
      <c r="DD236" s="30"/>
      <c r="DE236" s="30"/>
      <c r="DF236" s="30"/>
      <c r="DG236" s="30"/>
      <c r="DH236" s="30"/>
      <c r="DI236" s="30"/>
      <c r="DJ236" s="30"/>
      <c r="DK236" s="30"/>
      <c r="DL236" s="30"/>
      <c r="DM236" s="30"/>
      <c r="DN236" s="30"/>
      <c r="DO236" s="30"/>
      <c r="DP236" s="30"/>
      <c r="DQ236" s="30"/>
      <c r="DR236" s="30"/>
      <c r="DS236" s="30"/>
      <c r="DT236" s="30"/>
      <c r="DU236" s="30"/>
      <c r="DV236" s="30"/>
      <c r="DW236" s="30"/>
    </row>
    <row r="237" spans="1:127" ht="13">
      <c r="A237" s="39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  <c r="BV237" s="30"/>
      <c r="BW237" s="30"/>
      <c r="BX237" s="30"/>
      <c r="BY237" s="30"/>
      <c r="BZ237" s="30"/>
      <c r="CA237" s="30"/>
      <c r="CB237" s="30"/>
      <c r="CC237" s="30"/>
      <c r="CD237" s="30"/>
      <c r="CE237" s="30"/>
      <c r="CF237" s="30"/>
      <c r="CG237" s="30"/>
      <c r="CH237" s="30"/>
      <c r="CI237" s="30"/>
      <c r="CJ237" s="30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C237" s="30"/>
      <c r="DD237" s="30"/>
      <c r="DE237" s="30"/>
      <c r="DF237" s="30"/>
      <c r="DG237" s="30"/>
      <c r="DH237" s="30"/>
      <c r="DI237" s="30"/>
      <c r="DJ237" s="30"/>
      <c r="DK237" s="30"/>
      <c r="DL237" s="30"/>
      <c r="DM237" s="30"/>
      <c r="DN237" s="30"/>
      <c r="DO237" s="30"/>
      <c r="DP237" s="30"/>
      <c r="DQ237" s="30"/>
      <c r="DR237" s="30"/>
      <c r="DS237" s="30"/>
      <c r="DT237" s="30"/>
      <c r="DU237" s="30"/>
      <c r="DV237" s="30"/>
      <c r="DW237" s="30"/>
    </row>
    <row r="238" spans="1:127" ht="13">
      <c r="A238" s="39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0"/>
      <c r="DL238" s="30"/>
      <c r="DM238" s="30"/>
      <c r="DN238" s="30"/>
      <c r="DO238" s="30"/>
      <c r="DP238" s="30"/>
      <c r="DQ238" s="30"/>
      <c r="DR238" s="30"/>
      <c r="DS238" s="30"/>
      <c r="DT238" s="30"/>
      <c r="DU238" s="30"/>
      <c r="DV238" s="30"/>
      <c r="DW238" s="30"/>
    </row>
    <row r="239" spans="1:127" ht="13">
      <c r="A239" s="39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  <c r="BV239" s="30"/>
      <c r="BW239" s="30"/>
      <c r="BX239" s="30"/>
      <c r="BY239" s="30"/>
      <c r="BZ239" s="30"/>
      <c r="CA239" s="30"/>
      <c r="CB239" s="30"/>
      <c r="CC239" s="30"/>
      <c r="CD239" s="3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C239" s="30"/>
      <c r="DD239" s="30"/>
      <c r="DE239" s="30"/>
      <c r="DF239" s="30"/>
      <c r="DG239" s="30"/>
      <c r="DH239" s="30"/>
      <c r="DI239" s="30"/>
      <c r="DJ239" s="30"/>
      <c r="DK239" s="30"/>
      <c r="DL239" s="30"/>
      <c r="DM239" s="30"/>
      <c r="DN239" s="30"/>
      <c r="DO239" s="30"/>
      <c r="DP239" s="30"/>
      <c r="DQ239" s="30"/>
      <c r="DR239" s="30"/>
      <c r="DS239" s="30"/>
      <c r="DT239" s="30"/>
      <c r="DU239" s="30"/>
      <c r="DV239" s="30"/>
      <c r="DW239" s="30"/>
    </row>
    <row r="240" spans="1:127" ht="13">
      <c r="A240" s="39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C240" s="30"/>
      <c r="DD240" s="30"/>
      <c r="DE240" s="30"/>
      <c r="DF240" s="30"/>
      <c r="DG240" s="30"/>
      <c r="DH240" s="30"/>
      <c r="DI240" s="30"/>
      <c r="DJ240" s="30"/>
      <c r="DK240" s="30"/>
      <c r="DL240" s="30"/>
      <c r="DM240" s="30"/>
      <c r="DN240" s="30"/>
      <c r="DO240" s="30"/>
      <c r="DP240" s="30"/>
      <c r="DQ240" s="30"/>
      <c r="DR240" s="30"/>
      <c r="DS240" s="30"/>
      <c r="DT240" s="30"/>
      <c r="DU240" s="30"/>
      <c r="DV240" s="30"/>
      <c r="DW240" s="30"/>
    </row>
    <row r="241" spans="1:127" ht="13">
      <c r="A241" s="39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C241" s="30"/>
      <c r="DD241" s="30"/>
      <c r="DE241" s="30"/>
      <c r="DF241" s="30"/>
      <c r="DG241" s="30"/>
      <c r="DH241" s="30"/>
      <c r="DI241" s="30"/>
      <c r="DJ241" s="30"/>
      <c r="DK241" s="30"/>
      <c r="DL241" s="30"/>
      <c r="DM241" s="30"/>
      <c r="DN241" s="30"/>
      <c r="DO241" s="30"/>
      <c r="DP241" s="30"/>
      <c r="DQ241" s="30"/>
      <c r="DR241" s="30"/>
      <c r="DS241" s="30"/>
      <c r="DT241" s="30"/>
      <c r="DU241" s="30"/>
      <c r="DV241" s="30"/>
      <c r="DW241" s="30"/>
    </row>
    <row r="242" spans="1:127" ht="13">
      <c r="A242" s="39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30"/>
      <c r="DD242" s="30"/>
      <c r="DE242" s="30"/>
      <c r="DF242" s="30"/>
      <c r="DG242" s="30"/>
      <c r="DH242" s="30"/>
      <c r="DI242" s="30"/>
      <c r="DJ242" s="30"/>
      <c r="DK242" s="30"/>
      <c r="DL242" s="30"/>
      <c r="DM242" s="30"/>
      <c r="DN242" s="30"/>
      <c r="DO242" s="30"/>
      <c r="DP242" s="30"/>
      <c r="DQ242" s="30"/>
      <c r="DR242" s="30"/>
      <c r="DS242" s="30"/>
      <c r="DT242" s="30"/>
      <c r="DU242" s="30"/>
      <c r="DV242" s="30"/>
      <c r="DW242" s="30"/>
    </row>
    <row r="243" spans="1:127" ht="13">
      <c r="A243" s="39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  <c r="DD243" s="30"/>
      <c r="DE243" s="30"/>
      <c r="DF243" s="30"/>
      <c r="DG243" s="30"/>
      <c r="DH243" s="30"/>
      <c r="DI243" s="30"/>
      <c r="DJ243" s="30"/>
      <c r="DK243" s="30"/>
      <c r="DL243" s="30"/>
      <c r="DM243" s="30"/>
      <c r="DN243" s="30"/>
      <c r="DO243" s="30"/>
      <c r="DP243" s="30"/>
      <c r="DQ243" s="30"/>
      <c r="DR243" s="30"/>
      <c r="DS243" s="30"/>
      <c r="DT243" s="30"/>
      <c r="DU243" s="30"/>
      <c r="DV243" s="30"/>
      <c r="DW243" s="30"/>
    </row>
    <row r="244" spans="1:127" ht="13">
      <c r="A244" s="39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  <c r="DD244" s="30"/>
      <c r="DE244" s="30"/>
      <c r="DF244" s="30"/>
      <c r="DG244" s="30"/>
      <c r="DH244" s="30"/>
      <c r="DI244" s="30"/>
      <c r="DJ244" s="30"/>
      <c r="DK244" s="30"/>
      <c r="DL244" s="30"/>
      <c r="DM244" s="30"/>
      <c r="DN244" s="30"/>
      <c r="DO244" s="30"/>
      <c r="DP244" s="30"/>
      <c r="DQ244" s="30"/>
      <c r="DR244" s="30"/>
      <c r="DS244" s="30"/>
      <c r="DT244" s="30"/>
      <c r="DU244" s="30"/>
      <c r="DV244" s="30"/>
      <c r="DW244" s="30"/>
    </row>
    <row r="245" spans="1:127" ht="13">
      <c r="A245" s="39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  <c r="BV245" s="30"/>
      <c r="BW245" s="30"/>
      <c r="BX245" s="30"/>
      <c r="BY245" s="30"/>
      <c r="BZ245" s="30"/>
      <c r="CA245" s="30"/>
      <c r="CB245" s="30"/>
      <c r="CC245" s="30"/>
      <c r="CD245" s="30"/>
      <c r="CE245" s="30"/>
      <c r="CF245" s="30"/>
      <c r="CG245" s="30"/>
      <c r="CH245" s="30"/>
      <c r="CI245" s="30"/>
      <c r="CJ245" s="30"/>
      <c r="CK245" s="30"/>
      <c r="CL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C245" s="30"/>
      <c r="DD245" s="30"/>
      <c r="DE245" s="30"/>
      <c r="DF245" s="30"/>
      <c r="DG245" s="30"/>
      <c r="DH245" s="30"/>
      <c r="DI245" s="30"/>
      <c r="DJ245" s="30"/>
      <c r="DK245" s="30"/>
      <c r="DL245" s="30"/>
      <c r="DM245" s="30"/>
      <c r="DN245" s="30"/>
      <c r="DO245" s="30"/>
      <c r="DP245" s="30"/>
      <c r="DQ245" s="30"/>
      <c r="DR245" s="30"/>
      <c r="DS245" s="30"/>
      <c r="DT245" s="30"/>
      <c r="DU245" s="30"/>
      <c r="DV245" s="30"/>
      <c r="DW245" s="30"/>
    </row>
    <row r="246" spans="1:127" ht="13">
      <c r="A246" s="39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  <c r="CC246" s="30"/>
      <c r="CD246" s="3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C246" s="30"/>
      <c r="DD246" s="30"/>
      <c r="DE246" s="30"/>
      <c r="DF246" s="30"/>
      <c r="DG246" s="30"/>
      <c r="DH246" s="30"/>
      <c r="DI246" s="30"/>
      <c r="DJ246" s="30"/>
      <c r="DK246" s="30"/>
      <c r="DL246" s="30"/>
      <c r="DM246" s="30"/>
      <c r="DN246" s="30"/>
      <c r="DO246" s="30"/>
      <c r="DP246" s="30"/>
      <c r="DQ246" s="30"/>
      <c r="DR246" s="30"/>
      <c r="DS246" s="30"/>
      <c r="DT246" s="30"/>
      <c r="DU246" s="30"/>
      <c r="DV246" s="30"/>
      <c r="DW246" s="30"/>
    </row>
    <row r="247" spans="1:127" ht="13">
      <c r="A247" s="39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  <c r="BV247" s="30"/>
      <c r="BW247" s="30"/>
      <c r="BX247" s="30"/>
      <c r="BY247" s="30"/>
      <c r="BZ247" s="30"/>
      <c r="CA247" s="30"/>
      <c r="CB247" s="30"/>
      <c r="CC247" s="30"/>
      <c r="CD247" s="30"/>
      <c r="CE247" s="30"/>
      <c r="CF247" s="30"/>
      <c r="CG247" s="30"/>
      <c r="CH247" s="30"/>
      <c r="CI247" s="30"/>
      <c r="CJ247" s="30"/>
      <c r="CK247" s="30"/>
      <c r="CL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C247" s="30"/>
      <c r="DD247" s="30"/>
      <c r="DE247" s="30"/>
      <c r="DF247" s="30"/>
      <c r="DG247" s="30"/>
      <c r="DH247" s="30"/>
      <c r="DI247" s="30"/>
      <c r="DJ247" s="30"/>
      <c r="DK247" s="30"/>
      <c r="DL247" s="30"/>
      <c r="DM247" s="30"/>
      <c r="DN247" s="30"/>
      <c r="DO247" s="30"/>
      <c r="DP247" s="30"/>
      <c r="DQ247" s="30"/>
      <c r="DR247" s="30"/>
      <c r="DS247" s="30"/>
      <c r="DT247" s="30"/>
      <c r="DU247" s="30"/>
      <c r="DV247" s="30"/>
      <c r="DW247" s="30"/>
    </row>
    <row r="248" spans="1:127" ht="13">
      <c r="A248" s="39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C248" s="30"/>
      <c r="DD248" s="30"/>
      <c r="DE248" s="30"/>
      <c r="DF248" s="30"/>
      <c r="DG248" s="30"/>
      <c r="DH248" s="30"/>
      <c r="DI248" s="30"/>
      <c r="DJ248" s="30"/>
      <c r="DK248" s="30"/>
      <c r="DL248" s="30"/>
      <c r="DM248" s="30"/>
      <c r="DN248" s="30"/>
      <c r="DO248" s="30"/>
      <c r="DP248" s="30"/>
      <c r="DQ248" s="30"/>
      <c r="DR248" s="30"/>
      <c r="DS248" s="30"/>
      <c r="DT248" s="30"/>
      <c r="DU248" s="30"/>
      <c r="DV248" s="30"/>
      <c r="DW248" s="30"/>
    </row>
    <row r="249" spans="1:127" ht="13">
      <c r="A249" s="39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  <c r="BV249" s="30"/>
      <c r="BW249" s="30"/>
      <c r="BX249" s="30"/>
      <c r="BY249" s="30"/>
      <c r="BZ249" s="30"/>
      <c r="CA249" s="30"/>
      <c r="CB249" s="30"/>
      <c r="CC249" s="30"/>
      <c r="CD249" s="30"/>
      <c r="CE249" s="30"/>
      <c r="CF249" s="30"/>
      <c r="CG249" s="30"/>
      <c r="CH249" s="30"/>
      <c r="CI249" s="30"/>
      <c r="CJ249" s="30"/>
      <c r="CK249" s="30"/>
      <c r="CL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C249" s="30"/>
      <c r="DD249" s="30"/>
      <c r="DE249" s="30"/>
      <c r="DF249" s="30"/>
      <c r="DG249" s="30"/>
      <c r="DH249" s="30"/>
      <c r="DI249" s="30"/>
      <c r="DJ249" s="30"/>
      <c r="DK249" s="30"/>
      <c r="DL249" s="30"/>
      <c r="DM249" s="30"/>
      <c r="DN249" s="30"/>
      <c r="DO249" s="30"/>
      <c r="DP249" s="30"/>
      <c r="DQ249" s="30"/>
      <c r="DR249" s="30"/>
      <c r="DS249" s="30"/>
      <c r="DT249" s="30"/>
      <c r="DU249" s="30"/>
      <c r="DV249" s="30"/>
      <c r="DW249" s="30"/>
    </row>
    <row r="250" spans="1:127" ht="13">
      <c r="A250" s="39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C250" s="30"/>
      <c r="DD250" s="30"/>
      <c r="DE250" s="30"/>
      <c r="DF250" s="30"/>
      <c r="DG250" s="30"/>
      <c r="DH250" s="30"/>
      <c r="DI250" s="30"/>
      <c r="DJ250" s="30"/>
      <c r="DK250" s="30"/>
      <c r="DL250" s="30"/>
      <c r="DM250" s="30"/>
      <c r="DN250" s="30"/>
      <c r="DO250" s="30"/>
      <c r="DP250" s="30"/>
      <c r="DQ250" s="30"/>
      <c r="DR250" s="30"/>
      <c r="DS250" s="30"/>
      <c r="DT250" s="30"/>
      <c r="DU250" s="30"/>
      <c r="DV250" s="30"/>
      <c r="DW250" s="30"/>
    </row>
    <row r="251" spans="1:127" ht="13">
      <c r="A251" s="39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  <c r="BV251" s="30"/>
      <c r="BW251" s="30"/>
      <c r="BX251" s="30"/>
      <c r="BY251" s="30"/>
      <c r="BZ251" s="30"/>
      <c r="CA251" s="30"/>
      <c r="CB251" s="30"/>
      <c r="CC251" s="30"/>
      <c r="CD251" s="30"/>
      <c r="CE251" s="30"/>
      <c r="CF251" s="30"/>
      <c r="CG251" s="30"/>
      <c r="CH251" s="30"/>
      <c r="CI251" s="30"/>
      <c r="CJ251" s="30"/>
      <c r="CK251" s="3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C251" s="30"/>
      <c r="DD251" s="30"/>
      <c r="DE251" s="30"/>
      <c r="DF251" s="30"/>
      <c r="DG251" s="30"/>
      <c r="DH251" s="30"/>
      <c r="DI251" s="30"/>
      <c r="DJ251" s="30"/>
      <c r="DK251" s="30"/>
      <c r="DL251" s="30"/>
      <c r="DM251" s="30"/>
      <c r="DN251" s="30"/>
      <c r="DO251" s="30"/>
      <c r="DP251" s="30"/>
      <c r="DQ251" s="30"/>
      <c r="DR251" s="30"/>
      <c r="DS251" s="30"/>
      <c r="DT251" s="30"/>
      <c r="DU251" s="30"/>
      <c r="DV251" s="30"/>
      <c r="DW251" s="30"/>
    </row>
    <row r="252" spans="1:127" ht="13">
      <c r="A252" s="39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30"/>
      <c r="CA252" s="30"/>
      <c r="CB252" s="30"/>
      <c r="CC252" s="30"/>
      <c r="CD252" s="30"/>
      <c r="CE252" s="30"/>
      <c r="CF252" s="30"/>
      <c r="CG252" s="30"/>
      <c r="CH252" s="30"/>
      <c r="CI252" s="30"/>
      <c r="CJ252" s="30"/>
      <c r="CK252" s="30"/>
      <c r="CL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C252" s="30"/>
      <c r="DD252" s="30"/>
      <c r="DE252" s="30"/>
      <c r="DF252" s="30"/>
      <c r="DG252" s="30"/>
      <c r="DH252" s="30"/>
      <c r="DI252" s="30"/>
      <c r="DJ252" s="30"/>
      <c r="DK252" s="30"/>
      <c r="DL252" s="30"/>
      <c r="DM252" s="30"/>
      <c r="DN252" s="30"/>
      <c r="DO252" s="30"/>
      <c r="DP252" s="30"/>
      <c r="DQ252" s="30"/>
      <c r="DR252" s="30"/>
      <c r="DS252" s="30"/>
      <c r="DT252" s="30"/>
      <c r="DU252" s="30"/>
      <c r="DV252" s="30"/>
      <c r="DW252" s="30"/>
    </row>
    <row r="253" spans="1:127" ht="13">
      <c r="A253" s="39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  <c r="BV253" s="30"/>
      <c r="BW253" s="30"/>
      <c r="BX253" s="30"/>
      <c r="BY253" s="30"/>
      <c r="BZ253" s="30"/>
      <c r="CA253" s="30"/>
      <c r="CB253" s="30"/>
      <c r="CC253" s="30"/>
      <c r="CD253" s="30"/>
      <c r="CE253" s="30"/>
      <c r="CF253" s="30"/>
      <c r="CG253" s="30"/>
      <c r="CH253" s="30"/>
      <c r="CI253" s="30"/>
      <c r="CJ253" s="30"/>
      <c r="CK253" s="30"/>
      <c r="CL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C253" s="30"/>
      <c r="DD253" s="30"/>
      <c r="DE253" s="30"/>
      <c r="DF253" s="30"/>
      <c r="DG253" s="30"/>
      <c r="DH253" s="30"/>
      <c r="DI253" s="30"/>
      <c r="DJ253" s="30"/>
      <c r="DK253" s="30"/>
      <c r="DL253" s="30"/>
      <c r="DM253" s="30"/>
      <c r="DN253" s="30"/>
      <c r="DO253" s="30"/>
      <c r="DP253" s="30"/>
      <c r="DQ253" s="30"/>
      <c r="DR253" s="30"/>
      <c r="DS253" s="30"/>
      <c r="DT253" s="30"/>
      <c r="DU253" s="30"/>
      <c r="DV253" s="30"/>
      <c r="DW253" s="30"/>
    </row>
    <row r="254" spans="1:127" ht="13">
      <c r="A254" s="39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0"/>
      <c r="BX254" s="30"/>
      <c r="BY254" s="30"/>
      <c r="BZ254" s="30"/>
      <c r="CA254" s="30"/>
      <c r="CB254" s="30"/>
      <c r="CC254" s="30"/>
      <c r="CD254" s="30"/>
      <c r="CE254" s="30"/>
      <c r="CF254" s="30"/>
      <c r="CG254" s="30"/>
      <c r="CH254" s="30"/>
      <c r="CI254" s="30"/>
      <c r="CJ254" s="30"/>
      <c r="CK254" s="30"/>
      <c r="CL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C254" s="30"/>
      <c r="DD254" s="30"/>
      <c r="DE254" s="30"/>
      <c r="DF254" s="30"/>
      <c r="DG254" s="30"/>
      <c r="DH254" s="30"/>
      <c r="DI254" s="30"/>
      <c r="DJ254" s="30"/>
      <c r="DK254" s="30"/>
      <c r="DL254" s="30"/>
      <c r="DM254" s="30"/>
      <c r="DN254" s="30"/>
      <c r="DO254" s="30"/>
      <c r="DP254" s="30"/>
      <c r="DQ254" s="30"/>
      <c r="DR254" s="30"/>
      <c r="DS254" s="30"/>
      <c r="DT254" s="30"/>
      <c r="DU254" s="30"/>
      <c r="DV254" s="30"/>
      <c r="DW254" s="30"/>
    </row>
    <row r="255" spans="1:127" ht="13">
      <c r="A255" s="39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C255" s="30"/>
      <c r="DD255" s="30"/>
      <c r="DE255" s="30"/>
      <c r="DF255" s="30"/>
      <c r="DG255" s="30"/>
      <c r="DH255" s="30"/>
      <c r="DI255" s="30"/>
      <c r="DJ255" s="30"/>
      <c r="DK255" s="30"/>
      <c r="DL255" s="30"/>
      <c r="DM255" s="30"/>
      <c r="DN255" s="30"/>
      <c r="DO255" s="30"/>
      <c r="DP255" s="30"/>
      <c r="DQ255" s="30"/>
      <c r="DR255" s="30"/>
      <c r="DS255" s="30"/>
      <c r="DT255" s="30"/>
      <c r="DU255" s="30"/>
      <c r="DV255" s="30"/>
      <c r="DW255" s="30"/>
    </row>
    <row r="256" spans="1:127" ht="13">
      <c r="A256" s="39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C256" s="30"/>
      <c r="DD256" s="30"/>
      <c r="DE256" s="30"/>
      <c r="DF256" s="30"/>
      <c r="DG256" s="30"/>
      <c r="DH256" s="30"/>
      <c r="DI256" s="30"/>
      <c r="DJ256" s="30"/>
      <c r="DK256" s="30"/>
      <c r="DL256" s="30"/>
      <c r="DM256" s="30"/>
      <c r="DN256" s="30"/>
      <c r="DO256" s="30"/>
      <c r="DP256" s="30"/>
      <c r="DQ256" s="30"/>
      <c r="DR256" s="30"/>
      <c r="DS256" s="30"/>
      <c r="DT256" s="30"/>
      <c r="DU256" s="30"/>
      <c r="DV256" s="30"/>
      <c r="DW256" s="30"/>
    </row>
    <row r="257" spans="1:127" ht="13">
      <c r="A257" s="39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  <c r="BV257" s="30"/>
      <c r="BW257" s="30"/>
      <c r="BX257" s="30"/>
      <c r="BY257" s="30"/>
      <c r="BZ257" s="30"/>
      <c r="CA257" s="30"/>
      <c r="CB257" s="30"/>
      <c r="CC257" s="30"/>
      <c r="CD257" s="30"/>
      <c r="CE257" s="30"/>
      <c r="CF257" s="30"/>
      <c r="CG257" s="30"/>
      <c r="CH257" s="30"/>
      <c r="CI257" s="30"/>
      <c r="CJ257" s="30"/>
      <c r="CK257" s="30"/>
      <c r="CL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C257" s="30"/>
      <c r="DD257" s="30"/>
      <c r="DE257" s="30"/>
      <c r="DF257" s="30"/>
      <c r="DG257" s="30"/>
      <c r="DH257" s="30"/>
      <c r="DI257" s="30"/>
      <c r="DJ257" s="30"/>
      <c r="DK257" s="30"/>
      <c r="DL257" s="30"/>
      <c r="DM257" s="30"/>
      <c r="DN257" s="30"/>
      <c r="DO257" s="30"/>
      <c r="DP257" s="30"/>
      <c r="DQ257" s="30"/>
      <c r="DR257" s="30"/>
      <c r="DS257" s="30"/>
      <c r="DT257" s="30"/>
      <c r="DU257" s="30"/>
      <c r="DV257" s="30"/>
      <c r="DW257" s="30"/>
    </row>
    <row r="258" spans="1:127" ht="13">
      <c r="A258" s="39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  <c r="BW258" s="30"/>
      <c r="BX258" s="30"/>
      <c r="BY258" s="30"/>
      <c r="BZ258" s="30"/>
      <c r="CA258" s="30"/>
      <c r="CB258" s="30"/>
      <c r="CC258" s="30"/>
      <c r="CD258" s="3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C258" s="30"/>
      <c r="DD258" s="30"/>
      <c r="DE258" s="30"/>
      <c r="DF258" s="30"/>
      <c r="DG258" s="30"/>
      <c r="DH258" s="30"/>
      <c r="DI258" s="30"/>
      <c r="DJ258" s="30"/>
      <c r="DK258" s="30"/>
      <c r="DL258" s="30"/>
      <c r="DM258" s="30"/>
      <c r="DN258" s="30"/>
      <c r="DO258" s="30"/>
      <c r="DP258" s="30"/>
      <c r="DQ258" s="30"/>
      <c r="DR258" s="30"/>
      <c r="DS258" s="30"/>
      <c r="DT258" s="30"/>
      <c r="DU258" s="30"/>
      <c r="DV258" s="30"/>
      <c r="DW258" s="30"/>
    </row>
    <row r="259" spans="1:127" ht="13">
      <c r="A259" s="39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C259" s="30"/>
      <c r="DD259" s="30"/>
      <c r="DE259" s="30"/>
      <c r="DF259" s="30"/>
      <c r="DG259" s="30"/>
      <c r="DH259" s="30"/>
      <c r="DI259" s="30"/>
      <c r="DJ259" s="30"/>
      <c r="DK259" s="30"/>
      <c r="DL259" s="30"/>
      <c r="DM259" s="30"/>
      <c r="DN259" s="30"/>
      <c r="DO259" s="30"/>
      <c r="DP259" s="30"/>
      <c r="DQ259" s="30"/>
      <c r="DR259" s="30"/>
      <c r="DS259" s="30"/>
      <c r="DT259" s="30"/>
      <c r="DU259" s="30"/>
      <c r="DV259" s="30"/>
      <c r="DW259" s="30"/>
    </row>
    <row r="260" spans="1:127" ht="13">
      <c r="A260" s="39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  <c r="DE260" s="30"/>
      <c r="DF260" s="30"/>
      <c r="DG260" s="30"/>
      <c r="DH260" s="30"/>
      <c r="DI260" s="30"/>
      <c r="DJ260" s="30"/>
      <c r="DK260" s="30"/>
      <c r="DL260" s="30"/>
      <c r="DM260" s="30"/>
      <c r="DN260" s="30"/>
      <c r="DO260" s="30"/>
      <c r="DP260" s="30"/>
      <c r="DQ260" s="30"/>
      <c r="DR260" s="30"/>
      <c r="DS260" s="30"/>
      <c r="DT260" s="30"/>
      <c r="DU260" s="30"/>
      <c r="DV260" s="30"/>
      <c r="DW260" s="30"/>
    </row>
    <row r="261" spans="1:127" ht="13">
      <c r="A261" s="39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  <c r="BV261" s="30"/>
      <c r="BW261" s="30"/>
      <c r="BX261" s="30"/>
      <c r="BY261" s="30"/>
      <c r="BZ261" s="30"/>
      <c r="CA261" s="30"/>
      <c r="CB261" s="30"/>
      <c r="CC261" s="30"/>
      <c r="CD261" s="30"/>
      <c r="CE261" s="30"/>
      <c r="CF261" s="30"/>
      <c r="CG261" s="30"/>
      <c r="CH261" s="30"/>
      <c r="CI261" s="30"/>
      <c r="CJ261" s="30"/>
      <c r="CK261" s="30"/>
      <c r="CL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C261" s="30"/>
      <c r="DD261" s="30"/>
      <c r="DE261" s="30"/>
      <c r="DF261" s="30"/>
      <c r="DG261" s="30"/>
      <c r="DH261" s="30"/>
      <c r="DI261" s="30"/>
      <c r="DJ261" s="30"/>
      <c r="DK261" s="30"/>
      <c r="DL261" s="30"/>
      <c r="DM261" s="30"/>
      <c r="DN261" s="30"/>
      <c r="DO261" s="30"/>
      <c r="DP261" s="30"/>
      <c r="DQ261" s="30"/>
      <c r="DR261" s="30"/>
      <c r="DS261" s="30"/>
      <c r="DT261" s="30"/>
      <c r="DU261" s="30"/>
      <c r="DV261" s="30"/>
      <c r="DW261" s="30"/>
    </row>
    <row r="262" spans="1:127" ht="13">
      <c r="A262" s="39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  <c r="CC262" s="30"/>
      <c r="CD262" s="3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30"/>
      <c r="DD262" s="30"/>
      <c r="DE262" s="30"/>
      <c r="DF262" s="30"/>
      <c r="DG262" s="30"/>
      <c r="DH262" s="30"/>
      <c r="DI262" s="30"/>
      <c r="DJ262" s="30"/>
      <c r="DK262" s="30"/>
      <c r="DL262" s="30"/>
      <c r="DM262" s="30"/>
      <c r="DN262" s="30"/>
      <c r="DO262" s="30"/>
      <c r="DP262" s="30"/>
      <c r="DQ262" s="30"/>
      <c r="DR262" s="30"/>
      <c r="DS262" s="30"/>
      <c r="DT262" s="30"/>
      <c r="DU262" s="30"/>
      <c r="DV262" s="30"/>
      <c r="DW262" s="30"/>
    </row>
    <row r="263" spans="1:127" ht="13">
      <c r="A263" s="39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  <c r="BV263" s="30"/>
      <c r="BW263" s="30"/>
      <c r="BX263" s="30"/>
      <c r="BY263" s="30"/>
      <c r="BZ263" s="30"/>
      <c r="CA263" s="30"/>
      <c r="CB263" s="30"/>
      <c r="CC263" s="30"/>
      <c r="CD263" s="3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C263" s="30"/>
      <c r="DD263" s="30"/>
      <c r="DE263" s="30"/>
      <c r="DF263" s="30"/>
      <c r="DG263" s="30"/>
      <c r="DH263" s="30"/>
      <c r="DI263" s="30"/>
      <c r="DJ263" s="30"/>
      <c r="DK263" s="30"/>
      <c r="DL263" s="30"/>
      <c r="DM263" s="30"/>
      <c r="DN263" s="30"/>
      <c r="DO263" s="30"/>
      <c r="DP263" s="30"/>
      <c r="DQ263" s="30"/>
      <c r="DR263" s="30"/>
      <c r="DS263" s="30"/>
      <c r="DT263" s="30"/>
      <c r="DU263" s="30"/>
      <c r="DV263" s="30"/>
      <c r="DW263" s="30"/>
    </row>
    <row r="264" spans="1:127" ht="13">
      <c r="A264" s="39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C264" s="30"/>
      <c r="DD264" s="30"/>
      <c r="DE264" s="30"/>
      <c r="DF264" s="30"/>
      <c r="DG264" s="30"/>
      <c r="DH264" s="30"/>
      <c r="DI264" s="30"/>
      <c r="DJ264" s="30"/>
      <c r="DK264" s="30"/>
      <c r="DL264" s="30"/>
      <c r="DM264" s="30"/>
      <c r="DN264" s="30"/>
      <c r="DO264" s="30"/>
      <c r="DP264" s="30"/>
      <c r="DQ264" s="30"/>
      <c r="DR264" s="30"/>
      <c r="DS264" s="30"/>
      <c r="DT264" s="30"/>
      <c r="DU264" s="30"/>
      <c r="DV264" s="30"/>
      <c r="DW264" s="30"/>
    </row>
    <row r="265" spans="1:127" ht="13">
      <c r="A265" s="39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  <c r="BV265" s="30"/>
      <c r="BW265" s="30"/>
      <c r="BX265" s="30"/>
      <c r="BY265" s="30"/>
      <c r="BZ265" s="30"/>
      <c r="CA265" s="30"/>
      <c r="CB265" s="30"/>
      <c r="CC265" s="30"/>
      <c r="CD265" s="3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C265" s="30"/>
      <c r="DD265" s="30"/>
      <c r="DE265" s="30"/>
      <c r="DF265" s="30"/>
      <c r="DG265" s="30"/>
      <c r="DH265" s="30"/>
      <c r="DI265" s="30"/>
      <c r="DJ265" s="30"/>
      <c r="DK265" s="30"/>
      <c r="DL265" s="30"/>
      <c r="DM265" s="30"/>
      <c r="DN265" s="30"/>
      <c r="DO265" s="30"/>
      <c r="DP265" s="30"/>
      <c r="DQ265" s="30"/>
      <c r="DR265" s="30"/>
      <c r="DS265" s="30"/>
      <c r="DT265" s="30"/>
      <c r="DU265" s="30"/>
      <c r="DV265" s="30"/>
      <c r="DW265" s="30"/>
    </row>
    <row r="266" spans="1:127" ht="13">
      <c r="A266" s="39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C266" s="30"/>
      <c r="DD266" s="30"/>
      <c r="DE266" s="30"/>
      <c r="DF266" s="30"/>
      <c r="DG266" s="30"/>
      <c r="DH266" s="30"/>
      <c r="DI266" s="30"/>
      <c r="DJ266" s="30"/>
      <c r="DK266" s="30"/>
      <c r="DL266" s="30"/>
      <c r="DM266" s="30"/>
      <c r="DN266" s="30"/>
      <c r="DO266" s="30"/>
      <c r="DP266" s="30"/>
      <c r="DQ266" s="30"/>
      <c r="DR266" s="30"/>
      <c r="DS266" s="30"/>
      <c r="DT266" s="30"/>
      <c r="DU266" s="30"/>
      <c r="DV266" s="30"/>
      <c r="DW266" s="30"/>
    </row>
    <row r="267" spans="1:127" ht="13">
      <c r="A267" s="39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C267" s="30"/>
      <c r="DD267" s="30"/>
      <c r="DE267" s="30"/>
      <c r="DF267" s="30"/>
      <c r="DG267" s="30"/>
      <c r="DH267" s="30"/>
      <c r="DI267" s="30"/>
      <c r="DJ267" s="30"/>
      <c r="DK267" s="30"/>
      <c r="DL267" s="30"/>
      <c r="DM267" s="30"/>
      <c r="DN267" s="30"/>
      <c r="DO267" s="30"/>
      <c r="DP267" s="30"/>
      <c r="DQ267" s="30"/>
      <c r="DR267" s="30"/>
      <c r="DS267" s="30"/>
      <c r="DT267" s="30"/>
      <c r="DU267" s="30"/>
      <c r="DV267" s="30"/>
      <c r="DW267" s="30"/>
    </row>
    <row r="268" spans="1:127" ht="13">
      <c r="A268" s="39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C268" s="30"/>
      <c r="DD268" s="30"/>
      <c r="DE268" s="30"/>
      <c r="DF268" s="30"/>
      <c r="DG268" s="30"/>
      <c r="DH268" s="30"/>
      <c r="DI268" s="30"/>
      <c r="DJ268" s="30"/>
      <c r="DK268" s="30"/>
      <c r="DL268" s="30"/>
      <c r="DM268" s="30"/>
      <c r="DN268" s="30"/>
      <c r="DO268" s="30"/>
      <c r="DP268" s="30"/>
      <c r="DQ268" s="30"/>
      <c r="DR268" s="30"/>
      <c r="DS268" s="30"/>
      <c r="DT268" s="30"/>
      <c r="DU268" s="30"/>
      <c r="DV268" s="30"/>
      <c r="DW268" s="30"/>
    </row>
    <row r="269" spans="1:127" ht="13">
      <c r="A269" s="39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  <c r="BV269" s="30"/>
      <c r="BW269" s="30"/>
      <c r="BX269" s="30"/>
      <c r="BY269" s="30"/>
      <c r="BZ269" s="30"/>
      <c r="CA269" s="30"/>
      <c r="CB269" s="30"/>
      <c r="CC269" s="30"/>
      <c r="CD269" s="30"/>
      <c r="CE269" s="30"/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C269" s="30"/>
      <c r="DD269" s="30"/>
      <c r="DE269" s="30"/>
      <c r="DF269" s="30"/>
      <c r="DG269" s="30"/>
      <c r="DH269" s="30"/>
      <c r="DI269" s="30"/>
      <c r="DJ269" s="30"/>
      <c r="DK269" s="30"/>
      <c r="DL269" s="30"/>
      <c r="DM269" s="30"/>
      <c r="DN269" s="30"/>
      <c r="DO269" s="30"/>
      <c r="DP269" s="30"/>
      <c r="DQ269" s="30"/>
      <c r="DR269" s="30"/>
      <c r="DS269" s="30"/>
      <c r="DT269" s="30"/>
      <c r="DU269" s="30"/>
      <c r="DV269" s="30"/>
      <c r="DW269" s="30"/>
    </row>
    <row r="270" spans="1:127" ht="13">
      <c r="A270" s="39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C270" s="30"/>
      <c r="DD270" s="30"/>
      <c r="DE270" s="30"/>
      <c r="DF270" s="30"/>
      <c r="DG270" s="30"/>
      <c r="DH270" s="30"/>
      <c r="DI270" s="30"/>
      <c r="DJ270" s="30"/>
      <c r="DK270" s="30"/>
      <c r="DL270" s="30"/>
      <c r="DM270" s="30"/>
      <c r="DN270" s="30"/>
      <c r="DO270" s="30"/>
      <c r="DP270" s="30"/>
      <c r="DQ270" s="30"/>
      <c r="DR270" s="30"/>
      <c r="DS270" s="30"/>
      <c r="DT270" s="30"/>
      <c r="DU270" s="30"/>
      <c r="DV270" s="30"/>
      <c r="DW270" s="30"/>
    </row>
    <row r="271" spans="1:127" ht="13">
      <c r="A271" s="39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  <c r="BV271" s="30"/>
      <c r="BW271" s="30"/>
      <c r="BX271" s="30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C271" s="30"/>
      <c r="DD271" s="30"/>
      <c r="DE271" s="30"/>
      <c r="DF271" s="30"/>
      <c r="DG271" s="30"/>
      <c r="DH271" s="30"/>
      <c r="DI271" s="30"/>
      <c r="DJ271" s="30"/>
      <c r="DK271" s="30"/>
      <c r="DL271" s="30"/>
      <c r="DM271" s="30"/>
      <c r="DN271" s="30"/>
      <c r="DO271" s="30"/>
      <c r="DP271" s="30"/>
      <c r="DQ271" s="30"/>
      <c r="DR271" s="30"/>
      <c r="DS271" s="30"/>
      <c r="DT271" s="30"/>
      <c r="DU271" s="30"/>
      <c r="DV271" s="30"/>
      <c r="DW271" s="30"/>
    </row>
    <row r="272" spans="1:127" ht="13">
      <c r="A272" s="39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  <c r="CC272" s="30"/>
      <c r="CD272" s="3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C272" s="30"/>
      <c r="DD272" s="30"/>
      <c r="DE272" s="30"/>
      <c r="DF272" s="30"/>
      <c r="DG272" s="30"/>
      <c r="DH272" s="30"/>
      <c r="DI272" s="30"/>
      <c r="DJ272" s="30"/>
      <c r="DK272" s="30"/>
      <c r="DL272" s="30"/>
      <c r="DM272" s="30"/>
      <c r="DN272" s="30"/>
      <c r="DO272" s="30"/>
      <c r="DP272" s="30"/>
      <c r="DQ272" s="30"/>
      <c r="DR272" s="30"/>
      <c r="DS272" s="30"/>
      <c r="DT272" s="30"/>
      <c r="DU272" s="30"/>
      <c r="DV272" s="30"/>
      <c r="DW272" s="30"/>
    </row>
    <row r="273" spans="1:127" ht="13">
      <c r="A273" s="39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  <c r="BV273" s="30"/>
      <c r="BW273" s="30"/>
      <c r="BX273" s="30"/>
      <c r="BY273" s="30"/>
      <c r="BZ273" s="30"/>
      <c r="CA273" s="30"/>
      <c r="CB273" s="30"/>
      <c r="CC273" s="30"/>
      <c r="CD273" s="3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C273" s="30"/>
      <c r="DD273" s="30"/>
      <c r="DE273" s="30"/>
      <c r="DF273" s="30"/>
      <c r="DG273" s="30"/>
      <c r="DH273" s="30"/>
      <c r="DI273" s="30"/>
      <c r="DJ273" s="30"/>
      <c r="DK273" s="30"/>
      <c r="DL273" s="30"/>
      <c r="DM273" s="30"/>
      <c r="DN273" s="30"/>
      <c r="DO273" s="30"/>
      <c r="DP273" s="30"/>
      <c r="DQ273" s="30"/>
      <c r="DR273" s="30"/>
      <c r="DS273" s="30"/>
      <c r="DT273" s="30"/>
      <c r="DU273" s="30"/>
      <c r="DV273" s="30"/>
      <c r="DW273" s="30"/>
    </row>
    <row r="274" spans="1:127" ht="13">
      <c r="A274" s="39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C274" s="30"/>
      <c r="DD274" s="30"/>
      <c r="DE274" s="30"/>
      <c r="DF274" s="30"/>
      <c r="DG274" s="30"/>
      <c r="DH274" s="30"/>
      <c r="DI274" s="30"/>
      <c r="DJ274" s="30"/>
      <c r="DK274" s="30"/>
      <c r="DL274" s="30"/>
      <c r="DM274" s="30"/>
      <c r="DN274" s="30"/>
      <c r="DO274" s="30"/>
      <c r="DP274" s="30"/>
      <c r="DQ274" s="30"/>
      <c r="DR274" s="30"/>
      <c r="DS274" s="30"/>
      <c r="DT274" s="30"/>
      <c r="DU274" s="30"/>
      <c r="DV274" s="30"/>
      <c r="DW274" s="30"/>
    </row>
    <row r="275" spans="1:127" ht="13">
      <c r="A275" s="39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  <c r="BW275" s="30"/>
      <c r="BX275" s="30"/>
      <c r="BY275" s="30"/>
      <c r="BZ275" s="30"/>
      <c r="CA275" s="30"/>
      <c r="CB275" s="30"/>
      <c r="CC275" s="30"/>
      <c r="CD275" s="3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C275" s="30"/>
      <c r="DD275" s="30"/>
      <c r="DE275" s="30"/>
      <c r="DF275" s="30"/>
      <c r="DG275" s="30"/>
      <c r="DH275" s="30"/>
      <c r="DI275" s="30"/>
      <c r="DJ275" s="30"/>
      <c r="DK275" s="30"/>
      <c r="DL275" s="30"/>
      <c r="DM275" s="30"/>
      <c r="DN275" s="30"/>
      <c r="DO275" s="30"/>
      <c r="DP275" s="30"/>
      <c r="DQ275" s="30"/>
      <c r="DR275" s="30"/>
      <c r="DS275" s="30"/>
      <c r="DT275" s="30"/>
      <c r="DU275" s="30"/>
      <c r="DV275" s="30"/>
      <c r="DW275" s="30"/>
    </row>
    <row r="276" spans="1:127" ht="13">
      <c r="A276" s="39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0"/>
      <c r="DF276" s="30"/>
      <c r="DG276" s="30"/>
      <c r="DH276" s="30"/>
      <c r="DI276" s="30"/>
      <c r="DJ276" s="30"/>
      <c r="DK276" s="30"/>
      <c r="DL276" s="30"/>
      <c r="DM276" s="30"/>
      <c r="DN276" s="30"/>
      <c r="DO276" s="30"/>
      <c r="DP276" s="30"/>
      <c r="DQ276" s="30"/>
      <c r="DR276" s="30"/>
      <c r="DS276" s="30"/>
      <c r="DT276" s="30"/>
      <c r="DU276" s="30"/>
      <c r="DV276" s="30"/>
      <c r="DW276" s="30"/>
    </row>
    <row r="277" spans="1:127" ht="13">
      <c r="A277" s="39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  <c r="BV277" s="30"/>
      <c r="BW277" s="30"/>
      <c r="BX277" s="30"/>
      <c r="BY277" s="30"/>
      <c r="BZ277" s="30"/>
      <c r="CA277" s="30"/>
      <c r="CB277" s="30"/>
      <c r="CC277" s="30"/>
      <c r="CD277" s="3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C277" s="30"/>
      <c r="DD277" s="30"/>
      <c r="DE277" s="30"/>
      <c r="DF277" s="30"/>
      <c r="DG277" s="30"/>
      <c r="DH277" s="30"/>
      <c r="DI277" s="30"/>
      <c r="DJ277" s="30"/>
      <c r="DK277" s="30"/>
      <c r="DL277" s="30"/>
      <c r="DM277" s="30"/>
      <c r="DN277" s="30"/>
      <c r="DO277" s="30"/>
      <c r="DP277" s="30"/>
      <c r="DQ277" s="30"/>
      <c r="DR277" s="30"/>
      <c r="DS277" s="30"/>
      <c r="DT277" s="30"/>
      <c r="DU277" s="30"/>
      <c r="DV277" s="30"/>
      <c r="DW277" s="30"/>
    </row>
    <row r="278" spans="1:127" ht="13">
      <c r="A278" s="39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  <c r="DB278" s="30"/>
      <c r="DC278" s="30"/>
      <c r="DD278" s="30"/>
      <c r="DE278" s="30"/>
      <c r="DF278" s="30"/>
      <c r="DG278" s="30"/>
      <c r="DH278" s="30"/>
      <c r="DI278" s="30"/>
      <c r="DJ278" s="30"/>
      <c r="DK278" s="30"/>
      <c r="DL278" s="30"/>
      <c r="DM278" s="30"/>
      <c r="DN278" s="30"/>
      <c r="DO278" s="30"/>
      <c r="DP278" s="30"/>
      <c r="DQ278" s="30"/>
      <c r="DR278" s="30"/>
      <c r="DS278" s="30"/>
      <c r="DT278" s="30"/>
      <c r="DU278" s="30"/>
      <c r="DV278" s="30"/>
      <c r="DW278" s="30"/>
    </row>
    <row r="279" spans="1:127" ht="13">
      <c r="A279" s="39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  <c r="BV279" s="30"/>
      <c r="BW279" s="30"/>
      <c r="BX279" s="30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C279" s="30"/>
      <c r="DD279" s="30"/>
      <c r="DE279" s="30"/>
      <c r="DF279" s="30"/>
      <c r="DG279" s="30"/>
      <c r="DH279" s="30"/>
      <c r="DI279" s="30"/>
      <c r="DJ279" s="30"/>
      <c r="DK279" s="30"/>
      <c r="DL279" s="30"/>
      <c r="DM279" s="30"/>
      <c r="DN279" s="30"/>
      <c r="DO279" s="30"/>
      <c r="DP279" s="30"/>
      <c r="DQ279" s="30"/>
      <c r="DR279" s="30"/>
      <c r="DS279" s="30"/>
      <c r="DT279" s="30"/>
      <c r="DU279" s="30"/>
      <c r="DV279" s="30"/>
      <c r="DW279" s="30"/>
    </row>
    <row r="280" spans="1:127" ht="13">
      <c r="A280" s="39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  <c r="BV280" s="30"/>
      <c r="BW280" s="30"/>
      <c r="BX280" s="30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/>
      <c r="CU280" s="30"/>
      <c r="CV280" s="30"/>
      <c r="CW280" s="30"/>
      <c r="CX280" s="30"/>
      <c r="CY280" s="30"/>
      <c r="CZ280" s="30"/>
      <c r="DA280" s="30"/>
      <c r="DB280" s="30"/>
      <c r="DC280" s="30"/>
      <c r="DD280" s="30"/>
      <c r="DE280" s="30"/>
      <c r="DF280" s="30"/>
      <c r="DG280" s="30"/>
      <c r="DH280" s="30"/>
      <c r="DI280" s="30"/>
      <c r="DJ280" s="30"/>
      <c r="DK280" s="30"/>
      <c r="DL280" s="30"/>
      <c r="DM280" s="30"/>
      <c r="DN280" s="30"/>
      <c r="DO280" s="30"/>
      <c r="DP280" s="30"/>
      <c r="DQ280" s="30"/>
      <c r="DR280" s="30"/>
      <c r="DS280" s="30"/>
      <c r="DT280" s="30"/>
      <c r="DU280" s="30"/>
      <c r="DV280" s="30"/>
      <c r="DW280" s="30"/>
    </row>
    <row r="281" spans="1:127" ht="13">
      <c r="A281" s="39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  <c r="BW281" s="30"/>
      <c r="BX281" s="30"/>
      <c r="BY281" s="30"/>
      <c r="BZ281" s="30"/>
      <c r="CA281" s="30"/>
      <c r="CB281" s="30"/>
      <c r="CC281" s="30"/>
      <c r="CD281" s="3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C281" s="30"/>
      <c r="DD281" s="30"/>
      <c r="DE281" s="30"/>
      <c r="DF281" s="30"/>
      <c r="DG281" s="30"/>
      <c r="DH281" s="30"/>
      <c r="DI281" s="30"/>
      <c r="DJ281" s="30"/>
      <c r="DK281" s="30"/>
      <c r="DL281" s="30"/>
      <c r="DM281" s="30"/>
      <c r="DN281" s="30"/>
      <c r="DO281" s="30"/>
      <c r="DP281" s="30"/>
      <c r="DQ281" s="30"/>
      <c r="DR281" s="30"/>
      <c r="DS281" s="30"/>
      <c r="DT281" s="30"/>
      <c r="DU281" s="30"/>
      <c r="DV281" s="30"/>
      <c r="DW281" s="30"/>
    </row>
    <row r="282" spans="1:127" ht="13">
      <c r="A282" s="39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  <c r="BV282" s="30"/>
      <c r="BW282" s="30"/>
      <c r="BX282" s="30"/>
      <c r="BY282" s="30"/>
      <c r="BZ282" s="30"/>
      <c r="CA282" s="30"/>
      <c r="CB282" s="30"/>
      <c r="CC282" s="30"/>
      <c r="CD282" s="3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C282" s="30"/>
      <c r="DD282" s="30"/>
      <c r="DE282" s="30"/>
      <c r="DF282" s="30"/>
      <c r="DG282" s="30"/>
      <c r="DH282" s="30"/>
      <c r="DI282" s="30"/>
      <c r="DJ282" s="30"/>
      <c r="DK282" s="30"/>
      <c r="DL282" s="30"/>
      <c r="DM282" s="30"/>
      <c r="DN282" s="30"/>
      <c r="DO282" s="30"/>
      <c r="DP282" s="30"/>
      <c r="DQ282" s="30"/>
      <c r="DR282" s="30"/>
      <c r="DS282" s="30"/>
      <c r="DT282" s="30"/>
      <c r="DU282" s="30"/>
      <c r="DV282" s="30"/>
      <c r="DW282" s="30"/>
    </row>
    <row r="283" spans="1:127" ht="13">
      <c r="A283" s="39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  <c r="BV283" s="30"/>
      <c r="BW283" s="30"/>
      <c r="BX283" s="30"/>
      <c r="BY283" s="30"/>
      <c r="BZ283" s="30"/>
      <c r="CA283" s="30"/>
      <c r="CB283" s="30"/>
      <c r="CC283" s="30"/>
      <c r="CD283" s="3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C283" s="30"/>
      <c r="DD283" s="30"/>
      <c r="DE283" s="30"/>
      <c r="DF283" s="30"/>
      <c r="DG283" s="30"/>
      <c r="DH283" s="30"/>
      <c r="DI283" s="30"/>
      <c r="DJ283" s="30"/>
      <c r="DK283" s="30"/>
      <c r="DL283" s="30"/>
      <c r="DM283" s="30"/>
      <c r="DN283" s="30"/>
      <c r="DO283" s="30"/>
      <c r="DP283" s="30"/>
      <c r="DQ283" s="30"/>
      <c r="DR283" s="30"/>
      <c r="DS283" s="30"/>
      <c r="DT283" s="30"/>
      <c r="DU283" s="30"/>
      <c r="DV283" s="30"/>
      <c r="DW283" s="30"/>
    </row>
    <row r="284" spans="1:127" ht="13">
      <c r="A284" s="39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  <c r="BV284" s="30"/>
      <c r="BW284" s="30"/>
      <c r="BX284" s="30"/>
      <c r="BY284" s="30"/>
      <c r="BZ284" s="30"/>
      <c r="CA284" s="30"/>
      <c r="CB284" s="30"/>
      <c r="CC284" s="30"/>
      <c r="CD284" s="3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C284" s="30"/>
      <c r="DD284" s="30"/>
      <c r="DE284" s="30"/>
      <c r="DF284" s="30"/>
      <c r="DG284" s="30"/>
      <c r="DH284" s="30"/>
      <c r="DI284" s="30"/>
      <c r="DJ284" s="30"/>
      <c r="DK284" s="30"/>
      <c r="DL284" s="30"/>
      <c r="DM284" s="30"/>
      <c r="DN284" s="30"/>
      <c r="DO284" s="30"/>
      <c r="DP284" s="30"/>
      <c r="DQ284" s="30"/>
      <c r="DR284" s="30"/>
      <c r="DS284" s="30"/>
      <c r="DT284" s="30"/>
      <c r="DU284" s="30"/>
      <c r="DV284" s="30"/>
      <c r="DW284" s="30"/>
    </row>
    <row r="285" spans="1:127" ht="13">
      <c r="A285" s="39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  <c r="CC285" s="30"/>
      <c r="CD285" s="3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C285" s="30"/>
      <c r="DD285" s="30"/>
      <c r="DE285" s="30"/>
      <c r="DF285" s="30"/>
      <c r="DG285" s="30"/>
      <c r="DH285" s="30"/>
      <c r="DI285" s="30"/>
      <c r="DJ285" s="30"/>
      <c r="DK285" s="30"/>
      <c r="DL285" s="30"/>
      <c r="DM285" s="30"/>
      <c r="DN285" s="30"/>
      <c r="DO285" s="30"/>
      <c r="DP285" s="30"/>
      <c r="DQ285" s="30"/>
      <c r="DR285" s="30"/>
      <c r="DS285" s="30"/>
      <c r="DT285" s="30"/>
      <c r="DU285" s="30"/>
      <c r="DV285" s="30"/>
      <c r="DW285" s="30"/>
    </row>
    <row r="286" spans="1:127" ht="13">
      <c r="A286" s="39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C286" s="30"/>
      <c r="DD286" s="30"/>
      <c r="DE286" s="30"/>
      <c r="DF286" s="30"/>
      <c r="DG286" s="30"/>
      <c r="DH286" s="30"/>
      <c r="DI286" s="30"/>
      <c r="DJ286" s="30"/>
      <c r="DK286" s="30"/>
      <c r="DL286" s="30"/>
      <c r="DM286" s="30"/>
      <c r="DN286" s="30"/>
      <c r="DO286" s="30"/>
      <c r="DP286" s="30"/>
      <c r="DQ286" s="30"/>
      <c r="DR286" s="30"/>
      <c r="DS286" s="30"/>
      <c r="DT286" s="30"/>
      <c r="DU286" s="30"/>
      <c r="DV286" s="30"/>
      <c r="DW286" s="30"/>
    </row>
    <row r="287" spans="1:127" ht="13">
      <c r="A287" s="39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C287" s="30"/>
      <c r="DD287" s="30"/>
      <c r="DE287" s="30"/>
      <c r="DF287" s="30"/>
      <c r="DG287" s="30"/>
      <c r="DH287" s="30"/>
      <c r="DI287" s="30"/>
      <c r="DJ287" s="30"/>
      <c r="DK287" s="30"/>
      <c r="DL287" s="30"/>
      <c r="DM287" s="30"/>
      <c r="DN287" s="30"/>
      <c r="DO287" s="30"/>
      <c r="DP287" s="30"/>
      <c r="DQ287" s="30"/>
      <c r="DR287" s="30"/>
      <c r="DS287" s="30"/>
      <c r="DT287" s="30"/>
      <c r="DU287" s="30"/>
      <c r="DV287" s="30"/>
      <c r="DW287" s="30"/>
    </row>
    <row r="288" spans="1:127" ht="13">
      <c r="A288" s="39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C288" s="30"/>
      <c r="DD288" s="30"/>
      <c r="DE288" s="30"/>
      <c r="DF288" s="30"/>
      <c r="DG288" s="30"/>
      <c r="DH288" s="30"/>
      <c r="DI288" s="30"/>
      <c r="DJ288" s="30"/>
      <c r="DK288" s="30"/>
      <c r="DL288" s="30"/>
      <c r="DM288" s="30"/>
      <c r="DN288" s="30"/>
      <c r="DO288" s="30"/>
      <c r="DP288" s="30"/>
      <c r="DQ288" s="30"/>
      <c r="DR288" s="30"/>
      <c r="DS288" s="30"/>
      <c r="DT288" s="30"/>
      <c r="DU288" s="30"/>
      <c r="DV288" s="30"/>
      <c r="DW288" s="30"/>
    </row>
    <row r="289" spans="1:127" ht="13">
      <c r="A289" s="39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C289" s="30"/>
      <c r="DD289" s="30"/>
      <c r="DE289" s="30"/>
      <c r="DF289" s="30"/>
      <c r="DG289" s="30"/>
      <c r="DH289" s="30"/>
      <c r="DI289" s="30"/>
      <c r="DJ289" s="30"/>
      <c r="DK289" s="30"/>
      <c r="DL289" s="30"/>
      <c r="DM289" s="30"/>
      <c r="DN289" s="30"/>
      <c r="DO289" s="30"/>
      <c r="DP289" s="30"/>
      <c r="DQ289" s="30"/>
      <c r="DR289" s="30"/>
      <c r="DS289" s="30"/>
      <c r="DT289" s="30"/>
      <c r="DU289" s="30"/>
      <c r="DV289" s="30"/>
      <c r="DW289" s="30"/>
    </row>
    <row r="290" spans="1:127" ht="13">
      <c r="A290" s="39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C290" s="30"/>
      <c r="DD290" s="30"/>
      <c r="DE290" s="30"/>
      <c r="DF290" s="30"/>
      <c r="DG290" s="30"/>
      <c r="DH290" s="30"/>
      <c r="DI290" s="30"/>
      <c r="DJ290" s="30"/>
      <c r="DK290" s="30"/>
      <c r="DL290" s="30"/>
      <c r="DM290" s="30"/>
      <c r="DN290" s="30"/>
      <c r="DO290" s="30"/>
      <c r="DP290" s="30"/>
      <c r="DQ290" s="30"/>
      <c r="DR290" s="30"/>
      <c r="DS290" s="30"/>
      <c r="DT290" s="30"/>
      <c r="DU290" s="30"/>
      <c r="DV290" s="30"/>
      <c r="DW290" s="30"/>
    </row>
    <row r="291" spans="1:127" ht="13">
      <c r="A291" s="39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  <c r="BV291" s="30"/>
      <c r="BW291" s="30"/>
      <c r="BX291" s="30"/>
      <c r="BY291" s="30"/>
      <c r="BZ291" s="30"/>
      <c r="CA291" s="30"/>
      <c r="CB291" s="30"/>
      <c r="CC291" s="30"/>
      <c r="CD291" s="3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C291" s="30"/>
      <c r="DD291" s="30"/>
      <c r="DE291" s="30"/>
      <c r="DF291" s="30"/>
      <c r="DG291" s="30"/>
      <c r="DH291" s="30"/>
      <c r="DI291" s="30"/>
      <c r="DJ291" s="30"/>
      <c r="DK291" s="30"/>
      <c r="DL291" s="30"/>
      <c r="DM291" s="30"/>
      <c r="DN291" s="30"/>
      <c r="DO291" s="30"/>
      <c r="DP291" s="30"/>
      <c r="DQ291" s="30"/>
      <c r="DR291" s="30"/>
      <c r="DS291" s="30"/>
      <c r="DT291" s="30"/>
      <c r="DU291" s="30"/>
      <c r="DV291" s="30"/>
      <c r="DW291" s="30"/>
    </row>
    <row r="292" spans="1:127" ht="13">
      <c r="A292" s="39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C292" s="30"/>
      <c r="DD292" s="30"/>
      <c r="DE292" s="30"/>
      <c r="DF292" s="30"/>
      <c r="DG292" s="30"/>
      <c r="DH292" s="30"/>
      <c r="DI292" s="30"/>
      <c r="DJ292" s="30"/>
      <c r="DK292" s="30"/>
      <c r="DL292" s="30"/>
      <c r="DM292" s="30"/>
      <c r="DN292" s="30"/>
      <c r="DO292" s="30"/>
      <c r="DP292" s="30"/>
      <c r="DQ292" s="30"/>
      <c r="DR292" s="30"/>
      <c r="DS292" s="30"/>
      <c r="DT292" s="30"/>
      <c r="DU292" s="30"/>
      <c r="DV292" s="30"/>
      <c r="DW292" s="30"/>
    </row>
    <row r="293" spans="1:127" ht="13">
      <c r="A293" s="39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/>
      <c r="CC293" s="30"/>
      <c r="CD293" s="3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C293" s="30"/>
      <c r="DD293" s="30"/>
      <c r="DE293" s="30"/>
      <c r="DF293" s="30"/>
      <c r="DG293" s="30"/>
      <c r="DH293" s="30"/>
      <c r="DI293" s="30"/>
      <c r="DJ293" s="30"/>
      <c r="DK293" s="30"/>
      <c r="DL293" s="30"/>
      <c r="DM293" s="30"/>
      <c r="DN293" s="30"/>
      <c r="DO293" s="30"/>
      <c r="DP293" s="30"/>
      <c r="DQ293" s="30"/>
      <c r="DR293" s="30"/>
      <c r="DS293" s="30"/>
      <c r="DT293" s="30"/>
      <c r="DU293" s="30"/>
      <c r="DV293" s="30"/>
      <c r="DW293" s="30"/>
    </row>
    <row r="294" spans="1:127" ht="13">
      <c r="A294" s="39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C294" s="30"/>
      <c r="DD294" s="30"/>
      <c r="DE294" s="30"/>
      <c r="DF294" s="30"/>
      <c r="DG294" s="30"/>
      <c r="DH294" s="30"/>
      <c r="DI294" s="30"/>
      <c r="DJ294" s="30"/>
      <c r="DK294" s="30"/>
      <c r="DL294" s="30"/>
      <c r="DM294" s="30"/>
      <c r="DN294" s="30"/>
      <c r="DO294" s="30"/>
      <c r="DP294" s="30"/>
      <c r="DQ294" s="30"/>
      <c r="DR294" s="30"/>
      <c r="DS294" s="30"/>
      <c r="DT294" s="30"/>
      <c r="DU294" s="30"/>
      <c r="DV294" s="30"/>
      <c r="DW294" s="30"/>
    </row>
    <row r="295" spans="1:127" ht="13">
      <c r="A295" s="39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  <c r="BW295" s="30"/>
      <c r="BX295" s="30"/>
      <c r="BY295" s="30"/>
      <c r="BZ295" s="30"/>
      <c r="CA295" s="30"/>
      <c r="CB295" s="30"/>
      <c r="CC295" s="30"/>
      <c r="CD295" s="3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C295" s="30"/>
      <c r="DD295" s="30"/>
      <c r="DE295" s="30"/>
      <c r="DF295" s="30"/>
      <c r="DG295" s="30"/>
      <c r="DH295" s="30"/>
      <c r="DI295" s="30"/>
      <c r="DJ295" s="30"/>
      <c r="DK295" s="30"/>
      <c r="DL295" s="30"/>
      <c r="DM295" s="30"/>
      <c r="DN295" s="30"/>
      <c r="DO295" s="30"/>
      <c r="DP295" s="30"/>
      <c r="DQ295" s="30"/>
      <c r="DR295" s="30"/>
      <c r="DS295" s="30"/>
      <c r="DT295" s="30"/>
      <c r="DU295" s="30"/>
      <c r="DV295" s="30"/>
      <c r="DW295" s="30"/>
    </row>
    <row r="296" spans="1:127" ht="13">
      <c r="A296" s="39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  <c r="BV296" s="30"/>
      <c r="BW296" s="30"/>
      <c r="BX296" s="30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C296" s="30"/>
      <c r="DD296" s="30"/>
      <c r="DE296" s="30"/>
      <c r="DF296" s="30"/>
      <c r="DG296" s="30"/>
      <c r="DH296" s="30"/>
      <c r="DI296" s="30"/>
      <c r="DJ296" s="30"/>
      <c r="DK296" s="30"/>
      <c r="DL296" s="30"/>
      <c r="DM296" s="30"/>
      <c r="DN296" s="30"/>
      <c r="DO296" s="30"/>
      <c r="DP296" s="30"/>
      <c r="DQ296" s="30"/>
      <c r="DR296" s="30"/>
      <c r="DS296" s="30"/>
      <c r="DT296" s="30"/>
      <c r="DU296" s="30"/>
      <c r="DV296" s="30"/>
      <c r="DW296" s="30"/>
    </row>
    <row r="297" spans="1:127" ht="13">
      <c r="A297" s="39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C297" s="30"/>
      <c r="DD297" s="30"/>
      <c r="DE297" s="30"/>
      <c r="DF297" s="30"/>
      <c r="DG297" s="30"/>
      <c r="DH297" s="30"/>
      <c r="DI297" s="30"/>
      <c r="DJ297" s="30"/>
      <c r="DK297" s="30"/>
      <c r="DL297" s="30"/>
      <c r="DM297" s="30"/>
      <c r="DN297" s="30"/>
      <c r="DO297" s="30"/>
      <c r="DP297" s="30"/>
      <c r="DQ297" s="30"/>
      <c r="DR297" s="30"/>
      <c r="DS297" s="30"/>
      <c r="DT297" s="30"/>
      <c r="DU297" s="30"/>
      <c r="DV297" s="30"/>
      <c r="DW297" s="30"/>
    </row>
    <row r="298" spans="1:127" ht="13">
      <c r="A298" s="39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  <c r="DB298" s="30"/>
      <c r="DC298" s="30"/>
      <c r="DD298" s="30"/>
      <c r="DE298" s="30"/>
      <c r="DF298" s="30"/>
      <c r="DG298" s="30"/>
      <c r="DH298" s="30"/>
      <c r="DI298" s="30"/>
      <c r="DJ298" s="30"/>
      <c r="DK298" s="30"/>
      <c r="DL298" s="30"/>
      <c r="DM298" s="30"/>
      <c r="DN298" s="30"/>
      <c r="DO298" s="30"/>
      <c r="DP298" s="30"/>
      <c r="DQ298" s="30"/>
      <c r="DR298" s="30"/>
      <c r="DS298" s="30"/>
      <c r="DT298" s="30"/>
      <c r="DU298" s="30"/>
      <c r="DV298" s="30"/>
      <c r="DW298" s="30"/>
    </row>
    <row r="299" spans="1:127" ht="13">
      <c r="A299" s="39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  <c r="BW299" s="30"/>
      <c r="BX299" s="30"/>
      <c r="BY299" s="30"/>
      <c r="BZ299" s="30"/>
      <c r="CA299" s="30"/>
      <c r="CB299" s="30"/>
      <c r="CC299" s="30"/>
      <c r="CD299" s="3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0"/>
      <c r="CV299" s="30"/>
      <c r="CW299" s="30"/>
      <c r="CX299" s="30"/>
      <c r="CY299" s="30"/>
      <c r="CZ299" s="30"/>
      <c r="DA299" s="30"/>
      <c r="DB299" s="30"/>
      <c r="DC299" s="30"/>
      <c r="DD299" s="30"/>
      <c r="DE299" s="30"/>
      <c r="DF299" s="30"/>
      <c r="DG299" s="30"/>
      <c r="DH299" s="30"/>
      <c r="DI299" s="30"/>
      <c r="DJ299" s="30"/>
      <c r="DK299" s="30"/>
      <c r="DL299" s="30"/>
      <c r="DM299" s="30"/>
      <c r="DN299" s="30"/>
      <c r="DO299" s="30"/>
      <c r="DP299" s="30"/>
      <c r="DQ299" s="30"/>
      <c r="DR299" s="30"/>
      <c r="DS299" s="30"/>
      <c r="DT299" s="30"/>
      <c r="DU299" s="30"/>
      <c r="DV299" s="30"/>
      <c r="DW299" s="30"/>
    </row>
    <row r="300" spans="1:127" ht="13">
      <c r="A300" s="39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30"/>
      <c r="DC300" s="30"/>
      <c r="DD300" s="30"/>
      <c r="DE300" s="30"/>
      <c r="DF300" s="30"/>
      <c r="DG300" s="30"/>
      <c r="DH300" s="30"/>
      <c r="DI300" s="30"/>
      <c r="DJ300" s="30"/>
      <c r="DK300" s="30"/>
      <c r="DL300" s="30"/>
      <c r="DM300" s="30"/>
      <c r="DN300" s="30"/>
      <c r="DO300" s="30"/>
      <c r="DP300" s="30"/>
      <c r="DQ300" s="30"/>
      <c r="DR300" s="30"/>
      <c r="DS300" s="30"/>
      <c r="DT300" s="30"/>
      <c r="DU300" s="30"/>
      <c r="DV300" s="30"/>
      <c r="DW300" s="30"/>
    </row>
    <row r="301" spans="1:127" ht="13">
      <c r="A301" s="39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C301" s="30"/>
      <c r="DD301" s="30"/>
      <c r="DE301" s="30"/>
      <c r="DF301" s="30"/>
      <c r="DG301" s="30"/>
      <c r="DH301" s="30"/>
      <c r="DI301" s="30"/>
      <c r="DJ301" s="30"/>
      <c r="DK301" s="30"/>
      <c r="DL301" s="30"/>
      <c r="DM301" s="30"/>
      <c r="DN301" s="30"/>
      <c r="DO301" s="30"/>
      <c r="DP301" s="30"/>
      <c r="DQ301" s="30"/>
      <c r="DR301" s="30"/>
      <c r="DS301" s="30"/>
      <c r="DT301" s="30"/>
      <c r="DU301" s="30"/>
      <c r="DV301" s="30"/>
      <c r="DW301" s="30"/>
    </row>
    <row r="302" spans="1:127" ht="13">
      <c r="A302" s="39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30"/>
      <c r="DC302" s="30"/>
      <c r="DD302" s="30"/>
      <c r="DE302" s="30"/>
      <c r="DF302" s="30"/>
      <c r="DG302" s="30"/>
      <c r="DH302" s="30"/>
      <c r="DI302" s="30"/>
      <c r="DJ302" s="30"/>
      <c r="DK302" s="30"/>
      <c r="DL302" s="30"/>
      <c r="DM302" s="30"/>
      <c r="DN302" s="30"/>
      <c r="DO302" s="30"/>
      <c r="DP302" s="30"/>
      <c r="DQ302" s="30"/>
      <c r="DR302" s="30"/>
      <c r="DS302" s="30"/>
      <c r="DT302" s="30"/>
      <c r="DU302" s="30"/>
      <c r="DV302" s="30"/>
      <c r="DW302" s="30"/>
    </row>
    <row r="303" spans="1:127" ht="13">
      <c r="A303" s="39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  <c r="BV303" s="30"/>
      <c r="BW303" s="30"/>
      <c r="BX303" s="30"/>
      <c r="BY303" s="30"/>
      <c r="BZ303" s="30"/>
      <c r="CA303" s="30"/>
      <c r="CB303" s="30"/>
      <c r="CC303" s="30"/>
      <c r="CD303" s="3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  <c r="CQ303" s="30"/>
      <c r="CR303" s="30"/>
      <c r="CS303" s="30"/>
      <c r="CT303" s="30"/>
      <c r="CU303" s="30"/>
      <c r="CV303" s="30"/>
      <c r="CW303" s="30"/>
      <c r="CX303" s="30"/>
      <c r="CY303" s="30"/>
      <c r="CZ303" s="30"/>
      <c r="DA303" s="30"/>
      <c r="DB303" s="30"/>
      <c r="DC303" s="30"/>
      <c r="DD303" s="30"/>
      <c r="DE303" s="30"/>
      <c r="DF303" s="30"/>
      <c r="DG303" s="30"/>
      <c r="DH303" s="30"/>
      <c r="DI303" s="30"/>
      <c r="DJ303" s="30"/>
      <c r="DK303" s="30"/>
      <c r="DL303" s="30"/>
      <c r="DM303" s="30"/>
      <c r="DN303" s="30"/>
      <c r="DO303" s="30"/>
      <c r="DP303" s="30"/>
      <c r="DQ303" s="30"/>
      <c r="DR303" s="30"/>
      <c r="DS303" s="30"/>
      <c r="DT303" s="30"/>
      <c r="DU303" s="30"/>
      <c r="DV303" s="30"/>
      <c r="DW303" s="30"/>
    </row>
    <row r="304" spans="1:127" ht="13">
      <c r="A304" s="39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  <c r="BV304" s="30"/>
      <c r="BW304" s="30"/>
      <c r="BX304" s="30"/>
      <c r="BY304" s="30"/>
      <c r="BZ304" s="30"/>
      <c r="CA304" s="30"/>
      <c r="CB304" s="30"/>
      <c r="CC304" s="30"/>
      <c r="CD304" s="3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  <c r="CQ304" s="30"/>
      <c r="CR304" s="30"/>
      <c r="CS304" s="30"/>
      <c r="CT304" s="30"/>
      <c r="CU304" s="30"/>
      <c r="CV304" s="30"/>
      <c r="CW304" s="30"/>
      <c r="CX304" s="30"/>
      <c r="CY304" s="30"/>
      <c r="CZ304" s="30"/>
      <c r="DA304" s="30"/>
      <c r="DB304" s="30"/>
      <c r="DC304" s="30"/>
      <c r="DD304" s="30"/>
      <c r="DE304" s="30"/>
      <c r="DF304" s="30"/>
      <c r="DG304" s="30"/>
      <c r="DH304" s="30"/>
      <c r="DI304" s="30"/>
      <c r="DJ304" s="30"/>
      <c r="DK304" s="30"/>
      <c r="DL304" s="30"/>
      <c r="DM304" s="30"/>
      <c r="DN304" s="30"/>
      <c r="DO304" s="30"/>
      <c r="DP304" s="30"/>
      <c r="DQ304" s="30"/>
      <c r="DR304" s="30"/>
      <c r="DS304" s="30"/>
      <c r="DT304" s="30"/>
      <c r="DU304" s="30"/>
      <c r="DV304" s="30"/>
      <c r="DW304" s="30"/>
    </row>
    <row r="305" spans="1:127" ht="13">
      <c r="A305" s="39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  <c r="BV305" s="30"/>
      <c r="BW305" s="30"/>
      <c r="BX305" s="30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  <c r="CU305" s="30"/>
      <c r="CV305" s="30"/>
      <c r="CW305" s="30"/>
      <c r="CX305" s="30"/>
      <c r="CY305" s="30"/>
      <c r="CZ305" s="30"/>
      <c r="DA305" s="30"/>
      <c r="DB305" s="30"/>
      <c r="DC305" s="30"/>
      <c r="DD305" s="30"/>
      <c r="DE305" s="30"/>
      <c r="DF305" s="30"/>
      <c r="DG305" s="30"/>
      <c r="DH305" s="30"/>
      <c r="DI305" s="30"/>
      <c r="DJ305" s="30"/>
      <c r="DK305" s="30"/>
      <c r="DL305" s="30"/>
      <c r="DM305" s="30"/>
      <c r="DN305" s="30"/>
      <c r="DO305" s="30"/>
      <c r="DP305" s="30"/>
      <c r="DQ305" s="30"/>
      <c r="DR305" s="30"/>
      <c r="DS305" s="30"/>
      <c r="DT305" s="30"/>
      <c r="DU305" s="30"/>
      <c r="DV305" s="30"/>
      <c r="DW305" s="30"/>
    </row>
    <row r="306" spans="1:127" ht="13">
      <c r="A306" s="39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  <c r="BV306" s="30"/>
      <c r="BW306" s="30"/>
      <c r="BX306" s="30"/>
      <c r="BY306" s="30"/>
      <c r="BZ306" s="30"/>
      <c r="CA306" s="30"/>
      <c r="CB306" s="30"/>
      <c r="CC306" s="30"/>
      <c r="CD306" s="30"/>
      <c r="CE306" s="30"/>
      <c r="CF306" s="30"/>
      <c r="CG306" s="30"/>
      <c r="CH306" s="30"/>
      <c r="CI306" s="30"/>
      <c r="CJ306" s="30"/>
      <c r="CK306" s="30"/>
      <c r="CL306" s="30"/>
      <c r="CM306" s="30"/>
      <c r="CN306" s="30"/>
      <c r="CO306" s="30"/>
      <c r="CP306" s="30"/>
      <c r="CQ306" s="30"/>
      <c r="CR306" s="30"/>
      <c r="CS306" s="30"/>
      <c r="CT306" s="30"/>
      <c r="CU306" s="30"/>
      <c r="CV306" s="30"/>
      <c r="CW306" s="30"/>
      <c r="CX306" s="30"/>
      <c r="CY306" s="30"/>
      <c r="CZ306" s="30"/>
      <c r="DA306" s="30"/>
      <c r="DB306" s="30"/>
      <c r="DC306" s="30"/>
      <c r="DD306" s="30"/>
      <c r="DE306" s="30"/>
      <c r="DF306" s="30"/>
      <c r="DG306" s="30"/>
      <c r="DH306" s="30"/>
      <c r="DI306" s="30"/>
      <c r="DJ306" s="30"/>
      <c r="DK306" s="30"/>
      <c r="DL306" s="30"/>
      <c r="DM306" s="30"/>
      <c r="DN306" s="30"/>
      <c r="DO306" s="30"/>
      <c r="DP306" s="30"/>
      <c r="DQ306" s="30"/>
      <c r="DR306" s="30"/>
      <c r="DS306" s="30"/>
      <c r="DT306" s="30"/>
      <c r="DU306" s="30"/>
      <c r="DV306" s="30"/>
      <c r="DW306" s="30"/>
    </row>
    <row r="307" spans="1:127" ht="13">
      <c r="A307" s="39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  <c r="BV307" s="30"/>
      <c r="BW307" s="30"/>
      <c r="BX307" s="30"/>
      <c r="BY307" s="30"/>
      <c r="BZ307" s="30"/>
      <c r="CA307" s="30"/>
      <c r="CB307" s="30"/>
      <c r="CC307" s="30"/>
      <c r="CD307" s="3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  <c r="DB307" s="30"/>
      <c r="DC307" s="30"/>
      <c r="DD307" s="30"/>
      <c r="DE307" s="30"/>
      <c r="DF307" s="30"/>
      <c r="DG307" s="30"/>
      <c r="DH307" s="30"/>
      <c r="DI307" s="30"/>
      <c r="DJ307" s="30"/>
      <c r="DK307" s="30"/>
      <c r="DL307" s="30"/>
      <c r="DM307" s="30"/>
      <c r="DN307" s="30"/>
      <c r="DO307" s="30"/>
      <c r="DP307" s="30"/>
      <c r="DQ307" s="30"/>
      <c r="DR307" s="30"/>
      <c r="DS307" s="30"/>
      <c r="DT307" s="30"/>
      <c r="DU307" s="30"/>
      <c r="DV307" s="30"/>
      <c r="DW307" s="30"/>
    </row>
    <row r="308" spans="1:127" ht="13">
      <c r="A308" s="39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  <c r="BV308" s="30"/>
      <c r="BW308" s="30"/>
      <c r="BX308" s="30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  <c r="CQ308" s="30"/>
      <c r="CR308" s="30"/>
      <c r="CS308" s="30"/>
      <c r="CT308" s="30"/>
      <c r="CU308" s="30"/>
      <c r="CV308" s="30"/>
      <c r="CW308" s="30"/>
      <c r="CX308" s="30"/>
      <c r="CY308" s="30"/>
      <c r="CZ308" s="30"/>
      <c r="DA308" s="30"/>
      <c r="DB308" s="30"/>
      <c r="DC308" s="30"/>
      <c r="DD308" s="30"/>
      <c r="DE308" s="30"/>
      <c r="DF308" s="30"/>
      <c r="DG308" s="30"/>
      <c r="DH308" s="30"/>
      <c r="DI308" s="30"/>
      <c r="DJ308" s="30"/>
      <c r="DK308" s="30"/>
      <c r="DL308" s="30"/>
      <c r="DM308" s="30"/>
      <c r="DN308" s="30"/>
      <c r="DO308" s="30"/>
      <c r="DP308" s="30"/>
      <c r="DQ308" s="30"/>
      <c r="DR308" s="30"/>
      <c r="DS308" s="30"/>
      <c r="DT308" s="30"/>
      <c r="DU308" s="30"/>
      <c r="DV308" s="30"/>
      <c r="DW308" s="30"/>
    </row>
    <row r="309" spans="1:127" ht="13">
      <c r="A309" s="39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  <c r="BV309" s="30"/>
      <c r="BW309" s="30"/>
      <c r="BX309" s="30"/>
      <c r="BY309" s="30"/>
      <c r="BZ309" s="30"/>
      <c r="CA309" s="30"/>
      <c r="CB309" s="30"/>
      <c r="CC309" s="30"/>
      <c r="CD309" s="30"/>
      <c r="CE309" s="30"/>
      <c r="CF309" s="30"/>
      <c r="CG309" s="30"/>
      <c r="CH309" s="30"/>
      <c r="CI309" s="30"/>
      <c r="CJ309" s="30"/>
      <c r="CK309" s="30"/>
      <c r="CL309" s="30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/>
      <c r="CY309" s="30"/>
      <c r="CZ309" s="30"/>
      <c r="DA309" s="30"/>
      <c r="DB309" s="30"/>
      <c r="DC309" s="30"/>
      <c r="DD309" s="30"/>
      <c r="DE309" s="30"/>
      <c r="DF309" s="30"/>
      <c r="DG309" s="30"/>
      <c r="DH309" s="30"/>
      <c r="DI309" s="30"/>
      <c r="DJ309" s="30"/>
      <c r="DK309" s="30"/>
      <c r="DL309" s="30"/>
      <c r="DM309" s="30"/>
      <c r="DN309" s="30"/>
      <c r="DO309" s="30"/>
      <c r="DP309" s="30"/>
      <c r="DQ309" s="30"/>
      <c r="DR309" s="30"/>
      <c r="DS309" s="30"/>
      <c r="DT309" s="30"/>
      <c r="DU309" s="30"/>
      <c r="DV309" s="30"/>
      <c r="DW309" s="30"/>
    </row>
    <row r="310" spans="1:127" ht="13">
      <c r="A310" s="39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C310" s="30"/>
      <c r="DD310" s="30"/>
      <c r="DE310" s="30"/>
      <c r="DF310" s="30"/>
      <c r="DG310" s="30"/>
      <c r="DH310" s="30"/>
      <c r="DI310" s="30"/>
      <c r="DJ310" s="30"/>
      <c r="DK310" s="30"/>
      <c r="DL310" s="30"/>
      <c r="DM310" s="30"/>
      <c r="DN310" s="30"/>
      <c r="DO310" s="30"/>
      <c r="DP310" s="30"/>
      <c r="DQ310" s="30"/>
      <c r="DR310" s="30"/>
      <c r="DS310" s="30"/>
      <c r="DT310" s="30"/>
      <c r="DU310" s="30"/>
      <c r="DV310" s="30"/>
      <c r="DW310" s="30"/>
    </row>
    <row r="311" spans="1:127" ht="13">
      <c r="A311" s="39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/>
      <c r="CA311" s="30"/>
      <c r="CB311" s="30"/>
      <c r="CC311" s="30"/>
      <c r="CD311" s="30"/>
      <c r="CE311" s="30"/>
      <c r="CF311" s="30"/>
      <c r="CG311" s="30"/>
      <c r="CH311" s="30"/>
      <c r="CI311" s="30"/>
      <c r="CJ311" s="30"/>
      <c r="CK311" s="30"/>
      <c r="CL311" s="30"/>
      <c r="CM311" s="30"/>
      <c r="CN311" s="30"/>
      <c r="CO311" s="30"/>
      <c r="CP311" s="30"/>
      <c r="CQ311" s="30"/>
      <c r="CR311" s="30"/>
      <c r="CS311" s="30"/>
      <c r="CT311" s="30"/>
      <c r="CU311" s="30"/>
      <c r="CV311" s="30"/>
      <c r="CW311" s="30"/>
      <c r="CX311" s="30"/>
      <c r="CY311" s="30"/>
      <c r="CZ311" s="30"/>
      <c r="DA311" s="30"/>
      <c r="DB311" s="30"/>
      <c r="DC311" s="30"/>
      <c r="DD311" s="30"/>
      <c r="DE311" s="30"/>
      <c r="DF311" s="30"/>
      <c r="DG311" s="30"/>
      <c r="DH311" s="30"/>
      <c r="DI311" s="30"/>
      <c r="DJ311" s="30"/>
      <c r="DK311" s="30"/>
      <c r="DL311" s="30"/>
      <c r="DM311" s="30"/>
      <c r="DN311" s="30"/>
      <c r="DO311" s="30"/>
      <c r="DP311" s="30"/>
      <c r="DQ311" s="30"/>
      <c r="DR311" s="30"/>
      <c r="DS311" s="30"/>
      <c r="DT311" s="30"/>
      <c r="DU311" s="30"/>
      <c r="DV311" s="30"/>
      <c r="DW311" s="30"/>
    </row>
    <row r="312" spans="1:127" ht="13">
      <c r="A312" s="39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  <c r="BV312" s="30"/>
      <c r="BW312" s="30"/>
      <c r="BX312" s="30"/>
      <c r="BY312" s="30"/>
      <c r="BZ312" s="30"/>
      <c r="CA312" s="30"/>
      <c r="CB312" s="30"/>
      <c r="CC312" s="30"/>
      <c r="CD312" s="30"/>
      <c r="CE312" s="30"/>
      <c r="CF312" s="30"/>
      <c r="CG312" s="30"/>
      <c r="CH312" s="30"/>
      <c r="CI312" s="30"/>
      <c r="CJ312" s="30"/>
      <c r="CK312" s="30"/>
      <c r="CL312" s="30"/>
      <c r="CM312" s="30"/>
      <c r="CN312" s="30"/>
      <c r="CO312" s="30"/>
      <c r="CP312" s="30"/>
      <c r="CQ312" s="30"/>
      <c r="CR312" s="30"/>
      <c r="CS312" s="30"/>
      <c r="CT312" s="30"/>
      <c r="CU312" s="30"/>
      <c r="CV312" s="30"/>
      <c r="CW312" s="30"/>
      <c r="CX312" s="30"/>
      <c r="CY312" s="30"/>
      <c r="CZ312" s="30"/>
      <c r="DA312" s="30"/>
      <c r="DB312" s="30"/>
      <c r="DC312" s="30"/>
      <c r="DD312" s="30"/>
      <c r="DE312" s="30"/>
      <c r="DF312" s="30"/>
      <c r="DG312" s="30"/>
      <c r="DH312" s="30"/>
      <c r="DI312" s="30"/>
      <c r="DJ312" s="30"/>
      <c r="DK312" s="30"/>
      <c r="DL312" s="30"/>
      <c r="DM312" s="30"/>
      <c r="DN312" s="30"/>
      <c r="DO312" s="30"/>
      <c r="DP312" s="30"/>
      <c r="DQ312" s="30"/>
      <c r="DR312" s="30"/>
      <c r="DS312" s="30"/>
      <c r="DT312" s="30"/>
      <c r="DU312" s="30"/>
      <c r="DV312" s="30"/>
      <c r="DW312" s="30"/>
    </row>
    <row r="313" spans="1:127" ht="13">
      <c r="A313" s="39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  <c r="CV313" s="30"/>
      <c r="CW313" s="30"/>
      <c r="CX313" s="30"/>
      <c r="CY313" s="30"/>
      <c r="CZ313" s="30"/>
      <c r="DA313" s="30"/>
      <c r="DB313" s="30"/>
      <c r="DC313" s="30"/>
      <c r="DD313" s="30"/>
      <c r="DE313" s="30"/>
      <c r="DF313" s="30"/>
      <c r="DG313" s="30"/>
      <c r="DH313" s="30"/>
      <c r="DI313" s="30"/>
      <c r="DJ313" s="30"/>
      <c r="DK313" s="30"/>
      <c r="DL313" s="30"/>
      <c r="DM313" s="30"/>
      <c r="DN313" s="30"/>
      <c r="DO313" s="30"/>
      <c r="DP313" s="30"/>
      <c r="DQ313" s="30"/>
      <c r="DR313" s="30"/>
      <c r="DS313" s="30"/>
      <c r="DT313" s="30"/>
      <c r="DU313" s="30"/>
      <c r="DV313" s="30"/>
      <c r="DW313" s="30"/>
    </row>
    <row r="314" spans="1:127" ht="13">
      <c r="A314" s="39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  <c r="BV314" s="30"/>
      <c r="BW314" s="30"/>
      <c r="BX314" s="30"/>
      <c r="BY314" s="30"/>
      <c r="BZ314" s="30"/>
      <c r="CA314" s="30"/>
      <c r="CB314" s="30"/>
      <c r="CC314" s="30"/>
      <c r="CD314" s="3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  <c r="CQ314" s="30"/>
      <c r="CR314" s="30"/>
      <c r="CS314" s="30"/>
      <c r="CT314" s="30"/>
      <c r="CU314" s="30"/>
      <c r="CV314" s="30"/>
      <c r="CW314" s="30"/>
      <c r="CX314" s="30"/>
      <c r="CY314" s="30"/>
      <c r="CZ314" s="30"/>
      <c r="DA314" s="30"/>
      <c r="DB314" s="30"/>
      <c r="DC314" s="30"/>
      <c r="DD314" s="30"/>
      <c r="DE314" s="30"/>
      <c r="DF314" s="30"/>
      <c r="DG314" s="30"/>
      <c r="DH314" s="30"/>
      <c r="DI314" s="30"/>
      <c r="DJ314" s="30"/>
      <c r="DK314" s="30"/>
      <c r="DL314" s="30"/>
      <c r="DM314" s="30"/>
      <c r="DN314" s="30"/>
      <c r="DO314" s="30"/>
      <c r="DP314" s="30"/>
      <c r="DQ314" s="30"/>
      <c r="DR314" s="30"/>
      <c r="DS314" s="30"/>
      <c r="DT314" s="30"/>
      <c r="DU314" s="30"/>
      <c r="DV314" s="30"/>
      <c r="DW314" s="30"/>
    </row>
    <row r="315" spans="1:127" ht="13">
      <c r="A315" s="39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  <c r="BV315" s="30"/>
      <c r="BW315" s="30"/>
      <c r="BX315" s="30"/>
      <c r="BY315" s="30"/>
      <c r="BZ315" s="30"/>
      <c r="CA315" s="30"/>
      <c r="CB315" s="30"/>
      <c r="CC315" s="30"/>
      <c r="CD315" s="3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  <c r="CQ315" s="30"/>
      <c r="CR315" s="30"/>
      <c r="CS315" s="30"/>
      <c r="CT315" s="30"/>
      <c r="CU315" s="30"/>
      <c r="CV315" s="30"/>
      <c r="CW315" s="30"/>
      <c r="CX315" s="30"/>
      <c r="CY315" s="30"/>
      <c r="CZ315" s="30"/>
      <c r="DA315" s="30"/>
      <c r="DB315" s="30"/>
      <c r="DC315" s="30"/>
      <c r="DD315" s="30"/>
      <c r="DE315" s="30"/>
      <c r="DF315" s="30"/>
      <c r="DG315" s="30"/>
      <c r="DH315" s="30"/>
      <c r="DI315" s="30"/>
      <c r="DJ315" s="30"/>
      <c r="DK315" s="30"/>
      <c r="DL315" s="30"/>
      <c r="DM315" s="30"/>
      <c r="DN315" s="30"/>
      <c r="DO315" s="30"/>
      <c r="DP315" s="30"/>
      <c r="DQ315" s="30"/>
      <c r="DR315" s="30"/>
      <c r="DS315" s="30"/>
      <c r="DT315" s="30"/>
      <c r="DU315" s="30"/>
      <c r="DV315" s="30"/>
      <c r="DW315" s="30"/>
    </row>
    <row r="316" spans="1:127" ht="13">
      <c r="A316" s="39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/>
      <c r="CA316" s="30"/>
      <c r="CB316" s="30"/>
      <c r="CC316" s="30"/>
      <c r="CD316" s="30"/>
      <c r="CE316" s="30"/>
      <c r="CF316" s="30"/>
      <c r="CG316" s="30"/>
      <c r="CH316" s="30"/>
      <c r="CI316" s="30"/>
      <c r="CJ316" s="30"/>
      <c r="CK316" s="30"/>
      <c r="CL316" s="30"/>
      <c r="CM316" s="30"/>
      <c r="CN316" s="30"/>
      <c r="CO316" s="30"/>
      <c r="CP316" s="30"/>
      <c r="CQ316" s="30"/>
      <c r="CR316" s="30"/>
      <c r="CS316" s="30"/>
      <c r="CT316" s="30"/>
      <c r="CU316" s="30"/>
      <c r="CV316" s="30"/>
      <c r="CW316" s="30"/>
      <c r="CX316" s="30"/>
      <c r="CY316" s="30"/>
      <c r="CZ316" s="30"/>
      <c r="DA316" s="30"/>
      <c r="DB316" s="30"/>
      <c r="DC316" s="30"/>
      <c r="DD316" s="30"/>
      <c r="DE316" s="30"/>
      <c r="DF316" s="30"/>
      <c r="DG316" s="30"/>
      <c r="DH316" s="30"/>
      <c r="DI316" s="30"/>
      <c r="DJ316" s="30"/>
      <c r="DK316" s="30"/>
      <c r="DL316" s="30"/>
      <c r="DM316" s="30"/>
      <c r="DN316" s="30"/>
      <c r="DO316" s="30"/>
      <c r="DP316" s="30"/>
      <c r="DQ316" s="30"/>
      <c r="DR316" s="30"/>
      <c r="DS316" s="30"/>
      <c r="DT316" s="30"/>
      <c r="DU316" s="30"/>
      <c r="DV316" s="30"/>
      <c r="DW316" s="30"/>
    </row>
    <row r="317" spans="1:127" ht="13">
      <c r="A317" s="39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  <c r="BV317" s="30"/>
      <c r="BW317" s="30"/>
      <c r="BX317" s="30"/>
      <c r="BY317" s="30"/>
      <c r="BZ317" s="30"/>
      <c r="CA317" s="30"/>
      <c r="CB317" s="30"/>
      <c r="CC317" s="30"/>
      <c r="CD317" s="3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  <c r="CR317" s="30"/>
      <c r="CS317" s="30"/>
      <c r="CT317" s="30"/>
      <c r="CU317" s="30"/>
      <c r="CV317" s="30"/>
      <c r="CW317" s="30"/>
      <c r="CX317" s="30"/>
      <c r="CY317" s="30"/>
      <c r="CZ317" s="30"/>
      <c r="DA317" s="30"/>
      <c r="DB317" s="30"/>
      <c r="DC317" s="30"/>
      <c r="DD317" s="30"/>
      <c r="DE317" s="30"/>
      <c r="DF317" s="30"/>
      <c r="DG317" s="30"/>
      <c r="DH317" s="30"/>
      <c r="DI317" s="30"/>
      <c r="DJ317" s="30"/>
      <c r="DK317" s="30"/>
      <c r="DL317" s="30"/>
      <c r="DM317" s="30"/>
      <c r="DN317" s="30"/>
      <c r="DO317" s="30"/>
      <c r="DP317" s="30"/>
      <c r="DQ317" s="30"/>
      <c r="DR317" s="30"/>
      <c r="DS317" s="30"/>
      <c r="DT317" s="30"/>
      <c r="DU317" s="30"/>
      <c r="DV317" s="30"/>
      <c r="DW317" s="30"/>
    </row>
    <row r="318" spans="1:127" ht="13">
      <c r="A318" s="39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  <c r="BV318" s="30"/>
      <c r="BW318" s="30"/>
      <c r="BX318" s="30"/>
      <c r="BY318" s="30"/>
      <c r="BZ318" s="30"/>
      <c r="CA318" s="30"/>
      <c r="CB318" s="30"/>
      <c r="CC318" s="30"/>
      <c r="CD318" s="30"/>
      <c r="CE318" s="30"/>
      <c r="CF318" s="30"/>
      <c r="CG318" s="30"/>
      <c r="CH318" s="30"/>
      <c r="CI318" s="30"/>
      <c r="CJ318" s="30"/>
      <c r="CK318" s="30"/>
      <c r="CL318" s="30"/>
      <c r="CM318" s="30"/>
      <c r="CN318" s="30"/>
      <c r="CO318" s="30"/>
      <c r="CP318" s="30"/>
      <c r="CQ318" s="30"/>
      <c r="CR318" s="30"/>
      <c r="CS318" s="30"/>
      <c r="CT318" s="30"/>
      <c r="CU318" s="30"/>
      <c r="CV318" s="30"/>
      <c r="CW318" s="30"/>
      <c r="CX318" s="30"/>
      <c r="CY318" s="30"/>
      <c r="CZ318" s="30"/>
      <c r="DA318" s="30"/>
      <c r="DB318" s="30"/>
      <c r="DC318" s="30"/>
      <c r="DD318" s="30"/>
      <c r="DE318" s="30"/>
      <c r="DF318" s="30"/>
      <c r="DG318" s="30"/>
      <c r="DH318" s="30"/>
      <c r="DI318" s="30"/>
      <c r="DJ318" s="30"/>
      <c r="DK318" s="30"/>
      <c r="DL318" s="30"/>
      <c r="DM318" s="30"/>
      <c r="DN318" s="30"/>
      <c r="DO318" s="30"/>
      <c r="DP318" s="30"/>
      <c r="DQ318" s="30"/>
      <c r="DR318" s="30"/>
      <c r="DS318" s="30"/>
      <c r="DT318" s="30"/>
      <c r="DU318" s="30"/>
      <c r="DV318" s="30"/>
      <c r="DW318" s="30"/>
    </row>
    <row r="319" spans="1:127" ht="13">
      <c r="A319" s="39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  <c r="BV319" s="30"/>
      <c r="BW319" s="30"/>
      <c r="BX319" s="30"/>
      <c r="BY319" s="30"/>
      <c r="BZ319" s="30"/>
      <c r="CA319" s="30"/>
      <c r="CB319" s="30"/>
      <c r="CC319" s="30"/>
      <c r="CD319" s="3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  <c r="CQ319" s="30"/>
      <c r="CR319" s="30"/>
      <c r="CS319" s="30"/>
      <c r="CT319" s="30"/>
      <c r="CU319" s="30"/>
      <c r="CV319" s="30"/>
      <c r="CW319" s="30"/>
      <c r="CX319" s="30"/>
      <c r="CY319" s="30"/>
      <c r="CZ319" s="30"/>
      <c r="DA319" s="30"/>
      <c r="DB319" s="30"/>
      <c r="DC319" s="30"/>
      <c r="DD319" s="30"/>
      <c r="DE319" s="30"/>
      <c r="DF319" s="30"/>
      <c r="DG319" s="30"/>
      <c r="DH319" s="30"/>
      <c r="DI319" s="30"/>
      <c r="DJ319" s="30"/>
      <c r="DK319" s="30"/>
      <c r="DL319" s="30"/>
      <c r="DM319" s="30"/>
      <c r="DN319" s="30"/>
      <c r="DO319" s="30"/>
      <c r="DP319" s="30"/>
      <c r="DQ319" s="30"/>
      <c r="DR319" s="30"/>
      <c r="DS319" s="30"/>
      <c r="DT319" s="30"/>
      <c r="DU319" s="30"/>
      <c r="DV319" s="30"/>
      <c r="DW319" s="30"/>
    </row>
    <row r="320" spans="1:127" ht="13">
      <c r="A320" s="39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  <c r="BV320" s="30"/>
      <c r="BW320" s="30"/>
      <c r="BX320" s="30"/>
      <c r="BY320" s="30"/>
      <c r="BZ320" s="30"/>
      <c r="CA320" s="30"/>
      <c r="CB320" s="30"/>
      <c r="CC320" s="30"/>
      <c r="CD320" s="3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  <c r="CQ320" s="30"/>
      <c r="CR320" s="30"/>
      <c r="CS320" s="30"/>
      <c r="CT320" s="30"/>
      <c r="CU320" s="30"/>
      <c r="CV320" s="30"/>
      <c r="CW320" s="30"/>
      <c r="CX320" s="30"/>
      <c r="CY320" s="30"/>
      <c r="CZ320" s="30"/>
      <c r="DA320" s="30"/>
      <c r="DB320" s="30"/>
      <c r="DC320" s="30"/>
      <c r="DD320" s="30"/>
      <c r="DE320" s="30"/>
      <c r="DF320" s="30"/>
      <c r="DG320" s="30"/>
      <c r="DH320" s="30"/>
      <c r="DI320" s="30"/>
      <c r="DJ320" s="30"/>
      <c r="DK320" s="30"/>
      <c r="DL320" s="30"/>
      <c r="DM320" s="30"/>
      <c r="DN320" s="30"/>
      <c r="DO320" s="30"/>
      <c r="DP320" s="30"/>
      <c r="DQ320" s="30"/>
      <c r="DR320" s="30"/>
      <c r="DS320" s="30"/>
      <c r="DT320" s="30"/>
      <c r="DU320" s="30"/>
      <c r="DV320" s="30"/>
      <c r="DW320" s="30"/>
    </row>
    <row r="321" spans="1:127" ht="13">
      <c r="A321" s="39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  <c r="BV321" s="30"/>
      <c r="BW321" s="30"/>
      <c r="BX321" s="30"/>
      <c r="BY321" s="30"/>
      <c r="BZ321" s="30"/>
      <c r="CA321" s="30"/>
      <c r="CB321" s="30"/>
      <c r="CC321" s="30"/>
      <c r="CD321" s="3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  <c r="CR321" s="30"/>
      <c r="CS321" s="30"/>
      <c r="CT321" s="30"/>
      <c r="CU321" s="30"/>
      <c r="CV321" s="30"/>
      <c r="CW321" s="30"/>
      <c r="CX321" s="30"/>
      <c r="CY321" s="30"/>
      <c r="CZ321" s="30"/>
      <c r="DA321" s="30"/>
      <c r="DB321" s="30"/>
      <c r="DC321" s="30"/>
      <c r="DD321" s="30"/>
      <c r="DE321" s="30"/>
      <c r="DF321" s="30"/>
      <c r="DG321" s="30"/>
      <c r="DH321" s="30"/>
      <c r="DI321" s="30"/>
      <c r="DJ321" s="30"/>
      <c r="DK321" s="30"/>
      <c r="DL321" s="30"/>
      <c r="DM321" s="30"/>
      <c r="DN321" s="30"/>
      <c r="DO321" s="30"/>
      <c r="DP321" s="30"/>
      <c r="DQ321" s="30"/>
      <c r="DR321" s="30"/>
      <c r="DS321" s="30"/>
      <c r="DT321" s="30"/>
      <c r="DU321" s="30"/>
      <c r="DV321" s="30"/>
      <c r="DW321" s="30"/>
    </row>
    <row r="322" spans="1:127" ht="13">
      <c r="A322" s="39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  <c r="BV322" s="30"/>
      <c r="BW322" s="30"/>
      <c r="BX322" s="30"/>
      <c r="BY322" s="30"/>
      <c r="BZ322" s="30"/>
      <c r="CA322" s="30"/>
      <c r="CB322" s="30"/>
      <c r="CC322" s="30"/>
      <c r="CD322" s="3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  <c r="CR322" s="30"/>
      <c r="CS322" s="30"/>
      <c r="CT322" s="30"/>
      <c r="CU322" s="30"/>
      <c r="CV322" s="30"/>
      <c r="CW322" s="30"/>
      <c r="CX322" s="30"/>
      <c r="CY322" s="30"/>
      <c r="CZ322" s="30"/>
      <c r="DA322" s="30"/>
      <c r="DB322" s="30"/>
      <c r="DC322" s="30"/>
      <c r="DD322" s="30"/>
      <c r="DE322" s="30"/>
      <c r="DF322" s="30"/>
      <c r="DG322" s="30"/>
      <c r="DH322" s="30"/>
      <c r="DI322" s="30"/>
      <c r="DJ322" s="30"/>
      <c r="DK322" s="30"/>
      <c r="DL322" s="30"/>
      <c r="DM322" s="30"/>
      <c r="DN322" s="30"/>
      <c r="DO322" s="30"/>
      <c r="DP322" s="30"/>
      <c r="DQ322" s="30"/>
      <c r="DR322" s="30"/>
      <c r="DS322" s="30"/>
      <c r="DT322" s="30"/>
      <c r="DU322" s="30"/>
      <c r="DV322" s="30"/>
      <c r="DW322" s="30"/>
    </row>
    <row r="323" spans="1:127" ht="13">
      <c r="A323" s="39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  <c r="BV323" s="30"/>
      <c r="BW323" s="30"/>
      <c r="BX323" s="30"/>
      <c r="BY323" s="30"/>
      <c r="BZ323" s="30"/>
      <c r="CA323" s="30"/>
      <c r="CB323" s="30"/>
      <c r="CC323" s="30"/>
      <c r="CD323" s="3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  <c r="CQ323" s="30"/>
      <c r="CR323" s="30"/>
      <c r="CS323" s="30"/>
      <c r="CT323" s="30"/>
      <c r="CU323" s="30"/>
      <c r="CV323" s="30"/>
      <c r="CW323" s="30"/>
      <c r="CX323" s="30"/>
      <c r="CY323" s="30"/>
      <c r="CZ323" s="30"/>
      <c r="DA323" s="30"/>
      <c r="DB323" s="30"/>
      <c r="DC323" s="30"/>
      <c r="DD323" s="30"/>
      <c r="DE323" s="30"/>
      <c r="DF323" s="30"/>
      <c r="DG323" s="30"/>
      <c r="DH323" s="30"/>
      <c r="DI323" s="30"/>
      <c r="DJ323" s="30"/>
      <c r="DK323" s="30"/>
      <c r="DL323" s="30"/>
      <c r="DM323" s="30"/>
      <c r="DN323" s="30"/>
      <c r="DO323" s="30"/>
      <c r="DP323" s="30"/>
      <c r="DQ323" s="30"/>
      <c r="DR323" s="30"/>
      <c r="DS323" s="30"/>
      <c r="DT323" s="30"/>
      <c r="DU323" s="30"/>
      <c r="DV323" s="30"/>
      <c r="DW323" s="30"/>
    </row>
    <row r="324" spans="1:127" ht="13">
      <c r="A324" s="39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  <c r="BV324" s="30"/>
      <c r="BW324" s="30"/>
      <c r="BX324" s="30"/>
      <c r="BY324" s="30"/>
      <c r="BZ324" s="30"/>
      <c r="CA324" s="30"/>
      <c r="CB324" s="30"/>
      <c r="CC324" s="30"/>
      <c r="CD324" s="3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  <c r="CR324" s="30"/>
      <c r="CS324" s="30"/>
      <c r="CT324" s="30"/>
      <c r="CU324" s="30"/>
      <c r="CV324" s="30"/>
      <c r="CW324" s="30"/>
      <c r="CX324" s="30"/>
      <c r="CY324" s="30"/>
      <c r="CZ324" s="30"/>
      <c r="DA324" s="30"/>
      <c r="DB324" s="30"/>
      <c r="DC324" s="30"/>
      <c r="DD324" s="30"/>
      <c r="DE324" s="30"/>
      <c r="DF324" s="30"/>
      <c r="DG324" s="30"/>
      <c r="DH324" s="30"/>
      <c r="DI324" s="30"/>
      <c r="DJ324" s="30"/>
      <c r="DK324" s="30"/>
      <c r="DL324" s="30"/>
      <c r="DM324" s="30"/>
      <c r="DN324" s="30"/>
      <c r="DO324" s="30"/>
      <c r="DP324" s="30"/>
      <c r="DQ324" s="30"/>
      <c r="DR324" s="30"/>
      <c r="DS324" s="30"/>
      <c r="DT324" s="30"/>
      <c r="DU324" s="30"/>
      <c r="DV324" s="30"/>
      <c r="DW324" s="30"/>
    </row>
    <row r="325" spans="1:127" ht="13">
      <c r="A325" s="39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  <c r="BV325" s="30"/>
      <c r="BW325" s="30"/>
      <c r="BX325" s="30"/>
      <c r="BY325" s="30"/>
      <c r="BZ325" s="30"/>
      <c r="CA325" s="30"/>
      <c r="CB325" s="30"/>
      <c r="CC325" s="30"/>
      <c r="CD325" s="3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  <c r="CU325" s="30"/>
      <c r="CV325" s="30"/>
      <c r="CW325" s="30"/>
      <c r="CX325" s="30"/>
      <c r="CY325" s="30"/>
      <c r="CZ325" s="30"/>
      <c r="DA325" s="30"/>
      <c r="DB325" s="30"/>
      <c r="DC325" s="30"/>
      <c r="DD325" s="30"/>
      <c r="DE325" s="30"/>
      <c r="DF325" s="30"/>
      <c r="DG325" s="30"/>
      <c r="DH325" s="30"/>
      <c r="DI325" s="30"/>
      <c r="DJ325" s="30"/>
      <c r="DK325" s="30"/>
      <c r="DL325" s="30"/>
      <c r="DM325" s="30"/>
      <c r="DN325" s="30"/>
      <c r="DO325" s="30"/>
      <c r="DP325" s="30"/>
      <c r="DQ325" s="30"/>
      <c r="DR325" s="30"/>
      <c r="DS325" s="30"/>
      <c r="DT325" s="30"/>
      <c r="DU325" s="30"/>
      <c r="DV325" s="30"/>
      <c r="DW325" s="30"/>
    </row>
    <row r="326" spans="1:127" ht="13">
      <c r="A326" s="39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  <c r="BV326" s="30"/>
      <c r="BW326" s="30"/>
      <c r="BX326" s="30"/>
      <c r="BY326" s="30"/>
      <c r="BZ326" s="30"/>
      <c r="CA326" s="30"/>
      <c r="CB326" s="30"/>
      <c r="CC326" s="30"/>
      <c r="CD326" s="30"/>
      <c r="CE326" s="30"/>
      <c r="CF326" s="30"/>
      <c r="CG326" s="30"/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  <c r="CR326" s="30"/>
      <c r="CS326" s="30"/>
      <c r="CT326" s="30"/>
      <c r="CU326" s="30"/>
      <c r="CV326" s="30"/>
      <c r="CW326" s="30"/>
      <c r="CX326" s="30"/>
      <c r="CY326" s="30"/>
      <c r="CZ326" s="30"/>
      <c r="DA326" s="30"/>
      <c r="DB326" s="30"/>
      <c r="DC326" s="30"/>
      <c r="DD326" s="30"/>
      <c r="DE326" s="30"/>
      <c r="DF326" s="30"/>
      <c r="DG326" s="30"/>
      <c r="DH326" s="30"/>
      <c r="DI326" s="30"/>
      <c r="DJ326" s="30"/>
      <c r="DK326" s="30"/>
      <c r="DL326" s="30"/>
      <c r="DM326" s="30"/>
      <c r="DN326" s="30"/>
      <c r="DO326" s="30"/>
      <c r="DP326" s="30"/>
      <c r="DQ326" s="30"/>
      <c r="DR326" s="30"/>
      <c r="DS326" s="30"/>
      <c r="DT326" s="30"/>
      <c r="DU326" s="30"/>
      <c r="DV326" s="30"/>
      <c r="DW326" s="30"/>
    </row>
    <row r="327" spans="1:127" ht="13">
      <c r="A327" s="39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  <c r="BV327" s="30"/>
      <c r="BW327" s="30"/>
      <c r="BX327" s="30"/>
      <c r="BY327" s="30"/>
      <c r="BZ327" s="30"/>
      <c r="CA327" s="30"/>
      <c r="CB327" s="30"/>
      <c r="CC327" s="30"/>
      <c r="CD327" s="30"/>
      <c r="CE327" s="30"/>
      <c r="CF327" s="30"/>
      <c r="CG327" s="30"/>
      <c r="CH327" s="30"/>
      <c r="CI327" s="30"/>
      <c r="CJ327" s="30"/>
      <c r="CK327" s="30"/>
      <c r="CL327" s="30"/>
      <c r="CM327" s="30"/>
      <c r="CN327" s="30"/>
      <c r="CO327" s="30"/>
      <c r="CP327" s="30"/>
      <c r="CQ327" s="30"/>
      <c r="CR327" s="30"/>
      <c r="CS327" s="30"/>
      <c r="CT327" s="30"/>
      <c r="CU327" s="30"/>
      <c r="CV327" s="30"/>
      <c r="CW327" s="30"/>
      <c r="CX327" s="30"/>
      <c r="CY327" s="30"/>
      <c r="CZ327" s="30"/>
      <c r="DA327" s="30"/>
      <c r="DB327" s="30"/>
      <c r="DC327" s="30"/>
      <c r="DD327" s="30"/>
      <c r="DE327" s="30"/>
      <c r="DF327" s="30"/>
      <c r="DG327" s="30"/>
      <c r="DH327" s="30"/>
      <c r="DI327" s="30"/>
      <c r="DJ327" s="30"/>
      <c r="DK327" s="30"/>
      <c r="DL327" s="30"/>
      <c r="DM327" s="30"/>
      <c r="DN327" s="30"/>
      <c r="DO327" s="30"/>
      <c r="DP327" s="30"/>
      <c r="DQ327" s="30"/>
      <c r="DR327" s="30"/>
      <c r="DS327" s="30"/>
      <c r="DT327" s="30"/>
      <c r="DU327" s="30"/>
      <c r="DV327" s="30"/>
      <c r="DW327" s="30"/>
    </row>
    <row r="328" spans="1:127" ht="13">
      <c r="A328" s="39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  <c r="BV328" s="30"/>
      <c r="BW328" s="30"/>
      <c r="BX328" s="30"/>
      <c r="BY328" s="30"/>
      <c r="BZ328" s="30"/>
      <c r="CA328" s="30"/>
      <c r="CB328" s="30"/>
      <c r="CC328" s="30"/>
      <c r="CD328" s="30"/>
      <c r="CE328" s="30"/>
      <c r="CF328" s="30"/>
      <c r="CG328" s="30"/>
      <c r="CH328" s="30"/>
      <c r="CI328" s="30"/>
      <c r="CJ328" s="30"/>
      <c r="CK328" s="30"/>
      <c r="CL328" s="30"/>
      <c r="CM328" s="30"/>
      <c r="CN328" s="30"/>
      <c r="CO328" s="30"/>
      <c r="CP328" s="30"/>
      <c r="CQ328" s="30"/>
      <c r="CR328" s="30"/>
      <c r="CS328" s="30"/>
      <c r="CT328" s="30"/>
      <c r="CU328" s="30"/>
      <c r="CV328" s="30"/>
      <c r="CW328" s="30"/>
      <c r="CX328" s="30"/>
      <c r="CY328" s="30"/>
      <c r="CZ328" s="30"/>
      <c r="DA328" s="30"/>
      <c r="DB328" s="30"/>
      <c r="DC328" s="30"/>
      <c r="DD328" s="30"/>
      <c r="DE328" s="30"/>
      <c r="DF328" s="30"/>
      <c r="DG328" s="30"/>
      <c r="DH328" s="30"/>
      <c r="DI328" s="30"/>
      <c r="DJ328" s="30"/>
      <c r="DK328" s="30"/>
      <c r="DL328" s="30"/>
      <c r="DM328" s="30"/>
      <c r="DN328" s="30"/>
      <c r="DO328" s="30"/>
      <c r="DP328" s="30"/>
      <c r="DQ328" s="30"/>
      <c r="DR328" s="30"/>
      <c r="DS328" s="30"/>
      <c r="DT328" s="30"/>
      <c r="DU328" s="30"/>
      <c r="DV328" s="30"/>
      <c r="DW328" s="30"/>
    </row>
    <row r="329" spans="1:127" ht="13">
      <c r="A329" s="39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  <c r="BV329" s="30"/>
      <c r="BW329" s="30"/>
      <c r="BX329" s="30"/>
      <c r="BY329" s="30"/>
      <c r="BZ329" s="30"/>
      <c r="CA329" s="30"/>
      <c r="CB329" s="30"/>
      <c r="CC329" s="30"/>
      <c r="CD329" s="3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  <c r="CW329" s="30"/>
      <c r="CX329" s="30"/>
      <c r="CY329" s="30"/>
      <c r="CZ329" s="30"/>
      <c r="DA329" s="30"/>
      <c r="DB329" s="30"/>
      <c r="DC329" s="30"/>
      <c r="DD329" s="30"/>
      <c r="DE329" s="30"/>
      <c r="DF329" s="30"/>
      <c r="DG329" s="30"/>
      <c r="DH329" s="30"/>
      <c r="DI329" s="30"/>
      <c r="DJ329" s="30"/>
      <c r="DK329" s="30"/>
      <c r="DL329" s="30"/>
      <c r="DM329" s="30"/>
      <c r="DN329" s="30"/>
      <c r="DO329" s="30"/>
      <c r="DP329" s="30"/>
      <c r="DQ329" s="30"/>
      <c r="DR329" s="30"/>
      <c r="DS329" s="30"/>
      <c r="DT329" s="30"/>
      <c r="DU329" s="30"/>
      <c r="DV329" s="30"/>
      <c r="DW329" s="30"/>
    </row>
    <row r="330" spans="1:127" ht="13">
      <c r="A330" s="39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  <c r="BV330" s="30"/>
      <c r="BW330" s="30"/>
      <c r="BX330" s="30"/>
      <c r="BY330" s="30"/>
      <c r="BZ330" s="30"/>
      <c r="CA330" s="30"/>
      <c r="CB330" s="30"/>
      <c r="CC330" s="30"/>
      <c r="CD330" s="30"/>
      <c r="CE330" s="30"/>
      <c r="CF330" s="30"/>
      <c r="CG330" s="30"/>
      <c r="CH330" s="30"/>
      <c r="CI330" s="30"/>
      <c r="CJ330" s="30"/>
      <c r="CK330" s="30"/>
      <c r="CL330" s="30"/>
      <c r="CM330" s="30"/>
      <c r="CN330" s="30"/>
      <c r="CO330" s="30"/>
      <c r="CP330" s="30"/>
      <c r="CQ330" s="30"/>
      <c r="CR330" s="30"/>
      <c r="CS330" s="30"/>
      <c r="CT330" s="30"/>
      <c r="CU330" s="30"/>
      <c r="CV330" s="30"/>
      <c r="CW330" s="30"/>
      <c r="CX330" s="30"/>
      <c r="CY330" s="30"/>
      <c r="CZ330" s="30"/>
      <c r="DA330" s="30"/>
      <c r="DB330" s="30"/>
      <c r="DC330" s="30"/>
      <c r="DD330" s="30"/>
      <c r="DE330" s="30"/>
      <c r="DF330" s="30"/>
      <c r="DG330" s="30"/>
      <c r="DH330" s="30"/>
      <c r="DI330" s="30"/>
      <c r="DJ330" s="30"/>
      <c r="DK330" s="30"/>
      <c r="DL330" s="30"/>
      <c r="DM330" s="30"/>
      <c r="DN330" s="30"/>
      <c r="DO330" s="30"/>
      <c r="DP330" s="30"/>
      <c r="DQ330" s="30"/>
      <c r="DR330" s="30"/>
      <c r="DS330" s="30"/>
      <c r="DT330" s="30"/>
      <c r="DU330" s="30"/>
      <c r="DV330" s="30"/>
      <c r="DW330" s="30"/>
    </row>
    <row r="331" spans="1:127" ht="13">
      <c r="A331" s="39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  <c r="BV331" s="30"/>
      <c r="BW331" s="30"/>
      <c r="BX331" s="30"/>
      <c r="BY331" s="30"/>
      <c r="BZ331" s="30"/>
      <c r="CA331" s="30"/>
      <c r="CB331" s="30"/>
      <c r="CC331" s="30"/>
      <c r="CD331" s="3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  <c r="CR331" s="30"/>
      <c r="CS331" s="30"/>
      <c r="CT331" s="30"/>
      <c r="CU331" s="30"/>
      <c r="CV331" s="30"/>
      <c r="CW331" s="30"/>
      <c r="CX331" s="30"/>
      <c r="CY331" s="30"/>
      <c r="CZ331" s="30"/>
      <c r="DA331" s="30"/>
      <c r="DB331" s="30"/>
      <c r="DC331" s="30"/>
      <c r="DD331" s="30"/>
      <c r="DE331" s="30"/>
      <c r="DF331" s="30"/>
      <c r="DG331" s="30"/>
      <c r="DH331" s="30"/>
      <c r="DI331" s="30"/>
      <c r="DJ331" s="30"/>
      <c r="DK331" s="30"/>
      <c r="DL331" s="30"/>
      <c r="DM331" s="30"/>
      <c r="DN331" s="30"/>
      <c r="DO331" s="30"/>
      <c r="DP331" s="30"/>
      <c r="DQ331" s="30"/>
      <c r="DR331" s="30"/>
      <c r="DS331" s="30"/>
      <c r="DT331" s="30"/>
      <c r="DU331" s="30"/>
      <c r="DV331" s="30"/>
      <c r="DW331" s="30"/>
    </row>
    <row r="332" spans="1:127" ht="13">
      <c r="A332" s="39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  <c r="BV332" s="30"/>
      <c r="BW332" s="30"/>
      <c r="BX332" s="30"/>
      <c r="BY332" s="30"/>
      <c r="BZ332" s="30"/>
      <c r="CA332" s="30"/>
      <c r="CB332" s="30"/>
      <c r="CC332" s="30"/>
      <c r="CD332" s="3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  <c r="CQ332" s="30"/>
      <c r="CR332" s="30"/>
      <c r="CS332" s="30"/>
      <c r="CT332" s="30"/>
      <c r="CU332" s="30"/>
      <c r="CV332" s="30"/>
      <c r="CW332" s="30"/>
      <c r="CX332" s="30"/>
      <c r="CY332" s="30"/>
      <c r="CZ332" s="30"/>
      <c r="DA332" s="30"/>
      <c r="DB332" s="30"/>
      <c r="DC332" s="30"/>
      <c r="DD332" s="30"/>
      <c r="DE332" s="30"/>
      <c r="DF332" s="30"/>
      <c r="DG332" s="30"/>
      <c r="DH332" s="30"/>
      <c r="DI332" s="30"/>
      <c r="DJ332" s="30"/>
      <c r="DK332" s="30"/>
      <c r="DL332" s="30"/>
      <c r="DM332" s="30"/>
      <c r="DN332" s="30"/>
      <c r="DO332" s="30"/>
      <c r="DP332" s="30"/>
      <c r="DQ332" s="30"/>
      <c r="DR332" s="30"/>
      <c r="DS332" s="30"/>
      <c r="DT332" s="30"/>
      <c r="DU332" s="30"/>
      <c r="DV332" s="30"/>
      <c r="DW332" s="30"/>
    </row>
    <row r="333" spans="1:127" ht="13">
      <c r="A333" s="39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  <c r="BV333" s="30"/>
      <c r="BW333" s="30"/>
      <c r="BX333" s="30"/>
      <c r="BY333" s="30"/>
      <c r="BZ333" s="30"/>
      <c r="CA333" s="30"/>
      <c r="CB333" s="30"/>
      <c r="CC333" s="30"/>
      <c r="CD333" s="3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  <c r="CQ333" s="30"/>
      <c r="CR333" s="30"/>
      <c r="CS333" s="30"/>
      <c r="CT333" s="30"/>
      <c r="CU333" s="30"/>
      <c r="CV333" s="30"/>
      <c r="CW333" s="30"/>
      <c r="CX333" s="30"/>
      <c r="CY333" s="30"/>
      <c r="CZ333" s="30"/>
      <c r="DA333" s="30"/>
      <c r="DB333" s="30"/>
      <c r="DC333" s="30"/>
      <c r="DD333" s="30"/>
      <c r="DE333" s="30"/>
      <c r="DF333" s="30"/>
      <c r="DG333" s="30"/>
      <c r="DH333" s="30"/>
      <c r="DI333" s="30"/>
      <c r="DJ333" s="30"/>
      <c r="DK333" s="30"/>
      <c r="DL333" s="30"/>
      <c r="DM333" s="30"/>
      <c r="DN333" s="30"/>
      <c r="DO333" s="30"/>
      <c r="DP333" s="30"/>
      <c r="DQ333" s="30"/>
      <c r="DR333" s="30"/>
      <c r="DS333" s="30"/>
      <c r="DT333" s="30"/>
      <c r="DU333" s="30"/>
      <c r="DV333" s="30"/>
      <c r="DW333" s="30"/>
    </row>
    <row r="334" spans="1:127" ht="13">
      <c r="A334" s="39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  <c r="BV334" s="30"/>
      <c r="BW334" s="30"/>
      <c r="BX334" s="30"/>
      <c r="BY334" s="30"/>
      <c r="BZ334" s="30"/>
      <c r="CA334" s="30"/>
      <c r="CB334" s="30"/>
      <c r="CC334" s="30"/>
      <c r="CD334" s="3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0"/>
      <c r="CP334" s="30"/>
      <c r="CQ334" s="30"/>
      <c r="CR334" s="30"/>
      <c r="CS334" s="30"/>
      <c r="CT334" s="30"/>
      <c r="CU334" s="30"/>
      <c r="CV334" s="30"/>
      <c r="CW334" s="30"/>
      <c r="CX334" s="30"/>
      <c r="CY334" s="30"/>
      <c r="CZ334" s="30"/>
      <c r="DA334" s="30"/>
      <c r="DB334" s="30"/>
      <c r="DC334" s="30"/>
      <c r="DD334" s="30"/>
      <c r="DE334" s="30"/>
      <c r="DF334" s="30"/>
      <c r="DG334" s="30"/>
      <c r="DH334" s="30"/>
      <c r="DI334" s="30"/>
      <c r="DJ334" s="30"/>
      <c r="DK334" s="30"/>
      <c r="DL334" s="30"/>
      <c r="DM334" s="30"/>
      <c r="DN334" s="30"/>
      <c r="DO334" s="30"/>
      <c r="DP334" s="30"/>
      <c r="DQ334" s="30"/>
      <c r="DR334" s="30"/>
      <c r="DS334" s="30"/>
      <c r="DT334" s="30"/>
      <c r="DU334" s="30"/>
      <c r="DV334" s="30"/>
      <c r="DW334" s="30"/>
    </row>
    <row r="335" spans="1:127" ht="13">
      <c r="A335" s="39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  <c r="BV335" s="30"/>
      <c r="BW335" s="30"/>
      <c r="BX335" s="30"/>
      <c r="BY335" s="30"/>
      <c r="BZ335" s="30"/>
      <c r="CA335" s="30"/>
      <c r="CB335" s="30"/>
      <c r="CC335" s="30"/>
      <c r="CD335" s="3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/>
      <c r="CO335" s="30"/>
      <c r="CP335" s="30"/>
      <c r="CQ335" s="30"/>
      <c r="CR335" s="30"/>
      <c r="CS335" s="30"/>
      <c r="CT335" s="30"/>
      <c r="CU335" s="30"/>
      <c r="CV335" s="30"/>
      <c r="CW335" s="30"/>
      <c r="CX335" s="30"/>
      <c r="CY335" s="30"/>
      <c r="CZ335" s="30"/>
      <c r="DA335" s="30"/>
      <c r="DB335" s="30"/>
      <c r="DC335" s="30"/>
      <c r="DD335" s="30"/>
      <c r="DE335" s="30"/>
      <c r="DF335" s="30"/>
      <c r="DG335" s="30"/>
      <c r="DH335" s="30"/>
      <c r="DI335" s="30"/>
      <c r="DJ335" s="30"/>
      <c r="DK335" s="30"/>
      <c r="DL335" s="30"/>
      <c r="DM335" s="30"/>
      <c r="DN335" s="30"/>
      <c r="DO335" s="30"/>
      <c r="DP335" s="30"/>
      <c r="DQ335" s="30"/>
      <c r="DR335" s="30"/>
      <c r="DS335" s="30"/>
      <c r="DT335" s="30"/>
      <c r="DU335" s="30"/>
      <c r="DV335" s="30"/>
      <c r="DW335" s="30"/>
    </row>
    <row r="336" spans="1:127" ht="13">
      <c r="A336" s="39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  <c r="BV336" s="30"/>
      <c r="BW336" s="30"/>
      <c r="BX336" s="30"/>
      <c r="BY336" s="30"/>
      <c r="BZ336" s="30"/>
      <c r="CA336" s="30"/>
      <c r="CB336" s="30"/>
      <c r="CC336" s="30"/>
      <c r="CD336" s="3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  <c r="CQ336" s="30"/>
      <c r="CR336" s="30"/>
      <c r="CS336" s="30"/>
      <c r="CT336" s="30"/>
      <c r="CU336" s="30"/>
      <c r="CV336" s="30"/>
      <c r="CW336" s="30"/>
      <c r="CX336" s="30"/>
      <c r="CY336" s="30"/>
      <c r="CZ336" s="30"/>
      <c r="DA336" s="30"/>
      <c r="DB336" s="30"/>
      <c r="DC336" s="30"/>
      <c r="DD336" s="30"/>
      <c r="DE336" s="30"/>
      <c r="DF336" s="30"/>
      <c r="DG336" s="30"/>
      <c r="DH336" s="30"/>
      <c r="DI336" s="30"/>
      <c r="DJ336" s="30"/>
      <c r="DK336" s="30"/>
      <c r="DL336" s="30"/>
      <c r="DM336" s="30"/>
      <c r="DN336" s="30"/>
      <c r="DO336" s="30"/>
      <c r="DP336" s="30"/>
      <c r="DQ336" s="30"/>
      <c r="DR336" s="30"/>
      <c r="DS336" s="30"/>
      <c r="DT336" s="30"/>
      <c r="DU336" s="30"/>
      <c r="DV336" s="30"/>
      <c r="DW336" s="30"/>
    </row>
    <row r="337" spans="1:127" ht="13">
      <c r="A337" s="39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  <c r="BV337" s="30"/>
      <c r="BW337" s="30"/>
      <c r="BX337" s="30"/>
      <c r="BY337" s="30"/>
      <c r="BZ337" s="30"/>
      <c r="CA337" s="30"/>
      <c r="CB337" s="30"/>
      <c r="CC337" s="30"/>
      <c r="CD337" s="3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  <c r="CQ337" s="30"/>
      <c r="CR337" s="30"/>
      <c r="CS337" s="30"/>
      <c r="CT337" s="30"/>
      <c r="CU337" s="30"/>
      <c r="CV337" s="30"/>
      <c r="CW337" s="30"/>
      <c r="CX337" s="30"/>
      <c r="CY337" s="30"/>
      <c r="CZ337" s="30"/>
      <c r="DA337" s="30"/>
      <c r="DB337" s="30"/>
      <c r="DC337" s="30"/>
      <c r="DD337" s="30"/>
      <c r="DE337" s="30"/>
      <c r="DF337" s="30"/>
      <c r="DG337" s="30"/>
      <c r="DH337" s="30"/>
      <c r="DI337" s="30"/>
      <c r="DJ337" s="30"/>
      <c r="DK337" s="30"/>
      <c r="DL337" s="30"/>
      <c r="DM337" s="30"/>
      <c r="DN337" s="30"/>
      <c r="DO337" s="30"/>
      <c r="DP337" s="30"/>
      <c r="DQ337" s="30"/>
      <c r="DR337" s="30"/>
      <c r="DS337" s="30"/>
      <c r="DT337" s="30"/>
      <c r="DU337" s="30"/>
      <c r="DV337" s="30"/>
      <c r="DW337" s="30"/>
    </row>
    <row r="338" spans="1:127" ht="13">
      <c r="A338" s="39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  <c r="BV338" s="30"/>
      <c r="BW338" s="30"/>
      <c r="BX338" s="30"/>
      <c r="BY338" s="30"/>
      <c r="BZ338" s="30"/>
      <c r="CA338" s="30"/>
      <c r="CB338" s="30"/>
      <c r="CC338" s="30"/>
      <c r="CD338" s="3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  <c r="CQ338" s="30"/>
      <c r="CR338" s="30"/>
      <c r="CS338" s="30"/>
      <c r="CT338" s="30"/>
      <c r="CU338" s="30"/>
      <c r="CV338" s="30"/>
      <c r="CW338" s="30"/>
      <c r="CX338" s="30"/>
      <c r="CY338" s="30"/>
      <c r="CZ338" s="30"/>
      <c r="DA338" s="30"/>
      <c r="DB338" s="30"/>
      <c r="DC338" s="30"/>
      <c r="DD338" s="30"/>
      <c r="DE338" s="30"/>
      <c r="DF338" s="30"/>
      <c r="DG338" s="30"/>
      <c r="DH338" s="30"/>
      <c r="DI338" s="30"/>
      <c r="DJ338" s="30"/>
      <c r="DK338" s="30"/>
      <c r="DL338" s="30"/>
      <c r="DM338" s="30"/>
      <c r="DN338" s="30"/>
      <c r="DO338" s="30"/>
      <c r="DP338" s="30"/>
      <c r="DQ338" s="30"/>
      <c r="DR338" s="30"/>
      <c r="DS338" s="30"/>
      <c r="DT338" s="30"/>
      <c r="DU338" s="30"/>
      <c r="DV338" s="30"/>
      <c r="DW338" s="30"/>
    </row>
    <row r="339" spans="1:127" ht="13">
      <c r="A339" s="39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  <c r="BV339" s="30"/>
      <c r="BW339" s="30"/>
      <c r="BX339" s="30"/>
      <c r="BY339" s="30"/>
      <c r="BZ339" s="30"/>
      <c r="CA339" s="30"/>
      <c r="CB339" s="30"/>
      <c r="CC339" s="30"/>
      <c r="CD339" s="3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  <c r="CU339" s="30"/>
      <c r="CV339" s="30"/>
      <c r="CW339" s="30"/>
      <c r="CX339" s="30"/>
      <c r="CY339" s="30"/>
      <c r="CZ339" s="30"/>
      <c r="DA339" s="30"/>
      <c r="DB339" s="30"/>
      <c r="DC339" s="30"/>
      <c r="DD339" s="30"/>
      <c r="DE339" s="30"/>
      <c r="DF339" s="30"/>
      <c r="DG339" s="30"/>
      <c r="DH339" s="30"/>
      <c r="DI339" s="30"/>
      <c r="DJ339" s="30"/>
      <c r="DK339" s="30"/>
      <c r="DL339" s="30"/>
      <c r="DM339" s="30"/>
      <c r="DN339" s="30"/>
      <c r="DO339" s="30"/>
      <c r="DP339" s="30"/>
      <c r="DQ339" s="30"/>
      <c r="DR339" s="30"/>
      <c r="DS339" s="30"/>
      <c r="DT339" s="30"/>
      <c r="DU339" s="30"/>
      <c r="DV339" s="30"/>
      <c r="DW339" s="30"/>
    </row>
    <row r="340" spans="1:127" ht="13">
      <c r="A340" s="39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  <c r="BV340" s="30"/>
      <c r="BW340" s="30"/>
      <c r="BX340" s="30"/>
      <c r="BY340" s="30"/>
      <c r="BZ340" s="30"/>
      <c r="CA340" s="30"/>
      <c r="CB340" s="30"/>
      <c r="CC340" s="30"/>
      <c r="CD340" s="30"/>
      <c r="CE340" s="30"/>
      <c r="CF340" s="30"/>
      <c r="CG340" s="30"/>
      <c r="CH340" s="30"/>
      <c r="CI340" s="30"/>
      <c r="CJ340" s="30"/>
      <c r="CK340" s="30"/>
      <c r="CL340" s="30"/>
      <c r="CM340" s="30"/>
      <c r="CN340" s="30"/>
      <c r="CO340" s="30"/>
      <c r="CP340" s="30"/>
      <c r="CQ340" s="30"/>
      <c r="CR340" s="30"/>
      <c r="CS340" s="30"/>
      <c r="CT340" s="30"/>
      <c r="CU340" s="30"/>
      <c r="CV340" s="30"/>
      <c r="CW340" s="30"/>
      <c r="CX340" s="30"/>
      <c r="CY340" s="30"/>
      <c r="CZ340" s="30"/>
      <c r="DA340" s="30"/>
      <c r="DB340" s="30"/>
      <c r="DC340" s="30"/>
      <c r="DD340" s="30"/>
      <c r="DE340" s="30"/>
      <c r="DF340" s="30"/>
      <c r="DG340" s="30"/>
      <c r="DH340" s="30"/>
      <c r="DI340" s="30"/>
      <c r="DJ340" s="30"/>
      <c r="DK340" s="30"/>
      <c r="DL340" s="30"/>
      <c r="DM340" s="30"/>
      <c r="DN340" s="30"/>
      <c r="DO340" s="30"/>
      <c r="DP340" s="30"/>
      <c r="DQ340" s="30"/>
      <c r="DR340" s="30"/>
      <c r="DS340" s="30"/>
      <c r="DT340" s="30"/>
      <c r="DU340" s="30"/>
      <c r="DV340" s="30"/>
      <c r="DW340" s="30"/>
    </row>
    <row r="341" spans="1:127" ht="13">
      <c r="A341" s="39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  <c r="BV341" s="30"/>
      <c r="BW341" s="30"/>
      <c r="BX341" s="30"/>
      <c r="BY341" s="30"/>
      <c r="BZ341" s="30"/>
      <c r="CA341" s="30"/>
      <c r="CB341" s="30"/>
      <c r="CC341" s="30"/>
      <c r="CD341" s="30"/>
      <c r="CE341" s="30"/>
      <c r="CF341" s="30"/>
      <c r="CG341" s="30"/>
      <c r="CH341" s="30"/>
      <c r="CI341" s="30"/>
      <c r="CJ341" s="30"/>
      <c r="CK341" s="30"/>
      <c r="CL341" s="30"/>
      <c r="CM341" s="30"/>
      <c r="CN341" s="30"/>
      <c r="CO341" s="30"/>
      <c r="CP341" s="30"/>
      <c r="CQ341" s="30"/>
      <c r="CR341" s="30"/>
      <c r="CS341" s="30"/>
      <c r="CT341" s="30"/>
      <c r="CU341" s="30"/>
      <c r="CV341" s="30"/>
      <c r="CW341" s="30"/>
      <c r="CX341" s="30"/>
      <c r="CY341" s="30"/>
      <c r="CZ341" s="30"/>
      <c r="DA341" s="30"/>
      <c r="DB341" s="30"/>
      <c r="DC341" s="30"/>
      <c r="DD341" s="30"/>
      <c r="DE341" s="30"/>
      <c r="DF341" s="30"/>
      <c r="DG341" s="30"/>
      <c r="DH341" s="30"/>
      <c r="DI341" s="30"/>
      <c r="DJ341" s="30"/>
      <c r="DK341" s="30"/>
      <c r="DL341" s="30"/>
      <c r="DM341" s="30"/>
      <c r="DN341" s="30"/>
      <c r="DO341" s="30"/>
      <c r="DP341" s="30"/>
      <c r="DQ341" s="30"/>
      <c r="DR341" s="30"/>
      <c r="DS341" s="30"/>
      <c r="DT341" s="30"/>
      <c r="DU341" s="30"/>
      <c r="DV341" s="30"/>
      <c r="DW341" s="30"/>
    </row>
    <row r="342" spans="1:127" ht="13">
      <c r="A342" s="39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  <c r="BV342" s="30"/>
      <c r="BW342" s="30"/>
      <c r="BX342" s="30"/>
      <c r="BY342" s="30"/>
      <c r="BZ342" s="30"/>
      <c r="CA342" s="30"/>
      <c r="CB342" s="30"/>
      <c r="CC342" s="30"/>
      <c r="CD342" s="3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  <c r="CV342" s="30"/>
      <c r="CW342" s="30"/>
      <c r="CX342" s="30"/>
      <c r="CY342" s="30"/>
      <c r="CZ342" s="30"/>
      <c r="DA342" s="30"/>
      <c r="DB342" s="30"/>
      <c r="DC342" s="30"/>
      <c r="DD342" s="30"/>
      <c r="DE342" s="30"/>
      <c r="DF342" s="30"/>
      <c r="DG342" s="30"/>
      <c r="DH342" s="30"/>
      <c r="DI342" s="30"/>
      <c r="DJ342" s="30"/>
      <c r="DK342" s="30"/>
      <c r="DL342" s="30"/>
      <c r="DM342" s="30"/>
      <c r="DN342" s="30"/>
      <c r="DO342" s="30"/>
      <c r="DP342" s="30"/>
      <c r="DQ342" s="30"/>
      <c r="DR342" s="30"/>
      <c r="DS342" s="30"/>
      <c r="DT342" s="30"/>
      <c r="DU342" s="30"/>
      <c r="DV342" s="30"/>
      <c r="DW342" s="30"/>
    </row>
    <row r="343" spans="1:127" ht="13">
      <c r="A343" s="39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  <c r="BV343" s="30"/>
      <c r="BW343" s="30"/>
      <c r="BX343" s="30"/>
      <c r="BY343" s="30"/>
      <c r="BZ343" s="30"/>
      <c r="CA343" s="30"/>
      <c r="CB343" s="30"/>
      <c r="CC343" s="30"/>
      <c r="CD343" s="3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  <c r="CQ343" s="30"/>
      <c r="CR343" s="30"/>
      <c r="CS343" s="30"/>
      <c r="CT343" s="30"/>
      <c r="CU343" s="30"/>
      <c r="CV343" s="30"/>
      <c r="CW343" s="30"/>
      <c r="CX343" s="30"/>
      <c r="CY343" s="30"/>
      <c r="CZ343" s="30"/>
      <c r="DA343" s="30"/>
      <c r="DB343" s="30"/>
      <c r="DC343" s="30"/>
      <c r="DD343" s="30"/>
      <c r="DE343" s="30"/>
      <c r="DF343" s="30"/>
      <c r="DG343" s="30"/>
      <c r="DH343" s="30"/>
      <c r="DI343" s="30"/>
      <c r="DJ343" s="30"/>
      <c r="DK343" s="30"/>
      <c r="DL343" s="30"/>
      <c r="DM343" s="30"/>
      <c r="DN343" s="30"/>
      <c r="DO343" s="30"/>
      <c r="DP343" s="30"/>
      <c r="DQ343" s="30"/>
      <c r="DR343" s="30"/>
      <c r="DS343" s="30"/>
      <c r="DT343" s="30"/>
      <c r="DU343" s="30"/>
      <c r="DV343" s="30"/>
      <c r="DW343" s="30"/>
    </row>
    <row r="344" spans="1:127" ht="13">
      <c r="A344" s="39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  <c r="BV344" s="30"/>
      <c r="BW344" s="30"/>
      <c r="BX344" s="30"/>
      <c r="BY344" s="30"/>
      <c r="BZ344" s="30"/>
      <c r="CA344" s="30"/>
      <c r="CB344" s="30"/>
      <c r="CC344" s="30"/>
      <c r="CD344" s="3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  <c r="CQ344" s="30"/>
      <c r="CR344" s="30"/>
      <c r="CS344" s="30"/>
      <c r="CT344" s="30"/>
      <c r="CU344" s="30"/>
      <c r="CV344" s="30"/>
      <c r="CW344" s="30"/>
      <c r="CX344" s="30"/>
      <c r="CY344" s="30"/>
      <c r="CZ344" s="30"/>
      <c r="DA344" s="30"/>
      <c r="DB344" s="30"/>
      <c r="DC344" s="30"/>
      <c r="DD344" s="30"/>
      <c r="DE344" s="30"/>
      <c r="DF344" s="30"/>
      <c r="DG344" s="30"/>
      <c r="DH344" s="30"/>
      <c r="DI344" s="30"/>
      <c r="DJ344" s="30"/>
      <c r="DK344" s="30"/>
      <c r="DL344" s="30"/>
      <c r="DM344" s="30"/>
      <c r="DN344" s="30"/>
      <c r="DO344" s="30"/>
      <c r="DP344" s="30"/>
      <c r="DQ344" s="30"/>
      <c r="DR344" s="30"/>
      <c r="DS344" s="30"/>
      <c r="DT344" s="30"/>
      <c r="DU344" s="30"/>
      <c r="DV344" s="30"/>
      <c r="DW344" s="30"/>
    </row>
    <row r="345" spans="1:127" ht="13">
      <c r="A345" s="39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  <c r="BV345" s="30"/>
      <c r="BW345" s="30"/>
      <c r="BX345" s="30"/>
      <c r="BY345" s="30"/>
      <c r="BZ345" s="30"/>
      <c r="CA345" s="30"/>
      <c r="CB345" s="30"/>
      <c r="CC345" s="30"/>
      <c r="CD345" s="3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  <c r="DB345" s="30"/>
      <c r="DC345" s="30"/>
      <c r="DD345" s="30"/>
      <c r="DE345" s="30"/>
      <c r="DF345" s="30"/>
      <c r="DG345" s="30"/>
      <c r="DH345" s="30"/>
      <c r="DI345" s="30"/>
      <c r="DJ345" s="30"/>
      <c r="DK345" s="30"/>
      <c r="DL345" s="30"/>
      <c r="DM345" s="30"/>
      <c r="DN345" s="30"/>
      <c r="DO345" s="30"/>
      <c r="DP345" s="30"/>
      <c r="DQ345" s="30"/>
      <c r="DR345" s="30"/>
      <c r="DS345" s="30"/>
      <c r="DT345" s="30"/>
      <c r="DU345" s="30"/>
      <c r="DV345" s="30"/>
      <c r="DW345" s="30"/>
    </row>
    <row r="346" spans="1:127" ht="13">
      <c r="A346" s="39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  <c r="BV346" s="30"/>
      <c r="BW346" s="30"/>
      <c r="BX346" s="30"/>
      <c r="BY346" s="30"/>
      <c r="BZ346" s="30"/>
      <c r="CA346" s="30"/>
      <c r="CB346" s="30"/>
      <c r="CC346" s="30"/>
      <c r="CD346" s="30"/>
      <c r="CE346" s="30"/>
      <c r="CF346" s="30"/>
      <c r="CG346" s="30"/>
      <c r="CH346" s="30"/>
      <c r="CI346" s="30"/>
      <c r="CJ346" s="30"/>
      <c r="CK346" s="30"/>
      <c r="CL346" s="30"/>
      <c r="CM346" s="30"/>
      <c r="CN346" s="30"/>
      <c r="CO346" s="30"/>
      <c r="CP346" s="30"/>
      <c r="CQ346" s="30"/>
      <c r="CR346" s="30"/>
      <c r="CS346" s="30"/>
      <c r="CT346" s="30"/>
      <c r="CU346" s="30"/>
      <c r="CV346" s="30"/>
      <c r="CW346" s="30"/>
      <c r="CX346" s="30"/>
      <c r="CY346" s="30"/>
      <c r="CZ346" s="30"/>
      <c r="DA346" s="30"/>
      <c r="DB346" s="30"/>
      <c r="DC346" s="30"/>
      <c r="DD346" s="30"/>
      <c r="DE346" s="30"/>
      <c r="DF346" s="30"/>
      <c r="DG346" s="30"/>
      <c r="DH346" s="30"/>
      <c r="DI346" s="30"/>
      <c r="DJ346" s="30"/>
      <c r="DK346" s="30"/>
      <c r="DL346" s="30"/>
      <c r="DM346" s="30"/>
      <c r="DN346" s="30"/>
      <c r="DO346" s="30"/>
      <c r="DP346" s="30"/>
      <c r="DQ346" s="30"/>
      <c r="DR346" s="30"/>
      <c r="DS346" s="30"/>
      <c r="DT346" s="30"/>
      <c r="DU346" s="30"/>
      <c r="DV346" s="30"/>
      <c r="DW346" s="30"/>
    </row>
    <row r="347" spans="1:127" ht="13">
      <c r="A347" s="39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  <c r="BV347" s="30"/>
      <c r="BW347" s="30"/>
      <c r="BX347" s="30"/>
      <c r="BY347" s="30"/>
      <c r="BZ347" s="30"/>
      <c r="CA347" s="30"/>
      <c r="CB347" s="30"/>
      <c r="CC347" s="30"/>
      <c r="CD347" s="3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  <c r="CQ347" s="30"/>
      <c r="CR347" s="30"/>
      <c r="CS347" s="30"/>
      <c r="CT347" s="30"/>
      <c r="CU347" s="30"/>
      <c r="CV347" s="30"/>
      <c r="CW347" s="30"/>
      <c r="CX347" s="30"/>
      <c r="CY347" s="30"/>
      <c r="CZ347" s="30"/>
      <c r="DA347" s="30"/>
      <c r="DB347" s="30"/>
      <c r="DC347" s="30"/>
      <c r="DD347" s="30"/>
      <c r="DE347" s="30"/>
      <c r="DF347" s="30"/>
      <c r="DG347" s="30"/>
      <c r="DH347" s="30"/>
      <c r="DI347" s="30"/>
      <c r="DJ347" s="30"/>
      <c r="DK347" s="30"/>
      <c r="DL347" s="30"/>
      <c r="DM347" s="30"/>
      <c r="DN347" s="30"/>
      <c r="DO347" s="30"/>
      <c r="DP347" s="30"/>
      <c r="DQ347" s="30"/>
      <c r="DR347" s="30"/>
      <c r="DS347" s="30"/>
      <c r="DT347" s="30"/>
      <c r="DU347" s="30"/>
      <c r="DV347" s="30"/>
      <c r="DW347" s="30"/>
    </row>
    <row r="348" spans="1:127" ht="13">
      <c r="A348" s="39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  <c r="BV348" s="30"/>
      <c r="BW348" s="30"/>
      <c r="BX348" s="30"/>
      <c r="BY348" s="30"/>
      <c r="BZ348" s="30"/>
      <c r="CA348" s="30"/>
      <c r="CB348" s="30"/>
      <c r="CC348" s="30"/>
      <c r="CD348" s="30"/>
      <c r="CE348" s="30"/>
      <c r="CF348" s="30"/>
      <c r="CG348" s="30"/>
      <c r="CH348" s="30"/>
      <c r="CI348" s="30"/>
      <c r="CJ348" s="30"/>
      <c r="CK348" s="30"/>
      <c r="CL348" s="30"/>
      <c r="CM348" s="30"/>
      <c r="CN348" s="30"/>
      <c r="CO348" s="30"/>
      <c r="CP348" s="30"/>
      <c r="CQ348" s="30"/>
      <c r="CR348" s="30"/>
      <c r="CS348" s="30"/>
      <c r="CT348" s="30"/>
      <c r="CU348" s="30"/>
      <c r="CV348" s="30"/>
      <c r="CW348" s="30"/>
      <c r="CX348" s="30"/>
      <c r="CY348" s="30"/>
      <c r="CZ348" s="30"/>
      <c r="DA348" s="30"/>
      <c r="DB348" s="30"/>
      <c r="DC348" s="30"/>
      <c r="DD348" s="30"/>
      <c r="DE348" s="30"/>
      <c r="DF348" s="30"/>
      <c r="DG348" s="30"/>
      <c r="DH348" s="30"/>
      <c r="DI348" s="30"/>
      <c r="DJ348" s="30"/>
      <c r="DK348" s="30"/>
      <c r="DL348" s="30"/>
      <c r="DM348" s="30"/>
      <c r="DN348" s="30"/>
      <c r="DO348" s="30"/>
      <c r="DP348" s="30"/>
      <c r="DQ348" s="30"/>
      <c r="DR348" s="30"/>
      <c r="DS348" s="30"/>
      <c r="DT348" s="30"/>
      <c r="DU348" s="30"/>
      <c r="DV348" s="30"/>
      <c r="DW348" s="30"/>
    </row>
    <row r="349" spans="1:127" ht="13">
      <c r="A349" s="39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  <c r="BV349" s="30"/>
      <c r="BW349" s="30"/>
      <c r="BX349" s="30"/>
      <c r="BY349" s="30"/>
      <c r="BZ349" s="30"/>
      <c r="CA349" s="30"/>
      <c r="CB349" s="30"/>
      <c r="CC349" s="30"/>
      <c r="CD349" s="30"/>
      <c r="CE349" s="30"/>
      <c r="CF349" s="30"/>
      <c r="CG349" s="30"/>
      <c r="CH349" s="30"/>
      <c r="CI349" s="30"/>
      <c r="CJ349" s="30"/>
      <c r="CK349" s="30"/>
      <c r="CL349" s="30"/>
      <c r="CM349" s="30"/>
      <c r="CN349" s="30"/>
      <c r="CO349" s="30"/>
      <c r="CP349" s="30"/>
      <c r="CQ349" s="30"/>
      <c r="CR349" s="30"/>
      <c r="CS349" s="30"/>
      <c r="CT349" s="30"/>
      <c r="CU349" s="30"/>
      <c r="CV349" s="30"/>
      <c r="CW349" s="30"/>
      <c r="CX349" s="30"/>
      <c r="CY349" s="30"/>
      <c r="CZ349" s="30"/>
      <c r="DA349" s="30"/>
      <c r="DB349" s="30"/>
      <c r="DC349" s="30"/>
      <c r="DD349" s="30"/>
      <c r="DE349" s="30"/>
      <c r="DF349" s="30"/>
      <c r="DG349" s="30"/>
      <c r="DH349" s="30"/>
      <c r="DI349" s="30"/>
      <c r="DJ349" s="30"/>
      <c r="DK349" s="30"/>
      <c r="DL349" s="30"/>
      <c r="DM349" s="30"/>
      <c r="DN349" s="30"/>
      <c r="DO349" s="30"/>
      <c r="DP349" s="30"/>
      <c r="DQ349" s="30"/>
      <c r="DR349" s="30"/>
      <c r="DS349" s="30"/>
      <c r="DT349" s="30"/>
      <c r="DU349" s="30"/>
      <c r="DV349" s="30"/>
      <c r="DW349" s="30"/>
    </row>
    <row r="350" spans="1:127" ht="13">
      <c r="A350" s="39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  <c r="BV350" s="30"/>
      <c r="BW350" s="30"/>
      <c r="BX350" s="30"/>
      <c r="BY350" s="30"/>
      <c r="BZ350" s="30"/>
      <c r="CA350" s="30"/>
      <c r="CB350" s="30"/>
      <c r="CC350" s="30"/>
      <c r="CD350" s="3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  <c r="CU350" s="30"/>
      <c r="CV350" s="30"/>
      <c r="CW350" s="30"/>
      <c r="CX350" s="30"/>
      <c r="CY350" s="30"/>
      <c r="CZ350" s="30"/>
      <c r="DA350" s="30"/>
      <c r="DB350" s="30"/>
      <c r="DC350" s="30"/>
      <c r="DD350" s="30"/>
      <c r="DE350" s="30"/>
      <c r="DF350" s="30"/>
      <c r="DG350" s="30"/>
      <c r="DH350" s="30"/>
      <c r="DI350" s="30"/>
      <c r="DJ350" s="30"/>
      <c r="DK350" s="30"/>
      <c r="DL350" s="30"/>
      <c r="DM350" s="30"/>
      <c r="DN350" s="30"/>
      <c r="DO350" s="30"/>
      <c r="DP350" s="30"/>
      <c r="DQ350" s="30"/>
      <c r="DR350" s="30"/>
      <c r="DS350" s="30"/>
      <c r="DT350" s="30"/>
      <c r="DU350" s="30"/>
      <c r="DV350" s="30"/>
      <c r="DW350" s="30"/>
    </row>
    <row r="351" spans="1:127" ht="13">
      <c r="A351" s="39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  <c r="BV351" s="30"/>
      <c r="BW351" s="30"/>
      <c r="BX351" s="30"/>
      <c r="BY351" s="30"/>
      <c r="BZ351" s="30"/>
      <c r="CA351" s="30"/>
      <c r="CB351" s="30"/>
      <c r="CC351" s="30"/>
      <c r="CD351" s="3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  <c r="CQ351" s="30"/>
      <c r="CR351" s="30"/>
      <c r="CS351" s="30"/>
      <c r="CT351" s="30"/>
      <c r="CU351" s="30"/>
      <c r="CV351" s="30"/>
      <c r="CW351" s="30"/>
      <c r="CX351" s="30"/>
      <c r="CY351" s="30"/>
      <c r="CZ351" s="30"/>
      <c r="DA351" s="30"/>
      <c r="DB351" s="30"/>
      <c r="DC351" s="30"/>
      <c r="DD351" s="30"/>
      <c r="DE351" s="30"/>
      <c r="DF351" s="30"/>
      <c r="DG351" s="30"/>
      <c r="DH351" s="30"/>
      <c r="DI351" s="30"/>
      <c r="DJ351" s="30"/>
      <c r="DK351" s="30"/>
      <c r="DL351" s="30"/>
      <c r="DM351" s="30"/>
      <c r="DN351" s="30"/>
      <c r="DO351" s="30"/>
      <c r="DP351" s="30"/>
      <c r="DQ351" s="30"/>
      <c r="DR351" s="30"/>
      <c r="DS351" s="30"/>
      <c r="DT351" s="30"/>
      <c r="DU351" s="30"/>
      <c r="DV351" s="30"/>
      <c r="DW351" s="30"/>
    </row>
    <row r="352" spans="1:127" ht="13">
      <c r="A352" s="39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  <c r="BV352" s="30"/>
      <c r="BW352" s="30"/>
      <c r="BX352" s="30"/>
      <c r="BY352" s="30"/>
      <c r="BZ352" s="30"/>
      <c r="CA352" s="30"/>
      <c r="CB352" s="30"/>
      <c r="CC352" s="30"/>
      <c r="CD352" s="30"/>
      <c r="CE352" s="30"/>
      <c r="CF352" s="30"/>
      <c r="CG352" s="30"/>
      <c r="CH352" s="30"/>
      <c r="CI352" s="30"/>
      <c r="CJ352" s="30"/>
      <c r="CK352" s="30"/>
      <c r="CL352" s="30"/>
      <c r="CM352" s="30"/>
      <c r="CN352" s="30"/>
      <c r="CO352" s="30"/>
      <c r="CP352" s="30"/>
      <c r="CQ352" s="30"/>
      <c r="CR352" s="30"/>
      <c r="CS352" s="30"/>
      <c r="CT352" s="30"/>
      <c r="CU352" s="30"/>
      <c r="CV352" s="30"/>
      <c r="CW352" s="30"/>
      <c r="CX352" s="30"/>
      <c r="CY352" s="30"/>
      <c r="CZ352" s="30"/>
      <c r="DA352" s="30"/>
      <c r="DB352" s="30"/>
      <c r="DC352" s="30"/>
      <c r="DD352" s="30"/>
      <c r="DE352" s="30"/>
      <c r="DF352" s="30"/>
      <c r="DG352" s="30"/>
      <c r="DH352" s="30"/>
      <c r="DI352" s="30"/>
      <c r="DJ352" s="30"/>
      <c r="DK352" s="30"/>
      <c r="DL352" s="30"/>
      <c r="DM352" s="30"/>
      <c r="DN352" s="30"/>
      <c r="DO352" s="30"/>
      <c r="DP352" s="30"/>
      <c r="DQ352" s="30"/>
      <c r="DR352" s="30"/>
      <c r="DS352" s="30"/>
      <c r="DT352" s="30"/>
      <c r="DU352" s="30"/>
      <c r="DV352" s="30"/>
      <c r="DW352" s="30"/>
    </row>
    <row r="353" spans="1:127" ht="13">
      <c r="A353" s="39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  <c r="BV353" s="30"/>
      <c r="BW353" s="30"/>
      <c r="BX353" s="30"/>
      <c r="BY353" s="30"/>
      <c r="BZ353" s="30"/>
      <c r="CA353" s="30"/>
      <c r="CB353" s="30"/>
      <c r="CC353" s="30"/>
      <c r="CD353" s="3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  <c r="CQ353" s="30"/>
      <c r="CR353" s="30"/>
      <c r="CS353" s="30"/>
      <c r="CT353" s="30"/>
      <c r="CU353" s="30"/>
      <c r="CV353" s="30"/>
      <c r="CW353" s="30"/>
      <c r="CX353" s="30"/>
      <c r="CY353" s="30"/>
      <c r="CZ353" s="30"/>
      <c r="DA353" s="30"/>
      <c r="DB353" s="30"/>
      <c r="DC353" s="30"/>
      <c r="DD353" s="30"/>
      <c r="DE353" s="30"/>
      <c r="DF353" s="30"/>
      <c r="DG353" s="30"/>
      <c r="DH353" s="30"/>
      <c r="DI353" s="30"/>
      <c r="DJ353" s="30"/>
      <c r="DK353" s="30"/>
      <c r="DL353" s="30"/>
      <c r="DM353" s="30"/>
      <c r="DN353" s="30"/>
      <c r="DO353" s="30"/>
      <c r="DP353" s="30"/>
      <c r="DQ353" s="30"/>
      <c r="DR353" s="30"/>
      <c r="DS353" s="30"/>
      <c r="DT353" s="30"/>
      <c r="DU353" s="30"/>
      <c r="DV353" s="30"/>
      <c r="DW353" s="30"/>
    </row>
    <row r="354" spans="1:127" ht="13">
      <c r="A354" s="39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  <c r="BV354" s="30"/>
      <c r="BW354" s="30"/>
      <c r="BX354" s="30"/>
      <c r="BY354" s="30"/>
      <c r="BZ354" s="30"/>
      <c r="CA354" s="30"/>
      <c r="CB354" s="30"/>
      <c r="CC354" s="30"/>
      <c r="CD354" s="30"/>
      <c r="CE354" s="30"/>
      <c r="CF354" s="30"/>
      <c r="CG354" s="30"/>
      <c r="CH354" s="30"/>
      <c r="CI354" s="30"/>
      <c r="CJ354" s="30"/>
      <c r="CK354" s="30"/>
      <c r="CL354" s="30"/>
      <c r="CM354" s="30"/>
      <c r="CN354" s="30"/>
      <c r="CO354" s="30"/>
      <c r="CP354" s="30"/>
      <c r="CQ354" s="30"/>
      <c r="CR354" s="30"/>
      <c r="CS354" s="30"/>
      <c r="CT354" s="30"/>
      <c r="CU354" s="30"/>
      <c r="CV354" s="30"/>
      <c r="CW354" s="30"/>
      <c r="CX354" s="30"/>
      <c r="CY354" s="30"/>
      <c r="CZ354" s="30"/>
      <c r="DA354" s="30"/>
      <c r="DB354" s="30"/>
      <c r="DC354" s="30"/>
      <c r="DD354" s="30"/>
      <c r="DE354" s="30"/>
      <c r="DF354" s="30"/>
      <c r="DG354" s="30"/>
      <c r="DH354" s="30"/>
      <c r="DI354" s="30"/>
      <c r="DJ354" s="30"/>
      <c r="DK354" s="30"/>
      <c r="DL354" s="30"/>
      <c r="DM354" s="30"/>
      <c r="DN354" s="30"/>
      <c r="DO354" s="30"/>
      <c r="DP354" s="30"/>
      <c r="DQ354" s="30"/>
      <c r="DR354" s="30"/>
      <c r="DS354" s="30"/>
      <c r="DT354" s="30"/>
      <c r="DU354" s="30"/>
      <c r="DV354" s="30"/>
      <c r="DW354" s="30"/>
    </row>
    <row r="355" spans="1:127" ht="13">
      <c r="A355" s="39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  <c r="BV355" s="30"/>
      <c r="BW355" s="30"/>
      <c r="BX355" s="30"/>
      <c r="BY355" s="30"/>
      <c r="BZ355" s="30"/>
      <c r="CA355" s="30"/>
      <c r="CB355" s="30"/>
      <c r="CC355" s="30"/>
      <c r="CD355" s="3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  <c r="CQ355" s="30"/>
      <c r="CR355" s="30"/>
      <c r="CS355" s="30"/>
      <c r="CT355" s="30"/>
      <c r="CU355" s="30"/>
      <c r="CV355" s="30"/>
      <c r="CW355" s="30"/>
      <c r="CX355" s="30"/>
      <c r="CY355" s="30"/>
      <c r="CZ355" s="30"/>
      <c r="DA355" s="30"/>
      <c r="DB355" s="30"/>
      <c r="DC355" s="30"/>
      <c r="DD355" s="30"/>
      <c r="DE355" s="30"/>
      <c r="DF355" s="30"/>
      <c r="DG355" s="30"/>
      <c r="DH355" s="30"/>
      <c r="DI355" s="30"/>
      <c r="DJ355" s="30"/>
      <c r="DK355" s="30"/>
      <c r="DL355" s="30"/>
      <c r="DM355" s="30"/>
      <c r="DN355" s="30"/>
      <c r="DO355" s="30"/>
      <c r="DP355" s="30"/>
      <c r="DQ355" s="30"/>
      <c r="DR355" s="30"/>
      <c r="DS355" s="30"/>
      <c r="DT355" s="30"/>
      <c r="DU355" s="30"/>
      <c r="DV355" s="30"/>
      <c r="DW355" s="30"/>
    </row>
    <row r="356" spans="1:127" ht="13">
      <c r="A356" s="39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  <c r="BU356" s="30"/>
      <c r="BV356" s="30"/>
      <c r="BW356" s="30"/>
      <c r="BX356" s="30"/>
      <c r="BY356" s="30"/>
      <c r="BZ356" s="30"/>
      <c r="CA356" s="30"/>
      <c r="CB356" s="30"/>
      <c r="CC356" s="30"/>
      <c r="CD356" s="30"/>
      <c r="CE356" s="30"/>
      <c r="CF356" s="30"/>
      <c r="CG356" s="30"/>
      <c r="CH356" s="30"/>
      <c r="CI356" s="30"/>
      <c r="CJ356" s="30"/>
      <c r="CK356" s="30"/>
      <c r="CL356" s="30"/>
      <c r="CM356" s="30"/>
      <c r="CN356" s="30"/>
      <c r="CO356" s="30"/>
      <c r="CP356" s="30"/>
      <c r="CQ356" s="30"/>
      <c r="CR356" s="30"/>
      <c r="CS356" s="30"/>
      <c r="CT356" s="30"/>
      <c r="CU356" s="30"/>
      <c r="CV356" s="30"/>
      <c r="CW356" s="30"/>
      <c r="CX356" s="30"/>
      <c r="CY356" s="30"/>
      <c r="CZ356" s="30"/>
      <c r="DA356" s="30"/>
      <c r="DB356" s="30"/>
      <c r="DC356" s="30"/>
      <c r="DD356" s="30"/>
      <c r="DE356" s="30"/>
      <c r="DF356" s="30"/>
      <c r="DG356" s="30"/>
      <c r="DH356" s="30"/>
      <c r="DI356" s="30"/>
      <c r="DJ356" s="30"/>
      <c r="DK356" s="30"/>
      <c r="DL356" s="30"/>
      <c r="DM356" s="30"/>
      <c r="DN356" s="30"/>
      <c r="DO356" s="30"/>
      <c r="DP356" s="30"/>
      <c r="DQ356" s="30"/>
      <c r="DR356" s="30"/>
      <c r="DS356" s="30"/>
      <c r="DT356" s="30"/>
      <c r="DU356" s="30"/>
      <c r="DV356" s="30"/>
      <c r="DW356" s="30"/>
    </row>
    <row r="357" spans="1:127" ht="13">
      <c r="A357" s="39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  <c r="BV357" s="30"/>
      <c r="BW357" s="30"/>
      <c r="BX357" s="30"/>
      <c r="BY357" s="30"/>
      <c r="BZ357" s="30"/>
      <c r="CA357" s="30"/>
      <c r="CB357" s="30"/>
      <c r="CC357" s="30"/>
      <c r="CD357" s="30"/>
      <c r="CE357" s="30"/>
      <c r="CF357" s="30"/>
      <c r="CG357" s="30"/>
      <c r="CH357" s="30"/>
      <c r="CI357" s="30"/>
      <c r="CJ357" s="30"/>
      <c r="CK357" s="30"/>
      <c r="CL357" s="30"/>
      <c r="CM357" s="30"/>
      <c r="CN357" s="30"/>
      <c r="CO357" s="30"/>
      <c r="CP357" s="30"/>
      <c r="CQ357" s="30"/>
      <c r="CR357" s="30"/>
      <c r="CS357" s="30"/>
      <c r="CT357" s="30"/>
      <c r="CU357" s="30"/>
      <c r="CV357" s="30"/>
      <c r="CW357" s="30"/>
      <c r="CX357" s="30"/>
      <c r="CY357" s="30"/>
      <c r="CZ357" s="30"/>
      <c r="DA357" s="30"/>
      <c r="DB357" s="30"/>
      <c r="DC357" s="30"/>
      <c r="DD357" s="30"/>
      <c r="DE357" s="30"/>
      <c r="DF357" s="30"/>
      <c r="DG357" s="30"/>
      <c r="DH357" s="30"/>
      <c r="DI357" s="30"/>
      <c r="DJ357" s="30"/>
      <c r="DK357" s="30"/>
      <c r="DL357" s="30"/>
      <c r="DM357" s="30"/>
      <c r="DN357" s="30"/>
      <c r="DO357" s="30"/>
      <c r="DP357" s="30"/>
      <c r="DQ357" s="30"/>
      <c r="DR357" s="30"/>
      <c r="DS357" s="30"/>
      <c r="DT357" s="30"/>
      <c r="DU357" s="30"/>
      <c r="DV357" s="30"/>
      <c r="DW357" s="30"/>
    </row>
    <row r="358" spans="1:127" ht="13">
      <c r="A358" s="39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30"/>
      <c r="BT358" s="30"/>
      <c r="BU358" s="30"/>
      <c r="BV358" s="30"/>
      <c r="BW358" s="30"/>
      <c r="BX358" s="30"/>
      <c r="BY358" s="30"/>
      <c r="BZ358" s="30"/>
      <c r="CA358" s="30"/>
      <c r="CB358" s="30"/>
      <c r="CC358" s="30"/>
      <c r="CD358" s="30"/>
      <c r="CE358" s="30"/>
      <c r="CF358" s="30"/>
      <c r="CG358" s="30"/>
      <c r="CH358" s="30"/>
      <c r="CI358" s="30"/>
      <c r="CJ358" s="30"/>
      <c r="CK358" s="30"/>
      <c r="CL358" s="30"/>
      <c r="CM358" s="30"/>
      <c r="CN358" s="30"/>
      <c r="CO358" s="30"/>
      <c r="CP358" s="30"/>
      <c r="CQ358" s="30"/>
      <c r="CR358" s="30"/>
      <c r="CS358" s="30"/>
      <c r="CT358" s="30"/>
      <c r="CU358" s="30"/>
      <c r="CV358" s="30"/>
      <c r="CW358" s="30"/>
      <c r="CX358" s="30"/>
      <c r="CY358" s="30"/>
      <c r="CZ358" s="30"/>
      <c r="DA358" s="30"/>
      <c r="DB358" s="30"/>
      <c r="DC358" s="30"/>
      <c r="DD358" s="30"/>
      <c r="DE358" s="30"/>
      <c r="DF358" s="30"/>
      <c r="DG358" s="30"/>
      <c r="DH358" s="30"/>
      <c r="DI358" s="30"/>
      <c r="DJ358" s="30"/>
      <c r="DK358" s="30"/>
      <c r="DL358" s="30"/>
      <c r="DM358" s="30"/>
      <c r="DN358" s="30"/>
      <c r="DO358" s="30"/>
      <c r="DP358" s="30"/>
      <c r="DQ358" s="30"/>
      <c r="DR358" s="30"/>
      <c r="DS358" s="30"/>
      <c r="DT358" s="30"/>
      <c r="DU358" s="30"/>
      <c r="DV358" s="30"/>
      <c r="DW358" s="30"/>
    </row>
    <row r="359" spans="1:127" ht="13">
      <c r="A359" s="39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30"/>
      <c r="BT359" s="30"/>
      <c r="BU359" s="30"/>
      <c r="BV359" s="30"/>
      <c r="BW359" s="30"/>
      <c r="BX359" s="30"/>
      <c r="BY359" s="30"/>
      <c r="BZ359" s="30"/>
      <c r="CA359" s="30"/>
      <c r="CB359" s="30"/>
      <c r="CC359" s="30"/>
      <c r="CD359" s="30"/>
      <c r="CE359" s="30"/>
      <c r="CF359" s="30"/>
      <c r="CG359" s="30"/>
      <c r="CH359" s="30"/>
      <c r="CI359" s="30"/>
      <c r="CJ359" s="30"/>
      <c r="CK359" s="30"/>
      <c r="CL359" s="30"/>
      <c r="CM359" s="30"/>
      <c r="CN359" s="30"/>
      <c r="CO359" s="30"/>
      <c r="CP359" s="30"/>
      <c r="CQ359" s="30"/>
      <c r="CR359" s="30"/>
      <c r="CS359" s="30"/>
      <c r="CT359" s="30"/>
      <c r="CU359" s="30"/>
      <c r="CV359" s="30"/>
      <c r="CW359" s="30"/>
      <c r="CX359" s="30"/>
      <c r="CY359" s="30"/>
      <c r="CZ359" s="30"/>
      <c r="DA359" s="30"/>
      <c r="DB359" s="30"/>
      <c r="DC359" s="30"/>
      <c r="DD359" s="30"/>
      <c r="DE359" s="30"/>
      <c r="DF359" s="30"/>
      <c r="DG359" s="30"/>
      <c r="DH359" s="30"/>
      <c r="DI359" s="30"/>
      <c r="DJ359" s="30"/>
      <c r="DK359" s="30"/>
      <c r="DL359" s="30"/>
      <c r="DM359" s="30"/>
      <c r="DN359" s="30"/>
      <c r="DO359" s="30"/>
      <c r="DP359" s="30"/>
      <c r="DQ359" s="30"/>
      <c r="DR359" s="30"/>
      <c r="DS359" s="30"/>
      <c r="DT359" s="30"/>
      <c r="DU359" s="30"/>
      <c r="DV359" s="30"/>
      <c r="DW359" s="30"/>
    </row>
    <row r="360" spans="1:127" ht="13">
      <c r="A360" s="39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30"/>
      <c r="BT360" s="30"/>
      <c r="BU360" s="30"/>
      <c r="BV360" s="30"/>
      <c r="BW360" s="30"/>
      <c r="BX360" s="30"/>
      <c r="BY360" s="30"/>
      <c r="BZ360" s="30"/>
      <c r="CA360" s="30"/>
      <c r="CB360" s="30"/>
      <c r="CC360" s="30"/>
      <c r="CD360" s="30"/>
      <c r="CE360" s="30"/>
      <c r="CF360" s="30"/>
      <c r="CG360" s="30"/>
      <c r="CH360" s="30"/>
      <c r="CI360" s="30"/>
      <c r="CJ360" s="30"/>
      <c r="CK360" s="30"/>
      <c r="CL360" s="30"/>
      <c r="CM360" s="30"/>
      <c r="CN360" s="30"/>
      <c r="CO360" s="30"/>
      <c r="CP360" s="30"/>
      <c r="CQ360" s="30"/>
      <c r="CR360" s="30"/>
      <c r="CS360" s="30"/>
      <c r="CT360" s="30"/>
      <c r="CU360" s="30"/>
      <c r="CV360" s="30"/>
      <c r="CW360" s="30"/>
      <c r="CX360" s="30"/>
      <c r="CY360" s="30"/>
      <c r="CZ360" s="30"/>
      <c r="DA360" s="30"/>
      <c r="DB360" s="30"/>
      <c r="DC360" s="30"/>
      <c r="DD360" s="30"/>
      <c r="DE360" s="30"/>
      <c r="DF360" s="30"/>
      <c r="DG360" s="30"/>
      <c r="DH360" s="30"/>
      <c r="DI360" s="30"/>
      <c r="DJ360" s="30"/>
      <c r="DK360" s="30"/>
      <c r="DL360" s="30"/>
      <c r="DM360" s="30"/>
      <c r="DN360" s="30"/>
      <c r="DO360" s="30"/>
      <c r="DP360" s="30"/>
      <c r="DQ360" s="30"/>
      <c r="DR360" s="30"/>
      <c r="DS360" s="30"/>
      <c r="DT360" s="30"/>
      <c r="DU360" s="30"/>
      <c r="DV360" s="30"/>
      <c r="DW360" s="30"/>
    </row>
    <row r="361" spans="1:127" ht="13">
      <c r="A361" s="39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  <c r="BU361" s="30"/>
      <c r="BV361" s="30"/>
      <c r="BW361" s="30"/>
      <c r="BX361" s="30"/>
      <c r="BY361" s="30"/>
      <c r="BZ361" s="30"/>
      <c r="CA361" s="30"/>
      <c r="CB361" s="30"/>
      <c r="CC361" s="30"/>
      <c r="CD361" s="30"/>
      <c r="CE361" s="30"/>
      <c r="CF361" s="30"/>
      <c r="CG361" s="30"/>
      <c r="CH361" s="30"/>
      <c r="CI361" s="30"/>
      <c r="CJ361" s="30"/>
      <c r="CK361" s="30"/>
      <c r="CL361" s="30"/>
      <c r="CM361" s="30"/>
      <c r="CN361" s="30"/>
      <c r="CO361" s="30"/>
      <c r="CP361" s="30"/>
      <c r="CQ361" s="30"/>
      <c r="CR361" s="30"/>
      <c r="CS361" s="30"/>
      <c r="CT361" s="30"/>
      <c r="CU361" s="30"/>
      <c r="CV361" s="30"/>
      <c r="CW361" s="30"/>
      <c r="CX361" s="30"/>
      <c r="CY361" s="30"/>
      <c r="CZ361" s="30"/>
      <c r="DA361" s="30"/>
      <c r="DB361" s="30"/>
      <c r="DC361" s="30"/>
      <c r="DD361" s="30"/>
      <c r="DE361" s="30"/>
      <c r="DF361" s="30"/>
      <c r="DG361" s="30"/>
      <c r="DH361" s="30"/>
      <c r="DI361" s="30"/>
      <c r="DJ361" s="30"/>
      <c r="DK361" s="30"/>
      <c r="DL361" s="30"/>
      <c r="DM361" s="30"/>
      <c r="DN361" s="30"/>
      <c r="DO361" s="30"/>
      <c r="DP361" s="30"/>
      <c r="DQ361" s="30"/>
      <c r="DR361" s="30"/>
      <c r="DS361" s="30"/>
      <c r="DT361" s="30"/>
      <c r="DU361" s="30"/>
      <c r="DV361" s="30"/>
      <c r="DW361" s="30"/>
    </row>
    <row r="362" spans="1:127" ht="13">
      <c r="A362" s="39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  <c r="BU362" s="30"/>
      <c r="BV362" s="30"/>
      <c r="BW362" s="30"/>
      <c r="BX362" s="30"/>
      <c r="BY362" s="30"/>
      <c r="BZ362" s="30"/>
      <c r="CA362" s="30"/>
      <c r="CB362" s="30"/>
      <c r="CC362" s="30"/>
      <c r="CD362" s="30"/>
      <c r="CE362" s="30"/>
      <c r="CF362" s="30"/>
      <c r="CG362" s="30"/>
      <c r="CH362" s="30"/>
      <c r="CI362" s="30"/>
      <c r="CJ362" s="30"/>
      <c r="CK362" s="30"/>
      <c r="CL362" s="30"/>
      <c r="CM362" s="30"/>
      <c r="CN362" s="30"/>
      <c r="CO362" s="30"/>
      <c r="CP362" s="30"/>
      <c r="CQ362" s="30"/>
      <c r="CR362" s="30"/>
      <c r="CS362" s="30"/>
      <c r="CT362" s="30"/>
      <c r="CU362" s="30"/>
      <c r="CV362" s="30"/>
      <c r="CW362" s="30"/>
      <c r="CX362" s="30"/>
      <c r="CY362" s="30"/>
      <c r="CZ362" s="30"/>
      <c r="DA362" s="30"/>
      <c r="DB362" s="30"/>
      <c r="DC362" s="30"/>
      <c r="DD362" s="30"/>
      <c r="DE362" s="30"/>
      <c r="DF362" s="30"/>
      <c r="DG362" s="30"/>
      <c r="DH362" s="30"/>
      <c r="DI362" s="30"/>
      <c r="DJ362" s="30"/>
      <c r="DK362" s="30"/>
      <c r="DL362" s="30"/>
      <c r="DM362" s="30"/>
      <c r="DN362" s="30"/>
      <c r="DO362" s="30"/>
      <c r="DP362" s="30"/>
      <c r="DQ362" s="30"/>
      <c r="DR362" s="30"/>
      <c r="DS362" s="30"/>
      <c r="DT362" s="30"/>
      <c r="DU362" s="30"/>
      <c r="DV362" s="30"/>
      <c r="DW362" s="30"/>
    </row>
    <row r="363" spans="1:127" ht="13">
      <c r="A363" s="39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30"/>
      <c r="BT363" s="30"/>
      <c r="BU363" s="30"/>
      <c r="BV363" s="30"/>
      <c r="BW363" s="30"/>
      <c r="BX363" s="30"/>
      <c r="BY363" s="30"/>
      <c r="BZ363" s="30"/>
      <c r="CA363" s="30"/>
      <c r="CB363" s="30"/>
      <c r="CC363" s="30"/>
      <c r="CD363" s="30"/>
      <c r="CE363" s="30"/>
      <c r="CF363" s="30"/>
      <c r="CG363" s="30"/>
      <c r="CH363" s="30"/>
      <c r="CI363" s="30"/>
      <c r="CJ363" s="30"/>
      <c r="CK363" s="30"/>
      <c r="CL363" s="30"/>
      <c r="CM363" s="30"/>
      <c r="CN363" s="30"/>
      <c r="CO363" s="30"/>
      <c r="CP363" s="30"/>
      <c r="CQ363" s="30"/>
      <c r="CR363" s="30"/>
      <c r="CS363" s="30"/>
      <c r="CT363" s="30"/>
      <c r="CU363" s="30"/>
      <c r="CV363" s="30"/>
      <c r="CW363" s="30"/>
      <c r="CX363" s="30"/>
      <c r="CY363" s="30"/>
      <c r="CZ363" s="30"/>
      <c r="DA363" s="30"/>
      <c r="DB363" s="30"/>
      <c r="DC363" s="30"/>
      <c r="DD363" s="30"/>
      <c r="DE363" s="30"/>
      <c r="DF363" s="30"/>
      <c r="DG363" s="30"/>
      <c r="DH363" s="30"/>
      <c r="DI363" s="30"/>
      <c r="DJ363" s="30"/>
      <c r="DK363" s="30"/>
      <c r="DL363" s="30"/>
      <c r="DM363" s="30"/>
      <c r="DN363" s="30"/>
      <c r="DO363" s="30"/>
      <c r="DP363" s="30"/>
      <c r="DQ363" s="30"/>
      <c r="DR363" s="30"/>
      <c r="DS363" s="30"/>
      <c r="DT363" s="30"/>
      <c r="DU363" s="30"/>
      <c r="DV363" s="30"/>
      <c r="DW363" s="30"/>
    </row>
    <row r="364" spans="1:127" ht="13">
      <c r="A364" s="39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  <c r="BU364" s="30"/>
      <c r="BV364" s="30"/>
      <c r="BW364" s="30"/>
      <c r="BX364" s="30"/>
      <c r="BY364" s="30"/>
      <c r="BZ364" s="30"/>
      <c r="CA364" s="30"/>
      <c r="CB364" s="30"/>
      <c r="CC364" s="30"/>
      <c r="CD364" s="30"/>
      <c r="CE364" s="30"/>
      <c r="CF364" s="30"/>
      <c r="CG364" s="30"/>
      <c r="CH364" s="30"/>
      <c r="CI364" s="30"/>
      <c r="CJ364" s="30"/>
      <c r="CK364" s="30"/>
      <c r="CL364" s="30"/>
      <c r="CM364" s="30"/>
      <c r="CN364" s="30"/>
      <c r="CO364" s="30"/>
      <c r="CP364" s="30"/>
      <c r="CQ364" s="30"/>
      <c r="CR364" s="30"/>
      <c r="CS364" s="30"/>
      <c r="CT364" s="30"/>
      <c r="CU364" s="30"/>
      <c r="CV364" s="30"/>
      <c r="CW364" s="30"/>
      <c r="CX364" s="30"/>
      <c r="CY364" s="30"/>
      <c r="CZ364" s="30"/>
      <c r="DA364" s="30"/>
      <c r="DB364" s="30"/>
      <c r="DC364" s="30"/>
      <c r="DD364" s="30"/>
      <c r="DE364" s="30"/>
      <c r="DF364" s="30"/>
      <c r="DG364" s="30"/>
      <c r="DH364" s="30"/>
      <c r="DI364" s="30"/>
      <c r="DJ364" s="30"/>
      <c r="DK364" s="30"/>
      <c r="DL364" s="30"/>
      <c r="DM364" s="30"/>
      <c r="DN364" s="30"/>
      <c r="DO364" s="30"/>
      <c r="DP364" s="30"/>
      <c r="DQ364" s="30"/>
      <c r="DR364" s="30"/>
      <c r="DS364" s="30"/>
      <c r="DT364" s="30"/>
      <c r="DU364" s="30"/>
      <c r="DV364" s="30"/>
      <c r="DW364" s="30"/>
    </row>
    <row r="365" spans="1:127" ht="13">
      <c r="A365" s="39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  <c r="BU365" s="30"/>
      <c r="BV365" s="30"/>
      <c r="BW365" s="30"/>
      <c r="BX365" s="30"/>
      <c r="BY365" s="30"/>
      <c r="BZ365" s="30"/>
      <c r="CA365" s="30"/>
      <c r="CB365" s="30"/>
      <c r="CC365" s="30"/>
      <c r="CD365" s="30"/>
      <c r="CE365" s="30"/>
      <c r="CF365" s="30"/>
      <c r="CG365" s="30"/>
      <c r="CH365" s="30"/>
      <c r="CI365" s="30"/>
      <c r="CJ365" s="30"/>
      <c r="CK365" s="30"/>
      <c r="CL365" s="30"/>
      <c r="CM365" s="30"/>
      <c r="CN365" s="30"/>
      <c r="CO365" s="30"/>
      <c r="CP365" s="30"/>
      <c r="CQ365" s="30"/>
      <c r="CR365" s="30"/>
      <c r="CS365" s="30"/>
      <c r="CT365" s="30"/>
      <c r="CU365" s="30"/>
      <c r="CV365" s="30"/>
      <c r="CW365" s="30"/>
      <c r="CX365" s="30"/>
      <c r="CY365" s="30"/>
      <c r="CZ365" s="30"/>
      <c r="DA365" s="30"/>
      <c r="DB365" s="30"/>
      <c r="DC365" s="30"/>
      <c r="DD365" s="30"/>
      <c r="DE365" s="30"/>
      <c r="DF365" s="30"/>
      <c r="DG365" s="30"/>
      <c r="DH365" s="30"/>
      <c r="DI365" s="30"/>
      <c r="DJ365" s="30"/>
      <c r="DK365" s="30"/>
      <c r="DL365" s="30"/>
      <c r="DM365" s="30"/>
      <c r="DN365" s="30"/>
      <c r="DO365" s="30"/>
      <c r="DP365" s="30"/>
      <c r="DQ365" s="30"/>
      <c r="DR365" s="30"/>
      <c r="DS365" s="30"/>
      <c r="DT365" s="30"/>
      <c r="DU365" s="30"/>
      <c r="DV365" s="30"/>
      <c r="DW365" s="30"/>
    </row>
    <row r="366" spans="1:127" ht="13">
      <c r="A366" s="39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  <c r="BV366" s="30"/>
      <c r="BW366" s="30"/>
      <c r="BX366" s="30"/>
      <c r="BY366" s="30"/>
      <c r="BZ366" s="30"/>
      <c r="CA366" s="30"/>
      <c r="CB366" s="30"/>
      <c r="CC366" s="30"/>
      <c r="CD366" s="30"/>
      <c r="CE366" s="30"/>
      <c r="CF366" s="30"/>
      <c r="CG366" s="30"/>
      <c r="CH366" s="30"/>
      <c r="CI366" s="30"/>
      <c r="CJ366" s="30"/>
      <c r="CK366" s="30"/>
      <c r="CL366" s="30"/>
      <c r="CM366" s="30"/>
      <c r="CN366" s="30"/>
      <c r="CO366" s="30"/>
      <c r="CP366" s="30"/>
      <c r="CQ366" s="30"/>
      <c r="CR366" s="30"/>
      <c r="CS366" s="30"/>
      <c r="CT366" s="30"/>
      <c r="CU366" s="30"/>
      <c r="CV366" s="30"/>
      <c r="CW366" s="30"/>
      <c r="CX366" s="30"/>
      <c r="CY366" s="30"/>
      <c r="CZ366" s="30"/>
      <c r="DA366" s="30"/>
      <c r="DB366" s="30"/>
      <c r="DC366" s="30"/>
      <c r="DD366" s="30"/>
      <c r="DE366" s="30"/>
      <c r="DF366" s="30"/>
      <c r="DG366" s="30"/>
      <c r="DH366" s="30"/>
      <c r="DI366" s="30"/>
      <c r="DJ366" s="30"/>
      <c r="DK366" s="30"/>
      <c r="DL366" s="30"/>
      <c r="DM366" s="30"/>
      <c r="DN366" s="30"/>
      <c r="DO366" s="30"/>
      <c r="DP366" s="30"/>
      <c r="DQ366" s="30"/>
      <c r="DR366" s="30"/>
      <c r="DS366" s="30"/>
      <c r="DT366" s="30"/>
      <c r="DU366" s="30"/>
      <c r="DV366" s="30"/>
      <c r="DW366" s="30"/>
    </row>
    <row r="367" spans="1:127" ht="13">
      <c r="A367" s="39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  <c r="BV367" s="30"/>
      <c r="BW367" s="30"/>
      <c r="BX367" s="30"/>
      <c r="BY367" s="30"/>
      <c r="BZ367" s="30"/>
      <c r="CA367" s="30"/>
      <c r="CB367" s="30"/>
      <c r="CC367" s="30"/>
      <c r="CD367" s="3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  <c r="CQ367" s="30"/>
      <c r="CR367" s="30"/>
      <c r="CS367" s="30"/>
      <c r="CT367" s="30"/>
      <c r="CU367" s="30"/>
      <c r="CV367" s="30"/>
      <c r="CW367" s="30"/>
      <c r="CX367" s="30"/>
      <c r="CY367" s="30"/>
      <c r="CZ367" s="30"/>
      <c r="DA367" s="30"/>
      <c r="DB367" s="30"/>
      <c r="DC367" s="30"/>
      <c r="DD367" s="30"/>
      <c r="DE367" s="30"/>
      <c r="DF367" s="30"/>
      <c r="DG367" s="30"/>
      <c r="DH367" s="30"/>
      <c r="DI367" s="30"/>
      <c r="DJ367" s="30"/>
      <c r="DK367" s="30"/>
      <c r="DL367" s="30"/>
      <c r="DM367" s="30"/>
      <c r="DN367" s="30"/>
      <c r="DO367" s="30"/>
      <c r="DP367" s="30"/>
      <c r="DQ367" s="30"/>
      <c r="DR367" s="30"/>
      <c r="DS367" s="30"/>
      <c r="DT367" s="30"/>
      <c r="DU367" s="30"/>
      <c r="DV367" s="30"/>
      <c r="DW367" s="30"/>
    </row>
    <row r="368" spans="1:127" ht="13">
      <c r="A368" s="39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  <c r="BV368" s="30"/>
      <c r="BW368" s="30"/>
      <c r="BX368" s="30"/>
      <c r="BY368" s="30"/>
      <c r="BZ368" s="30"/>
      <c r="CA368" s="30"/>
      <c r="CB368" s="30"/>
      <c r="CC368" s="30"/>
      <c r="CD368" s="30"/>
      <c r="CE368" s="30"/>
      <c r="CF368" s="30"/>
      <c r="CG368" s="30"/>
      <c r="CH368" s="30"/>
      <c r="CI368" s="30"/>
      <c r="CJ368" s="30"/>
      <c r="CK368" s="30"/>
      <c r="CL368" s="30"/>
      <c r="CM368" s="30"/>
      <c r="CN368" s="30"/>
      <c r="CO368" s="30"/>
      <c r="CP368" s="30"/>
      <c r="CQ368" s="30"/>
      <c r="CR368" s="30"/>
      <c r="CS368" s="30"/>
      <c r="CT368" s="30"/>
      <c r="CU368" s="30"/>
      <c r="CV368" s="30"/>
      <c r="CW368" s="30"/>
      <c r="CX368" s="30"/>
      <c r="CY368" s="30"/>
      <c r="CZ368" s="30"/>
      <c r="DA368" s="30"/>
      <c r="DB368" s="30"/>
      <c r="DC368" s="30"/>
      <c r="DD368" s="30"/>
      <c r="DE368" s="30"/>
      <c r="DF368" s="30"/>
      <c r="DG368" s="30"/>
      <c r="DH368" s="30"/>
      <c r="DI368" s="30"/>
      <c r="DJ368" s="30"/>
      <c r="DK368" s="30"/>
      <c r="DL368" s="30"/>
      <c r="DM368" s="30"/>
      <c r="DN368" s="30"/>
      <c r="DO368" s="30"/>
      <c r="DP368" s="30"/>
      <c r="DQ368" s="30"/>
      <c r="DR368" s="30"/>
      <c r="DS368" s="30"/>
      <c r="DT368" s="30"/>
      <c r="DU368" s="30"/>
      <c r="DV368" s="30"/>
      <c r="DW368" s="30"/>
    </row>
    <row r="369" spans="1:127" ht="13">
      <c r="A369" s="39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  <c r="BV369" s="30"/>
      <c r="BW369" s="30"/>
      <c r="BX369" s="30"/>
      <c r="BY369" s="30"/>
      <c r="BZ369" s="30"/>
      <c r="CA369" s="30"/>
      <c r="CB369" s="30"/>
      <c r="CC369" s="30"/>
      <c r="CD369" s="3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  <c r="CR369" s="30"/>
      <c r="CS369" s="30"/>
      <c r="CT369" s="30"/>
      <c r="CU369" s="30"/>
      <c r="CV369" s="30"/>
      <c r="CW369" s="30"/>
      <c r="CX369" s="30"/>
      <c r="CY369" s="30"/>
      <c r="CZ369" s="30"/>
      <c r="DA369" s="30"/>
      <c r="DB369" s="30"/>
      <c r="DC369" s="30"/>
      <c r="DD369" s="30"/>
      <c r="DE369" s="30"/>
      <c r="DF369" s="30"/>
      <c r="DG369" s="30"/>
      <c r="DH369" s="30"/>
      <c r="DI369" s="30"/>
      <c r="DJ369" s="30"/>
      <c r="DK369" s="30"/>
      <c r="DL369" s="30"/>
      <c r="DM369" s="30"/>
      <c r="DN369" s="30"/>
      <c r="DO369" s="30"/>
      <c r="DP369" s="30"/>
      <c r="DQ369" s="30"/>
      <c r="DR369" s="30"/>
      <c r="DS369" s="30"/>
      <c r="DT369" s="30"/>
      <c r="DU369" s="30"/>
      <c r="DV369" s="30"/>
      <c r="DW369" s="30"/>
    </row>
    <row r="370" spans="1:127" ht="13">
      <c r="A370" s="39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  <c r="BV370" s="30"/>
      <c r="BW370" s="30"/>
      <c r="BX370" s="30"/>
      <c r="BY370" s="30"/>
      <c r="BZ370" s="30"/>
      <c r="CA370" s="30"/>
      <c r="CB370" s="30"/>
      <c r="CC370" s="30"/>
      <c r="CD370" s="3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  <c r="CV370" s="30"/>
      <c r="CW370" s="30"/>
      <c r="CX370" s="30"/>
      <c r="CY370" s="30"/>
      <c r="CZ370" s="30"/>
      <c r="DA370" s="30"/>
      <c r="DB370" s="30"/>
      <c r="DC370" s="30"/>
      <c r="DD370" s="30"/>
      <c r="DE370" s="30"/>
      <c r="DF370" s="30"/>
      <c r="DG370" s="30"/>
      <c r="DH370" s="30"/>
      <c r="DI370" s="30"/>
      <c r="DJ370" s="30"/>
      <c r="DK370" s="30"/>
      <c r="DL370" s="30"/>
      <c r="DM370" s="30"/>
      <c r="DN370" s="30"/>
      <c r="DO370" s="30"/>
      <c r="DP370" s="30"/>
      <c r="DQ370" s="30"/>
      <c r="DR370" s="30"/>
      <c r="DS370" s="30"/>
      <c r="DT370" s="30"/>
      <c r="DU370" s="30"/>
      <c r="DV370" s="30"/>
      <c r="DW370" s="30"/>
    </row>
    <row r="371" spans="1:127" ht="13">
      <c r="A371" s="39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  <c r="BV371" s="30"/>
      <c r="BW371" s="30"/>
      <c r="BX371" s="30"/>
      <c r="BY371" s="30"/>
      <c r="BZ371" s="30"/>
      <c r="CA371" s="30"/>
      <c r="CB371" s="30"/>
      <c r="CC371" s="30"/>
      <c r="CD371" s="30"/>
      <c r="CE371" s="30"/>
      <c r="CF371" s="30"/>
      <c r="CG371" s="30"/>
      <c r="CH371" s="30"/>
      <c r="CI371" s="30"/>
      <c r="CJ371" s="30"/>
      <c r="CK371" s="30"/>
      <c r="CL371" s="30"/>
      <c r="CM371" s="30"/>
      <c r="CN371" s="30"/>
      <c r="CO371" s="30"/>
      <c r="CP371" s="30"/>
      <c r="CQ371" s="30"/>
      <c r="CR371" s="30"/>
      <c r="CS371" s="30"/>
      <c r="CT371" s="30"/>
      <c r="CU371" s="30"/>
      <c r="CV371" s="30"/>
      <c r="CW371" s="30"/>
      <c r="CX371" s="30"/>
      <c r="CY371" s="30"/>
      <c r="CZ371" s="30"/>
      <c r="DA371" s="30"/>
      <c r="DB371" s="30"/>
      <c r="DC371" s="30"/>
      <c r="DD371" s="30"/>
      <c r="DE371" s="30"/>
      <c r="DF371" s="30"/>
      <c r="DG371" s="30"/>
      <c r="DH371" s="30"/>
      <c r="DI371" s="30"/>
      <c r="DJ371" s="30"/>
      <c r="DK371" s="30"/>
      <c r="DL371" s="30"/>
      <c r="DM371" s="30"/>
      <c r="DN371" s="30"/>
      <c r="DO371" s="30"/>
      <c r="DP371" s="30"/>
      <c r="DQ371" s="30"/>
      <c r="DR371" s="30"/>
      <c r="DS371" s="30"/>
      <c r="DT371" s="30"/>
      <c r="DU371" s="30"/>
      <c r="DV371" s="30"/>
      <c r="DW371" s="30"/>
    </row>
    <row r="372" spans="1:127" ht="13">
      <c r="A372" s="39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  <c r="BV372" s="30"/>
      <c r="BW372" s="30"/>
      <c r="BX372" s="30"/>
      <c r="BY372" s="30"/>
      <c r="BZ372" s="30"/>
      <c r="CA372" s="30"/>
      <c r="CB372" s="30"/>
      <c r="CC372" s="30"/>
      <c r="CD372" s="30"/>
      <c r="CE372" s="30"/>
      <c r="CF372" s="30"/>
      <c r="CG372" s="30"/>
      <c r="CH372" s="30"/>
      <c r="CI372" s="30"/>
      <c r="CJ372" s="30"/>
      <c r="CK372" s="30"/>
      <c r="CL372" s="30"/>
      <c r="CM372" s="30"/>
      <c r="CN372" s="30"/>
      <c r="CO372" s="30"/>
      <c r="CP372" s="30"/>
      <c r="CQ372" s="30"/>
      <c r="CR372" s="30"/>
      <c r="CS372" s="30"/>
      <c r="CT372" s="30"/>
      <c r="CU372" s="30"/>
      <c r="CV372" s="30"/>
      <c r="CW372" s="30"/>
      <c r="CX372" s="30"/>
      <c r="CY372" s="30"/>
      <c r="CZ372" s="30"/>
      <c r="DA372" s="30"/>
      <c r="DB372" s="30"/>
      <c r="DC372" s="30"/>
      <c r="DD372" s="30"/>
      <c r="DE372" s="30"/>
      <c r="DF372" s="30"/>
      <c r="DG372" s="30"/>
      <c r="DH372" s="30"/>
      <c r="DI372" s="30"/>
      <c r="DJ372" s="30"/>
      <c r="DK372" s="30"/>
      <c r="DL372" s="30"/>
      <c r="DM372" s="30"/>
      <c r="DN372" s="30"/>
      <c r="DO372" s="30"/>
      <c r="DP372" s="30"/>
      <c r="DQ372" s="30"/>
      <c r="DR372" s="30"/>
      <c r="DS372" s="30"/>
      <c r="DT372" s="30"/>
      <c r="DU372" s="30"/>
      <c r="DV372" s="30"/>
      <c r="DW372" s="30"/>
    </row>
    <row r="373" spans="1:127" ht="13">
      <c r="A373" s="39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  <c r="BS373" s="30"/>
      <c r="BT373" s="30"/>
      <c r="BU373" s="30"/>
      <c r="BV373" s="30"/>
      <c r="BW373" s="30"/>
      <c r="BX373" s="30"/>
      <c r="BY373" s="30"/>
      <c r="BZ373" s="30"/>
      <c r="CA373" s="30"/>
      <c r="CB373" s="30"/>
      <c r="CC373" s="30"/>
      <c r="CD373" s="30"/>
      <c r="CE373" s="30"/>
      <c r="CF373" s="30"/>
      <c r="CG373" s="30"/>
      <c r="CH373" s="30"/>
      <c r="CI373" s="30"/>
      <c r="CJ373" s="30"/>
      <c r="CK373" s="30"/>
      <c r="CL373" s="30"/>
      <c r="CM373" s="30"/>
      <c r="CN373" s="30"/>
      <c r="CO373" s="30"/>
      <c r="CP373" s="30"/>
      <c r="CQ373" s="30"/>
      <c r="CR373" s="30"/>
      <c r="CS373" s="30"/>
      <c r="CT373" s="30"/>
      <c r="CU373" s="30"/>
      <c r="CV373" s="30"/>
      <c r="CW373" s="30"/>
      <c r="CX373" s="30"/>
      <c r="CY373" s="30"/>
      <c r="CZ373" s="30"/>
      <c r="DA373" s="30"/>
      <c r="DB373" s="30"/>
      <c r="DC373" s="30"/>
      <c r="DD373" s="30"/>
      <c r="DE373" s="30"/>
      <c r="DF373" s="30"/>
      <c r="DG373" s="30"/>
      <c r="DH373" s="30"/>
      <c r="DI373" s="30"/>
      <c r="DJ373" s="30"/>
      <c r="DK373" s="30"/>
      <c r="DL373" s="30"/>
      <c r="DM373" s="30"/>
      <c r="DN373" s="30"/>
      <c r="DO373" s="30"/>
      <c r="DP373" s="30"/>
      <c r="DQ373" s="30"/>
      <c r="DR373" s="30"/>
      <c r="DS373" s="30"/>
      <c r="DT373" s="30"/>
      <c r="DU373" s="30"/>
      <c r="DV373" s="30"/>
      <c r="DW373" s="30"/>
    </row>
    <row r="374" spans="1:127" ht="13">
      <c r="A374" s="39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30"/>
      <c r="BT374" s="30"/>
      <c r="BU374" s="30"/>
      <c r="BV374" s="30"/>
      <c r="BW374" s="30"/>
      <c r="BX374" s="30"/>
      <c r="BY374" s="30"/>
      <c r="BZ374" s="30"/>
      <c r="CA374" s="30"/>
      <c r="CB374" s="30"/>
      <c r="CC374" s="30"/>
      <c r="CD374" s="30"/>
      <c r="CE374" s="30"/>
      <c r="CF374" s="30"/>
      <c r="CG374" s="30"/>
      <c r="CH374" s="30"/>
      <c r="CI374" s="30"/>
      <c r="CJ374" s="30"/>
      <c r="CK374" s="30"/>
      <c r="CL374" s="30"/>
      <c r="CM374" s="30"/>
      <c r="CN374" s="30"/>
      <c r="CO374" s="30"/>
      <c r="CP374" s="30"/>
      <c r="CQ374" s="30"/>
      <c r="CR374" s="30"/>
      <c r="CS374" s="30"/>
      <c r="CT374" s="30"/>
      <c r="CU374" s="30"/>
      <c r="CV374" s="30"/>
      <c r="CW374" s="30"/>
      <c r="CX374" s="30"/>
      <c r="CY374" s="30"/>
      <c r="CZ374" s="30"/>
      <c r="DA374" s="30"/>
      <c r="DB374" s="30"/>
      <c r="DC374" s="30"/>
      <c r="DD374" s="30"/>
      <c r="DE374" s="30"/>
      <c r="DF374" s="30"/>
      <c r="DG374" s="30"/>
      <c r="DH374" s="30"/>
      <c r="DI374" s="30"/>
      <c r="DJ374" s="30"/>
      <c r="DK374" s="30"/>
      <c r="DL374" s="30"/>
      <c r="DM374" s="30"/>
      <c r="DN374" s="30"/>
      <c r="DO374" s="30"/>
      <c r="DP374" s="30"/>
      <c r="DQ374" s="30"/>
      <c r="DR374" s="30"/>
      <c r="DS374" s="30"/>
      <c r="DT374" s="30"/>
      <c r="DU374" s="30"/>
      <c r="DV374" s="30"/>
      <c r="DW374" s="30"/>
    </row>
    <row r="375" spans="1:127" ht="13">
      <c r="A375" s="39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  <c r="BU375" s="30"/>
      <c r="BV375" s="30"/>
      <c r="BW375" s="30"/>
      <c r="BX375" s="30"/>
      <c r="BY375" s="30"/>
      <c r="BZ375" s="30"/>
      <c r="CA375" s="30"/>
      <c r="CB375" s="30"/>
      <c r="CC375" s="30"/>
      <c r="CD375" s="30"/>
      <c r="CE375" s="30"/>
      <c r="CF375" s="30"/>
      <c r="CG375" s="30"/>
      <c r="CH375" s="30"/>
      <c r="CI375" s="30"/>
      <c r="CJ375" s="30"/>
      <c r="CK375" s="30"/>
      <c r="CL375" s="30"/>
      <c r="CM375" s="30"/>
      <c r="CN375" s="30"/>
      <c r="CO375" s="30"/>
      <c r="CP375" s="30"/>
      <c r="CQ375" s="30"/>
      <c r="CR375" s="30"/>
      <c r="CS375" s="30"/>
      <c r="CT375" s="30"/>
      <c r="CU375" s="30"/>
      <c r="CV375" s="30"/>
      <c r="CW375" s="30"/>
      <c r="CX375" s="30"/>
      <c r="CY375" s="30"/>
      <c r="CZ375" s="30"/>
      <c r="DA375" s="30"/>
      <c r="DB375" s="30"/>
      <c r="DC375" s="30"/>
      <c r="DD375" s="30"/>
      <c r="DE375" s="30"/>
      <c r="DF375" s="30"/>
      <c r="DG375" s="30"/>
      <c r="DH375" s="30"/>
      <c r="DI375" s="30"/>
      <c r="DJ375" s="30"/>
      <c r="DK375" s="30"/>
      <c r="DL375" s="30"/>
      <c r="DM375" s="30"/>
      <c r="DN375" s="30"/>
      <c r="DO375" s="30"/>
      <c r="DP375" s="30"/>
      <c r="DQ375" s="30"/>
      <c r="DR375" s="30"/>
      <c r="DS375" s="30"/>
      <c r="DT375" s="30"/>
      <c r="DU375" s="30"/>
      <c r="DV375" s="30"/>
      <c r="DW375" s="30"/>
    </row>
    <row r="376" spans="1:127" ht="13">
      <c r="A376" s="39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30"/>
      <c r="BT376" s="30"/>
      <c r="BU376" s="30"/>
      <c r="BV376" s="30"/>
      <c r="BW376" s="30"/>
      <c r="BX376" s="30"/>
      <c r="BY376" s="30"/>
      <c r="BZ376" s="30"/>
      <c r="CA376" s="30"/>
      <c r="CB376" s="30"/>
      <c r="CC376" s="30"/>
      <c r="CD376" s="30"/>
      <c r="CE376" s="30"/>
      <c r="CF376" s="30"/>
      <c r="CG376" s="30"/>
      <c r="CH376" s="30"/>
      <c r="CI376" s="30"/>
      <c r="CJ376" s="30"/>
      <c r="CK376" s="30"/>
      <c r="CL376" s="30"/>
      <c r="CM376" s="30"/>
      <c r="CN376" s="30"/>
      <c r="CO376" s="30"/>
      <c r="CP376" s="30"/>
      <c r="CQ376" s="30"/>
      <c r="CR376" s="30"/>
      <c r="CS376" s="30"/>
      <c r="CT376" s="30"/>
      <c r="CU376" s="30"/>
      <c r="CV376" s="30"/>
      <c r="CW376" s="30"/>
      <c r="CX376" s="30"/>
      <c r="CY376" s="30"/>
      <c r="CZ376" s="30"/>
      <c r="DA376" s="30"/>
      <c r="DB376" s="30"/>
      <c r="DC376" s="30"/>
      <c r="DD376" s="30"/>
      <c r="DE376" s="30"/>
      <c r="DF376" s="30"/>
      <c r="DG376" s="30"/>
      <c r="DH376" s="30"/>
      <c r="DI376" s="30"/>
      <c r="DJ376" s="30"/>
      <c r="DK376" s="30"/>
      <c r="DL376" s="30"/>
      <c r="DM376" s="30"/>
      <c r="DN376" s="30"/>
      <c r="DO376" s="30"/>
      <c r="DP376" s="30"/>
      <c r="DQ376" s="30"/>
      <c r="DR376" s="30"/>
      <c r="DS376" s="30"/>
      <c r="DT376" s="30"/>
      <c r="DU376" s="30"/>
      <c r="DV376" s="30"/>
      <c r="DW376" s="30"/>
    </row>
    <row r="377" spans="1:127" ht="13">
      <c r="A377" s="39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  <c r="BU377" s="30"/>
      <c r="BV377" s="30"/>
      <c r="BW377" s="30"/>
      <c r="BX377" s="30"/>
      <c r="BY377" s="30"/>
      <c r="BZ377" s="30"/>
      <c r="CA377" s="30"/>
      <c r="CB377" s="30"/>
      <c r="CC377" s="30"/>
      <c r="CD377" s="30"/>
      <c r="CE377" s="30"/>
      <c r="CF377" s="30"/>
      <c r="CG377" s="30"/>
      <c r="CH377" s="30"/>
      <c r="CI377" s="30"/>
      <c r="CJ377" s="30"/>
      <c r="CK377" s="30"/>
      <c r="CL377" s="30"/>
      <c r="CM377" s="30"/>
      <c r="CN377" s="30"/>
      <c r="CO377" s="30"/>
      <c r="CP377" s="30"/>
      <c r="CQ377" s="30"/>
      <c r="CR377" s="30"/>
      <c r="CS377" s="30"/>
      <c r="CT377" s="30"/>
      <c r="CU377" s="30"/>
      <c r="CV377" s="30"/>
      <c r="CW377" s="30"/>
      <c r="CX377" s="30"/>
      <c r="CY377" s="30"/>
      <c r="CZ377" s="30"/>
      <c r="DA377" s="30"/>
      <c r="DB377" s="30"/>
      <c r="DC377" s="30"/>
      <c r="DD377" s="30"/>
      <c r="DE377" s="30"/>
      <c r="DF377" s="30"/>
      <c r="DG377" s="30"/>
      <c r="DH377" s="30"/>
      <c r="DI377" s="30"/>
      <c r="DJ377" s="30"/>
      <c r="DK377" s="30"/>
      <c r="DL377" s="30"/>
      <c r="DM377" s="30"/>
      <c r="DN377" s="30"/>
      <c r="DO377" s="30"/>
      <c r="DP377" s="30"/>
      <c r="DQ377" s="30"/>
      <c r="DR377" s="30"/>
      <c r="DS377" s="30"/>
      <c r="DT377" s="30"/>
      <c r="DU377" s="30"/>
      <c r="DV377" s="30"/>
      <c r="DW377" s="30"/>
    </row>
    <row r="378" spans="1:127" ht="13">
      <c r="A378" s="39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  <c r="CV378" s="30"/>
      <c r="CW378" s="30"/>
      <c r="CX378" s="30"/>
      <c r="CY378" s="30"/>
      <c r="CZ378" s="30"/>
      <c r="DA378" s="30"/>
      <c r="DB378" s="30"/>
      <c r="DC378" s="30"/>
      <c r="DD378" s="30"/>
      <c r="DE378" s="30"/>
      <c r="DF378" s="30"/>
      <c r="DG378" s="30"/>
      <c r="DH378" s="30"/>
      <c r="DI378" s="30"/>
      <c r="DJ378" s="30"/>
      <c r="DK378" s="30"/>
      <c r="DL378" s="30"/>
      <c r="DM378" s="30"/>
      <c r="DN378" s="30"/>
      <c r="DO378" s="30"/>
      <c r="DP378" s="30"/>
      <c r="DQ378" s="30"/>
      <c r="DR378" s="30"/>
      <c r="DS378" s="30"/>
      <c r="DT378" s="30"/>
      <c r="DU378" s="30"/>
      <c r="DV378" s="30"/>
      <c r="DW378" s="30"/>
    </row>
    <row r="379" spans="1:127" ht="13">
      <c r="A379" s="39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  <c r="BV379" s="30"/>
      <c r="BW379" s="30"/>
      <c r="BX379" s="30"/>
      <c r="BY379" s="30"/>
      <c r="BZ379" s="30"/>
      <c r="CA379" s="30"/>
      <c r="CB379" s="30"/>
      <c r="CC379" s="30"/>
      <c r="CD379" s="30"/>
      <c r="CE379" s="30"/>
      <c r="CF379" s="30"/>
      <c r="CG379" s="30"/>
      <c r="CH379" s="30"/>
      <c r="CI379" s="30"/>
      <c r="CJ379" s="30"/>
      <c r="CK379" s="30"/>
      <c r="CL379" s="30"/>
      <c r="CM379" s="30"/>
      <c r="CN379" s="30"/>
      <c r="CO379" s="30"/>
      <c r="CP379" s="30"/>
      <c r="CQ379" s="30"/>
      <c r="CR379" s="30"/>
      <c r="CS379" s="30"/>
      <c r="CT379" s="30"/>
      <c r="CU379" s="30"/>
      <c r="CV379" s="30"/>
      <c r="CW379" s="30"/>
      <c r="CX379" s="30"/>
      <c r="CY379" s="30"/>
      <c r="CZ379" s="30"/>
      <c r="DA379" s="30"/>
      <c r="DB379" s="30"/>
      <c r="DC379" s="30"/>
      <c r="DD379" s="30"/>
      <c r="DE379" s="30"/>
      <c r="DF379" s="30"/>
      <c r="DG379" s="30"/>
      <c r="DH379" s="30"/>
      <c r="DI379" s="30"/>
      <c r="DJ379" s="30"/>
      <c r="DK379" s="30"/>
      <c r="DL379" s="30"/>
      <c r="DM379" s="30"/>
      <c r="DN379" s="30"/>
      <c r="DO379" s="30"/>
      <c r="DP379" s="30"/>
      <c r="DQ379" s="30"/>
      <c r="DR379" s="30"/>
      <c r="DS379" s="30"/>
      <c r="DT379" s="30"/>
      <c r="DU379" s="30"/>
      <c r="DV379" s="30"/>
      <c r="DW379" s="30"/>
    </row>
    <row r="380" spans="1:127" ht="13">
      <c r="A380" s="39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  <c r="BV380" s="30"/>
      <c r="BW380" s="30"/>
      <c r="BX380" s="30"/>
      <c r="BY380" s="30"/>
      <c r="BZ380" s="30"/>
      <c r="CA380" s="30"/>
      <c r="CB380" s="30"/>
      <c r="CC380" s="30"/>
      <c r="CD380" s="3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  <c r="CU380" s="30"/>
      <c r="CV380" s="30"/>
      <c r="CW380" s="30"/>
      <c r="CX380" s="30"/>
      <c r="CY380" s="30"/>
      <c r="CZ380" s="30"/>
      <c r="DA380" s="30"/>
      <c r="DB380" s="30"/>
      <c r="DC380" s="30"/>
      <c r="DD380" s="30"/>
      <c r="DE380" s="30"/>
      <c r="DF380" s="30"/>
      <c r="DG380" s="30"/>
      <c r="DH380" s="30"/>
      <c r="DI380" s="30"/>
      <c r="DJ380" s="30"/>
      <c r="DK380" s="30"/>
      <c r="DL380" s="30"/>
      <c r="DM380" s="30"/>
      <c r="DN380" s="30"/>
      <c r="DO380" s="30"/>
      <c r="DP380" s="30"/>
      <c r="DQ380" s="30"/>
      <c r="DR380" s="30"/>
      <c r="DS380" s="30"/>
      <c r="DT380" s="30"/>
      <c r="DU380" s="30"/>
      <c r="DV380" s="30"/>
      <c r="DW380" s="30"/>
    </row>
    <row r="381" spans="1:127" ht="13">
      <c r="A381" s="39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30"/>
      <c r="DG381" s="30"/>
      <c r="DH381" s="30"/>
      <c r="DI381" s="30"/>
      <c r="DJ381" s="30"/>
      <c r="DK381" s="30"/>
      <c r="DL381" s="30"/>
      <c r="DM381" s="30"/>
      <c r="DN381" s="30"/>
      <c r="DO381" s="30"/>
      <c r="DP381" s="30"/>
      <c r="DQ381" s="30"/>
      <c r="DR381" s="30"/>
      <c r="DS381" s="30"/>
      <c r="DT381" s="30"/>
      <c r="DU381" s="30"/>
      <c r="DV381" s="30"/>
      <c r="DW381" s="30"/>
    </row>
    <row r="382" spans="1:127" ht="13">
      <c r="A382" s="39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30"/>
      <c r="DG382" s="30"/>
      <c r="DH382" s="30"/>
      <c r="DI382" s="30"/>
      <c r="DJ382" s="30"/>
      <c r="DK382" s="30"/>
      <c r="DL382" s="30"/>
      <c r="DM382" s="30"/>
      <c r="DN382" s="30"/>
      <c r="DO382" s="30"/>
      <c r="DP382" s="30"/>
      <c r="DQ382" s="30"/>
      <c r="DR382" s="30"/>
      <c r="DS382" s="30"/>
      <c r="DT382" s="30"/>
      <c r="DU382" s="30"/>
      <c r="DV382" s="30"/>
      <c r="DW382" s="30"/>
    </row>
    <row r="383" spans="1:127" ht="13">
      <c r="A383" s="39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30"/>
      <c r="DG383" s="30"/>
      <c r="DH383" s="30"/>
      <c r="DI383" s="30"/>
      <c r="DJ383" s="30"/>
      <c r="DK383" s="30"/>
      <c r="DL383" s="30"/>
      <c r="DM383" s="30"/>
      <c r="DN383" s="30"/>
      <c r="DO383" s="30"/>
      <c r="DP383" s="30"/>
      <c r="DQ383" s="30"/>
      <c r="DR383" s="30"/>
      <c r="DS383" s="30"/>
      <c r="DT383" s="30"/>
      <c r="DU383" s="30"/>
      <c r="DV383" s="30"/>
      <c r="DW383" s="30"/>
    </row>
    <row r="384" spans="1:127" ht="13">
      <c r="A384" s="39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  <c r="BV384" s="30"/>
      <c r="BW384" s="30"/>
      <c r="BX384" s="30"/>
      <c r="BY384" s="30"/>
      <c r="BZ384" s="30"/>
      <c r="CA384" s="30"/>
      <c r="CB384" s="30"/>
      <c r="CC384" s="30"/>
      <c r="CD384" s="30"/>
      <c r="CE384" s="30"/>
      <c r="CF384" s="30"/>
      <c r="CG384" s="30"/>
      <c r="CH384" s="30"/>
      <c r="CI384" s="30"/>
      <c r="CJ384" s="30"/>
      <c r="CK384" s="30"/>
      <c r="CL384" s="30"/>
      <c r="CM384" s="30"/>
      <c r="CN384" s="30"/>
      <c r="CO384" s="30"/>
      <c r="CP384" s="30"/>
      <c r="CQ384" s="30"/>
      <c r="CR384" s="30"/>
      <c r="CS384" s="30"/>
      <c r="CT384" s="30"/>
      <c r="CU384" s="30"/>
      <c r="CV384" s="30"/>
      <c r="CW384" s="30"/>
      <c r="CX384" s="30"/>
      <c r="CY384" s="30"/>
      <c r="CZ384" s="30"/>
      <c r="DA384" s="30"/>
      <c r="DB384" s="30"/>
      <c r="DC384" s="30"/>
      <c r="DD384" s="30"/>
      <c r="DE384" s="30"/>
      <c r="DF384" s="30"/>
      <c r="DG384" s="30"/>
      <c r="DH384" s="30"/>
      <c r="DI384" s="30"/>
      <c r="DJ384" s="30"/>
      <c r="DK384" s="30"/>
      <c r="DL384" s="30"/>
      <c r="DM384" s="30"/>
      <c r="DN384" s="30"/>
      <c r="DO384" s="30"/>
      <c r="DP384" s="30"/>
      <c r="DQ384" s="30"/>
      <c r="DR384" s="30"/>
      <c r="DS384" s="30"/>
      <c r="DT384" s="30"/>
      <c r="DU384" s="30"/>
      <c r="DV384" s="30"/>
      <c r="DW384" s="30"/>
    </row>
    <row r="385" spans="1:127" ht="13">
      <c r="A385" s="39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30"/>
      <c r="DG385" s="30"/>
      <c r="DH385" s="30"/>
      <c r="DI385" s="30"/>
      <c r="DJ385" s="30"/>
      <c r="DK385" s="30"/>
      <c r="DL385" s="30"/>
      <c r="DM385" s="30"/>
      <c r="DN385" s="30"/>
      <c r="DO385" s="30"/>
      <c r="DP385" s="30"/>
      <c r="DQ385" s="30"/>
      <c r="DR385" s="30"/>
      <c r="DS385" s="30"/>
      <c r="DT385" s="30"/>
      <c r="DU385" s="30"/>
      <c r="DV385" s="30"/>
      <c r="DW385" s="30"/>
    </row>
    <row r="386" spans="1:127" ht="13">
      <c r="A386" s="39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30"/>
      <c r="DG386" s="30"/>
      <c r="DH386" s="30"/>
      <c r="DI386" s="30"/>
      <c r="DJ386" s="30"/>
      <c r="DK386" s="30"/>
      <c r="DL386" s="30"/>
      <c r="DM386" s="30"/>
      <c r="DN386" s="30"/>
      <c r="DO386" s="30"/>
      <c r="DP386" s="30"/>
      <c r="DQ386" s="30"/>
      <c r="DR386" s="30"/>
      <c r="DS386" s="30"/>
      <c r="DT386" s="30"/>
      <c r="DU386" s="30"/>
      <c r="DV386" s="30"/>
      <c r="DW386" s="30"/>
    </row>
    <row r="387" spans="1:127" ht="13">
      <c r="A387" s="39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30"/>
      <c r="DG387" s="30"/>
      <c r="DH387" s="30"/>
      <c r="DI387" s="30"/>
      <c r="DJ387" s="30"/>
      <c r="DK387" s="30"/>
      <c r="DL387" s="30"/>
      <c r="DM387" s="30"/>
      <c r="DN387" s="30"/>
      <c r="DO387" s="30"/>
      <c r="DP387" s="30"/>
      <c r="DQ387" s="30"/>
      <c r="DR387" s="30"/>
      <c r="DS387" s="30"/>
      <c r="DT387" s="30"/>
      <c r="DU387" s="30"/>
      <c r="DV387" s="30"/>
      <c r="DW387" s="30"/>
    </row>
    <row r="388" spans="1:127" ht="13">
      <c r="A388" s="39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  <c r="BS388" s="30"/>
      <c r="BT388" s="30"/>
      <c r="BU388" s="30"/>
      <c r="BV388" s="30"/>
      <c r="BW388" s="30"/>
      <c r="BX388" s="30"/>
      <c r="BY388" s="30"/>
      <c r="BZ388" s="30"/>
      <c r="CA388" s="30"/>
      <c r="CB388" s="30"/>
      <c r="CC388" s="30"/>
      <c r="CD388" s="30"/>
      <c r="CE388" s="30"/>
      <c r="CF388" s="30"/>
      <c r="CG388" s="30"/>
      <c r="CH388" s="30"/>
      <c r="CI388" s="30"/>
      <c r="CJ388" s="30"/>
      <c r="CK388" s="30"/>
      <c r="CL388" s="30"/>
      <c r="CM388" s="30"/>
      <c r="CN388" s="30"/>
      <c r="CO388" s="30"/>
      <c r="CP388" s="30"/>
      <c r="CQ388" s="30"/>
      <c r="CR388" s="30"/>
      <c r="CS388" s="30"/>
      <c r="CT388" s="30"/>
      <c r="CU388" s="30"/>
      <c r="CV388" s="30"/>
      <c r="CW388" s="30"/>
      <c r="CX388" s="30"/>
      <c r="CY388" s="30"/>
      <c r="CZ388" s="30"/>
      <c r="DA388" s="30"/>
      <c r="DB388" s="30"/>
      <c r="DC388" s="30"/>
      <c r="DD388" s="30"/>
      <c r="DE388" s="30"/>
      <c r="DF388" s="30"/>
      <c r="DG388" s="30"/>
      <c r="DH388" s="30"/>
      <c r="DI388" s="30"/>
      <c r="DJ388" s="30"/>
      <c r="DK388" s="30"/>
      <c r="DL388" s="30"/>
      <c r="DM388" s="30"/>
      <c r="DN388" s="30"/>
      <c r="DO388" s="30"/>
      <c r="DP388" s="30"/>
      <c r="DQ388" s="30"/>
      <c r="DR388" s="30"/>
      <c r="DS388" s="30"/>
      <c r="DT388" s="30"/>
      <c r="DU388" s="30"/>
      <c r="DV388" s="30"/>
      <c r="DW388" s="30"/>
    </row>
    <row r="389" spans="1:127" ht="13">
      <c r="A389" s="39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  <c r="BS389" s="30"/>
      <c r="BT389" s="30"/>
      <c r="BU389" s="30"/>
      <c r="BV389" s="30"/>
      <c r="BW389" s="30"/>
      <c r="BX389" s="30"/>
      <c r="BY389" s="30"/>
      <c r="BZ389" s="30"/>
      <c r="CA389" s="30"/>
      <c r="CB389" s="30"/>
      <c r="CC389" s="30"/>
      <c r="CD389" s="30"/>
      <c r="CE389" s="30"/>
      <c r="CF389" s="30"/>
      <c r="CG389" s="30"/>
      <c r="CH389" s="30"/>
      <c r="CI389" s="30"/>
      <c r="CJ389" s="30"/>
      <c r="CK389" s="30"/>
      <c r="CL389" s="30"/>
      <c r="CM389" s="30"/>
      <c r="CN389" s="30"/>
      <c r="CO389" s="30"/>
      <c r="CP389" s="30"/>
      <c r="CQ389" s="30"/>
      <c r="CR389" s="30"/>
      <c r="CS389" s="30"/>
      <c r="CT389" s="30"/>
      <c r="CU389" s="30"/>
      <c r="CV389" s="30"/>
      <c r="CW389" s="30"/>
      <c r="CX389" s="30"/>
      <c r="CY389" s="30"/>
      <c r="CZ389" s="30"/>
      <c r="DA389" s="30"/>
      <c r="DB389" s="30"/>
      <c r="DC389" s="30"/>
      <c r="DD389" s="30"/>
      <c r="DE389" s="30"/>
      <c r="DF389" s="30"/>
      <c r="DG389" s="30"/>
      <c r="DH389" s="30"/>
      <c r="DI389" s="30"/>
      <c r="DJ389" s="30"/>
      <c r="DK389" s="30"/>
      <c r="DL389" s="30"/>
      <c r="DM389" s="30"/>
      <c r="DN389" s="30"/>
      <c r="DO389" s="30"/>
      <c r="DP389" s="30"/>
      <c r="DQ389" s="30"/>
      <c r="DR389" s="30"/>
      <c r="DS389" s="30"/>
      <c r="DT389" s="30"/>
      <c r="DU389" s="30"/>
      <c r="DV389" s="30"/>
      <c r="DW389" s="30"/>
    </row>
    <row r="390" spans="1:127" ht="13">
      <c r="A390" s="39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  <c r="BU390" s="30"/>
      <c r="BV390" s="30"/>
      <c r="BW390" s="30"/>
      <c r="BX390" s="30"/>
      <c r="BY390" s="30"/>
      <c r="BZ390" s="30"/>
      <c r="CA390" s="30"/>
      <c r="CB390" s="30"/>
      <c r="CC390" s="30"/>
      <c r="CD390" s="30"/>
      <c r="CE390" s="30"/>
      <c r="CF390" s="30"/>
      <c r="CG390" s="30"/>
      <c r="CH390" s="30"/>
      <c r="CI390" s="30"/>
      <c r="CJ390" s="30"/>
      <c r="CK390" s="30"/>
      <c r="CL390" s="30"/>
      <c r="CM390" s="30"/>
      <c r="CN390" s="30"/>
      <c r="CO390" s="30"/>
      <c r="CP390" s="30"/>
      <c r="CQ390" s="30"/>
      <c r="CR390" s="30"/>
      <c r="CS390" s="30"/>
      <c r="CT390" s="30"/>
      <c r="CU390" s="30"/>
      <c r="CV390" s="30"/>
      <c r="CW390" s="30"/>
      <c r="CX390" s="30"/>
      <c r="CY390" s="30"/>
      <c r="CZ390" s="30"/>
      <c r="DA390" s="30"/>
      <c r="DB390" s="30"/>
      <c r="DC390" s="30"/>
      <c r="DD390" s="30"/>
      <c r="DE390" s="30"/>
      <c r="DF390" s="30"/>
      <c r="DG390" s="30"/>
      <c r="DH390" s="30"/>
      <c r="DI390" s="30"/>
      <c r="DJ390" s="30"/>
      <c r="DK390" s="30"/>
      <c r="DL390" s="30"/>
      <c r="DM390" s="30"/>
      <c r="DN390" s="30"/>
      <c r="DO390" s="30"/>
      <c r="DP390" s="30"/>
      <c r="DQ390" s="30"/>
      <c r="DR390" s="30"/>
      <c r="DS390" s="30"/>
      <c r="DT390" s="30"/>
      <c r="DU390" s="30"/>
      <c r="DV390" s="30"/>
      <c r="DW390" s="30"/>
    </row>
    <row r="391" spans="1:127" ht="13">
      <c r="A391" s="39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  <c r="BU391" s="30"/>
      <c r="BV391" s="30"/>
      <c r="BW391" s="30"/>
      <c r="BX391" s="30"/>
      <c r="BY391" s="30"/>
      <c r="BZ391" s="30"/>
      <c r="CA391" s="30"/>
      <c r="CB391" s="30"/>
      <c r="CC391" s="30"/>
      <c r="CD391" s="30"/>
      <c r="CE391" s="30"/>
      <c r="CF391" s="30"/>
      <c r="CG391" s="30"/>
      <c r="CH391" s="30"/>
      <c r="CI391" s="30"/>
      <c r="CJ391" s="30"/>
      <c r="CK391" s="30"/>
      <c r="CL391" s="30"/>
      <c r="CM391" s="30"/>
      <c r="CN391" s="30"/>
      <c r="CO391" s="30"/>
      <c r="CP391" s="30"/>
      <c r="CQ391" s="30"/>
      <c r="CR391" s="30"/>
      <c r="CS391" s="30"/>
      <c r="CT391" s="30"/>
      <c r="CU391" s="30"/>
      <c r="CV391" s="30"/>
      <c r="CW391" s="30"/>
      <c r="CX391" s="30"/>
      <c r="CY391" s="30"/>
      <c r="CZ391" s="30"/>
      <c r="DA391" s="30"/>
      <c r="DB391" s="30"/>
      <c r="DC391" s="30"/>
      <c r="DD391" s="30"/>
      <c r="DE391" s="30"/>
      <c r="DF391" s="30"/>
      <c r="DG391" s="30"/>
      <c r="DH391" s="30"/>
      <c r="DI391" s="30"/>
      <c r="DJ391" s="30"/>
      <c r="DK391" s="30"/>
      <c r="DL391" s="30"/>
      <c r="DM391" s="30"/>
      <c r="DN391" s="30"/>
      <c r="DO391" s="30"/>
      <c r="DP391" s="30"/>
      <c r="DQ391" s="30"/>
      <c r="DR391" s="30"/>
      <c r="DS391" s="30"/>
      <c r="DT391" s="30"/>
      <c r="DU391" s="30"/>
      <c r="DV391" s="30"/>
      <c r="DW391" s="30"/>
    </row>
    <row r="392" spans="1:127" ht="13">
      <c r="A392" s="39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  <c r="BS392" s="30"/>
      <c r="BT392" s="30"/>
      <c r="BU392" s="30"/>
      <c r="BV392" s="30"/>
      <c r="BW392" s="30"/>
      <c r="BX392" s="30"/>
      <c r="BY392" s="30"/>
      <c r="BZ392" s="30"/>
      <c r="CA392" s="30"/>
      <c r="CB392" s="30"/>
      <c r="CC392" s="30"/>
      <c r="CD392" s="30"/>
      <c r="CE392" s="30"/>
      <c r="CF392" s="30"/>
      <c r="CG392" s="30"/>
      <c r="CH392" s="30"/>
      <c r="CI392" s="30"/>
      <c r="CJ392" s="30"/>
      <c r="CK392" s="30"/>
      <c r="CL392" s="30"/>
      <c r="CM392" s="30"/>
      <c r="CN392" s="30"/>
      <c r="CO392" s="30"/>
      <c r="CP392" s="30"/>
      <c r="CQ392" s="30"/>
      <c r="CR392" s="30"/>
      <c r="CS392" s="30"/>
      <c r="CT392" s="30"/>
      <c r="CU392" s="30"/>
      <c r="CV392" s="30"/>
      <c r="CW392" s="30"/>
      <c r="CX392" s="30"/>
      <c r="CY392" s="30"/>
      <c r="CZ392" s="30"/>
      <c r="DA392" s="30"/>
      <c r="DB392" s="30"/>
      <c r="DC392" s="30"/>
      <c r="DD392" s="30"/>
      <c r="DE392" s="30"/>
      <c r="DF392" s="30"/>
      <c r="DG392" s="30"/>
      <c r="DH392" s="30"/>
      <c r="DI392" s="30"/>
      <c r="DJ392" s="30"/>
      <c r="DK392" s="30"/>
      <c r="DL392" s="30"/>
      <c r="DM392" s="30"/>
      <c r="DN392" s="30"/>
      <c r="DO392" s="30"/>
      <c r="DP392" s="30"/>
      <c r="DQ392" s="30"/>
      <c r="DR392" s="30"/>
      <c r="DS392" s="30"/>
      <c r="DT392" s="30"/>
      <c r="DU392" s="30"/>
      <c r="DV392" s="30"/>
      <c r="DW392" s="30"/>
    </row>
    <row r="393" spans="1:127" ht="13">
      <c r="A393" s="39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  <c r="BU393" s="30"/>
      <c r="BV393" s="30"/>
      <c r="BW393" s="30"/>
      <c r="BX393" s="30"/>
      <c r="BY393" s="30"/>
      <c r="BZ393" s="30"/>
      <c r="CA393" s="30"/>
      <c r="CB393" s="30"/>
      <c r="CC393" s="30"/>
      <c r="CD393" s="30"/>
      <c r="CE393" s="30"/>
      <c r="CF393" s="30"/>
      <c r="CG393" s="30"/>
      <c r="CH393" s="30"/>
      <c r="CI393" s="30"/>
      <c r="CJ393" s="30"/>
      <c r="CK393" s="30"/>
      <c r="CL393" s="30"/>
      <c r="CM393" s="30"/>
      <c r="CN393" s="30"/>
      <c r="CO393" s="30"/>
      <c r="CP393" s="30"/>
      <c r="CQ393" s="30"/>
      <c r="CR393" s="30"/>
      <c r="CS393" s="30"/>
      <c r="CT393" s="30"/>
      <c r="CU393" s="30"/>
      <c r="CV393" s="30"/>
      <c r="CW393" s="30"/>
      <c r="CX393" s="30"/>
      <c r="CY393" s="30"/>
      <c r="CZ393" s="30"/>
      <c r="DA393" s="30"/>
      <c r="DB393" s="30"/>
      <c r="DC393" s="30"/>
      <c r="DD393" s="30"/>
      <c r="DE393" s="30"/>
      <c r="DF393" s="30"/>
      <c r="DG393" s="30"/>
      <c r="DH393" s="30"/>
      <c r="DI393" s="30"/>
      <c r="DJ393" s="30"/>
      <c r="DK393" s="30"/>
      <c r="DL393" s="30"/>
      <c r="DM393" s="30"/>
      <c r="DN393" s="30"/>
      <c r="DO393" s="30"/>
      <c r="DP393" s="30"/>
      <c r="DQ393" s="30"/>
      <c r="DR393" s="30"/>
      <c r="DS393" s="30"/>
      <c r="DT393" s="30"/>
      <c r="DU393" s="30"/>
      <c r="DV393" s="30"/>
      <c r="DW393" s="30"/>
    </row>
    <row r="394" spans="1:127" ht="13">
      <c r="A394" s="39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  <c r="BS394" s="30"/>
      <c r="BT394" s="30"/>
      <c r="BU394" s="30"/>
      <c r="BV394" s="30"/>
      <c r="BW394" s="30"/>
      <c r="BX394" s="30"/>
      <c r="BY394" s="30"/>
      <c r="BZ394" s="30"/>
      <c r="CA394" s="30"/>
      <c r="CB394" s="30"/>
      <c r="CC394" s="30"/>
      <c r="CD394" s="30"/>
      <c r="CE394" s="30"/>
      <c r="CF394" s="30"/>
      <c r="CG394" s="30"/>
      <c r="CH394" s="30"/>
      <c r="CI394" s="30"/>
      <c r="CJ394" s="30"/>
      <c r="CK394" s="30"/>
      <c r="CL394" s="30"/>
      <c r="CM394" s="30"/>
      <c r="CN394" s="30"/>
      <c r="CO394" s="30"/>
      <c r="CP394" s="30"/>
      <c r="CQ394" s="30"/>
      <c r="CR394" s="30"/>
      <c r="CS394" s="30"/>
      <c r="CT394" s="30"/>
      <c r="CU394" s="30"/>
      <c r="CV394" s="30"/>
      <c r="CW394" s="30"/>
      <c r="CX394" s="30"/>
      <c r="CY394" s="30"/>
      <c r="CZ394" s="30"/>
      <c r="DA394" s="30"/>
      <c r="DB394" s="30"/>
      <c r="DC394" s="30"/>
      <c r="DD394" s="30"/>
      <c r="DE394" s="30"/>
      <c r="DF394" s="30"/>
      <c r="DG394" s="30"/>
      <c r="DH394" s="30"/>
      <c r="DI394" s="30"/>
      <c r="DJ394" s="30"/>
      <c r="DK394" s="30"/>
      <c r="DL394" s="30"/>
      <c r="DM394" s="30"/>
      <c r="DN394" s="30"/>
      <c r="DO394" s="30"/>
      <c r="DP394" s="30"/>
      <c r="DQ394" s="30"/>
      <c r="DR394" s="30"/>
      <c r="DS394" s="30"/>
      <c r="DT394" s="30"/>
      <c r="DU394" s="30"/>
      <c r="DV394" s="30"/>
      <c r="DW394" s="30"/>
    </row>
    <row r="395" spans="1:127" ht="13">
      <c r="A395" s="39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  <c r="BS395" s="30"/>
      <c r="BT395" s="30"/>
      <c r="BU395" s="30"/>
      <c r="BV395" s="30"/>
      <c r="BW395" s="30"/>
      <c r="BX395" s="30"/>
      <c r="BY395" s="30"/>
      <c r="BZ395" s="30"/>
      <c r="CA395" s="30"/>
      <c r="CB395" s="30"/>
      <c r="CC395" s="30"/>
      <c r="CD395" s="30"/>
      <c r="CE395" s="30"/>
      <c r="CF395" s="30"/>
      <c r="CG395" s="30"/>
      <c r="CH395" s="30"/>
      <c r="CI395" s="30"/>
      <c r="CJ395" s="30"/>
      <c r="CK395" s="30"/>
      <c r="CL395" s="30"/>
      <c r="CM395" s="30"/>
      <c r="CN395" s="30"/>
      <c r="CO395" s="30"/>
      <c r="CP395" s="30"/>
      <c r="CQ395" s="30"/>
      <c r="CR395" s="30"/>
      <c r="CS395" s="30"/>
      <c r="CT395" s="30"/>
      <c r="CU395" s="30"/>
      <c r="CV395" s="30"/>
      <c r="CW395" s="30"/>
      <c r="CX395" s="30"/>
      <c r="CY395" s="30"/>
      <c r="CZ395" s="30"/>
      <c r="DA395" s="30"/>
      <c r="DB395" s="30"/>
      <c r="DC395" s="30"/>
      <c r="DD395" s="30"/>
      <c r="DE395" s="30"/>
      <c r="DF395" s="30"/>
      <c r="DG395" s="30"/>
      <c r="DH395" s="30"/>
      <c r="DI395" s="30"/>
      <c r="DJ395" s="30"/>
      <c r="DK395" s="30"/>
      <c r="DL395" s="30"/>
      <c r="DM395" s="30"/>
      <c r="DN395" s="30"/>
      <c r="DO395" s="30"/>
      <c r="DP395" s="30"/>
      <c r="DQ395" s="30"/>
      <c r="DR395" s="30"/>
      <c r="DS395" s="30"/>
      <c r="DT395" s="30"/>
      <c r="DU395" s="30"/>
      <c r="DV395" s="30"/>
      <c r="DW395" s="30"/>
    </row>
    <row r="396" spans="1:127" ht="13">
      <c r="A396" s="39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  <c r="BV396" s="30"/>
      <c r="BW396" s="30"/>
      <c r="BX396" s="30"/>
      <c r="BY396" s="30"/>
      <c r="BZ396" s="30"/>
      <c r="CA396" s="30"/>
      <c r="CB396" s="30"/>
      <c r="CC396" s="30"/>
      <c r="CD396" s="30"/>
      <c r="CE396" s="30"/>
      <c r="CF396" s="30"/>
      <c r="CG396" s="30"/>
      <c r="CH396" s="30"/>
      <c r="CI396" s="30"/>
      <c r="CJ396" s="30"/>
      <c r="CK396" s="30"/>
      <c r="CL396" s="30"/>
      <c r="CM396" s="30"/>
      <c r="CN396" s="30"/>
      <c r="CO396" s="30"/>
      <c r="CP396" s="30"/>
      <c r="CQ396" s="30"/>
      <c r="CR396" s="30"/>
      <c r="CS396" s="30"/>
      <c r="CT396" s="30"/>
      <c r="CU396" s="30"/>
      <c r="CV396" s="30"/>
      <c r="CW396" s="30"/>
      <c r="CX396" s="30"/>
      <c r="CY396" s="30"/>
      <c r="CZ396" s="30"/>
      <c r="DA396" s="30"/>
      <c r="DB396" s="30"/>
      <c r="DC396" s="30"/>
      <c r="DD396" s="30"/>
      <c r="DE396" s="30"/>
      <c r="DF396" s="30"/>
      <c r="DG396" s="30"/>
      <c r="DH396" s="30"/>
      <c r="DI396" s="30"/>
      <c r="DJ396" s="30"/>
      <c r="DK396" s="30"/>
      <c r="DL396" s="30"/>
      <c r="DM396" s="30"/>
      <c r="DN396" s="30"/>
      <c r="DO396" s="30"/>
      <c r="DP396" s="30"/>
      <c r="DQ396" s="30"/>
      <c r="DR396" s="30"/>
      <c r="DS396" s="30"/>
      <c r="DT396" s="30"/>
      <c r="DU396" s="30"/>
      <c r="DV396" s="30"/>
      <c r="DW396" s="30"/>
    </row>
    <row r="397" spans="1:127" ht="13">
      <c r="A397" s="39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  <c r="BS397" s="30"/>
      <c r="BT397" s="30"/>
      <c r="BU397" s="30"/>
      <c r="BV397" s="30"/>
      <c r="BW397" s="30"/>
      <c r="BX397" s="30"/>
      <c r="BY397" s="30"/>
      <c r="BZ397" s="30"/>
      <c r="CA397" s="30"/>
      <c r="CB397" s="30"/>
      <c r="CC397" s="30"/>
      <c r="CD397" s="30"/>
      <c r="CE397" s="30"/>
      <c r="CF397" s="30"/>
      <c r="CG397" s="30"/>
      <c r="CH397" s="30"/>
      <c r="CI397" s="30"/>
      <c r="CJ397" s="30"/>
      <c r="CK397" s="30"/>
      <c r="CL397" s="30"/>
      <c r="CM397" s="30"/>
      <c r="CN397" s="30"/>
      <c r="CO397" s="30"/>
      <c r="CP397" s="30"/>
      <c r="CQ397" s="30"/>
      <c r="CR397" s="30"/>
      <c r="CS397" s="30"/>
      <c r="CT397" s="30"/>
      <c r="CU397" s="30"/>
      <c r="CV397" s="30"/>
      <c r="CW397" s="30"/>
      <c r="CX397" s="30"/>
      <c r="CY397" s="30"/>
      <c r="CZ397" s="30"/>
      <c r="DA397" s="30"/>
      <c r="DB397" s="30"/>
      <c r="DC397" s="30"/>
      <c r="DD397" s="30"/>
      <c r="DE397" s="30"/>
      <c r="DF397" s="30"/>
      <c r="DG397" s="30"/>
      <c r="DH397" s="30"/>
      <c r="DI397" s="30"/>
      <c r="DJ397" s="30"/>
      <c r="DK397" s="30"/>
      <c r="DL397" s="30"/>
      <c r="DM397" s="30"/>
      <c r="DN397" s="30"/>
      <c r="DO397" s="30"/>
      <c r="DP397" s="30"/>
      <c r="DQ397" s="30"/>
      <c r="DR397" s="30"/>
      <c r="DS397" s="30"/>
      <c r="DT397" s="30"/>
      <c r="DU397" s="30"/>
      <c r="DV397" s="30"/>
      <c r="DW397" s="30"/>
    </row>
    <row r="398" spans="1:127" ht="13">
      <c r="A398" s="39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  <c r="BU398" s="30"/>
      <c r="BV398" s="30"/>
      <c r="BW398" s="30"/>
      <c r="BX398" s="30"/>
      <c r="BY398" s="30"/>
      <c r="BZ398" s="30"/>
      <c r="CA398" s="30"/>
      <c r="CB398" s="30"/>
      <c r="CC398" s="30"/>
      <c r="CD398" s="30"/>
      <c r="CE398" s="30"/>
      <c r="CF398" s="30"/>
      <c r="CG398" s="30"/>
      <c r="CH398" s="30"/>
      <c r="CI398" s="30"/>
      <c r="CJ398" s="30"/>
      <c r="CK398" s="30"/>
      <c r="CL398" s="30"/>
      <c r="CM398" s="30"/>
      <c r="CN398" s="30"/>
      <c r="CO398" s="30"/>
      <c r="CP398" s="30"/>
      <c r="CQ398" s="30"/>
      <c r="CR398" s="30"/>
      <c r="CS398" s="30"/>
      <c r="CT398" s="30"/>
      <c r="CU398" s="30"/>
      <c r="CV398" s="30"/>
      <c r="CW398" s="30"/>
      <c r="CX398" s="30"/>
      <c r="CY398" s="30"/>
      <c r="CZ398" s="30"/>
      <c r="DA398" s="30"/>
      <c r="DB398" s="30"/>
      <c r="DC398" s="30"/>
      <c r="DD398" s="30"/>
      <c r="DE398" s="30"/>
      <c r="DF398" s="30"/>
      <c r="DG398" s="30"/>
      <c r="DH398" s="30"/>
      <c r="DI398" s="30"/>
      <c r="DJ398" s="30"/>
      <c r="DK398" s="30"/>
      <c r="DL398" s="30"/>
      <c r="DM398" s="30"/>
      <c r="DN398" s="30"/>
      <c r="DO398" s="30"/>
      <c r="DP398" s="30"/>
      <c r="DQ398" s="30"/>
      <c r="DR398" s="30"/>
      <c r="DS398" s="30"/>
      <c r="DT398" s="30"/>
      <c r="DU398" s="30"/>
      <c r="DV398" s="30"/>
      <c r="DW398" s="30"/>
    </row>
    <row r="399" spans="1:127" ht="13">
      <c r="A399" s="39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  <c r="BS399" s="30"/>
      <c r="BT399" s="30"/>
      <c r="BU399" s="30"/>
      <c r="BV399" s="30"/>
      <c r="BW399" s="30"/>
      <c r="BX399" s="30"/>
      <c r="BY399" s="30"/>
      <c r="BZ399" s="30"/>
      <c r="CA399" s="30"/>
      <c r="CB399" s="30"/>
      <c r="CC399" s="30"/>
      <c r="CD399" s="30"/>
      <c r="CE399" s="30"/>
      <c r="CF399" s="30"/>
      <c r="CG399" s="30"/>
      <c r="CH399" s="30"/>
      <c r="CI399" s="30"/>
      <c r="CJ399" s="30"/>
      <c r="CK399" s="30"/>
      <c r="CL399" s="30"/>
      <c r="CM399" s="30"/>
      <c r="CN399" s="30"/>
      <c r="CO399" s="30"/>
      <c r="CP399" s="30"/>
      <c r="CQ399" s="30"/>
      <c r="CR399" s="30"/>
      <c r="CS399" s="30"/>
      <c r="CT399" s="30"/>
      <c r="CU399" s="30"/>
      <c r="CV399" s="30"/>
      <c r="CW399" s="30"/>
      <c r="CX399" s="30"/>
      <c r="CY399" s="30"/>
      <c r="CZ399" s="30"/>
      <c r="DA399" s="30"/>
      <c r="DB399" s="30"/>
      <c r="DC399" s="30"/>
      <c r="DD399" s="30"/>
      <c r="DE399" s="30"/>
      <c r="DF399" s="30"/>
      <c r="DG399" s="30"/>
      <c r="DH399" s="30"/>
      <c r="DI399" s="30"/>
      <c r="DJ399" s="30"/>
      <c r="DK399" s="30"/>
      <c r="DL399" s="30"/>
      <c r="DM399" s="30"/>
      <c r="DN399" s="30"/>
      <c r="DO399" s="30"/>
      <c r="DP399" s="30"/>
      <c r="DQ399" s="30"/>
      <c r="DR399" s="30"/>
      <c r="DS399" s="30"/>
      <c r="DT399" s="30"/>
      <c r="DU399" s="30"/>
      <c r="DV399" s="30"/>
      <c r="DW399" s="30"/>
    </row>
    <row r="400" spans="1:127" ht="13">
      <c r="A400" s="39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  <c r="BV400" s="30"/>
      <c r="BW400" s="30"/>
      <c r="BX400" s="30"/>
      <c r="BY400" s="30"/>
      <c r="BZ400" s="30"/>
      <c r="CA400" s="30"/>
      <c r="CB400" s="30"/>
      <c r="CC400" s="30"/>
      <c r="CD400" s="3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  <c r="CQ400" s="30"/>
      <c r="CR400" s="30"/>
      <c r="CS400" s="30"/>
      <c r="CT400" s="30"/>
      <c r="CU400" s="30"/>
      <c r="CV400" s="30"/>
      <c r="CW400" s="30"/>
      <c r="CX400" s="30"/>
      <c r="CY400" s="30"/>
      <c r="CZ400" s="30"/>
      <c r="DA400" s="30"/>
      <c r="DB400" s="30"/>
      <c r="DC400" s="30"/>
      <c r="DD400" s="30"/>
      <c r="DE400" s="30"/>
      <c r="DF400" s="30"/>
      <c r="DG400" s="30"/>
      <c r="DH400" s="30"/>
      <c r="DI400" s="30"/>
      <c r="DJ400" s="30"/>
      <c r="DK400" s="30"/>
      <c r="DL400" s="30"/>
      <c r="DM400" s="30"/>
      <c r="DN400" s="30"/>
      <c r="DO400" s="30"/>
      <c r="DP400" s="30"/>
      <c r="DQ400" s="30"/>
      <c r="DR400" s="30"/>
      <c r="DS400" s="30"/>
      <c r="DT400" s="30"/>
      <c r="DU400" s="30"/>
      <c r="DV400" s="30"/>
      <c r="DW400" s="30"/>
    </row>
    <row r="401" spans="1:127" ht="13">
      <c r="A401" s="39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  <c r="BS401" s="30"/>
      <c r="BT401" s="30"/>
      <c r="BU401" s="30"/>
      <c r="BV401" s="30"/>
      <c r="BW401" s="30"/>
      <c r="BX401" s="30"/>
      <c r="BY401" s="30"/>
      <c r="BZ401" s="30"/>
      <c r="CA401" s="30"/>
      <c r="CB401" s="30"/>
      <c r="CC401" s="30"/>
      <c r="CD401" s="30"/>
      <c r="CE401" s="30"/>
      <c r="CF401" s="30"/>
      <c r="CG401" s="30"/>
      <c r="CH401" s="30"/>
      <c r="CI401" s="30"/>
      <c r="CJ401" s="30"/>
      <c r="CK401" s="30"/>
      <c r="CL401" s="30"/>
      <c r="CM401" s="30"/>
      <c r="CN401" s="30"/>
      <c r="CO401" s="30"/>
      <c r="CP401" s="30"/>
      <c r="CQ401" s="30"/>
      <c r="CR401" s="30"/>
      <c r="CS401" s="30"/>
      <c r="CT401" s="30"/>
      <c r="CU401" s="30"/>
      <c r="CV401" s="30"/>
      <c r="CW401" s="30"/>
      <c r="CX401" s="30"/>
      <c r="CY401" s="30"/>
      <c r="CZ401" s="30"/>
      <c r="DA401" s="30"/>
      <c r="DB401" s="30"/>
      <c r="DC401" s="30"/>
      <c r="DD401" s="30"/>
      <c r="DE401" s="30"/>
      <c r="DF401" s="30"/>
      <c r="DG401" s="30"/>
      <c r="DH401" s="30"/>
      <c r="DI401" s="30"/>
      <c r="DJ401" s="30"/>
      <c r="DK401" s="30"/>
      <c r="DL401" s="30"/>
      <c r="DM401" s="30"/>
      <c r="DN401" s="30"/>
      <c r="DO401" s="30"/>
      <c r="DP401" s="30"/>
      <c r="DQ401" s="30"/>
      <c r="DR401" s="30"/>
      <c r="DS401" s="30"/>
      <c r="DT401" s="30"/>
      <c r="DU401" s="30"/>
      <c r="DV401" s="30"/>
      <c r="DW401" s="30"/>
    </row>
    <row r="402" spans="1:127" ht="13">
      <c r="A402" s="39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  <c r="BU402" s="30"/>
      <c r="BV402" s="30"/>
      <c r="BW402" s="30"/>
      <c r="BX402" s="30"/>
      <c r="BY402" s="30"/>
      <c r="BZ402" s="30"/>
      <c r="CA402" s="30"/>
      <c r="CB402" s="30"/>
      <c r="CC402" s="30"/>
      <c r="CD402" s="30"/>
      <c r="CE402" s="30"/>
      <c r="CF402" s="30"/>
      <c r="CG402" s="30"/>
      <c r="CH402" s="30"/>
      <c r="CI402" s="30"/>
      <c r="CJ402" s="30"/>
      <c r="CK402" s="30"/>
      <c r="CL402" s="30"/>
      <c r="CM402" s="30"/>
      <c r="CN402" s="30"/>
      <c r="CO402" s="30"/>
      <c r="CP402" s="30"/>
      <c r="CQ402" s="30"/>
      <c r="CR402" s="30"/>
      <c r="CS402" s="30"/>
      <c r="CT402" s="30"/>
      <c r="CU402" s="30"/>
      <c r="CV402" s="30"/>
      <c r="CW402" s="30"/>
      <c r="CX402" s="30"/>
      <c r="CY402" s="30"/>
      <c r="CZ402" s="30"/>
      <c r="DA402" s="30"/>
      <c r="DB402" s="30"/>
      <c r="DC402" s="30"/>
      <c r="DD402" s="30"/>
      <c r="DE402" s="30"/>
      <c r="DF402" s="30"/>
      <c r="DG402" s="30"/>
      <c r="DH402" s="30"/>
      <c r="DI402" s="30"/>
      <c r="DJ402" s="30"/>
      <c r="DK402" s="30"/>
      <c r="DL402" s="30"/>
      <c r="DM402" s="30"/>
      <c r="DN402" s="30"/>
      <c r="DO402" s="30"/>
      <c r="DP402" s="30"/>
      <c r="DQ402" s="30"/>
      <c r="DR402" s="30"/>
      <c r="DS402" s="30"/>
      <c r="DT402" s="30"/>
      <c r="DU402" s="30"/>
      <c r="DV402" s="30"/>
      <c r="DW402" s="30"/>
    </row>
    <row r="403" spans="1:127" ht="13">
      <c r="A403" s="39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  <c r="BS403" s="30"/>
      <c r="BT403" s="30"/>
      <c r="BU403" s="30"/>
      <c r="BV403" s="30"/>
      <c r="BW403" s="30"/>
      <c r="BX403" s="30"/>
      <c r="BY403" s="30"/>
      <c r="BZ403" s="30"/>
      <c r="CA403" s="30"/>
      <c r="CB403" s="30"/>
      <c r="CC403" s="30"/>
      <c r="CD403" s="30"/>
      <c r="CE403" s="30"/>
      <c r="CF403" s="30"/>
      <c r="CG403" s="30"/>
      <c r="CH403" s="30"/>
      <c r="CI403" s="30"/>
      <c r="CJ403" s="30"/>
      <c r="CK403" s="30"/>
      <c r="CL403" s="30"/>
      <c r="CM403" s="30"/>
      <c r="CN403" s="30"/>
      <c r="CO403" s="30"/>
      <c r="CP403" s="30"/>
      <c r="CQ403" s="30"/>
      <c r="CR403" s="30"/>
      <c r="CS403" s="30"/>
      <c r="CT403" s="30"/>
      <c r="CU403" s="30"/>
      <c r="CV403" s="30"/>
      <c r="CW403" s="30"/>
      <c r="CX403" s="30"/>
      <c r="CY403" s="30"/>
      <c r="CZ403" s="30"/>
      <c r="DA403" s="30"/>
      <c r="DB403" s="30"/>
      <c r="DC403" s="30"/>
      <c r="DD403" s="30"/>
      <c r="DE403" s="30"/>
      <c r="DF403" s="30"/>
      <c r="DG403" s="30"/>
      <c r="DH403" s="30"/>
      <c r="DI403" s="30"/>
      <c r="DJ403" s="30"/>
      <c r="DK403" s="30"/>
      <c r="DL403" s="30"/>
      <c r="DM403" s="30"/>
      <c r="DN403" s="30"/>
      <c r="DO403" s="30"/>
      <c r="DP403" s="30"/>
      <c r="DQ403" s="30"/>
      <c r="DR403" s="30"/>
      <c r="DS403" s="30"/>
      <c r="DT403" s="30"/>
      <c r="DU403" s="30"/>
      <c r="DV403" s="30"/>
      <c r="DW403" s="30"/>
    </row>
    <row r="404" spans="1:127" ht="13">
      <c r="A404" s="39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  <c r="BV404" s="30"/>
      <c r="BW404" s="30"/>
      <c r="BX404" s="30"/>
      <c r="BY404" s="30"/>
      <c r="BZ404" s="30"/>
      <c r="CA404" s="30"/>
      <c r="CB404" s="30"/>
      <c r="CC404" s="30"/>
      <c r="CD404" s="30"/>
      <c r="CE404" s="30"/>
      <c r="CF404" s="30"/>
      <c r="CG404" s="30"/>
      <c r="CH404" s="30"/>
      <c r="CI404" s="30"/>
      <c r="CJ404" s="30"/>
      <c r="CK404" s="30"/>
      <c r="CL404" s="30"/>
      <c r="CM404" s="30"/>
      <c r="CN404" s="30"/>
      <c r="CO404" s="30"/>
      <c r="CP404" s="30"/>
      <c r="CQ404" s="30"/>
      <c r="CR404" s="30"/>
      <c r="CS404" s="30"/>
      <c r="CT404" s="30"/>
      <c r="CU404" s="30"/>
      <c r="CV404" s="30"/>
      <c r="CW404" s="30"/>
      <c r="CX404" s="30"/>
      <c r="CY404" s="30"/>
      <c r="CZ404" s="30"/>
      <c r="DA404" s="30"/>
      <c r="DB404" s="30"/>
      <c r="DC404" s="30"/>
      <c r="DD404" s="30"/>
      <c r="DE404" s="30"/>
      <c r="DF404" s="30"/>
      <c r="DG404" s="30"/>
      <c r="DH404" s="30"/>
      <c r="DI404" s="30"/>
      <c r="DJ404" s="30"/>
      <c r="DK404" s="30"/>
      <c r="DL404" s="30"/>
      <c r="DM404" s="30"/>
      <c r="DN404" s="30"/>
      <c r="DO404" s="30"/>
      <c r="DP404" s="30"/>
      <c r="DQ404" s="30"/>
      <c r="DR404" s="30"/>
      <c r="DS404" s="30"/>
      <c r="DT404" s="30"/>
      <c r="DU404" s="30"/>
      <c r="DV404" s="30"/>
      <c r="DW404" s="30"/>
    </row>
    <row r="405" spans="1:127" ht="13">
      <c r="A405" s="39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  <c r="BV405" s="30"/>
      <c r="BW405" s="30"/>
      <c r="BX405" s="30"/>
      <c r="BY405" s="30"/>
      <c r="BZ405" s="30"/>
      <c r="CA405" s="30"/>
      <c r="CB405" s="30"/>
      <c r="CC405" s="30"/>
      <c r="CD405" s="30"/>
      <c r="CE405" s="30"/>
      <c r="CF405" s="30"/>
      <c r="CG405" s="30"/>
      <c r="CH405" s="30"/>
      <c r="CI405" s="30"/>
      <c r="CJ405" s="30"/>
      <c r="CK405" s="30"/>
      <c r="CL405" s="30"/>
      <c r="CM405" s="30"/>
      <c r="CN405" s="30"/>
      <c r="CO405" s="30"/>
      <c r="CP405" s="30"/>
      <c r="CQ405" s="30"/>
      <c r="CR405" s="30"/>
      <c r="CS405" s="30"/>
      <c r="CT405" s="30"/>
      <c r="CU405" s="30"/>
      <c r="CV405" s="30"/>
      <c r="CW405" s="30"/>
      <c r="CX405" s="30"/>
      <c r="CY405" s="30"/>
      <c r="CZ405" s="30"/>
      <c r="DA405" s="30"/>
      <c r="DB405" s="30"/>
      <c r="DC405" s="30"/>
      <c r="DD405" s="30"/>
      <c r="DE405" s="30"/>
      <c r="DF405" s="30"/>
      <c r="DG405" s="30"/>
      <c r="DH405" s="30"/>
      <c r="DI405" s="30"/>
      <c r="DJ405" s="30"/>
      <c r="DK405" s="30"/>
      <c r="DL405" s="30"/>
      <c r="DM405" s="30"/>
      <c r="DN405" s="30"/>
      <c r="DO405" s="30"/>
      <c r="DP405" s="30"/>
      <c r="DQ405" s="30"/>
      <c r="DR405" s="30"/>
      <c r="DS405" s="30"/>
      <c r="DT405" s="30"/>
      <c r="DU405" s="30"/>
      <c r="DV405" s="30"/>
      <c r="DW405" s="30"/>
    </row>
    <row r="406" spans="1:127" ht="13">
      <c r="A406" s="39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  <c r="BU406" s="30"/>
      <c r="BV406" s="30"/>
      <c r="BW406" s="30"/>
      <c r="BX406" s="30"/>
      <c r="BY406" s="30"/>
      <c r="BZ406" s="30"/>
      <c r="CA406" s="30"/>
      <c r="CB406" s="30"/>
      <c r="CC406" s="30"/>
      <c r="CD406" s="30"/>
      <c r="CE406" s="30"/>
      <c r="CF406" s="30"/>
      <c r="CG406" s="30"/>
      <c r="CH406" s="30"/>
      <c r="CI406" s="30"/>
      <c r="CJ406" s="30"/>
      <c r="CK406" s="30"/>
      <c r="CL406" s="30"/>
      <c r="CM406" s="30"/>
      <c r="CN406" s="30"/>
      <c r="CO406" s="30"/>
      <c r="CP406" s="30"/>
      <c r="CQ406" s="30"/>
      <c r="CR406" s="30"/>
      <c r="CS406" s="30"/>
      <c r="CT406" s="30"/>
      <c r="CU406" s="30"/>
      <c r="CV406" s="30"/>
      <c r="CW406" s="30"/>
      <c r="CX406" s="30"/>
      <c r="CY406" s="30"/>
      <c r="CZ406" s="30"/>
      <c r="DA406" s="30"/>
      <c r="DB406" s="30"/>
      <c r="DC406" s="30"/>
      <c r="DD406" s="30"/>
      <c r="DE406" s="30"/>
      <c r="DF406" s="30"/>
      <c r="DG406" s="30"/>
      <c r="DH406" s="30"/>
      <c r="DI406" s="30"/>
      <c r="DJ406" s="30"/>
      <c r="DK406" s="30"/>
      <c r="DL406" s="30"/>
      <c r="DM406" s="30"/>
      <c r="DN406" s="30"/>
      <c r="DO406" s="30"/>
      <c r="DP406" s="30"/>
      <c r="DQ406" s="30"/>
      <c r="DR406" s="30"/>
      <c r="DS406" s="30"/>
      <c r="DT406" s="30"/>
      <c r="DU406" s="30"/>
      <c r="DV406" s="30"/>
      <c r="DW406" s="30"/>
    </row>
    <row r="407" spans="1:127" ht="13">
      <c r="A407" s="39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  <c r="BU407" s="30"/>
      <c r="BV407" s="30"/>
      <c r="BW407" s="30"/>
      <c r="BX407" s="30"/>
      <c r="BY407" s="30"/>
      <c r="BZ407" s="30"/>
      <c r="CA407" s="30"/>
      <c r="CB407" s="30"/>
      <c r="CC407" s="30"/>
      <c r="CD407" s="30"/>
      <c r="CE407" s="30"/>
      <c r="CF407" s="30"/>
      <c r="CG407" s="30"/>
      <c r="CH407" s="30"/>
      <c r="CI407" s="30"/>
      <c r="CJ407" s="30"/>
      <c r="CK407" s="30"/>
      <c r="CL407" s="30"/>
      <c r="CM407" s="30"/>
      <c r="CN407" s="30"/>
      <c r="CO407" s="30"/>
      <c r="CP407" s="30"/>
      <c r="CQ407" s="30"/>
      <c r="CR407" s="30"/>
      <c r="CS407" s="30"/>
      <c r="CT407" s="30"/>
      <c r="CU407" s="30"/>
      <c r="CV407" s="30"/>
      <c r="CW407" s="30"/>
      <c r="CX407" s="30"/>
      <c r="CY407" s="30"/>
      <c r="CZ407" s="30"/>
      <c r="DA407" s="30"/>
      <c r="DB407" s="30"/>
      <c r="DC407" s="30"/>
      <c r="DD407" s="30"/>
      <c r="DE407" s="30"/>
      <c r="DF407" s="30"/>
      <c r="DG407" s="30"/>
      <c r="DH407" s="30"/>
      <c r="DI407" s="30"/>
      <c r="DJ407" s="30"/>
      <c r="DK407" s="30"/>
      <c r="DL407" s="30"/>
      <c r="DM407" s="30"/>
      <c r="DN407" s="30"/>
      <c r="DO407" s="30"/>
      <c r="DP407" s="30"/>
      <c r="DQ407" s="30"/>
      <c r="DR407" s="30"/>
      <c r="DS407" s="30"/>
      <c r="DT407" s="30"/>
      <c r="DU407" s="30"/>
      <c r="DV407" s="30"/>
      <c r="DW407" s="30"/>
    </row>
    <row r="408" spans="1:127" ht="13">
      <c r="A408" s="39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  <c r="BV408" s="30"/>
      <c r="BW408" s="30"/>
      <c r="BX408" s="30"/>
      <c r="BY408" s="30"/>
      <c r="BZ408" s="30"/>
      <c r="CA408" s="30"/>
      <c r="CB408" s="30"/>
      <c r="CC408" s="30"/>
      <c r="CD408" s="30"/>
      <c r="CE408" s="30"/>
      <c r="CF408" s="30"/>
      <c r="CG408" s="30"/>
      <c r="CH408" s="30"/>
      <c r="CI408" s="30"/>
      <c r="CJ408" s="30"/>
      <c r="CK408" s="30"/>
      <c r="CL408" s="30"/>
      <c r="CM408" s="30"/>
      <c r="CN408" s="30"/>
      <c r="CO408" s="30"/>
      <c r="CP408" s="30"/>
      <c r="CQ408" s="30"/>
      <c r="CR408" s="30"/>
      <c r="CS408" s="30"/>
      <c r="CT408" s="30"/>
      <c r="CU408" s="30"/>
      <c r="CV408" s="30"/>
      <c r="CW408" s="30"/>
      <c r="CX408" s="30"/>
      <c r="CY408" s="30"/>
      <c r="CZ408" s="30"/>
      <c r="DA408" s="30"/>
      <c r="DB408" s="30"/>
      <c r="DC408" s="30"/>
      <c r="DD408" s="30"/>
      <c r="DE408" s="30"/>
      <c r="DF408" s="30"/>
      <c r="DG408" s="30"/>
      <c r="DH408" s="30"/>
      <c r="DI408" s="30"/>
      <c r="DJ408" s="30"/>
      <c r="DK408" s="30"/>
      <c r="DL408" s="30"/>
      <c r="DM408" s="30"/>
      <c r="DN408" s="30"/>
      <c r="DO408" s="30"/>
      <c r="DP408" s="30"/>
      <c r="DQ408" s="30"/>
      <c r="DR408" s="30"/>
      <c r="DS408" s="30"/>
      <c r="DT408" s="30"/>
      <c r="DU408" s="30"/>
      <c r="DV408" s="30"/>
      <c r="DW408" s="30"/>
    </row>
    <row r="409" spans="1:127" ht="13">
      <c r="A409" s="39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  <c r="BU409" s="30"/>
      <c r="BV409" s="30"/>
      <c r="BW409" s="30"/>
      <c r="BX409" s="30"/>
      <c r="BY409" s="30"/>
      <c r="BZ409" s="30"/>
      <c r="CA409" s="30"/>
      <c r="CB409" s="30"/>
      <c r="CC409" s="30"/>
      <c r="CD409" s="30"/>
      <c r="CE409" s="30"/>
      <c r="CF409" s="30"/>
      <c r="CG409" s="30"/>
      <c r="CH409" s="30"/>
      <c r="CI409" s="30"/>
      <c r="CJ409" s="30"/>
      <c r="CK409" s="30"/>
      <c r="CL409" s="30"/>
      <c r="CM409" s="30"/>
      <c r="CN409" s="30"/>
      <c r="CO409" s="30"/>
      <c r="CP409" s="30"/>
      <c r="CQ409" s="30"/>
      <c r="CR409" s="30"/>
      <c r="CS409" s="30"/>
      <c r="CT409" s="30"/>
      <c r="CU409" s="30"/>
      <c r="CV409" s="30"/>
      <c r="CW409" s="30"/>
      <c r="CX409" s="30"/>
      <c r="CY409" s="30"/>
      <c r="CZ409" s="30"/>
      <c r="DA409" s="30"/>
      <c r="DB409" s="30"/>
      <c r="DC409" s="30"/>
      <c r="DD409" s="30"/>
      <c r="DE409" s="30"/>
      <c r="DF409" s="30"/>
      <c r="DG409" s="30"/>
      <c r="DH409" s="30"/>
      <c r="DI409" s="30"/>
      <c r="DJ409" s="30"/>
      <c r="DK409" s="30"/>
      <c r="DL409" s="30"/>
      <c r="DM409" s="30"/>
      <c r="DN409" s="30"/>
      <c r="DO409" s="30"/>
      <c r="DP409" s="30"/>
      <c r="DQ409" s="30"/>
      <c r="DR409" s="30"/>
      <c r="DS409" s="30"/>
      <c r="DT409" s="30"/>
      <c r="DU409" s="30"/>
      <c r="DV409" s="30"/>
      <c r="DW409" s="30"/>
    </row>
    <row r="410" spans="1:127" ht="13">
      <c r="A410" s="39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  <c r="BS410" s="30"/>
      <c r="BT410" s="30"/>
      <c r="BU410" s="30"/>
      <c r="BV410" s="30"/>
      <c r="BW410" s="30"/>
      <c r="BX410" s="30"/>
      <c r="BY410" s="30"/>
      <c r="BZ410" s="30"/>
      <c r="CA410" s="30"/>
      <c r="CB410" s="30"/>
      <c r="CC410" s="30"/>
      <c r="CD410" s="30"/>
      <c r="CE410" s="30"/>
      <c r="CF410" s="30"/>
      <c r="CG410" s="30"/>
      <c r="CH410" s="30"/>
      <c r="CI410" s="30"/>
      <c r="CJ410" s="30"/>
      <c r="CK410" s="30"/>
      <c r="CL410" s="30"/>
      <c r="CM410" s="30"/>
      <c r="CN410" s="30"/>
      <c r="CO410" s="30"/>
      <c r="CP410" s="30"/>
      <c r="CQ410" s="30"/>
      <c r="CR410" s="30"/>
      <c r="CS410" s="30"/>
      <c r="CT410" s="30"/>
      <c r="CU410" s="30"/>
      <c r="CV410" s="30"/>
      <c r="CW410" s="30"/>
      <c r="CX410" s="30"/>
      <c r="CY410" s="30"/>
      <c r="CZ410" s="30"/>
      <c r="DA410" s="30"/>
      <c r="DB410" s="30"/>
      <c r="DC410" s="30"/>
      <c r="DD410" s="30"/>
      <c r="DE410" s="30"/>
      <c r="DF410" s="30"/>
      <c r="DG410" s="30"/>
      <c r="DH410" s="30"/>
      <c r="DI410" s="30"/>
      <c r="DJ410" s="30"/>
      <c r="DK410" s="30"/>
      <c r="DL410" s="30"/>
      <c r="DM410" s="30"/>
      <c r="DN410" s="30"/>
      <c r="DO410" s="30"/>
      <c r="DP410" s="30"/>
      <c r="DQ410" s="30"/>
      <c r="DR410" s="30"/>
      <c r="DS410" s="30"/>
      <c r="DT410" s="30"/>
      <c r="DU410" s="30"/>
      <c r="DV410" s="30"/>
      <c r="DW410" s="30"/>
    </row>
    <row r="411" spans="1:127" ht="13">
      <c r="A411" s="39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  <c r="BS411" s="30"/>
      <c r="BT411" s="30"/>
      <c r="BU411" s="30"/>
      <c r="BV411" s="30"/>
      <c r="BW411" s="30"/>
      <c r="BX411" s="30"/>
      <c r="BY411" s="30"/>
      <c r="BZ411" s="30"/>
      <c r="CA411" s="30"/>
      <c r="CB411" s="30"/>
      <c r="CC411" s="30"/>
      <c r="CD411" s="30"/>
      <c r="CE411" s="30"/>
      <c r="CF411" s="30"/>
      <c r="CG411" s="30"/>
      <c r="CH411" s="30"/>
      <c r="CI411" s="30"/>
      <c r="CJ411" s="30"/>
      <c r="CK411" s="30"/>
      <c r="CL411" s="30"/>
      <c r="CM411" s="30"/>
      <c r="CN411" s="30"/>
      <c r="CO411" s="30"/>
      <c r="CP411" s="30"/>
      <c r="CQ411" s="30"/>
      <c r="CR411" s="30"/>
      <c r="CS411" s="30"/>
      <c r="CT411" s="30"/>
      <c r="CU411" s="30"/>
      <c r="CV411" s="30"/>
      <c r="CW411" s="30"/>
      <c r="CX411" s="30"/>
      <c r="CY411" s="30"/>
      <c r="CZ411" s="30"/>
      <c r="DA411" s="30"/>
      <c r="DB411" s="30"/>
      <c r="DC411" s="30"/>
      <c r="DD411" s="30"/>
      <c r="DE411" s="30"/>
      <c r="DF411" s="30"/>
      <c r="DG411" s="30"/>
      <c r="DH411" s="30"/>
      <c r="DI411" s="30"/>
      <c r="DJ411" s="30"/>
      <c r="DK411" s="30"/>
      <c r="DL411" s="30"/>
      <c r="DM411" s="30"/>
      <c r="DN411" s="30"/>
      <c r="DO411" s="30"/>
      <c r="DP411" s="30"/>
      <c r="DQ411" s="30"/>
      <c r="DR411" s="30"/>
      <c r="DS411" s="30"/>
      <c r="DT411" s="30"/>
      <c r="DU411" s="30"/>
      <c r="DV411" s="30"/>
      <c r="DW411" s="30"/>
    </row>
    <row r="412" spans="1:127" ht="13">
      <c r="A412" s="39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  <c r="BS412" s="30"/>
      <c r="BT412" s="30"/>
      <c r="BU412" s="30"/>
      <c r="BV412" s="30"/>
      <c r="BW412" s="30"/>
      <c r="BX412" s="30"/>
      <c r="BY412" s="30"/>
      <c r="BZ412" s="30"/>
      <c r="CA412" s="30"/>
      <c r="CB412" s="30"/>
      <c r="CC412" s="30"/>
      <c r="CD412" s="30"/>
      <c r="CE412" s="30"/>
      <c r="CF412" s="30"/>
      <c r="CG412" s="30"/>
      <c r="CH412" s="30"/>
      <c r="CI412" s="30"/>
      <c r="CJ412" s="30"/>
      <c r="CK412" s="30"/>
      <c r="CL412" s="30"/>
      <c r="CM412" s="30"/>
      <c r="CN412" s="30"/>
      <c r="CO412" s="30"/>
      <c r="CP412" s="30"/>
      <c r="CQ412" s="30"/>
      <c r="CR412" s="30"/>
      <c r="CS412" s="30"/>
      <c r="CT412" s="30"/>
      <c r="CU412" s="30"/>
      <c r="CV412" s="30"/>
      <c r="CW412" s="30"/>
      <c r="CX412" s="30"/>
      <c r="CY412" s="30"/>
      <c r="CZ412" s="30"/>
      <c r="DA412" s="30"/>
      <c r="DB412" s="30"/>
      <c r="DC412" s="30"/>
      <c r="DD412" s="30"/>
      <c r="DE412" s="30"/>
      <c r="DF412" s="30"/>
      <c r="DG412" s="30"/>
      <c r="DH412" s="30"/>
      <c r="DI412" s="30"/>
      <c r="DJ412" s="30"/>
      <c r="DK412" s="30"/>
      <c r="DL412" s="30"/>
      <c r="DM412" s="30"/>
      <c r="DN412" s="30"/>
      <c r="DO412" s="30"/>
      <c r="DP412" s="30"/>
      <c r="DQ412" s="30"/>
      <c r="DR412" s="30"/>
      <c r="DS412" s="30"/>
      <c r="DT412" s="30"/>
      <c r="DU412" s="30"/>
      <c r="DV412" s="30"/>
      <c r="DW412" s="30"/>
    </row>
    <row r="413" spans="1:127" ht="13">
      <c r="A413" s="39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  <c r="BS413" s="30"/>
      <c r="BT413" s="30"/>
      <c r="BU413" s="30"/>
      <c r="BV413" s="30"/>
      <c r="BW413" s="30"/>
      <c r="BX413" s="30"/>
      <c r="BY413" s="30"/>
      <c r="BZ413" s="30"/>
      <c r="CA413" s="30"/>
      <c r="CB413" s="30"/>
      <c r="CC413" s="30"/>
      <c r="CD413" s="30"/>
      <c r="CE413" s="30"/>
      <c r="CF413" s="30"/>
      <c r="CG413" s="30"/>
      <c r="CH413" s="30"/>
      <c r="CI413" s="30"/>
      <c r="CJ413" s="30"/>
      <c r="CK413" s="30"/>
      <c r="CL413" s="30"/>
      <c r="CM413" s="30"/>
      <c r="CN413" s="30"/>
      <c r="CO413" s="30"/>
      <c r="CP413" s="30"/>
      <c r="CQ413" s="30"/>
      <c r="CR413" s="30"/>
      <c r="CS413" s="30"/>
      <c r="CT413" s="30"/>
      <c r="CU413" s="30"/>
      <c r="CV413" s="30"/>
      <c r="CW413" s="30"/>
      <c r="CX413" s="30"/>
      <c r="CY413" s="30"/>
      <c r="CZ413" s="30"/>
      <c r="DA413" s="30"/>
      <c r="DB413" s="30"/>
      <c r="DC413" s="30"/>
      <c r="DD413" s="30"/>
      <c r="DE413" s="30"/>
      <c r="DF413" s="30"/>
      <c r="DG413" s="30"/>
      <c r="DH413" s="30"/>
      <c r="DI413" s="30"/>
      <c r="DJ413" s="30"/>
      <c r="DK413" s="30"/>
      <c r="DL413" s="30"/>
      <c r="DM413" s="30"/>
      <c r="DN413" s="30"/>
      <c r="DO413" s="30"/>
      <c r="DP413" s="30"/>
      <c r="DQ413" s="30"/>
      <c r="DR413" s="30"/>
      <c r="DS413" s="30"/>
      <c r="DT413" s="30"/>
      <c r="DU413" s="30"/>
      <c r="DV413" s="30"/>
      <c r="DW413" s="30"/>
    </row>
    <row r="414" spans="1:127" ht="13">
      <c r="A414" s="39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30"/>
      <c r="DG414" s="30"/>
      <c r="DH414" s="30"/>
      <c r="DI414" s="30"/>
      <c r="DJ414" s="30"/>
      <c r="DK414" s="30"/>
      <c r="DL414" s="30"/>
      <c r="DM414" s="30"/>
      <c r="DN414" s="30"/>
      <c r="DO414" s="30"/>
      <c r="DP414" s="30"/>
      <c r="DQ414" s="30"/>
      <c r="DR414" s="30"/>
      <c r="DS414" s="30"/>
      <c r="DT414" s="30"/>
      <c r="DU414" s="30"/>
      <c r="DV414" s="30"/>
      <c r="DW414" s="30"/>
    </row>
    <row r="415" spans="1:127" ht="13">
      <c r="A415" s="39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  <c r="BS415" s="30"/>
      <c r="BT415" s="30"/>
      <c r="BU415" s="30"/>
      <c r="BV415" s="30"/>
      <c r="BW415" s="30"/>
      <c r="BX415" s="30"/>
      <c r="BY415" s="30"/>
      <c r="BZ415" s="30"/>
      <c r="CA415" s="30"/>
      <c r="CB415" s="30"/>
      <c r="CC415" s="30"/>
      <c r="CD415" s="30"/>
      <c r="CE415" s="30"/>
      <c r="CF415" s="30"/>
      <c r="CG415" s="30"/>
      <c r="CH415" s="30"/>
      <c r="CI415" s="30"/>
      <c r="CJ415" s="30"/>
      <c r="CK415" s="30"/>
      <c r="CL415" s="30"/>
      <c r="CM415" s="30"/>
      <c r="CN415" s="30"/>
      <c r="CO415" s="30"/>
      <c r="CP415" s="30"/>
      <c r="CQ415" s="30"/>
      <c r="CR415" s="30"/>
      <c r="CS415" s="30"/>
      <c r="CT415" s="30"/>
      <c r="CU415" s="30"/>
      <c r="CV415" s="30"/>
      <c r="CW415" s="30"/>
      <c r="CX415" s="30"/>
      <c r="CY415" s="30"/>
      <c r="CZ415" s="30"/>
      <c r="DA415" s="30"/>
      <c r="DB415" s="30"/>
      <c r="DC415" s="30"/>
      <c r="DD415" s="30"/>
      <c r="DE415" s="30"/>
      <c r="DF415" s="30"/>
      <c r="DG415" s="30"/>
      <c r="DH415" s="30"/>
      <c r="DI415" s="30"/>
      <c r="DJ415" s="30"/>
      <c r="DK415" s="30"/>
      <c r="DL415" s="30"/>
      <c r="DM415" s="30"/>
      <c r="DN415" s="30"/>
      <c r="DO415" s="30"/>
      <c r="DP415" s="30"/>
      <c r="DQ415" s="30"/>
      <c r="DR415" s="30"/>
      <c r="DS415" s="30"/>
      <c r="DT415" s="30"/>
      <c r="DU415" s="30"/>
      <c r="DV415" s="30"/>
      <c r="DW415" s="30"/>
    </row>
    <row r="416" spans="1:127" ht="13">
      <c r="A416" s="39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  <c r="BS416" s="30"/>
      <c r="BT416" s="30"/>
      <c r="BU416" s="30"/>
      <c r="BV416" s="30"/>
      <c r="BW416" s="30"/>
      <c r="BX416" s="30"/>
      <c r="BY416" s="30"/>
      <c r="BZ416" s="30"/>
      <c r="CA416" s="30"/>
      <c r="CB416" s="30"/>
      <c r="CC416" s="30"/>
      <c r="CD416" s="30"/>
      <c r="CE416" s="30"/>
      <c r="CF416" s="30"/>
      <c r="CG416" s="30"/>
      <c r="CH416" s="30"/>
      <c r="CI416" s="30"/>
      <c r="CJ416" s="30"/>
      <c r="CK416" s="30"/>
      <c r="CL416" s="30"/>
      <c r="CM416" s="30"/>
      <c r="CN416" s="30"/>
      <c r="CO416" s="30"/>
      <c r="CP416" s="30"/>
      <c r="CQ416" s="30"/>
      <c r="CR416" s="30"/>
      <c r="CS416" s="30"/>
      <c r="CT416" s="30"/>
      <c r="CU416" s="30"/>
      <c r="CV416" s="30"/>
      <c r="CW416" s="30"/>
      <c r="CX416" s="30"/>
      <c r="CY416" s="30"/>
      <c r="CZ416" s="30"/>
      <c r="DA416" s="30"/>
      <c r="DB416" s="30"/>
      <c r="DC416" s="30"/>
      <c r="DD416" s="30"/>
      <c r="DE416" s="30"/>
      <c r="DF416" s="30"/>
      <c r="DG416" s="30"/>
      <c r="DH416" s="30"/>
      <c r="DI416" s="30"/>
      <c r="DJ416" s="30"/>
      <c r="DK416" s="30"/>
      <c r="DL416" s="30"/>
      <c r="DM416" s="30"/>
      <c r="DN416" s="30"/>
      <c r="DO416" s="30"/>
      <c r="DP416" s="30"/>
      <c r="DQ416" s="30"/>
      <c r="DR416" s="30"/>
      <c r="DS416" s="30"/>
      <c r="DT416" s="30"/>
      <c r="DU416" s="30"/>
      <c r="DV416" s="30"/>
      <c r="DW416" s="30"/>
    </row>
    <row r="417" spans="1:127" ht="13">
      <c r="A417" s="39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  <c r="BV417" s="30"/>
      <c r="BW417" s="30"/>
      <c r="BX417" s="30"/>
      <c r="BY417" s="30"/>
      <c r="BZ417" s="30"/>
      <c r="CA417" s="30"/>
      <c r="CB417" s="30"/>
      <c r="CC417" s="30"/>
      <c r="CD417" s="30"/>
      <c r="CE417" s="30"/>
      <c r="CF417" s="30"/>
      <c r="CG417" s="30"/>
      <c r="CH417" s="30"/>
      <c r="CI417" s="30"/>
      <c r="CJ417" s="30"/>
      <c r="CK417" s="30"/>
      <c r="CL417" s="30"/>
      <c r="CM417" s="30"/>
      <c r="CN417" s="30"/>
      <c r="CO417" s="30"/>
      <c r="CP417" s="30"/>
      <c r="CQ417" s="30"/>
      <c r="CR417" s="30"/>
      <c r="CS417" s="30"/>
      <c r="CT417" s="30"/>
      <c r="CU417" s="30"/>
      <c r="CV417" s="30"/>
      <c r="CW417" s="30"/>
      <c r="CX417" s="30"/>
      <c r="CY417" s="30"/>
      <c r="CZ417" s="30"/>
      <c r="DA417" s="30"/>
      <c r="DB417" s="30"/>
      <c r="DC417" s="30"/>
      <c r="DD417" s="30"/>
      <c r="DE417" s="30"/>
      <c r="DF417" s="30"/>
      <c r="DG417" s="30"/>
      <c r="DH417" s="30"/>
      <c r="DI417" s="30"/>
      <c r="DJ417" s="30"/>
      <c r="DK417" s="30"/>
      <c r="DL417" s="30"/>
      <c r="DM417" s="30"/>
      <c r="DN417" s="30"/>
      <c r="DO417" s="30"/>
      <c r="DP417" s="30"/>
      <c r="DQ417" s="30"/>
      <c r="DR417" s="30"/>
      <c r="DS417" s="30"/>
      <c r="DT417" s="30"/>
      <c r="DU417" s="30"/>
      <c r="DV417" s="30"/>
      <c r="DW417" s="30"/>
    </row>
    <row r="418" spans="1:127" ht="13">
      <c r="A418" s="39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  <c r="BV418" s="30"/>
      <c r="BW418" s="30"/>
      <c r="BX418" s="30"/>
      <c r="BY418" s="30"/>
      <c r="BZ418" s="30"/>
      <c r="CA418" s="30"/>
      <c r="CB418" s="30"/>
      <c r="CC418" s="30"/>
      <c r="CD418" s="30"/>
      <c r="CE418" s="30"/>
      <c r="CF418" s="30"/>
      <c r="CG418" s="30"/>
      <c r="CH418" s="30"/>
      <c r="CI418" s="30"/>
      <c r="CJ418" s="30"/>
      <c r="CK418" s="30"/>
      <c r="CL418" s="30"/>
      <c r="CM418" s="30"/>
      <c r="CN418" s="30"/>
      <c r="CO418" s="30"/>
      <c r="CP418" s="30"/>
      <c r="CQ418" s="30"/>
      <c r="CR418" s="30"/>
      <c r="CS418" s="30"/>
      <c r="CT418" s="30"/>
      <c r="CU418" s="30"/>
      <c r="CV418" s="30"/>
      <c r="CW418" s="30"/>
      <c r="CX418" s="30"/>
      <c r="CY418" s="30"/>
      <c r="CZ418" s="30"/>
      <c r="DA418" s="30"/>
      <c r="DB418" s="30"/>
      <c r="DC418" s="30"/>
      <c r="DD418" s="30"/>
      <c r="DE418" s="30"/>
      <c r="DF418" s="30"/>
      <c r="DG418" s="30"/>
      <c r="DH418" s="30"/>
      <c r="DI418" s="30"/>
      <c r="DJ418" s="30"/>
      <c r="DK418" s="30"/>
      <c r="DL418" s="30"/>
      <c r="DM418" s="30"/>
      <c r="DN418" s="30"/>
      <c r="DO418" s="30"/>
      <c r="DP418" s="30"/>
      <c r="DQ418" s="30"/>
      <c r="DR418" s="30"/>
      <c r="DS418" s="30"/>
      <c r="DT418" s="30"/>
      <c r="DU418" s="30"/>
      <c r="DV418" s="30"/>
      <c r="DW418" s="30"/>
    </row>
    <row r="419" spans="1:127" ht="13">
      <c r="A419" s="39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  <c r="BS419" s="30"/>
      <c r="BT419" s="30"/>
      <c r="BU419" s="30"/>
      <c r="BV419" s="30"/>
      <c r="BW419" s="30"/>
      <c r="BX419" s="30"/>
      <c r="BY419" s="30"/>
      <c r="BZ419" s="30"/>
      <c r="CA419" s="30"/>
      <c r="CB419" s="30"/>
      <c r="CC419" s="30"/>
      <c r="CD419" s="30"/>
      <c r="CE419" s="30"/>
      <c r="CF419" s="30"/>
      <c r="CG419" s="30"/>
      <c r="CH419" s="30"/>
      <c r="CI419" s="30"/>
      <c r="CJ419" s="30"/>
      <c r="CK419" s="30"/>
      <c r="CL419" s="30"/>
      <c r="CM419" s="30"/>
      <c r="CN419" s="30"/>
      <c r="CO419" s="30"/>
      <c r="CP419" s="30"/>
      <c r="CQ419" s="30"/>
      <c r="CR419" s="30"/>
      <c r="CS419" s="30"/>
      <c r="CT419" s="30"/>
      <c r="CU419" s="30"/>
      <c r="CV419" s="30"/>
      <c r="CW419" s="30"/>
      <c r="CX419" s="30"/>
      <c r="CY419" s="30"/>
      <c r="CZ419" s="30"/>
      <c r="DA419" s="30"/>
      <c r="DB419" s="30"/>
      <c r="DC419" s="30"/>
      <c r="DD419" s="30"/>
      <c r="DE419" s="30"/>
      <c r="DF419" s="30"/>
      <c r="DG419" s="30"/>
      <c r="DH419" s="30"/>
      <c r="DI419" s="30"/>
      <c r="DJ419" s="30"/>
      <c r="DK419" s="30"/>
      <c r="DL419" s="30"/>
      <c r="DM419" s="30"/>
      <c r="DN419" s="30"/>
      <c r="DO419" s="30"/>
      <c r="DP419" s="30"/>
      <c r="DQ419" s="30"/>
      <c r="DR419" s="30"/>
      <c r="DS419" s="30"/>
      <c r="DT419" s="30"/>
      <c r="DU419" s="30"/>
      <c r="DV419" s="30"/>
      <c r="DW419" s="30"/>
    </row>
    <row r="420" spans="1:127" ht="13">
      <c r="A420" s="39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  <c r="BS420" s="30"/>
      <c r="BT420" s="30"/>
      <c r="BU420" s="30"/>
      <c r="BV420" s="30"/>
      <c r="BW420" s="30"/>
      <c r="BX420" s="30"/>
      <c r="BY420" s="30"/>
      <c r="BZ420" s="30"/>
      <c r="CA420" s="30"/>
      <c r="CB420" s="30"/>
      <c r="CC420" s="30"/>
      <c r="CD420" s="30"/>
      <c r="CE420" s="30"/>
      <c r="CF420" s="30"/>
      <c r="CG420" s="30"/>
      <c r="CH420" s="30"/>
      <c r="CI420" s="30"/>
      <c r="CJ420" s="30"/>
      <c r="CK420" s="30"/>
      <c r="CL420" s="30"/>
      <c r="CM420" s="30"/>
      <c r="CN420" s="30"/>
      <c r="CO420" s="30"/>
      <c r="CP420" s="30"/>
      <c r="CQ420" s="30"/>
      <c r="CR420" s="30"/>
      <c r="CS420" s="30"/>
      <c r="CT420" s="30"/>
      <c r="CU420" s="30"/>
      <c r="CV420" s="30"/>
      <c r="CW420" s="30"/>
      <c r="CX420" s="30"/>
      <c r="CY420" s="30"/>
      <c r="CZ420" s="30"/>
      <c r="DA420" s="30"/>
      <c r="DB420" s="30"/>
      <c r="DC420" s="30"/>
      <c r="DD420" s="30"/>
      <c r="DE420" s="30"/>
      <c r="DF420" s="30"/>
      <c r="DG420" s="30"/>
      <c r="DH420" s="30"/>
      <c r="DI420" s="30"/>
      <c r="DJ420" s="30"/>
      <c r="DK420" s="30"/>
      <c r="DL420" s="30"/>
      <c r="DM420" s="30"/>
      <c r="DN420" s="30"/>
      <c r="DO420" s="30"/>
      <c r="DP420" s="30"/>
      <c r="DQ420" s="30"/>
      <c r="DR420" s="30"/>
      <c r="DS420" s="30"/>
      <c r="DT420" s="30"/>
      <c r="DU420" s="30"/>
      <c r="DV420" s="30"/>
      <c r="DW420" s="30"/>
    </row>
    <row r="421" spans="1:127" ht="13">
      <c r="A421" s="39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  <c r="BS421" s="30"/>
      <c r="BT421" s="30"/>
      <c r="BU421" s="30"/>
      <c r="BV421" s="30"/>
      <c r="BW421" s="30"/>
      <c r="BX421" s="30"/>
      <c r="BY421" s="30"/>
      <c r="BZ421" s="30"/>
      <c r="CA421" s="30"/>
      <c r="CB421" s="30"/>
      <c r="CC421" s="30"/>
      <c r="CD421" s="30"/>
      <c r="CE421" s="30"/>
      <c r="CF421" s="30"/>
      <c r="CG421" s="30"/>
      <c r="CH421" s="30"/>
      <c r="CI421" s="30"/>
      <c r="CJ421" s="30"/>
      <c r="CK421" s="30"/>
      <c r="CL421" s="30"/>
      <c r="CM421" s="30"/>
      <c r="CN421" s="30"/>
      <c r="CO421" s="30"/>
      <c r="CP421" s="30"/>
      <c r="CQ421" s="30"/>
      <c r="CR421" s="30"/>
      <c r="CS421" s="30"/>
      <c r="CT421" s="30"/>
      <c r="CU421" s="30"/>
      <c r="CV421" s="30"/>
      <c r="CW421" s="30"/>
      <c r="CX421" s="30"/>
      <c r="CY421" s="30"/>
      <c r="CZ421" s="30"/>
      <c r="DA421" s="30"/>
      <c r="DB421" s="30"/>
      <c r="DC421" s="30"/>
      <c r="DD421" s="30"/>
      <c r="DE421" s="30"/>
      <c r="DF421" s="30"/>
      <c r="DG421" s="30"/>
      <c r="DH421" s="30"/>
      <c r="DI421" s="30"/>
      <c r="DJ421" s="30"/>
      <c r="DK421" s="30"/>
      <c r="DL421" s="30"/>
      <c r="DM421" s="30"/>
      <c r="DN421" s="30"/>
      <c r="DO421" s="30"/>
      <c r="DP421" s="30"/>
      <c r="DQ421" s="30"/>
      <c r="DR421" s="30"/>
      <c r="DS421" s="30"/>
      <c r="DT421" s="30"/>
      <c r="DU421" s="30"/>
      <c r="DV421" s="30"/>
      <c r="DW421" s="30"/>
    </row>
    <row r="422" spans="1:127" ht="13">
      <c r="A422" s="39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  <c r="BU422" s="30"/>
      <c r="BV422" s="30"/>
      <c r="BW422" s="30"/>
      <c r="BX422" s="30"/>
      <c r="BY422" s="30"/>
      <c r="BZ422" s="30"/>
      <c r="CA422" s="30"/>
      <c r="CB422" s="30"/>
      <c r="CC422" s="30"/>
      <c r="CD422" s="30"/>
      <c r="CE422" s="30"/>
      <c r="CF422" s="30"/>
      <c r="CG422" s="30"/>
      <c r="CH422" s="30"/>
      <c r="CI422" s="30"/>
      <c r="CJ422" s="30"/>
      <c r="CK422" s="30"/>
      <c r="CL422" s="30"/>
      <c r="CM422" s="30"/>
      <c r="CN422" s="30"/>
      <c r="CO422" s="30"/>
      <c r="CP422" s="30"/>
      <c r="CQ422" s="30"/>
      <c r="CR422" s="30"/>
      <c r="CS422" s="30"/>
      <c r="CT422" s="30"/>
      <c r="CU422" s="30"/>
      <c r="CV422" s="30"/>
      <c r="CW422" s="30"/>
      <c r="CX422" s="30"/>
      <c r="CY422" s="30"/>
      <c r="CZ422" s="30"/>
      <c r="DA422" s="30"/>
      <c r="DB422" s="30"/>
      <c r="DC422" s="30"/>
      <c r="DD422" s="30"/>
      <c r="DE422" s="30"/>
      <c r="DF422" s="30"/>
      <c r="DG422" s="30"/>
      <c r="DH422" s="30"/>
      <c r="DI422" s="30"/>
      <c r="DJ422" s="30"/>
      <c r="DK422" s="30"/>
      <c r="DL422" s="30"/>
      <c r="DM422" s="30"/>
      <c r="DN422" s="30"/>
      <c r="DO422" s="30"/>
      <c r="DP422" s="30"/>
      <c r="DQ422" s="30"/>
      <c r="DR422" s="30"/>
      <c r="DS422" s="30"/>
      <c r="DT422" s="30"/>
      <c r="DU422" s="30"/>
      <c r="DV422" s="30"/>
      <c r="DW422" s="30"/>
    </row>
    <row r="423" spans="1:127" ht="13">
      <c r="A423" s="39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  <c r="BS423" s="30"/>
      <c r="BT423" s="30"/>
      <c r="BU423" s="30"/>
      <c r="BV423" s="30"/>
      <c r="BW423" s="30"/>
      <c r="BX423" s="30"/>
      <c r="BY423" s="30"/>
      <c r="BZ423" s="30"/>
      <c r="CA423" s="30"/>
      <c r="CB423" s="30"/>
      <c r="CC423" s="30"/>
      <c r="CD423" s="30"/>
      <c r="CE423" s="30"/>
      <c r="CF423" s="30"/>
      <c r="CG423" s="30"/>
      <c r="CH423" s="30"/>
      <c r="CI423" s="30"/>
      <c r="CJ423" s="30"/>
      <c r="CK423" s="30"/>
      <c r="CL423" s="30"/>
      <c r="CM423" s="30"/>
      <c r="CN423" s="30"/>
      <c r="CO423" s="30"/>
      <c r="CP423" s="30"/>
      <c r="CQ423" s="30"/>
      <c r="CR423" s="30"/>
      <c r="CS423" s="30"/>
      <c r="CT423" s="30"/>
      <c r="CU423" s="30"/>
      <c r="CV423" s="30"/>
      <c r="CW423" s="30"/>
      <c r="CX423" s="30"/>
      <c r="CY423" s="30"/>
      <c r="CZ423" s="30"/>
      <c r="DA423" s="30"/>
      <c r="DB423" s="30"/>
      <c r="DC423" s="30"/>
      <c r="DD423" s="30"/>
      <c r="DE423" s="30"/>
      <c r="DF423" s="30"/>
      <c r="DG423" s="30"/>
      <c r="DH423" s="30"/>
      <c r="DI423" s="30"/>
      <c r="DJ423" s="30"/>
      <c r="DK423" s="30"/>
      <c r="DL423" s="30"/>
      <c r="DM423" s="30"/>
      <c r="DN423" s="30"/>
      <c r="DO423" s="30"/>
      <c r="DP423" s="30"/>
      <c r="DQ423" s="30"/>
      <c r="DR423" s="30"/>
      <c r="DS423" s="30"/>
      <c r="DT423" s="30"/>
      <c r="DU423" s="30"/>
      <c r="DV423" s="30"/>
      <c r="DW423" s="30"/>
    </row>
    <row r="424" spans="1:127" ht="13">
      <c r="A424" s="39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  <c r="BS424" s="30"/>
      <c r="BT424" s="30"/>
      <c r="BU424" s="30"/>
      <c r="BV424" s="30"/>
      <c r="BW424" s="30"/>
      <c r="BX424" s="30"/>
      <c r="BY424" s="30"/>
      <c r="BZ424" s="30"/>
      <c r="CA424" s="30"/>
      <c r="CB424" s="30"/>
      <c r="CC424" s="30"/>
      <c r="CD424" s="30"/>
      <c r="CE424" s="30"/>
      <c r="CF424" s="30"/>
      <c r="CG424" s="30"/>
      <c r="CH424" s="30"/>
      <c r="CI424" s="30"/>
      <c r="CJ424" s="30"/>
      <c r="CK424" s="30"/>
      <c r="CL424" s="30"/>
      <c r="CM424" s="30"/>
      <c r="CN424" s="30"/>
      <c r="CO424" s="30"/>
      <c r="CP424" s="30"/>
      <c r="CQ424" s="30"/>
      <c r="CR424" s="30"/>
      <c r="CS424" s="30"/>
      <c r="CT424" s="30"/>
      <c r="CU424" s="30"/>
      <c r="CV424" s="30"/>
      <c r="CW424" s="30"/>
      <c r="CX424" s="30"/>
      <c r="CY424" s="30"/>
      <c r="CZ424" s="30"/>
      <c r="DA424" s="30"/>
      <c r="DB424" s="30"/>
      <c r="DC424" s="30"/>
      <c r="DD424" s="30"/>
      <c r="DE424" s="30"/>
      <c r="DF424" s="30"/>
      <c r="DG424" s="30"/>
      <c r="DH424" s="30"/>
      <c r="DI424" s="30"/>
      <c r="DJ424" s="30"/>
      <c r="DK424" s="30"/>
      <c r="DL424" s="30"/>
      <c r="DM424" s="30"/>
      <c r="DN424" s="30"/>
      <c r="DO424" s="30"/>
      <c r="DP424" s="30"/>
      <c r="DQ424" s="30"/>
      <c r="DR424" s="30"/>
      <c r="DS424" s="30"/>
      <c r="DT424" s="30"/>
      <c r="DU424" s="30"/>
      <c r="DV424" s="30"/>
      <c r="DW424" s="30"/>
    </row>
    <row r="425" spans="1:127" ht="13">
      <c r="A425" s="39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  <c r="BU425" s="30"/>
      <c r="BV425" s="30"/>
      <c r="BW425" s="30"/>
      <c r="BX425" s="30"/>
      <c r="BY425" s="30"/>
      <c r="BZ425" s="30"/>
      <c r="CA425" s="30"/>
      <c r="CB425" s="30"/>
      <c r="CC425" s="30"/>
      <c r="CD425" s="30"/>
      <c r="CE425" s="30"/>
      <c r="CF425" s="30"/>
      <c r="CG425" s="30"/>
      <c r="CH425" s="30"/>
      <c r="CI425" s="30"/>
      <c r="CJ425" s="30"/>
      <c r="CK425" s="30"/>
      <c r="CL425" s="30"/>
      <c r="CM425" s="30"/>
      <c r="CN425" s="30"/>
      <c r="CO425" s="30"/>
      <c r="CP425" s="30"/>
      <c r="CQ425" s="30"/>
      <c r="CR425" s="30"/>
      <c r="CS425" s="30"/>
      <c r="CT425" s="30"/>
      <c r="CU425" s="30"/>
      <c r="CV425" s="30"/>
      <c r="CW425" s="30"/>
      <c r="CX425" s="30"/>
      <c r="CY425" s="30"/>
      <c r="CZ425" s="30"/>
      <c r="DA425" s="30"/>
      <c r="DB425" s="30"/>
      <c r="DC425" s="30"/>
      <c r="DD425" s="30"/>
      <c r="DE425" s="30"/>
      <c r="DF425" s="30"/>
      <c r="DG425" s="30"/>
      <c r="DH425" s="30"/>
      <c r="DI425" s="30"/>
      <c r="DJ425" s="30"/>
      <c r="DK425" s="30"/>
      <c r="DL425" s="30"/>
      <c r="DM425" s="30"/>
      <c r="DN425" s="30"/>
      <c r="DO425" s="30"/>
      <c r="DP425" s="30"/>
      <c r="DQ425" s="30"/>
      <c r="DR425" s="30"/>
      <c r="DS425" s="30"/>
      <c r="DT425" s="30"/>
      <c r="DU425" s="30"/>
      <c r="DV425" s="30"/>
      <c r="DW425" s="30"/>
    </row>
    <row r="426" spans="1:127" ht="13">
      <c r="A426" s="39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  <c r="BV426" s="30"/>
      <c r="BW426" s="30"/>
      <c r="BX426" s="30"/>
      <c r="BY426" s="30"/>
      <c r="BZ426" s="30"/>
      <c r="CA426" s="30"/>
      <c r="CB426" s="30"/>
      <c r="CC426" s="30"/>
      <c r="CD426" s="30"/>
      <c r="CE426" s="30"/>
      <c r="CF426" s="30"/>
      <c r="CG426" s="30"/>
      <c r="CH426" s="30"/>
      <c r="CI426" s="30"/>
      <c r="CJ426" s="30"/>
      <c r="CK426" s="30"/>
      <c r="CL426" s="30"/>
      <c r="CM426" s="30"/>
      <c r="CN426" s="30"/>
      <c r="CO426" s="30"/>
      <c r="CP426" s="30"/>
      <c r="CQ426" s="30"/>
      <c r="CR426" s="30"/>
      <c r="CS426" s="30"/>
      <c r="CT426" s="30"/>
      <c r="CU426" s="30"/>
      <c r="CV426" s="30"/>
      <c r="CW426" s="30"/>
      <c r="CX426" s="30"/>
      <c r="CY426" s="30"/>
      <c r="CZ426" s="30"/>
      <c r="DA426" s="30"/>
      <c r="DB426" s="30"/>
      <c r="DC426" s="30"/>
      <c r="DD426" s="30"/>
      <c r="DE426" s="30"/>
      <c r="DF426" s="30"/>
      <c r="DG426" s="30"/>
      <c r="DH426" s="30"/>
      <c r="DI426" s="30"/>
      <c r="DJ426" s="30"/>
      <c r="DK426" s="30"/>
      <c r="DL426" s="30"/>
      <c r="DM426" s="30"/>
      <c r="DN426" s="30"/>
      <c r="DO426" s="30"/>
      <c r="DP426" s="30"/>
      <c r="DQ426" s="30"/>
      <c r="DR426" s="30"/>
      <c r="DS426" s="30"/>
      <c r="DT426" s="30"/>
      <c r="DU426" s="30"/>
      <c r="DV426" s="30"/>
      <c r="DW426" s="30"/>
    </row>
    <row r="427" spans="1:127" ht="13">
      <c r="A427" s="39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  <c r="BU427" s="30"/>
      <c r="BV427" s="30"/>
      <c r="BW427" s="30"/>
      <c r="BX427" s="30"/>
      <c r="BY427" s="30"/>
      <c r="BZ427" s="30"/>
      <c r="CA427" s="30"/>
      <c r="CB427" s="30"/>
      <c r="CC427" s="30"/>
      <c r="CD427" s="3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  <c r="CQ427" s="30"/>
      <c r="CR427" s="30"/>
      <c r="CS427" s="30"/>
      <c r="CT427" s="30"/>
      <c r="CU427" s="30"/>
      <c r="CV427" s="30"/>
      <c r="CW427" s="30"/>
      <c r="CX427" s="30"/>
      <c r="CY427" s="30"/>
      <c r="CZ427" s="30"/>
      <c r="DA427" s="30"/>
      <c r="DB427" s="30"/>
      <c r="DC427" s="30"/>
      <c r="DD427" s="30"/>
      <c r="DE427" s="30"/>
      <c r="DF427" s="30"/>
      <c r="DG427" s="30"/>
      <c r="DH427" s="30"/>
      <c r="DI427" s="30"/>
      <c r="DJ427" s="30"/>
      <c r="DK427" s="30"/>
      <c r="DL427" s="30"/>
      <c r="DM427" s="30"/>
      <c r="DN427" s="30"/>
      <c r="DO427" s="30"/>
      <c r="DP427" s="30"/>
      <c r="DQ427" s="30"/>
      <c r="DR427" s="30"/>
      <c r="DS427" s="30"/>
      <c r="DT427" s="30"/>
      <c r="DU427" s="30"/>
      <c r="DV427" s="30"/>
      <c r="DW427" s="30"/>
    </row>
    <row r="428" spans="1:127" ht="13">
      <c r="A428" s="39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  <c r="BS428" s="30"/>
      <c r="BT428" s="30"/>
      <c r="BU428" s="30"/>
      <c r="BV428" s="30"/>
      <c r="BW428" s="30"/>
      <c r="BX428" s="30"/>
      <c r="BY428" s="30"/>
      <c r="BZ428" s="30"/>
      <c r="CA428" s="30"/>
      <c r="CB428" s="30"/>
      <c r="CC428" s="30"/>
      <c r="CD428" s="30"/>
      <c r="CE428" s="30"/>
      <c r="CF428" s="30"/>
      <c r="CG428" s="30"/>
      <c r="CH428" s="30"/>
      <c r="CI428" s="30"/>
      <c r="CJ428" s="30"/>
      <c r="CK428" s="30"/>
      <c r="CL428" s="30"/>
      <c r="CM428" s="30"/>
      <c r="CN428" s="30"/>
      <c r="CO428" s="30"/>
      <c r="CP428" s="30"/>
      <c r="CQ428" s="30"/>
      <c r="CR428" s="30"/>
      <c r="CS428" s="30"/>
      <c r="CT428" s="30"/>
      <c r="CU428" s="30"/>
      <c r="CV428" s="30"/>
      <c r="CW428" s="30"/>
      <c r="CX428" s="30"/>
      <c r="CY428" s="30"/>
      <c r="CZ428" s="30"/>
      <c r="DA428" s="30"/>
      <c r="DB428" s="30"/>
      <c r="DC428" s="30"/>
      <c r="DD428" s="30"/>
      <c r="DE428" s="30"/>
      <c r="DF428" s="30"/>
      <c r="DG428" s="30"/>
      <c r="DH428" s="30"/>
      <c r="DI428" s="30"/>
      <c r="DJ428" s="30"/>
      <c r="DK428" s="30"/>
      <c r="DL428" s="30"/>
      <c r="DM428" s="30"/>
      <c r="DN428" s="30"/>
      <c r="DO428" s="30"/>
      <c r="DP428" s="30"/>
      <c r="DQ428" s="30"/>
      <c r="DR428" s="30"/>
      <c r="DS428" s="30"/>
      <c r="DT428" s="30"/>
      <c r="DU428" s="30"/>
      <c r="DV428" s="30"/>
      <c r="DW428" s="30"/>
    </row>
    <row r="429" spans="1:127" ht="13">
      <c r="A429" s="39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  <c r="BS429" s="30"/>
      <c r="BT429" s="30"/>
      <c r="BU429" s="30"/>
      <c r="BV429" s="30"/>
      <c r="BW429" s="30"/>
      <c r="BX429" s="30"/>
      <c r="BY429" s="30"/>
      <c r="BZ429" s="30"/>
      <c r="CA429" s="30"/>
      <c r="CB429" s="30"/>
      <c r="CC429" s="30"/>
      <c r="CD429" s="30"/>
      <c r="CE429" s="30"/>
      <c r="CF429" s="30"/>
      <c r="CG429" s="30"/>
      <c r="CH429" s="30"/>
      <c r="CI429" s="30"/>
      <c r="CJ429" s="30"/>
      <c r="CK429" s="30"/>
      <c r="CL429" s="30"/>
      <c r="CM429" s="30"/>
      <c r="CN429" s="30"/>
      <c r="CO429" s="30"/>
      <c r="CP429" s="30"/>
      <c r="CQ429" s="30"/>
      <c r="CR429" s="30"/>
      <c r="CS429" s="30"/>
      <c r="CT429" s="30"/>
      <c r="CU429" s="30"/>
      <c r="CV429" s="30"/>
      <c r="CW429" s="30"/>
      <c r="CX429" s="30"/>
      <c r="CY429" s="30"/>
      <c r="CZ429" s="30"/>
      <c r="DA429" s="30"/>
      <c r="DB429" s="30"/>
      <c r="DC429" s="30"/>
      <c r="DD429" s="30"/>
      <c r="DE429" s="30"/>
      <c r="DF429" s="30"/>
      <c r="DG429" s="30"/>
      <c r="DH429" s="30"/>
      <c r="DI429" s="30"/>
      <c r="DJ429" s="30"/>
      <c r="DK429" s="30"/>
      <c r="DL429" s="30"/>
      <c r="DM429" s="30"/>
      <c r="DN429" s="30"/>
      <c r="DO429" s="30"/>
      <c r="DP429" s="30"/>
      <c r="DQ429" s="30"/>
      <c r="DR429" s="30"/>
      <c r="DS429" s="30"/>
      <c r="DT429" s="30"/>
      <c r="DU429" s="30"/>
      <c r="DV429" s="30"/>
      <c r="DW429" s="30"/>
    </row>
    <row r="430" spans="1:127" ht="13">
      <c r="A430" s="39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30"/>
      <c r="DG430" s="30"/>
      <c r="DH430" s="30"/>
      <c r="DI430" s="30"/>
      <c r="DJ430" s="30"/>
      <c r="DK430" s="30"/>
      <c r="DL430" s="30"/>
      <c r="DM430" s="30"/>
      <c r="DN430" s="30"/>
      <c r="DO430" s="30"/>
      <c r="DP430" s="30"/>
      <c r="DQ430" s="30"/>
      <c r="DR430" s="30"/>
      <c r="DS430" s="30"/>
      <c r="DT430" s="30"/>
      <c r="DU430" s="30"/>
      <c r="DV430" s="30"/>
      <c r="DW430" s="30"/>
    </row>
    <row r="431" spans="1:127" ht="13">
      <c r="A431" s="39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30"/>
      <c r="DG431" s="30"/>
      <c r="DH431" s="30"/>
      <c r="DI431" s="30"/>
      <c r="DJ431" s="30"/>
      <c r="DK431" s="30"/>
      <c r="DL431" s="30"/>
      <c r="DM431" s="30"/>
      <c r="DN431" s="30"/>
      <c r="DO431" s="30"/>
      <c r="DP431" s="30"/>
      <c r="DQ431" s="30"/>
      <c r="DR431" s="30"/>
      <c r="DS431" s="30"/>
      <c r="DT431" s="30"/>
      <c r="DU431" s="30"/>
      <c r="DV431" s="30"/>
      <c r="DW431" s="30"/>
    </row>
    <row r="432" spans="1:127" ht="13">
      <c r="A432" s="39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30"/>
      <c r="DG432" s="30"/>
      <c r="DH432" s="30"/>
      <c r="DI432" s="30"/>
      <c r="DJ432" s="30"/>
      <c r="DK432" s="30"/>
      <c r="DL432" s="30"/>
      <c r="DM432" s="30"/>
      <c r="DN432" s="30"/>
      <c r="DO432" s="30"/>
      <c r="DP432" s="30"/>
      <c r="DQ432" s="30"/>
      <c r="DR432" s="30"/>
      <c r="DS432" s="30"/>
      <c r="DT432" s="30"/>
      <c r="DU432" s="30"/>
      <c r="DV432" s="30"/>
      <c r="DW432" s="30"/>
    </row>
    <row r="433" spans="1:127" ht="13">
      <c r="A433" s="39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30"/>
      <c r="DG433" s="30"/>
      <c r="DH433" s="30"/>
      <c r="DI433" s="30"/>
      <c r="DJ433" s="30"/>
      <c r="DK433" s="30"/>
      <c r="DL433" s="30"/>
      <c r="DM433" s="30"/>
      <c r="DN433" s="30"/>
      <c r="DO433" s="30"/>
      <c r="DP433" s="30"/>
      <c r="DQ433" s="30"/>
      <c r="DR433" s="30"/>
      <c r="DS433" s="30"/>
      <c r="DT433" s="30"/>
      <c r="DU433" s="30"/>
      <c r="DV433" s="30"/>
      <c r="DW433" s="30"/>
    </row>
    <row r="434" spans="1:127" ht="13">
      <c r="A434" s="39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30"/>
      <c r="DG434" s="30"/>
      <c r="DH434" s="30"/>
      <c r="DI434" s="30"/>
      <c r="DJ434" s="30"/>
      <c r="DK434" s="30"/>
      <c r="DL434" s="30"/>
      <c r="DM434" s="30"/>
      <c r="DN434" s="30"/>
      <c r="DO434" s="30"/>
      <c r="DP434" s="30"/>
      <c r="DQ434" s="30"/>
      <c r="DR434" s="30"/>
      <c r="DS434" s="30"/>
      <c r="DT434" s="30"/>
      <c r="DU434" s="30"/>
      <c r="DV434" s="30"/>
      <c r="DW434" s="30"/>
    </row>
    <row r="435" spans="1:127" ht="13">
      <c r="A435" s="39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30"/>
      <c r="DG435" s="30"/>
      <c r="DH435" s="30"/>
      <c r="DI435" s="30"/>
      <c r="DJ435" s="30"/>
      <c r="DK435" s="30"/>
      <c r="DL435" s="30"/>
      <c r="DM435" s="30"/>
      <c r="DN435" s="30"/>
      <c r="DO435" s="30"/>
      <c r="DP435" s="30"/>
      <c r="DQ435" s="30"/>
      <c r="DR435" s="30"/>
      <c r="DS435" s="30"/>
      <c r="DT435" s="30"/>
      <c r="DU435" s="30"/>
      <c r="DV435" s="30"/>
      <c r="DW435" s="30"/>
    </row>
    <row r="436" spans="1:127" ht="13">
      <c r="A436" s="39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30"/>
      <c r="DG436" s="30"/>
      <c r="DH436" s="30"/>
      <c r="DI436" s="30"/>
      <c r="DJ436" s="30"/>
      <c r="DK436" s="30"/>
      <c r="DL436" s="30"/>
      <c r="DM436" s="30"/>
      <c r="DN436" s="30"/>
      <c r="DO436" s="30"/>
      <c r="DP436" s="30"/>
      <c r="DQ436" s="30"/>
      <c r="DR436" s="30"/>
      <c r="DS436" s="30"/>
      <c r="DT436" s="30"/>
      <c r="DU436" s="30"/>
      <c r="DV436" s="30"/>
      <c r="DW436" s="30"/>
    </row>
    <row r="437" spans="1:127" ht="13">
      <c r="A437" s="39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30"/>
      <c r="DG437" s="30"/>
      <c r="DH437" s="30"/>
      <c r="DI437" s="30"/>
      <c r="DJ437" s="30"/>
      <c r="DK437" s="30"/>
      <c r="DL437" s="30"/>
      <c r="DM437" s="30"/>
      <c r="DN437" s="30"/>
      <c r="DO437" s="30"/>
      <c r="DP437" s="30"/>
      <c r="DQ437" s="30"/>
      <c r="DR437" s="30"/>
      <c r="DS437" s="30"/>
      <c r="DT437" s="30"/>
      <c r="DU437" s="30"/>
      <c r="DV437" s="30"/>
      <c r="DW437" s="30"/>
    </row>
    <row r="438" spans="1:127" ht="13">
      <c r="A438" s="39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30"/>
      <c r="DG438" s="30"/>
      <c r="DH438" s="30"/>
      <c r="DI438" s="30"/>
      <c r="DJ438" s="30"/>
      <c r="DK438" s="30"/>
      <c r="DL438" s="30"/>
      <c r="DM438" s="30"/>
      <c r="DN438" s="30"/>
      <c r="DO438" s="30"/>
      <c r="DP438" s="30"/>
      <c r="DQ438" s="30"/>
      <c r="DR438" s="30"/>
      <c r="DS438" s="30"/>
      <c r="DT438" s="30"/>
      <c r="DU438" s="30"/>
      <c r="DV438" s="30"/>
      <c r="DW438" s="30"/>
    </row>
    <row r="439" spans="1:127" ht="13">
      <c r="A439" s="39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30"/>
      <c r="DG439" s="30"/>
      <c r="DH439" s="30"/>
      <c r="DI439" s="30"/>
      <c r="DJ439" s="30"/>
      <c r="DK439" s="30"/>
      <c r="DL439" s="30"/>
      <c r="DM439" s="30"/>
      <c r="DN439" s="30"/>
      <c r="DO439" s="30"/>
      <c r="DP439" s="30"/>
      <c r="DQ439" s="30"/>
      <c r="DR439" s="30"/>
      <c r="DS439" s="30"/>
      <c r="DT439" s="30"/>
      <c r="DU439" s="30"/>
      <c r="DV439" s="30"/>
      <c r="DW439" s="30"/>
    </row>
    <row r="440" spans="1:127" ht="13">
      <c r="A440" s="39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30"/>
      <c r="DG440" s="30"/>
      <c r="DH440" s="30"/>
      <c r="DI440" s="30"/>
      <c r="DJ440" s="30"/>
      <c r="DK440" s="30"/>
      <c r="DL440" s="30"/>
      <c r="DM440" s="30"/>
      <c r="DN440" s="30"/>
      <c r="DO440" s="30"/>
      <c r="DP440" s="30"/>
      <c r="DQ440" s="30"/>
      <c r="DR440" s="30"/>
      <c r="DS440" s="30"/>
      <c r="DT440" s="30"/>
      <c r="DU440" s="30"/>
      <c r="DV440" s="30"/>
      <c r="DW440" s="30"/>
    </row>
    <row r="441" spans="1:127" ht="13">
      <c r="A441" s="39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30"/>
      <c r="DG441" s="30"/>
      <c r="DH441" s="30"/>
      <c r="DI441" s="30"/>
      <c r="DJ441" s="30"/>
      <c r="DK441" s="30"/>
      <c r="DL441" s="30"/>
      <c r="DM441" s="30"/>
      <c r="DN441" s="30"/>
      <c r="DO441" s="30"/>
      <c r="DP441" s="30"/>
      <c r="DQ441" s="30"/>
      <c r="DR441" s="30"/>
      <c r="DS441" s="30"/>
      <c r="DT441" s="30"/>
      <c r="DU441" s="30"/>
      <c r="DV441" s="30"/>
      <c r="DW441" s="30"/>
    </row>
    <row r="442" spans="1:127" ht="13">
      <c r="A442" s="39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30"/>
      <c r="DG442" s="30"/>
      <c r="DH442" s="30"/>
      <c r="DI442" s="30"/>
      <c r="DJ442" s="30"/>
      <c r="DK442" s="30"/>
      <c r="DL442" s="30"/>
      <c r="DM442" s="30"/>
      <c r="DN442" s="30"/>
      <c r="DO442" s="30"/>
      <c r="DP442" s="30"/>
      <c r="DQ442" s="30"/>
      <c r="DR442" s="30"/>
      <c r="DS442" s="30"/>
      <c r="DT442" s="30"/>
      <c r="DU442" s="30"/>
      <c r="DV442" s="30"/>
      <c r="DW442" s="30"/>
    </row>
    <row r="443" spans="1:127" ht="13">
      <c r="A443" s="39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30"/>
      <c r="DG443" s="30"/>
      <c r="DH443" s="30"/>
      <c r="DI443" s="30"/>
      <c r="DJ443" s="30"/>
      <c r="DK443" s="30"/>
      <c r="DL443" s="30"/>
      <c r="DM443" s="30"/>
      <c r="DN443" s="30"/>
      <c r="DO443" s="30"/>
      <c r="DP443" s="30"/>
      <c r="DQ443" s="30"/>
      <c r="DR443" s="30"/>
      <c r="DS443" s="30"/>
      <c r="DT443" s="30"/>
      <c r="DU443" s="30"/>
      <c r="DV443" s="30"/>
      <c r="DW443" s="30"/>
    </row>
    <row r="444" spans="1:127" ht="13">
      <c r="A444" s="39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30"/>
      <c r="DG444" s="30"/>
      <c r="DH444" s="30"/>
      <c r="DI444" s="30"/>
      <c r="DJ444" s="30"/>
      <c r="DK444" s="30"/>
      <c r="DL444" s="30"/>
      <c r="DM444" s="30"/>
      <c r="DN444" s="30"/>
      <c r="DO444" s="30"/>
      <c r="DP444" s="30"/>
      <c r="DQ444" s="30"/>
      <c r="DR444" s="30"/>
      <c r="DS444" s="30"/>
      <c r="DT444" s="30"/>
      <c r="DU444" s="30"/>
      <c r="DV444" s="30"/>
      <c r="DW444" s="30"/>
    </row>
    <row r="445" spans="1:127" ht="13">
      <c r="A445" s="39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30"/>
      <c r="DG445" s="30"/>
      <c r="DH445" s="30"/>
      <c r="DI445" s="30"/>
      <c r="DJ445" s="30"/>
      <c r="DK445" s="30"/>
      <c r="DL445" s="30"/>
      <c r="DM445" s="30"/>
      <c r="DN445" s="30"/>
      <c r="DO445" s="30"/>
      <c r="DP445" s="30"/>
      <c r="DQ445" s="30"/>
      <c r="DR445" s="30"/>
      <c r="DS445" s="30"/>
      <c r="DT445" s="30"/>
      <c r="DU445" s="30"/>
      <c r="DV445" s="30"/>
      <c r="DW445" s="30"/>
    </row>
    <row r="446" spans="1:127" ht="13">
      <c r="A446" s="39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  <c r="BS446" s="30"/>
      <c r="BT446" s="30"/>
      <c r="BU446" s="30"/>
      <c r="BV446" s="30"/>
      <c r="BW446" s="30"/>
      <c r="BX446" s="30"/>
      <c r="BY446" s="30"/>
      <c r="BZ446" s="30"/>
      <c r="CA446" s="30"/>
      <c r="CB446" s="30"/>
      <c r="CC446" s="30"/>
      <c r="CD446" s="30"/>
      <c r="CE446" s="30"/>
      <c r="CF446" s="30"/>
      <c r="CG446" s="30"/>
      <c r="CH446" s="30"/>
      <c r="CI446" s="30"/>
      <c r="CJ446" s="30"/>
      <c r="CK446" s="30"/>
      <c r="CL446" s="30"/>
      <c r="CM446" s="30"/>
      <c r="CN446" s="30"/>
      <c r="CO446" s="30"/>
      <c r="CP446" s="30"/>
      <c r="CQ446" s="30"/>
      <c r="CR446" s="30"/>
      <c r="CS446" s="30"/>
      <c r="CT446" s="30"/>
      <c r="CU446" s="30"/>
      <c r="CV446" s="30"/>
      <c r="CW446" s="30"/>
      <c r="CX446" s="30"/>
      <c r="CY446" s="30"/>
      <c r="CZ446" s="30"/>
      <c r="DA446" s="30"/>
      <c r="DB446" s="30"/>
      <c r="DC446" s="30"/>
      <c r="DD446" s="30"/>
      <c r="DE446" s="30"/>
      <c r="DF446" s="30"/>
      <c r="DG446" s="30"/>
      <c r="DH446" s="30"/>
      <c r="DI446" s="30"/>
      <c r="DJ446" s="30"/>
      <c r="DK446" s="30"/>
      <c r="DL446" s="30"/>
      <c r="DM446" s="30"/>
      <c r="DN446" s="30"/>
      <c r="DO446" s="30"/>
      <c r="DP446" s="30"/>
      <c r="DQ446" s="30"/>
      <c r="DR446" s="30"/>
      <c r="DS446" s="30"/>
      <c r="DT446" s="30"/>
      <c r="DU446" s="30"/>
      <c r="DV446" s="30"/>
      <c r="DW446" s="30"/>
    </row>
    <row r="447" spans="1:127" ht="13">
      <c r="A447" s="39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  <c r="BS447" s="30"/>
      <c r="BT447" s="30"/>
      <c r="BU447" s="30"/>
      <c r="BV447" s="30"/>
      <c r="BW447" s="30"/>
      <c r="BX447" s="30"/>
      <c r="BY447" s="30"/>
      <c r="BZ447" s="30"/>
      <c r="CA447" s="30"/>
      <c r="CB447" s="30"/>
      <c r="CC447" s="30"/>
      <c r="CD447" s="30"/>
      <c r="CE447" s="30"/>
      <c r="CF447" s="30"/>
      <c r="CG447" s="30"/>
      <c r="CH447" s="30"/>
      <c r="CI447" s="30"/>
      <c r="CJ447" s="30"/>
      <c r="CK447" s="30"/>
      <c r="CL447" s="30"/>
      <c r="CM447" s="30"/>
      <c r="CN447" s="30"/>
      <c r="CO447" s="30"/>
      <c r="CP447" s="30"/>
      <c r="CQ447" s="30"/>
      <c r="CR447" s="30"/>
      <c r="CS447" s="30"/>
      <c r="CT447" s="30"/>
      <c r="CU447" s="30"/>
      <c r="CV447" s="30"/>
      <c r="CW447" s="30"/>
      <c r="CX447" s="30"/>
      <c r="CY447" s="30"/>
      <c r="CZ447" s="30"/>
      <c r="DA447" s="30"/>
      <c r="DB447" s="30"/>
      <c r="DC447" s="30"/>
      <c r="DD447" s="30"/>
      <c r="DE447" s="30"/>
      <c r="DF447" s="30"/>
      <c r="DG447" s="30"/>
      <c r="DH447" s="30"/>
      <c r="DI447" s="30"/>
      <c r="DJ447" s="30"/>
      <c r="DK447" s="30"/>
      <c r="DL447" s="30"/>
      <c r="DM447" s="30"/>
      <c r="DN447" s="30"/>
      <c r="DO447" s="30"/>
      <c r="DP447" s="30"/>
      <c r="DQ447" s="30"/>
      <c r="DR447" s="30"/>
      <c r="DS447" s="30"/>
      <c r="DT447" s="30"/>
      <c r="DU447" s="30"/>
      <c r="DV447" s="30"/>
      <c r="DW447" s="30"/>
    </row>
    <row r="448" spans="1:127" ht="13">
      <c r="A448" s="39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  <c r="BS448" s="30"/>
      <c r="BT448" s="30"/>
      <c r="BU448" s="30"/>
      <c r="BV448" s="30"/>
      <c r="BW448" s="30"/>
      <c r="BX448" s="30"/>
      <c r="BY448" s="30"/>
      <c r="BZ448" s="30"/>
      <c r="CA448" s="30"/>
      <c r="CB448" s="30"/>
      <c r="CC448" s="30"/>
      <c r="CD448" s="30"/>
      <c r="CE448" s="30"/>
      <c r="CF448" s="30"/>
      <c r="CG448" s="30"/>
      <c r="CH448" s="30"/>
      <c r="CI448" s="30"/>
      <c r="CJ448" s="30"/>
      <c r="CK448" s="30"/>
      <c r="CL448" s="30"/>
      <c r="CM448" s="30"/>
      <c r="CN448" s="30"/>
      <c r="CO448" s="30"/>
      <c r="CP448" s="30"/>
      <c r="CQ448" s="30"/>
      <c r="CR448" s="30"/>
      <c r="CS448" s="30"/>
      <c r="CT448" s="30"/>
      <c r="CU448" s="30"/>
      <c r="CV448" s="30"/>
      <c r="CW448" s="30"/>
      <c r="CX448" s="30"/>
      <c r="CY448" s="30"/>
      <c r="CZ448" s="30"/>
      <c r="DA448" s="30"/>
      <c r="DB448" s="30"/>
      <c r="DC448" s="30"/>
      <c r="DD448" s="30"/>
      <c r="DE448" s="30"/>
      <c r="DF448" s="30"/>
      <c r="DG448" s="30"/>
      <c r="DH448" s="30"/>
      <c r="DI448" s="30"/>
      <c r="DJ448" s="30"/>
      <c r="DK448" s="30"/>
      <c r="DL448" s="30"/>
      <c r="DM448" s="30"/>
      <c r="DN448" s="30"/>
      <c r="DO448" s="30"/>
      <c r="DP448" s="30"/>
      <c r="DQ448" s="30"/>
      <c r="DR448" s="30"/>
      <c r="DS448" s="30"/>
      <c r="DT448" s="30"/>
      <c r="DU448" s="30"/>
      <c r="DV448" s="30"/>
      <c r="DW448" s="30"/>
    </row>
    <row r="449" spans="1:127" ht="13">
      <c r="A449" s="39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  <c r="BS449" s="30"/>
      <c r="BT449" s="30"/>
      <c r="BU449" s="30"/>
      <c r="BV449" s="30"/>
      <c r="BW449" s="30"/>
      <c r="BX449" s="30"/>
      <c r="BY449" s="30"/>
      <c r="BZ449" s="30"/>
      <c r="CA449" s="30"/>
      <c r="CB449" s="30"/>
      <c r="CC449" s="30"/>
      <c r="CD449" s="30"/>
      <c r="CE449" s="30"/>
      <c r="CF449" s="30"/>
      <c r="CG449" s="30"/>
      <c r="CH449" s="30"/>
      <c r="CI449" s="30"/>
      <c r="CJ449" s="30"/>
      <c r="CK449" s="30"/>
      <c r="CL449" s="30"/>
      <c r="CM449" s="30"/>
      <c r="CN449" s="30"/>
      <c r="CO449" s="30"/>
      <c r="CP449" s="30"/>
      <c r="CQ449" s="30"/>
      <c r="CR449" s="30"/>
      <c r="CS449" s="30"/>
      <c r="CT449" s="30"/>
      <c r="CU449" s="30"/>
      <c r="CV449" s="30"/>
      <c r="CW449" s="30"/>
      <c r="CX449" s="30"/>
      <c r="CY449" s="30"/>
      <c r="CZ449" s="30"/>
      <c r="DA449" s="30"/>
      <c r="DB449" s="30"/>
      <c r="DC449" s="30"/>
      <c r="DD449" s="30"/>
      <c r="DE449" s="30"/>
      <c r="DF449" s="30"/>
      <c r="DG449" s="30"/>
      <c r="DH449" s="30"/>
      <c r="DI449" s="30"/>
      <c r="DJ449" s="30"/>
      <c r="DK449" s="30"/>
      <c r="DL449" s="30"/>
      <c r="DM449" s="30"/>
      <c r="DN449" s="30"/>
      <c r="DO449" s="30"/>
      <c r="DP449" s="30"/>
      <c r="DQ449" s="30"/>
      <c r="DR449" s="30"/>
      <c r="DS449" s="30"/>
      <c r="DT449" s="30"/>
      <c r="DU449" s="30"/>
      <c r="DV449" s="30"/>
      <c r="DW449" s="30"/>
    </row>
    <row r="450" spans="1:127" ht="13">
      <c r="A450" s="39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/>
      <c r="BU450" s="30"/>
      <c r="BV450" s="30"/>
      <c r="BW450" s="30"/>
      <c r="BX450" s="30"/>
      <c r="BY450" s="30"/>
      <c r="BZ450" s="30"/>
      <c r="CA450" s="30"/>
      <c r="CB450" s="30"/>
      <c r="CC450" s="30"/>
      <c r="CD450" s="30"/>
      <c r="CE450" s="30"/>
      <c r="CF450" s="30"/>
      <c r="CG450" s="30"/>
      <c r="CH450" s="30"/>
      <c r="CI450" s="30"/>
      <c r="CJ450" s="30"/>
      <c r="CK450" s="30"/>
      <c r="CL450" s="30"/>
      <c r="CM450" s="30"/>
      <c r="CN450" s="30"/>
      <c r="CO450" s="30"/>
      <c r="CP450" s="30"/>
      <c r="CQ450" s="30"/>
      <c r="CR450" s="30"/>
      <c r="CS450" s="30"/>
      <c r="CT450" s="30"/>
      <c r="CU450" s="30"/>
      <c r="CV450" s="30"/>
      <c r="CW450" s="30"/>
      <c r="CX450" s="30"/>
      <c r="CY450" s="30"/>
      <c r="CZ450" s="30"/>
      <c r="DA450" s="30"/>
      <c r="DB450" s="30"/>
      <c r="DC450" s="30"/>
      <c r="DD450" s="30"/>
      <c r="DE450" s="30"/>
      <c r="DF450" s="30"/>
      <c r="DG450" s="30"/>
      <c r="DH450" s="30"/>
      <c r="DI450" s="30"/>
      <c r="DJ450" s="30"/>
      <c r="DK450" s="30"/>
      <c r="DL450" s="30"/>
      <c r="DM450" s="30"/>
      <c r="DN450" s="30"/>
      <c r="DO450" s="30"/>
      <c r="DP450" s="30"/>
      <c r="DQ450" s="30"/>
      <c r="DR450" s="30"/>
      <c r="DS450" s="30"/>
      <c r="DT450" s="30"/>
      <c r="DU450" s="30"/>
      <c r="DV450" s="30"/>
      <c r="DW450" s="30"/>
    </row>
    <row r="451" spans="1:127" ht="13">
      <c r="A451" s="39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  <c r="BS451" s="30"/>
      <c r="BT451" s="30"/>
      <c r="BU451" s="30"/>
      <c r="BV451" s="30"/>
      <c r="BW451" s="30"/>
      <c r="BX451" s="30"/>
      <c r="BY451" s="30"/>
      <c r="BZ451" s="30"/>
      <c r="CA451" s="30"/>
      <c r="CB451" s="30"/>
      <c r="CC451" s="30"/>
      <c r="CD451" s="30"/>
      <c r="CE451" s="30"/>
      <c r="CF451" s="30"/>
      <c r="CG451" s="30"/>
      <c r="CH451" s="30"/>
      <c r="CI451" s="30"/>
      <c r="CJ451" s="30"/>
      <c r="CK451" s="30"/>
      <c r="CL451" s="30"/>
      <c r="CM451" s="30"/>
      <c r="CN451" s="30"/>
      <c r="CO451" s="30"/>
      <c r="CP451" s="30"/>
      <c r="CQ451" s="30"/>
      <c r="CR451" s="30"/>
      <c r="CS451" s="30"/>
      <c r="CT451" s="30"/>
      <c r="CU451" s="30"/>
      <c r="CV451" s="30"/>
      <c r="CW451" s="30"/>
      <c r="CX451" s="30"/>
      <c r="CY451" s="30"/>
      <c r="CZ451" s="30"/>
      <c r="DA451" s="30"/>
      <c r="DB451" s="30"/>
      <c r="DC451" s="30"/>
      <c r="DD451" s="30"/>
      <c r="DE451" s="30"/>
      <c r="DF451" s="30"/>
      <c r="DG451" s="30"/>
      <c r="DH451" s="30"/>
      <c r="DI451" s="30"/>
      <c r="DJ451" s="30"/>
      <c r="DK451" s="30"/>
      <c r="DL451" s="30"/>
      <c r="DM451" s="30"/>
      <c r="DN451" s="30"/>
      <c r="DO451" s="30"/>
      <c r="DP451" s="30"/>
      <c r="DQ451" s="30"/>
      <c r="DR451" s="30"/>
      <c r="DS451" s="30"/>
      <c r="DT451" s="30"/>
      <c r="DU451" s="30"/>
      <c r="DV451" s="30"/>
      <c r="DW451" s="30"/>
    </row>
    <row r="452" spans="1:127" ht="13">
      <c r="A452" s="39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  <c r="BS452" s="30"/>
      <c r="BT452" s="30"/>
      <c r="BU452" s="30"/>
      <c r="BV452" s="30"/>
      <c r="BW452" s="30"/>
      <c r="BX452" s="30"/>
      <c r="BY452" s="30"/>
      <c r="BZ452" s="30"/>
      <c r="CA452" s="30"/>
      <c r="CB452" s="30"/>
      <c r="CC452" s="30"/>
      <c r="CD452" s="30"/>
      <c r="CE452" s="30"/>
      <c r="CF452" s="30"/>
      <c r="CG452" s="30"/>
      <c r="CH452" s="30"/>
      <c r="CI452" s="30"/>
      <c r="CJ452" s="30"/>
      <c r="CK452" s="30"/>
      <c r="CL452" s="30"/>
      <c r="CM452" s="30"/>
      <c r="CN452" s="30"/>
      <c r="CO452" s="30"/>
      <c r="CP452" s="30"/>
      <c r="CQ452" s="30"/>
      <c r="CR452" s="30"/>
      <c r="CS452" s="30"/>
      <c r="CT452" s="30"/>
      <c r="CU452" s="30"/>
      <c r="CV452" s="30"/>
      <c r="CW452" s="30"/>
      <c r="CX452" s="30"/>
      <c r="CY452" s="30"/>
      <c r="CZ452" s="30"/>
      <c r="DA452" s="30"/>
      <c r="DB452" s="30"/>
      <c r="DC452" s="30"/>
      <c r="DD452" s="30"/>
      <c r="DE452" s="30"/>
      <c r="DF452" s="30"/>
      <c r="DG452" s="30"/>
      <c r="DH452" s="30"/>
      <c r="DI452" s="30"/>
      <c r="DJ452" s="30"/>
      <c r="DK452" s="30"/>
      <c r="DL452" s="30"/>
      <c r="DM452" s="30"/>
      <c r="DN452" s="30"/>
      <c r="DO452" s="30"/>
      <c r="DP452" s="30"/>
      <c r="DQ452" s="30"/>
      <c r="DR452" s="30"/>
      <c r="DS452" s="30"/>
      <c r="DT452" s="30"/>
      <c r="DU452" s="30"/>
      <c r="DV452" s="30"/>
      <c r="DW452" s="30"/>
    </row>
    <row r="453" spans="1:127" ht="13">
      <c r="A453" s="39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  <c r="BS453" s="30"/>
      <c r="BT453" s="30"/>
      <c r="BU453" s="30"/>
      <c r="BV453" s="30"/>
      <c r="BW453" s="30"/>
      <c r="BX453" s="30"/>
      <c r="BY453" s="30"/>
      <c r="BZ453" s="30"/>
      <c r="CA453" s="30"/>
      <c r="CB453" s="30"/>
      <c r="CC453" s="30"/>
      <c r="CD453" s="30"/>
      <c r="CE453" s="30"/>
      <c r="CF453" s="30"/>
      <c r="CG453" s="30"/>
      <c r="CH453" s="30"/>
      <c r="CI453" s="30"/>
      <c r="CJ453" s="30"/>
      <c r="CK453" s="30"/>
      <c r="CL453" s="30"/>
      <c r="CM453" s="30"/>
      <c r="CN453" s="30"/>
      <c r="CO453" s="30"/>
      <c r="CP453" s="30"/>
      <c r="CQ453" s="30"/>
      <c r="CR453" s="30"/>
      <c r="CS453" s="30"/>
      <c r="CT453" s="30"/>
      <c r="CU453" s="30"/>
      <c r="CV453" s="30"/>
      <c r="CW453" s="30"/>
      <c r="CX453" s="30"/>
      <c r="CY453" s="30"/>
      <c r="CZ453" s="30"/>
      <c r="DA453" s="30"/>
      <c r="DB453" s="30"/>
      <c r="DC453" s="30"/>
      <c r="DD453" s="30"/>
      <c r="DE453" s="30"/>
      <c r="DF453" s="30"/>
      <c r="DG453" s="30"/>
      <c r="DH453" s="30"/>
      <c r="DI453" s="30"/>
      <c r="DJ453" s="30"/>
      <c r="DK453" s="30"/>
      <c r="DL453" s="30"/>
      <c r="DM453" s="30"/>
      <c r="DN453" s="30"/>
      <c r="DO453" s="30"/>
      <c r="DP453" s="30"/>
      <c r="DQ453" s="30"/>
      <c r="DR453" s="30"/>
      <c r="DS453" s="30"/>
      <c r="DT453" s="30"/>
      <c r="DU453" s="30"/>
      <c r="DV453" s="30"/>
      <c r="DW453" s="30"/>
    </row>
    <row r="454" spans="1:127" ht="13">
      <c r="A454" s="39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  <c r="BS454" s="30"/>
      <c r="BT454" s="30"/>
      <c r="BU454" s="30"/>
      <c r="BV454" s="30"/>
      <c r="BW454" s="30"/>
      <c r="BX454" s="30"/>
      <c r="BY454" s="30"/>
      <c r="BZ454" s="30"/>
      <c r="CA454" s="30"/>
      <c r="CB454" s="30"/>
      <c r="CC454" s="30"/>
      <c r="CD454" s="30"/>
      <c r="CE454" s="30"/>
      <c r="CF454" s="30"/>
      <c r="CG454" s="30"/>
      <c r="CH454" s="30"/>
      <c r="CI454" s="30"/>
      <c r="CJ454" s="30"/>
      <c r="CK454" s="30"/>
      <c r="CL454" s="30"/>
      <c r="CM454" s="30"/>
      <c r="CN454" s="30"/>
      <c r="CO454" s="30"/>
      <c r="CP454" s="30"/>
      <c r="CQ454" s="30"/>
      <c r="CR454" s="30"/>
      <c r="CS454" s="30"/>
      <c r="CT454" s="30"/>
      <c r="CU454" s="30"/>
      <c r="CV454" s="30"/>
      <c r="CW454" s="30"/>
      <c r="CX454" s="30"/>
      <c r="CY454" s="30"/>
      <c r="CZ454" s="30"/>
      <c r="DA454" s="30"/>
      <c r="DB454" s="30"/>
      <c r="DC454" s="30"/>
      <c r="DD454" s="30"/>
      <c r="DE454" s="30"/>
      <c r="DF454" s="30"/>
      <c r="DG454" s="30"/>
      <c r="DH454" s="30"/>
      <c r="DI454" s="30"/>
      <c r="DJ454" s="30"/>
      <c r="DK454" s="30"/>
      <c r="DL454" s="30"/>
      <c r="DM454" s="30"/>
      <c r="DN454" s="30"/>
      <c r="DO454" s="30"/>
      <c r="DP454" s="30"/>
      <c r="DQ454" s="30"/>
      <c r="DR454" s="30"/>
      <c r="DS454" s="30"/>
      <c r="DT454" s="30"/>
      <c r="DU454" s="30"/>
      <c r="DV454" s="30"/>
      <c r="DW454" s="30"/>
    </row>
    <row r="455" spans="1:127" ht="13">
      <c r="A455" s="39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  <c r="BS455" s="30"/>
      <c r="BT455" s="30"/>
      <c r="BU455" s="30"/>
      <c r="BV455" s="30"/>
      <c r="BW455" s="30"/>
      <c r="BX455" s="30"/>
      <c r="BY455" s="30"/>
      <c r="BZ455" s="30"/>
      <c r="CA455" s="30"/>
      <c r="CB455" s="30"/>
      <c r="CC455" s="30"/>
      <c r="CD455" s="30"/>
      <c r="CE455" s="30"/>
      <c r="CF455" s="30"/>
      <c r="CG455" s="30"/>
      <c r="CH455" s="30"/>
      <c r="CI455" s="30"/>
      <c r="CJ455" s="30"/>
      <c r="CK455" s="30"/>
      <c r="CL455" s="30"/>
      <c r="CM455" s="30"/>
      <c r="CN455" s="30"/>
      <c r="CO455" s="30"/>
      <c r="CP455" s="30"/>
      <c r="CQ455" s="30"/>
      <c r="CR455" s="30"/>
      <c r="CS455" s="30"/>
      <c r="CT455" s="30"/>
      <c r="CU455" s="30"/>
      <c r="CV455" s="30"/>
      <c r="CW455" s="30"/>
      <c r="CX455" s="30"/>
      <c r="CY455" s="30"/>
      <c r="CZ455" s="30"/>
      <c r="DA455" s="30"/>
      <c r="DB455" s="30"/>
      <c r="DC455" s="30"/>
      <c r="DD455" s="30"/>
      <c r="DE455" s="30"/>
      <c r="DF455" s="30"/>
      <c r="DG455" s="30"/>
      <c r="DH455" s="30"/>
      <c r="DI455" s="30"/>
      <c r="DJ455" s="30"/>
      <c r="DK455" s="30"/>
      <c r="DL455" s="30"/>
      <c r="DM455" s="30"/>
      <c r="DN455" s="30"/>
      <c r="DO455" s="30"/>
      <c r="DP455" s="30"/>
      <c r="DQ455" s="30"/>
      <c r="DR455" s="30"/>
      <c r="DS455" s="30"/>
      <c r="DT455" s="30"/>
      <c r="DU455" s="30"/>
      <c r="DV455" s="30"/>
      <c r="DW455" s="30"/>
    </row>
    <row r="456" spans="1:127" ht="13">
      <c r="A456" s="39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  <c r="BS456" s="30"/>
      <c r="BT456" s="30"/>
      <c r="BU456" s="30"/>
      <c r="BV456" s="30"/>
      <c r="BW456" s="30"/>
      <c r="BX456" s="30"/>
      <c r="BY456" s="30"/>
      <c r="BZ456" s="30"/>
      <c r="CA456" s="30"/>
      <c r="CB456" s="30"/>
      <c r="CC456" s="30"/>
      <c r="CD456" s="30"/>
      <c r="CE456" s="30"/>
      <c r="CF456" s="30"/>
      <c r="CG456" s="30"/>
      <c r="CH456" s="30"/>
      <c r="CI456" s="30"/>
      <c r="CJ456" s="30"/>
      <c r="CK456" s="30"/>
      <c r="CL456" s="30"/>
      <c r="CM456" s="30"/>
      <c r="CN456" s="30"/>
      <c r="CO456" s="30"/>
      <c r="CP456" s="30"/>
      <c r="CQ456" s="30"/>
      <c r="CR456" s="30"/>
      <c r="CS456" s="30"/>
      <c r="CT456" s="30"/>
      <c r="CU456" s="30"/>
      <c r="CV456" s="30"/>
      <c r="CW456" s="30"/>
      <c r="CX456" s="30"/>
      <c r="CY456" s="30"/>
      <c r="CZ456" s="30"/>
      <c r="DA456" s="30"/>
      <c r="DB456" s="30"/>
      <c r="DC456" s="30"/>
      <c r="DD456" s="30"/>
      <c r="DE456" s="30"/>
      <c r="DF456" s="30"/>
      <c r="DG456" s="30"/>
      <c r="DH456" s="30"/>
      <c r="DI456" s="30"/>
      <c r="DJ456" s="30"/>
      <c r="DK456" s="30"/>
      <c r="DL456" s="30"/>
      <c r="DM456" s="30"/>
      <c r="DN456" s="30"/>
      <c r="DO456" s="30"/>
      <c r="DP456" s="30"/>
      <c r="DQ456" s="30"/>
      <c r="DR456" s="30"/>
      <c r="DS456" s="30"/>
      <c r="DT456" s="30"/>
      <c r="DU456" s="30"/>
      <c r="DV456" s="30"/>
      <c r="DW456" s="30"/>
    </row>
    <row r="457" spans="1:127" ht="13">
      <c r="A457" s="39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  <c r="BS457" s="30"/>
      <c r="BT457" s="30"/>
      <c r="BU457" s="30"/>
      <c r="BV457" s="30"/>
      <c r="BW457" s="30"/>
      <c r="BX457" s="30"/>
      <c r="BY457" s="30"/>
      <c r="BZ457" s="30"/>
      <c r="CA457" s="30"/>
      <c r="CB457" s="30"/>
      <c r="CC457" s="30"/>
      <c r="CD457" s="30"/>
      <c r="CE457" s="30"/>
      <c r="CF457" s="30"/>
      <c r="CG457" s="30"/>
      <c r="CH457" s="30"/>
      <c r="CI457" s="30"/>
      <c r="CJ457" s="30"/>
      <c r="CK457" s="30"/>
      <c r="CL457" s="30"/>
      <c r="CM457" s="30"/>
      <c r="CN457" s="30"/>
      <c r="CO457" s="30"/>
      <c r="CP457" s="30"/>
      <c r="CQ457" s="30"/>
      <c r="CR457" s="30"/>
      <c r="CS457" s="30"/>
      <c r="CT457" s="30"/>
      <c r="CU457" s="30"/>
      <c r="CV457" s="30"/>
      <c r="CW457" s="30"/>
      <c r="CX457" s="30"/>
      <c r="CY457" s="30"/>
      <c r="CZ457" s="30"/>
      <c r="DA457" s="30"/>
      <c r="DB457" s="30"/>
      <c r="DC457" s="30"/>
      <c r="DD457" s="30"/>
      <c r="DE457" s="30"/>
      <c r="DF457" s="30"/>
      <c r="DG457" s="30"/>
      <c r="DH457" s="30"/>
      <c r="DI457" s="30"/>
      <c r="DJ457" s="30"/>
      <c r="DK457" s="30"/>
      <c r="DL457" s="30"/>
      <c r="DM457" s="30"/>
      <c r="DN457" s="30"/>
      <c r="DO457" s="30"/>
      <c r="DP457" s="30"/>
      <c r="DQ457" s="30"/>
      <c r="DR457" s="30"/>
      <c r="DS457" s="30"/>
      <c r="DT457" s="30"/>
      <c r="DU457" s="30"/>
      <c r="DV457" s="30"/>
      <c r="DW457" s="30"/>
    </row>
    <row r="458" spans="1:127" ht="13">
      <c r="A458" s="39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  <c r="BS458" s="30"/>
      <c r="BT458" s="30"/>
      <c r="BU458" s="30"/>
      <c r="BV458" s="30"/>
      <c r="BW458" s="30"/>
      <c r="BX458" s="30"/>
      <c r="BY458" s="30"/>
      <c r="BZ458" s="30"/>
      <c r="CA458" s="30"/>
      <c r="CB458" s="30"/>
      <c r="CC458" s="30"/>
      <c r="CD458" s="30"/>
      <c r="CE458" s="30"/>
      <c r="CF458" s="30"/>
      <c r="CG458" s="30"/>
      <c r="CH458" s="30"/>
      <c r="CI458" s="30"/>
      <c r="CJ458" s="30"/>
      <c r="CK458" s="30"/>
      <c r="CL458" s="30"/>
      <c r="CM458" s="30"/>
      <c r="CN458" s="30"/>
      <c r="CO458" s="30"/>
      <c r="CP458" s="30"/>
      <c r="CQ458" s="30"/>
      <c r="CR458" s="30"/>
      <c r="CS458" s="30"/>
      <c r="CT458" s="30"/>
      <c r="CU458" s="30"/>
      <c r="CV458" s="30"/>
      <c r="CW458" s="30"/>
      <c r="CX458" s="30"/>
      <c r="CY458" s="30"/>
      <c r="CZ458" s="30"/>
      <c r="DA458" s="30"/>
      <c r="DB458" s="30"/>
      <c r="DC458" s="30"/>
      <c r="DD458" s="30"/>
      <c r="DE458" s="30"/>
      <c r="DF458" s="30"/>
      <c r="DG458" s="30"/>
      <c r="DH458" s="30"/>
      <c r="DI458" s="30"/>
      <c r="DJ458" s="30"/>
      <c r="DK458" s="30"/>
      <c r="DL458" s="30"/>
      <c r="DM458" s="30"/>
      <c r="DN458" s="30"/>
      <c r="DO458" s="30"/>
      <c r="DP458" s="30"/>
      <c r="DQ458" s="30"/>
      <c r="DR458" s="30"/>
      <c r="DS458" s="30"/>
      <c r="DT458" s="30"/>
      <c r="DU458" s="30"/>
      <c r="DV458" s="30"/>
      <c r="DW458" s="30"/>
    </row>
    <row r="459" spans="1:127" ht="13">
      <c r="A459" s="39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  <c r="BS459" s="30"/>
      <c r="BT459" s="30"/>
      <c r="BU459" s="30"/>
      <c r="BV459" s="30"/>
      <c r="BW459" s="30"/>
      <c r="BX459" s="30"/>
      <c r="BY459" s="30"/>
      <c r="BZ459" s="30"/>
      <c r="CA459" s="30"/>
      <c r="CB459" s="30"/>
      <c r="CC459" s="30"/>
      <c r="CD459" s="30"/>
      <c r="CE459" s="30"/>
      <c r="CF459" s="30"/>
      <c r="CG459" s="30"/>
      <c r="CH459" s="30"/>
      <c r="CI459" s="30"/>
      <c r="CJ459" s="30"/>
      <c r="CK459" s="30"/>
      <c r="CL459" s="30"/>
      <c r="CM459" s="30"/>
      <c r="CN459" s="30"/>
      <c r="CO459" s="30"/>
      <c r="CP459" s="30"/>
      <c r="CQ459" s="30"/>
      <c r="CR459" s="30"/>
      <c r="CS459" s="30"/>
      <c r="CT459" s="30"/>
      <c r="CU459" s="30"/>
      <c r="CV459" s="30"/>
      <c r="CW459" s="30"/>
      <c r="CX459" s="30"/>
      <c r="CY459" s="30"/>
      <c r="CZ459" s="30"/>
      <c r="DA459" s="30"/>
      <c r="DB459" s="30"/>
      <c r="DC459" s="30"/>
      <c r="DD459" s="30"/>
      <c r="DE459" s="30"/>
      <c r="DF459" s="30"/>
      <c r="DG459" s="30"/>
      <c r="DH459" s="30"/>
      <c r="DI459" s="30"/>
      <c r="DJ459" s="30"/>
      <c r="DK459" s="30"/>
      <c r="DL459" s="30"/>
      <c r="DM459" s="30"/>
      <c r="DN459" s="30"/>
      <c r="DO459" s="30"/>
      <c r="DP459" s="30"/>
      <c r="DQ459" s="30"/>
      <c r="DR459" s="30"/>
      <c r="DS459" s="30"/>
      <c r="DT459" s="30"/>
      <c r="DU459" s="30"/>
      <c r="DV459" s="30"/>
      <c r="DW459" s="30"/>
    </row>
    <row r="460" spans="1:127" ht="13">
      <c r="A460" s="39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  <c r="BS460" s="30"/>
      <c r="BT460" s="30"/>
      <c r="BU460" s="30"/>
      <c r="BV460" s="30"/>
      <c r="BW460" s="30"/>
      <c r="BX460" s="30"/>
      <c r="BY460" s="30"/>
      <c r="BZ460" s="30"/>
      <c r="CA460" s="30"/>
      <c r="CB460" s="30"/>
      <c r="CC460" s="30"/>
      <c r="CD460" s="30"/>
      <c r="CE460" s="30"/>
      <c r="CF460" s="30"/>
      <c r="CG460" s="30"/>
      <c r="CH460" s="30"/>
      <c r="CI460" s="30"/>
      <c r="CJ460" s="30"/>
      <c r="CK460" s="30"/>
      <c r="CL460" s="30"/>
      <c r="CM460" s="30"/>
      <c r="CN460" s="30"/>
      <c r="CO460" s="30"/>
      <c r="CP460" s="30"/>
      <c r="CQ460" s="30"/>
      <c r="CR460" s="30"/>
      <c r="CS460" s="30"/>
      <c r="CT460" s="30"/>
      <c r="CU460" s="30"/>
      <c r="CV460" s="30"/>
      <c r="CW460" s="30"/>
      <c r="CX460" s="30"/>
      <c r="CY460" s="30"/>
      <c r="CZ460" s="30"/>
      <c r="DA460" s="30"/>
      <c r="DB460" s="30"/>
      <c r="DC460" s="30"/>
      <c r="DD460" s="30"/>
      <c r="DE460" s="30"/>
      <c r="DF460" s="30"/>
      <c r="DG460" s="30"/>
      <c r="DH460" s="30"/>
      <c r="DI460" s="30"/>
      <c r="DJ460" s="30"/>
      <c r="DK460" s="30"/>
      <c r="DL460" s="30"/>
      <c r="DM460" s="30"/>
      <c r="DN460" s="30"/>
      <c r="DO460" s="30"/>
      <c r="DP460" s="30"/>
      <c r="DQ460" s="30"/>
      <c r="DR460" s="30"/>
      <c r="DS460" s="30"/>
      <c r="DT460" s="30"/>
      <c r="DU460" s="30"/>
      <c r="DV460" s="30"/>
      <c r="DW460" s="30"/>
    </row>
    <row r="461" spans="1:127" ht="13">
      <c r="A461" s="39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  <c r="BS461" s="30"/>
      <c r="BT461" s="30"/>
      <c r="BU461" s="30"/>
      <c r="BV461" s="30"/>
      <c r="BW461" s="30"/>
      <c r="BX461" s="30"/>
      <c r="BY461" s="30"/>
      <c r="BZ461" s="30"/>
      <c r="CA461" s="30"/>
      <c r="CB461" s="30"/>
      <c r="CC461" s="30"/>
      <c r="CD461" s="30"/>
      <c r="CE461" s="30"/>
      <c r="CF461" s="30"/>
      <c r="CG461" s="30"/>
      <c r="CH461" s="30"/>
      <c r="CI461" s="30"/>
      <c r="CJ461" s="30"/>
      <c r="CK461" s="30"/>
      <c r="CL461" s="30"/>
      <c r="CM461" s="30"/>
      <c r="CN461" s="30"/>
      <c r="CO461" s="30"/>
      <c r="CP461" s="30"/>
      <c r="CQ461" s="30"/>
      <c r="CR461" s="30"/>
      <c r="CS461" s="30"/>
      <c r="CT461" s="30"/>
      <c r="CU461" s="30"/>
      <c r="CV461" s="30"/>
      <c r="CW461" s="30"/>
      <c r="CX461" s="30"/>
      <c r="CY461" s="30"/>
      <c r="CZ461" s="30"/>
      <c r="DA461" s="30"/>
      <c r="DB461" s="30"/>
      <c r="DC461" s="30"/>
      <c r="DD461" s="30"/>
      <c r="DE461" s="30"/>
      <c r="DF461" s="30"/>
      <c r="DG461" s="30"/>
      <c r="DH461" s="30"/>
      <c r="DI461" s="30"/>
      <c r="DJ461" s="30"/>
      <c r="DK461" s="30"/>
      <c r="DL461" s="30"/>
      <c r="DM461" s="30"/>
      <c r="DN461" s="30"/>
      <c r="DO461" s="30"/>
      <c r="DP461" s="30"/>
      <c r="DQ461" s="30"/>
      <c r="DR461" s="30"/>
      <c r="DS461" s="30"/>
      <c r="DT461" s="30"/>
      <c r="DU461" s="30"/>
      <c r="DV461" s="30"/>
      <c r="DW461" s="30"/>
    </row>
    <row r="462" spans="1:127" ht="13">
      <c r="A462" s="39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  <c r="BS462" s="30"/>
      <c r="BT462" s="30"/>
      <c r="BU462" s="30"/>
      <c r="BV462" s="30"/>
      <c r="BW462" s="30"/>
      <c r="BX462" s="30"/>
      <c r="BY462" s="30"/>
      <c r="BZ462" s="30"/>
      <c r="CA462" s="30"/>
      <c r="CB462" s="30"/>
      <c r="CC462" s="30"/>
      <c r="CD462" s="30"/>
      <c r="CE462" s="30"/>
      <c r="CF462" s="30"/>
      <c r="CG462" s="30"/>
      <c r="CH462" s="30"/>
      <c r="CI462" s="30"/>
      <c r="CJ462" s="30"/>
      <c r="CK462" s="30"/>
      <c r="CL462" s="30"/>
      <c r="CM462" s="30"/>
      <c r="CN462" s="30"/>
      <c r="CO462" s="30"/>
      <c r="CP462" s="30"/>
      <c r="CQ462" s="30"/>
      <c r="CR462" s="30"/>
      <c r="CS462" s="30"/>
      <c r="CT462" s="30"/>
      <c r="CU462" s="30"/>
      <c r="CV462" s="30"/>
      <c r="CW462" s="30"/>
      <c r="CX462" s="30"/>
      <c r="CY462" s="30"/>
      <c r="CZ462" s="30"/>
      <c r="DA462" s="30"/>
      <c r="DB462" s="30"/>
      <c r="DC462" s="30"/>
      <c r="DD462" s="30"/>
      <c r="DE462" s="30"/>
      <c r="DF462" s="30"/>
      <c r="DG462" s="30"/>
      <c r="DH462" s="30"/>
      <c r="DI462" s="30"/>
      <c r="DJ462" s="30"/>
      <c r="DK462" s="30"/>
      <c r="DL462" s="30"/>
      <c r="DM462" s="30"/>
      <c r="DN462" s="30"/>
      <c r="DO462" s="30"/>
      <c r="DP462" s="30"/>
      <c r="DQ462" s="30"/>
      <c r="DR462" s="30"/>
      <c r="DS462" s="30"/>
      <c r="DT462" s="30"/>
      <c r="DU462" s="30"/>
      <c r="DV462" s="30"/>
      <c r="DW462" s="30"/>
    </row>
    <row r="463" spans="1:127" ht="13">
      <c r="A463" s="39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  <c r="BS463" s="30"/>
      <c r="BT463" s="30"/>
      <c r="BU463" s="30"/>
      <c r="BV463" s="30"/>
      <c r="BW463" s="30"/>
      <c r="BX463" s="30"/>
      <c r="BY463" s="30"/>
      <c r="BZ463" s="30"/>
      <c r="CA463" s="30"/>
      <c r="CB463" s="30"/>
      <c r="CC463" s="30"/>
      <c r="CD463" s="30"/>
      <c r="CE463" s="30"/>
      <c r="CF463" s="30"/>
      <c r="CG463" s="30"/>
      <c r="CH463" s="30"/>
      <c r="CI463" s="30"/>
      <c r="CJ463" s="30"/>
      <c r="CK463" s="30"/>
      <c r="CL463" s="30"/>
      <c r="CM463" s="30"/>
      <c r="CN463" s="30"/>
      <c r="CO463" s="30"/>
      <c r="CP463" s="30"/>
      <c r="CQ463" s="30"/>
      <c r="CR463" s="30"/>
      <c r="CS463" s="30"/>
      <c r="CT463" s="30"/>
      <c r="CU463" s="30"/>
      <c r="CV463" s="30"/>
      <c r="CW463" s="30"/>
      <c r="CX463" s="30"/>
      <c r="CY463" s="30"/>
      <c r="CZ463" s="30"/>
      <c r="DA463" s="30"/>
      <c r="DB463" s="30"/>
      <c r="DC463" s="30"/>
      <c r="DD463" s="30"/>
      <c r="DE463" s="30"/>
      <c r="DF463" s="30"/>
      <c r="DG463" s="30"/>
      <c r="DH463" s="30"/>
      <c r="DI463" s="30"/>
      <c r="DJ463" s="30"/>
      <c r="DK463" s="30"/>
      <c r="DL463" s="30"/>
      <c r="DM463" s="30"/>
      <c r="DN463" s="30"/>
      <c r="DO463" s="30"/>
      <c r="DP463" s="30"/>
      <c r="DQ463" s="30"/>
      <c r="DR463" s="30"/>
      <c r="DS463" s="30"/>
      <c r="DT463" s="30"/>
      <c r="DU463" s="30"/>
      <c r="DV463" s="30"/>
      <c r="DW463" s="30"/>
    </row>
    <row r="464" spans="1:127" ht="13">
      <c r="A464" s="39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  <c r="BS464" s="30"/>
      <c r="BT464" s="30"/>
      <c r="BU464" s="30"/>
      <c r="BV464" s="30"/>
      <c r="BW464" s="30"/>
      <c r="BX464" s="30"/>
      <c r="BY464" s="30"/>
      <c r="BZ464" s="30"/>
      <c r="CA464" s="30"/>
      <c r="CB464" s="30"/>
      <c r="CC464" s="30"/>
      <c r="CD464" s="30"/>
      <c r="CE464" s="30"/>
      <c r="CF464" s="30"/>
      <c r="CG464" s="30"/>
      <c r="CH464" s="30"/>
      <c r="CI464" s="30"/>
      <c r="CJ464" s="30"/>
      <c r="CK464" s="30"/>
      <c r="CL464" s="30"/>
      <c r="CM464" s="30"/>
      <c r="CN464" s="30"/>
      <c r="CO464" s="30"/>
      <c r="CP464" s="30"/>
      <c r="CQ464" s="30"/>
      <c r="CR464" s="30"/>
      <c r="CS464" s="30"/>
      <c r="CT464" s="30"/>
      <c r="CU464" s="30"/>
      <c r="CV464" s="30"/>
      <c r="CW464" s="30"/>
      <c r="CX464" s="30"/>
      <c r="CY464" s="30"/>
      <c r="CZ464" s="30"/>
      <c r="DA464" s="30"/>
      <c r="DB464" s="30"/>
      <c r="DC464" s="30"/>
      <c r="DD464" s="30"/>
      <c r="DE464" s="30"/>
      <c r="DF464" s="30"/>
      <c r="DG464" s="30"/>
      <c r="DH464" s="30"/>
      <c r="DI464" s="30"/>
      <c r="DJ464" s="30"/>
      <c r="DK464" s="30"/>
      <c r="DL464" s="30"/>
      <c r="DM464" s="30"/>
      <c r="DN464" s="30"/>
      <c r="DO464" s="30"/>
      <c r="DP464" s="30"/>
      <c r="DQ464" s="30"/>
      <c r="DR464" s="30"/>
      <c r="DS464" s="30"/>
      <c r="DT464" s="30"/>
      <c r="DU464" s="30"/>
      <c r="DV464" s="30"/>
      <c r="DW464" s="30"/>
    </row>
    <row r="465" spans="1:127" ht="13">
      <c r="A465" s="39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  <c r="BS465" s="30"/>
      <c r="BT465" s="30"/>
      <c r="BU465" s="30"/>
      <c r="BV465" s="30"/>
      <c r="BW465" s="30"/>
      <c r="BX465" s="30"/>
      <c r="BY465" s="30"/>
      <c r="BZ465" s="30"/>
      <c r="CA465" s="30"/>
      <c r="CB465" s="30"/>
      <c r="CC465" s="30"/>
      <c r="CD465" s="30"/>
      <c r="CE465" s="30"/>
      <c r="CF465" s="30"/>
      <c r="CG465" s="30"/>
      <c r="CH465" s="30"/>
      <c r="CI465" s="30"/>
      <c r="CJ465" s="30"/>
      <c r="CK465" s="30"/>
      <c r="CL465" s="30"/>
      <c r="CM465" s="30"/>
      <c r="CN465" s="30"/>
      <c r="CO465" s="30"/>
      <c r="CP465" s="30"/>
      <c r="CQ465" s="30"/>
      <c r="CR465" s="30"/>
      <c r="CS465" s="30"/>
      <c r="CT465" s="30"/>
      <c r="CU465" s="30"/>
      <c r="CV465" s="30"/>
      <c r="CW465" s="30"/>
      <c r="CX465" s="30"/>
      <c r="CY465" s="30"/>
      <c r="CZ465" s="30"/>
      <c r="DA465" s="30"/>
      <c r="DB465" s="30"/>
      <c r="DC465" s="30"/>
      <c r="DD465" s="30"/>
      <c r="DE465" s="30"/>
      <c r="DF465" s="30"/>
      <c r="DG465" s="30"/>
      <c r="DH465" s="30"/>
      <c r="DI465" s="30"/>
      <c r="DJ465" s="30"/>
      <c r="DK465" s="30"/>
      <c r="DL465" s="30"/>
      <c r="DM465" s="30"/>
      <c r="DN465" s="30"/>
      <c r="DO465" s="30"/>
      <c r="DP465" s="30"/>
      <c r="DQ465" s="30"/>
      <c r="DR465" s="30"/>
      <c r="DS465" s="30"/>
      <c r="DT465" s="30"/>
      <c r="DU465" s="30"/>
      <c r="DV465" s="30"/>
      <c r="DW465" s="30"/>
    </row>
    <row r="466" spans="1:127" ht="13">
      <c r="A466" s="39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  <c r="BS466" s="30"/>
      <c r="BT466" s="30"/>
      <c r="BU466" s="30"/>
      <c r="BV466" s="30"/>
      <c r="BW466" s="30"/>
      <c r="BX466" s="30"/>
      <c r="BY466" s="30"/>
      <c r="BZ466" s="30"/>
      <c r="CA466" s="30"/>
      <c r="CB466" s="30"/>
      <c r="CC466" s="30"/>
      <c r="CD466" s="30"/>
      <c r="CE466" s="30"/>
      <c r="CF466" s="30"/>
      <c r="CG466" s="30"/>
      <c r="CH466" s="30"/>
      <c r="CI466" s="30"/>
      <c r="CJ466" s="30"/>
      <c r="CK466" s="30"/>
      <c r="CL466" s="30"/>
      <c r="CM466" s="30"/>
      <c r="CN466" s="30"/>
      <c r="CO466" s="30"/>
      <c r="CP466" s="30"/>
      <c r="CQ466" s="30"/>
      <c r="CR466" s="30"/>
      <c r="CS466" s="30"/>
      <c r="CT466" s="30"/>
      <c r="CU466" s="30"/>
      <c r="CV466" s="30"/>
      <c r="CW466" s="30"/>
      <c r="CX466" s="30"/>
      <c r="CY466" s="30"/>
      <c r="CZ466" s="30"/>
      <c r="DA466" s="30"/>
      <c r="DB466" s="30"/>
      <c r="DC466" s="30"/>
      <c r="DD466" s="30"/>
      <c r="DE466" s="30"/>
      <c r="DF466" s="30"/>
      <c r="DG466" s="30"/>
      <c r="DH466" s="30"/>
      <c r="DI466" s="30"/>
      <c r="DJ466" s="30"/>
      <c r="DK466" s="30"/>
      <c r="DL466" s="30"/>
      <c r="DM466" s="30"/>
      <c r="DN466" s="30"/>
      <c r="DO466" s="30"/>
      <c r="DP466" s="30"/>
      <c r="DQ466" s="30"/>
      <c r="DR466" s="30"/>
      <c r="DS466" s="30"/>
      <c r="DT466" s="30"/>
      <c r="DU466" s="30"/>
      <c r="DV466" s="30"/>
      <c r="DW466" s="30"/>
    </row>
    <row r="467" spans="1:127" ht="13">
      <c r="A467" s="39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  <c r="BS467" s="30"/>
      <c r="BT467" s="30"/>
      <c r="BU467" s="30"/>
      <c r="BV467" s="30"/>
      <c r="BW467" s="30"/>
      <c r="BX467" s="30"/>
      <c r="BY467" s="30"/>
      <c r="BZ467" s="30"/>
      <c r="CA467" s="30"/>
      <c r="CB467" s="30"/>
      <c r="CC467" s="30"/>
      <c r="CD467" s="30"/>
      <c r="CE467" s="30"/>
      <c r="CF467" s="30"/>
      <c r="CG467" s="30"/>
      <c r="CH467" s="30"/>
      <c r="CI467" s="30"/>
      <c r="CJ467" s="30"/>
      <c r="CK467" s="30"/>
      <c r="CL467" s="30"/>
      <c r="CM467" s="30"/>
      <c r="CN467" s="30"/>
      <c r="CO467" s="30"/>
      <c r="CP467" s="30"/>
      <c r="CQ467" s="30"/>
      <c r="CR467" s="30"/>
      <c r="CS467" s="30"/>
      <c r="CT467" s="30"/>
      <c r="CU467" s="30"/>
      <c r="CV467" s="30"/>
      <c r="CW467" s="30"/>
      <c r="CX467" s="30"/>
      <c r="CY467" s="30"/>
      <c r="CZ467" s="30"/>
      <c r="DA467" s="30"/>
      <c r="DB467" s="30"/>
      <c r="DC467" s="30"/>
      <c r="DD467" s="30"/>
      <c r="DE467" s="30"/>
      <c r="DF467" s="30"/>
      <c r="DG467" s="30"/>
      <c r="DH467" s="30"/>
      <c r="DI467" s="30"/>
      <c r="DJ467" s="30"/>
      <c r="DK467" s="30"/>
      <c r="DL467" s="30"/>
      <c r="DM467" s="30"/>
      <c r="DN467" s="30"/>
      <c r="DO467" s="30"/>
      <c r="DP467" s="30"/>
      <c r="DQ467" s="30"/>
      <c r="DR467" s="30"/>
      <c r="DS467" s="30"/>
      <c r="DT467" s="30"/>
      <c r="DU467" s="30"/>
      <c r="DV467" s="30"/>
      <c r="DW467" s="30"/>
    </row>
    <row r="468" spans="1:127" ht="13">
      <c r="A468" s="39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  <c r="BS468" s="30"/>
      <c r="BT468" s="30"/>
      <c r="BU468" s="30"/>
      <c r="BV468" s="30"/>
      <c r="BW468" s="30"/>
      <c r="BX468" s="30"/>
      <c r="BY468" s="30"/>
      <c r="BZ468" s="30"/>
      <c r="CA468" s="30"/>
      <c r="CB468" s="30"/>
      <c r="CC468" s="30"/>
      <c r="CD468" s="30"/>
      <c r="CE468" s="30"/>
      <c r="CF468" s="30"/>
      <c r="CG468" s="30"/>
      <c r="CH468" s="30"/>
      <c r="CI468" s="30"/>
      <c r="CJ468" s="30"/>
      <c r="CK468" s="30"/>
      <c r="CL468" s="30"/>
      <c r="CM468" s="30"/>
      <c r="CN468" s="30"/>
      <c r="CO468" s="30"/>
      <c r="CP468" s="30"/>
      <c r="CQ468" s="30"/>
      <c r="CR468" s="30"/>
      <c r="CS468" s="30"/>
      <c r="CT468" s="30"/>
      <c r="CU468" s="30"/>
      <c r="CV468" s="30"/>
      <c r="CW468" s="30"/>
      <c r="CX468" s="30"/>
      <c r="CY468" s="30"/>
      <c r="CZ468" s="30"/>
      <c r="DA468" s="30"/>
      <c r="DB468" s="30"/>
      <c r="DC468" s="30"/>
      <c r="DD468" s="30"/>
      <c r="DE468" s="30"/>
      <c r="DF468" s="30"/>
      <c r="DG468" s="30"/>
      <c r="DH468" s="30"/>
      <c r="DI468" s="30"/>
      <c r="DJ468" s="30"/>
      <c r="DK468" s="30"/>
      <c r="DL468" s="30"/>
      <c r="DM468" s="30"/>
      <c r="DN468" s="30"/>
      <c r="DO468" s="30"/>
      <c r="DP468" s="30"/>
      <c r="DQ468" s="30"/>
      <c r="DR468" s="30"/>
      <c r="DS468" s="30"/>
      <c r="DT468" s="30"/>
      <c r="DU468" s="30"/>
      <c r="DV468" s="30"/>
      <c r="DW468" s="30"/>
    </row>
    <row r="469" spans="1:127" ht="13">
      <c r="A469" s="39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  <c r="BS469" s="30"/>
      <c r="BT469" s="30"/>
      <c r="BU469" s="30"/>
      <c r="BV469" s="30"/>
      <c r="BW469" s="30"/>
      <c r="BX469" s="30"/>
      <c r="BY469" s="30"/>
      <c r="BZ469" s="30"/>
      <c r="CA469" s="30"/>
      <c r="CB469" s="30"/>
      <c r="CC469" s="30"/>
      <c r="CD469" s="30"/>
      <c r="CE469" s="30"/>
      <c r="CF469" s="30"/>
      <c r="CG469" s="30"/>
      <c r="CH469" s="30"/>
      <c r="CI469" s="30"/>
      <c r="CJ469" s="30"/>
      <c r="CK469" s="30"/>
      <c r="CL469" s="30"/>
      <c r="CM469" s="30"/>
      <c r="CN469" s="30"/>
      <c r="CO469" s="30"/>
      <c r="CP469" s="30"/>
      <c r="CQ469" s="30"/>
      <c r="CR469" s="30"/>
      <c r="CS469" s="30"/>
      <c r="CT469" s="30"/>
      <c r="CU469" s="30"/>
      <c r="CV469" s="30"/>
      <c r="CW469" s="30"/>
      <c r="CX469" s="30"/>
      <c r="CY469" s="30"/>
      <c r="CZ469" s="30"/>
      <c r="DA469" s="30"/>
      <c r="DB469" s="30"/>
      <c r="DC469" s="30"/>
      <c r="DD469" s="30"/>
      <c r="DE469" s="30"/>
      <c r="DF469" s="30"/>
      <c r="DG469" s="30"/>
      <c r="DH469" s="30"/>
      <c r="DI469" s="30"/>
      <c r="DJ469" s="30"/>
      <c r="DK469" s="30"/>
      <c r="DL469" s="30"/>
      <c r="DM469" s="30"/>
      <c r="DN469" s="30"/>
      <c r="DO469" s="30"/>
      <c r="DP469" s="30"/>
      <c r="DQ469" s="30"/>
      <c r="DR469" s="30"/>
      <c r="DS469" s="30"/>
      <c r="DT469" s="30"/>
      <c r="DU469" s="30"/>
      <c r="DV469" s="30"/>
      <c r="DW469" s="30"/>
    </row>
    <row r="470" spans="1:127" ht="13">
      <c r="A470" s="39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  <c r="BS470" s="30"/>
      <c r="BT470" s="30"/>
      <c r="BU470" s="30"/>
      <c r="BV470" s="30"/>
      <c r="BW470" s="30"/>
      <c r="BX470" s="30"/>
      <c r="BY470" s="30"/>
      <c r="BZ470" s="30"/>
      <c r="CA470" s="30"/>
      <c r="CB470" s="30"/>
      <c r="CC470" s="30"/>
      <c r="CD470" s="30"/>
      <c r="CE470" s="30"/>
      <c r="CF470" s="30"/>
      <c r="CG470" s="30"/>
      <c r="CH470" s="30"/>
      <c r="CI470" s="30"/>
      <c r="CJ470" s="30"/>
      <c r="CK470" s="30"/>
      <c r="CL470" s="30"/>
      <c r="CM470" s="30"/>
      <c r="CN470" s="30"/>
      <c r="CO470" s="30"/>
      <c r="CP470" s="30"/>
      <c r="CQ470" s="30"/>
      <c r="CR470" s="30"/>
      <c r="CS470" s="30"/>
      <c r="CT470" s="30"/>
      <c r="CU470" s="30"/>
      <c r="CV470" s="30"/>
      <c r="CW470" s="30"/>
      <c r="CX470" s="30"/>
      <c r="CY470" s="30"/>
      <c r="CZ470" s="30"/>
      <c r="DA470" s="30"/>
      <c r="DB470" s="30"/>
      <c r="DC470" s="30"/>
      <c r="DD470" s="30"/>
      <c r="DE470" s="30"/>
      <c r="DF470" s="30"/>
      <c r="DG470" s="30"/>
      <c r="DH470" s="30"/>
      <c r="DI470" s="30"/>
      <c r="DJ470" s="30"/>
      <c r="DK470" s="30"/>
      <c r="DL470" s="30"/>
      <c r="DM470" s="30"/>
      <c r="DN470" s="30"/>
      <c r="DO470" s="30"/>
      <c r="DP470" s="30"/>
      <c r="DQ470" s="30"/>
      <c r="DR470" s="30"/>
      <c r="DS470" s="30"/>
      <c r="DT470" s="30"/>
      <c r="DU470" s="30"/>
      <c r="DV470" s="30"/>
      <c r="DW470" s="30"/>
    </row>
    <row r="471" spans="1:127" ht="13">
      <c r="A471" s="39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  <c r="BS471" s="30"/>
      <c r="BT471" s="30"/>
      <c r="BU471" s="30"/>
      <c r="BV471" s="30"/>
      <c r="BW471" s="30"/>
      <c r="BX471" s="30"/>
      <c r="BY471" s="30"/>
      <c r="BZ471" s="30"/>
      <c r="CA471" s="30"/>
      <c r="CB471" s="30"/>
      <c r="CC471" s="30"/>
      <c r="CD471" s="30"/>
      <c r="CE471" s="30"/>
      <c r="CF471" s="30"/>
      <c r="CG471" s="30"/>
      <c r="CH471" s="30"/>
      <c r="CI471" s="30"/>
      <c r="CJ471" s="30"/>
      <c r="CK471" s="30"/>
      <c r="CL471" s="30"/>
      <c r="CM471" s="30"/>
      <c r="CN471" s="30"/>
      <c r="CO471" s="30"/>
      <c r="CP471" s="30"/>
      <c r="CQ471" s="30"/>
      <c r="CR471" s="30"/>
      <c r="CS471" s="30"/>
      <c r="CT471" s="30"/>
      <c r="CU471" s="30"/>
      <c r="CV471" s="30"/>
      <c r="CW471" s="30"/>
      <c r="CX471" s="30"/>
      <c r="CY471" s="30"/>
      <c r="CZ471" s="30"/>
      <c r="DA471" s="30"/>
      <c r="DB471" s="30"/>
      <c r="DC471" s="30"/>
      <c r="DD471" s="30"/>
      <c r="DE471" s="30"/>
      <c r="DF471" s="30"/>
      <c r="DG471" s="30"/>
      <c r="DH471" s="30"/>
      <c r="DI471" s="30"/>
      <c r="DJ471" s="30"/>
      <c r="DK471" s="30"/>
      <c r="DL471" s="30"/>
      <c r="DM471" s="30"/>
      <c r="DN471" s="30"/>
      <c r="DO471" s="30"/>
      <c r="DP471" s="30"/>
      <c r="DQ471" s="30"/>
      <c r="DR471" s="30"/>
      <c r="DS471" s="30"/>
      <c r="DT471" s="30"/>
      <c r="DU471" s="30"/>
      <c r="DV471" s="30"/>
      <c r="DW471" s="30"/>
    </row>
    <row r="472" spans="1:127" ht="13">
      <c r="A472" s="39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  <c r="BS472" s="30"/>
      <c r="BT472" s="30"/>
      <c r="BU472" s="30"/>
      <c r="BV472" s="30"/>
      <c r="BW472" s="30"/>
      <c r="BX472" s="30"/>
      <c r="BY472" s="30"/>
      <c r="BZ472" s="30"/>
      <c r="CA472" s="30"/>
      <c r="CB472" s="30"/>
      <c r="CC472" s="30"/>
      <c r="CD472" s="30"/>
      <c r="CE472" s="30"/>
      <c r="CF472" s="30"/>
      <c r="CG472" s="30"/>
      <c r="CH472" s="30"/>
      <c r="CI472" s="30"/>
      <c r="CJ472" s="30"/>
      <c r="CK472" s="30"/>
      <c r="CL472" s="30"/>
      <c r="CM472" s="30"/>
      <c r="CN472" s="30"/>
      <c r="CO472" s="30"/>
      <c r="CP472" s="30"/>
      <c r="CQ472" s="30"/>
      <c r="CR472" s="30"/>
      <c r="CS472" s="30"/>
      <c r="CT472" s="30"/>
      <c r="CU472" s="30"/>
      <c r="CV472" s="30"/>
      <c r="CW472" s="30"/>
      <c r="CX472" s="30"/>
      <c r="CY472" s="30"/>
      <c r="CZ472" s="30"/>
      <c r="DA472" s="30"/>
      <c r="DB472" s="30"/>
      <c r="DC472" s="30"/>
      <c r="DD472" s="30"/>
      <c r="DE472" s="30"/>
      <c r="DF472" s="30"/>
      <c r="DG472" s="30"/>
      <c r="DH472" s="30"/>
      <c r="DI472" s="30"/>
      <c r="DJ472" s="30"/>
      <c r="DK472" s="30"/>
      <c r="DL472" s="30"/>
      <c r="DM472" s="30"/>
      <c r="DN472" s="30"/>
      <c r="DO472" s="30"/>
      <c r="DP472" s="30"/>
      <c r="DQ472" s="30"/>
      <c r="DR472" s="30"/>
      <c r="DS472" s="30"/>
      <c r="DT472" s="30"/>
      <c r="DU472" s="30"/>
      <c r="DV472" s="30"/>
      <c r="DW472" s="30"/>
    </row>
    <row r="473" spans="1:127" ht="13">
      <c r="A473" s="39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  <c r="BS473" s="30"/>
      <c r="BT473" s="30"/>
      <c r="BU473" s="30"/>
      <c r="BV473" s="30"/>
      <c r="BW473" s="30"/>
      <c r="BX473" s="30"/>
      <c r="BY473" s="30"/>
      <c r="BZ473" s="30"/>
      <c r="CA473" s="30"/>
      <c r="CB473" s="30"/>
      <c r="CC473" s="30"/>
      <c r="CD473" s="30"/>
      <c r="CE473" s="30"/>
      <c r="CF473" s="30"/>
      <c r="CG473" s="30"/>
      <c r="CH473" s="30"/>
      <c r="CI473" s="30"/>
      <c r="CJ473" s="30"/>
      <c r="CK473" s="30"/>
      <c r="CL473" s="30"/>
      <c r="CM473" s="30"/>
      <c r="CN473" s="30"/>
      <c r="CO473" s="30"/>
      <c r="CP473" s="30"/>
      <c r="CQ473" s="30"/>
      <c r="CR473" s="30"/>
      <c r="CS473" s="30"/>
      <c r="CT473" s="30"/>
      <c r="CU473" s="30"/>
      <c r="CV473" s="30"/>
      <c r="CW473" s="30"/>
      <c r="CX473" s="30"/>
      <c r="CY473" s="30"/>
      <c r="CZ473" s="30"/>
      <c r="DA473" s="30"/>
      <c r="DB473" s="30"/>
      <c r="DC473" s="30"/>
      <c r="DD473" s="30"/>
      <c r="DE473" s="30"/>
      <c r="DF473" s="30"/>
      <c r="DG473" s="30"/>
      <c r="DH473" s="30"/>
      <c r="DI473" s="30"/>
      <c r="DJ473" s="30"/>
      <c r="DK473" s="30"/>
      <c r="DL473" s="30"/>
      <c r="DM473" s="30"/>
      <c r="DN473" s="30"/>
      <c r="DO473" s="30"/>
      <c r="DP473" s="30"/>
      <c r="DQ473" s="30"/>
      <c r="DR473" s="30"/>
      <c r="DS473" s="30"/>
      <c r="DT473" s="30"/>
      <c r="DU473" s="30"/>
      <c r="DV473" s="30"/>
      <c r="DW473" s="30"/>
    </row>
    <row r="474" spans="1:127" ht="13">
      <c r="A474" s="39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  <c r="BU474" s="30"/>
      <c r="BV474" s="30"/>
      <c r="BW474" s="30"/>
      <c r="BX474" s="30"/>
      <c r="BY474" s="30"/>
      <c r="BZ474" s="30"/>
      <c r="CA474" s="30"/>
      <c r="CB474" s="30"/>
      <c r="CC474" s="30"/>
      <c r="CD474" s="30"/>
      <c r="CE474" s="30"/>
      <c r="CF474" s="30"/>
      <c r="CG474" s="30"/>
      <c r="CH474" s="30"/>
      <c r="CI474" s="30"/>
      <c r="CJ474" s="30"/>
      <c r="CK474" s="30"/>
      <c r="CL474" s="30"/>
      <c r="CM474" s="30"/>
      <c r="CN474" s="30"/>
      <c r="CO474" s="30"/>
      <c r="CP474" s="30"/>
      <c r="CQ474" s="30"/>
      <c r="CR474" s="30"/>
      <c r="CS474" s="30"/>
      <c r="CT474" s="30"/>
      <c r="CU474" s="30"/>
      <c r="CV474" s="30"/>
      <c r="CW474" s="30"/>
      <c r="CX474" s="30"/>
      <c r="CY474" s="30"/>
      <c r="CZ474" s="30"/>
      <c r="DA474" s="30"/>
      <c r="DB474" s="30"/>
      <c r="DC474" s="30"/>
      <c r="DD474" s="30"/>
      <c r="DE474" s="30"/>
      <c r="DF474" s="30"/>
      <c r="DG474" s="30"/>
      <c r="DH474" s="30"/>
      <c r="DI474" s="30"/>
      <c r="DJ474" s="30"/>
      <c r="DK474" s="30"/>
      <c r="DL474" s="30"/>
      <c r="DM474" s="30"/>
      <c r="DN474" s="30"/>
      <c r="DO474" s="30"/>
      <c r="DP474" s="30"/>
      <c r="DQ474" s="30"/>
      <c r="DR474" s="30"/>
      <c r="DS474" s="30"/>
      <c r="DT474" s="30"/>
      <c r="DU474" s="30"/>
      <c r="DV474" s="30"/>
      <c r="DW474" s="30"/>
    </row>
    <row r="475" spans="1:127" ht="13">
      <c r="A475" s="39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  <c r="BS475" s="30"/>
      <c r="BT475" s="30"/>
      <c r="BU475" s="30"/>
      <c r="BV475" s="30"/>
      <c r="BW475" s="30"/>
      <c r="BX475" s="30"/>
      <c r="BY475" s="30"/>
      <c r="BZ475" s="30"/>
      <c r="CA475" s="30"/>
      <c r="CB475" s="30"/>
      <c r="CC475" s="30"/>
      <c r="CD475" s="30"/>
      <c r="CE475" s="30"/>
      <c r="CF475" s="30"/>
      <c r="CG475" s="30"/>
      <c r="CH475" s="30"/>
      <c r="CI475" s="30"/>
      <c r="CJ475" s="30"/>
      <c r="CK475" s="30"/>
      <c r="CL475" s="30"/>
      <c r="CM475" s="30"/>
      <c r="CN475" s="30"/>
      <c r="CO475" s="30"/>
      <c r="CP475" s="30"/>
      <c r="CQ475" s="30"/>
      <c r="CR475" s="30"/>
      <c r="CS475" s="30"/>
      <c r="CT475" s="30"/>
      <c r="CU475" s="30"/>
      <c r="CV475" s="30"/>
      <c r="CW475" s="30"/>
      <c r="CX475" s="30"/>
      <c r="CY475" s="30"/>
      <c r="CZ475" s="30"/>
      <c r="DA475" s="30"/>
      <c r="DB475" s="30"/>
      <c r="DC475" s="30"/>
      <c r="DD475" s="30"/>
      <c r="DE475" s="30"/>
      <c r="DF475" s="30"/>
      <c r="DG475" s="30"/>
      <c r="DH475" s="30"/>
      <c r="DI475" s="30"/>
      <c r="DJ475" s="30"/>
      <c r="DK475" s="30"/>
      <c r="DL475" s="30"/>
      <c r="DM475" s="30"/>
      <c r="DN475" s="30"/>
      <c r="DO475" s="30"/>
      <c r="DP475" s="30"/>
      <c r="DQ475" s="30"/>
      <c r="DR475" s="30"/>
      <c r="DS475" s="30"/>
      <c r="DT475" s="30"/>
      <c r="DU475" s="30"/>
      <c r="DV475" s="30"/>
      <c r="DW475" s="30"/>
    </row>
    <row r="476" spans="1:127" ht="13">
      <c r="A476" s="39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  <c r="BU476" s="30"/>
      <c r="BV476" s="30"/>
      <c r="BW476" s="30"/>
      <c r="BX476" s="30"/>
      <c r="BY476" s="30"/>
      <c r="BZ476" s="30"/>
      <c r="CA476" s="30"/>
      <c r="CB476" s="30"/>
      <c r="CC476" s="30"/>
      <c r="CD476" s="30"/>
      <c r="CE476" s="30"/>
      <c r="CF476" s="30"/>
      <c r="CG476" s="30"/>
      <c r="CH476" s="30"/>
      <c r="CI476" s="30"/>
      <c r="CJ476" s="30"/>
      <c r="CK476" s="30"/>
      <c r="CL476" s="30"/>
      <c r="CM476" s="30"/>
      <c r="CN476" s="30"/>
      <c r="CO476" s="30"/>
      <c r="CP476" s="30"/>
      <c r="CQ476" s="30"/>
      <c r="CR476" s="30"/>
      <c r="CS476" s="30"/>
      <c r="CT476" s="30"/>
      <c r="CU476" s="30"/>
      <c r="CV476" s="30"/>
      <c r="CW476" s="30"/>
      <c r="CX476" s="30"/>
      <c r="CY476" s="30"/>
      <c r="CZ476" s="30"/>
      <c r="DA476" s="30"/>
      <c r="DB476" s="30"/>
      <c r="DC476" s="30"/>
      <c r="DD476" s="30"/>
      <c r="DE476" s="30"/>
      <c r="DF476" s="30"/>
      <c r="DG476" s="30"/>
      <c r="DH476" s="30"/>
      <c r="DI476" s="30"/>
      <c r="DJ476" s="30"/>
      <c r="DK476" s="30"/>
      <c r="DL476" s="30"/>
      <c r="DM476" s="30"/>
      <c r="DN476" s="30"/>
      <c r="DO476" s="30"/>
      <c r="DP476" s="30"/>
      <c r="DQ476" s="30"/>
      <c r="DR476" s="30"/>
      <c r="DS476" s="30"/>
      <c r="DT476" s="30"/>
      <c r="DU476" s="30"/>
      <c r="DV476" s="30"/>
      <c r="DW476" s="30"/>
    </row>
    <row r="477" spans="1:127" ht="13">
      <c r="A477" s="39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  <c r="BS477" s="30"/>
      <c r="BT477" s="30"/>
      <c r="BU477" s="30"/>
      <c r="BV477" s="30"/>
      <c r="BW477" s="30"/>
      <c r="BX477" s="30"/>
      <c r="BY477" s="30"/>
      <c r="BZ477" s="30"/>
      <c r="CA477" s="30"/>
      <c r="CB477" s="30"/>
      <c r="CC477" s="30"/>
      <c r="CD477" s="30"/>
      <c r="CE477" s="30"/>
      <c r="CF477" s="30"/>
      <c r="CG477" s="30"/>
      <c r="CH477" s="30"/>
      <c r="CI477" s="30"/>
      <c r="CJ477" s="30"/>
      <c r="CK477" s="30"/>
      <c r="CL477" s="30"/>
      <c r="CM477" s="30"/>
      <c r="CN477" s="30"/>
      <c r="CO477" s="30"/>
      <c r="CP477" s="30"/>
      <c r="CQ477" s="30"/>
      <c r="CR477" s="30"/>
      <c r="CS477" s="30"/>
      <c r="CT477" s="30"/>
      <c r="CU477" s="30"/>
      <c r="CV477" s="30"/>
      <c r="CW477" s="30"/>
      <c r="CX477" s="30"/>
      <c r="CY477" s="30"/>
      <c r="CZ477" s="30"/>
      <c r="DA477" s="30"/>
      <c r="DB477" s="30"/>
      <c r="DC477" s="30"/>
      <c r="DD477" s="30"/>
      <c r="DE477" s="30"/>
      <c r="DF477" s="30"/>
      <c r="DG477" s="30"/>
      <c r="DH477" s="30"/>
      <c r="DI477" s="30"/>
      <c r="DJ477" s="30"/>
      <c r="DK477" s="30"/>
      <c r="DL477" s="30"/>
      <c r="DM477" s="30"/>
      <c r="DN477" s="30"/>
      <c r="DO477" s="30"/>
      <c r="DP477" s="30"/>
      <c r="DQ477" s="30"/>
      <c r="DR477" s="30"/>
      <c r="DS477" s="30"/>
      <c r="DT477" s="30"/>
      <c r="DU477" s="30"/>
      <c r="DV477" s="30"/>
      <c r="DW477" s="30"/>
    </row>
    <row r="478" spans="1:127" ht="13">
      <c r="A478" s="39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  <c r="BS478" s="30"/>
      <c r="BT478" s="30"/>
      <c r="BU478" s="30"/>
      <c r="BV478" s="30"/>
      <c r="BW478" s="30"/>
      <c r="BX478" s="30"/>
      <c r="BY478" s="30"/>
      <c r="BZ478" s="30"/>
      <c r="CA478" s="30"/>
      <c r="CB478" s="30"/>
      <c r="CC478" s="30"/>
      <c r="CD478" s="30"/>
      <c r="CE478" s="30"/>
      <c r="CF478" s="30"/>
      <c r="CG478" s="30"/>
      <c r="CH478" s="30"/>
      <c r="CI478" s="30"/>
      <c r="CJ478" s="30"/>
      <c r="CK478" s="30"/>
      <c r="CL478" s="30"/>
      <c r="CM478" s="30"/>
      <c r="CN478" s="30"/>
      <c r="CO478" s="30"/>
      <c r="CP478" s="30"/>
      <c r="CQ478" s="30"/>
      <c r="CR478" s="30"/>
      <c r="CS478" s="30"/>
      <c r="CT478" s="30"/>
      <c r="CU478" s="30"/>
      <c r="CV478" s="30"/>
      <c r="CW478" s="30"/>
      <c r="CX478" s="30"/>
      <c r="CY478" s="30"/>
      <c r="CZ478" s="30"/>
      <c r="DA478" s="30"/>
      <c r="DB478" s="30"/>
      <c r="DC478" s="30"/>
      <c r="DD478" s="30"/>
      <c r="DE478" s="30"/>
      <c r="DF478" s="30"/>
      <c r="DG478" s="30"/>
      <c r="DH478" s="30"/>
      <c r="DI478" s="30"/>
      <c r="DJ478" s="30"/>
      <c r="DK478" s="30"/>
      <c r="DL478" s="30"/>
      <c r="DM478" s="30"/>
      <c r="DN478" s="30"/>
      <c r="DO478" s="30"/>
      <c r="DP478" s="30"/>
      <c r="DQ478" s="30"/>
      <c r="DR478" s="30"/>
      <c r="DS478" s="30"/>
      <c r="DT478" s="30"/>
      <c r="DU478" s="30"/>
      <c r="DV478" s="30"/>
      <c r="DW478" s="30"/>
    </row>
    <row r="479" spans="1:127" ht="13">
      <c r="A479" s="39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  <c r="BS479" s="30"/>
      <c r="BT479" s="30"/>
      <c r="BU479" s="30"/>
      <c r="BV479" s="30"/>
      <c r="BW479" s="30"/>
      <c r="BX479" s="30"/>
      <c r="BY479" s="30"/>
      <c r="BZ479" s="30"/>
      <c r="CA479" s="30"/>
      <c r="CB479" s="30"/>
      <c r="CC479" s="30"/>
      <c r="CD479" s="30"/>
      <c r="CE479" s="30"/>
      <c r="CF479" s="30"/>
      <c r="CG479" s="30"/>
      <c r="CH479" s="30"/>
      <c r="CI479" s="30"/>
      <c r="CJ479" s="30"/>
      <c r="CK479" s="30"/>
      <c r="CL479" s="30"/>
      <c r="CM479" s="30"/>
      <c r="CN479" s="30"/>
      <c r="CO479" s="30"/>
      <c r="CP479" s="30"/>
      <c r="CQ479" s="30"/>
      <c r="CR479" s="30"/>
      <c r="CS479" s="30"/>
      <c r="CT479" s="30"/>
      <c r="CU479" s="30"/>
      <c r="CV479" s="30"/>
      <c r="CW479" s="30"/>
      <c r="CX479" s="30"/>
      <c r="CY479" s="30"/>
      <c r="CZ479" s="30"/>
      <c r="DA479" s="30"/>
      <c r="DB479" s="30"/>
      <c r="DC479" s="30"/>
      <c r="DD479" s="30"/>
      <c r="DE479" s="30"/>
      <c r="DF479" s="30"/>
      <c r="DG479" s="30"/>
      <c r="DH479" s="30"/>
      <c r="DI479" s="30"/>
      <c r="DJ479" s="30"/>
      <c r="DK479" s="30"/>
      <c r="DL479" s="30"/>
      <c r="DM479" s="30"/>
      <c r="DN479" s="30"/>
      <c r="DO479" s="30"/>
      <c r="DP479" s="30"/>
      <c r="DQ479" s="30"/>
      <c r="DR479" s="30"/>
      <c r="DS479" s="30"/>
      <c r="DT479" s="30"/>
      <c r="DU479" s="30"/>
      <c r="DV479" s="30"/>
      <c r="DW479" s="30"/>
    </row>
    <row r="480" spans="1:127" ht="13">
      <c r="A480" s="39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  <c r="BS480" s="30"/>
      <c r="BT480" s="30"/>
      <c r="BU480" s="30"/>
      <c r="BV480" s="30"/>
      <c r="BW480" s="30"/>
      <c r="BX480" s="30"/>
      <c r="BY480" s="30"/>
      <c r="BZ480" s="30"/>
      <c r="CA480" s="30"/>
      <c r="CB480" s="30"/>
      <c r="CC480" s="30"/>
      <c r="CD480" s="30"/>
      <c r="CE480" s="30"/>
      <c r="CF480" s="30"/>
      <c r="CG480" s="30"/>
      <c r="CH480" s="30"/>
      <c r="CI480" s="30"/>
      <c r="CJ480" s="30"/>
      <c r="CK480" s="30"/>
      <c r="CL480" s="30"/>
      <c r="CM480" s="30"/>
      <c r="CN480" s="30"/>
      <c r="CO480" s="30"/>
      <c r="CP480" s="30"/>
      <c r="CQ480" s="30"/>
      <c r="CR480" s="30"/>
      <c r="CS480" s="30"/>
      <c r="CT480" s="30"/>
      <c r="CU480" s="30"/>
      <c r="CV480" s="30"/>
      <c r="CW480" s="30"/>
      <c r="CX480" s="30"/>
      <c r="CY480" s="30"/>
      <c r="CZ480" s="30"/>
      <c r="DA480" s="30"/>
      <c r="DB480" s="30"/>
      <c r="DC480" s="30"/>
      <c r="DD480" s="30"/>
      <c r="DE480" s="30"/>
      <c r="DF480" s="30"/>
      <c r="DG480" s="30"/>
      <c r="DH480" s="30"/>
      <c r="DI480" s="30"/>
      <c r="DJ480" s="30"/>
      <c r="DK480" s="30"/>
      <c r="DL480" s="30"/>
      <c r="DM480" s="30"/>
      <c r="DN480" s="30"/>
      <c r="DO480" s="30"/>
      <c r="DP480" s="30"/>
      <c r="DQ480" s="30"/>
      <c r="DR480" s="30"/>
      <c r="DS480" s="30"/>
      <c r="DT480" s="30"/>
      <c r="DU480" s="30"/>
      <c r="DV480" s="30"/>
      <c r="DW480" s="30"/>
    </row>
    <row r="481" spans="1:127" ht="13">
      <c r="A481" s="39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  <c r="BS481" s="30"/>
      <c r="BT481" s="30"/>
      <c r="BU481" s="30"/>
      <c r="BV481" s="30"/>
      <c r="BW481" s="30"/>
      <c r="BX481" s="30"/>
      <c r="BY481" s="30"/>
      <c r="BZ481" s="30"/>
      <c r="CA481" s="30"/>
      <c r="CB481" s="30"/>
      <c r="CC481" s="30"/>
      <c r="CD481" s="30"/>
      <c r="CE481" s="30"/>
      <c r="CF481" s="30"/>
      <c r="CG481" s="30"/>
      <c r="CH481" s="30"/>
      <c r="CI481" s="30"/>
      <c r="CJ481" s="30"/>
      <c r="CK481" s="30"/>
      <c r="CL481" s="30"/>
      <c r="CM481" s="30"/>
      <c r="CN481" s="30"/>
      <c r="CO481" s="30"/>
      <c r="CP481" s="30"/>
      <c r="CQ481" s="30"/>
      <c r="CR481" s="30"/>
      <c r="CS481" s="30"/>
      <c r="CT481" s="30"/>
      <c r="CU481" s="30"/>
      <c r="CV481" s="30"/>
      <c r="CW481" s="30"/>
      <c r="CX481" s="30"/>
      <c r="CY481" s="30"/>
      <c r="CZ481" s="30"/>
      <c r="DA481" s="30"/>
      <c r="DB481" s="30"/>
      <c r="DC481" s="30"/>
      <c r="DD481" s="30"/>
      <c r="DE481" s="30"/>
      <c r="DF481" s="30"/>
      <c r="DG481" s="30"/>
      <c r="DH481" s="30"/>
      <c r="DI481" s="30"/>
      <c r="DJ481" s="30"/>
      <c r="DK481" s="30"/>
      <c r="DL481" s="30"/>
      <c r="DM481" s="30"/>
      <c r="DN481" s="30"/>
      <c r="DO481" s="30"/>
      <c r="DP481" s="30"/>
      <c r="DQ481" s="30"/>
      <c r="DR481" s="30"/>
      <c r="DS481" s="30"/>
      <c r="DT481" s="30"/>
      <c r="DU481" s="30"/>
      <c r="DV481" s="30"/>
      <c r="DW481" s="30"/>
    </row>
    <row r="482" spans="1:127" ht="13">
      <c r="A482" s="39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  <c r="BS482" s="30"/>
      <c r="BT482" s="30"/>
      <c r="BU482" s="30"/>
      <c r="BV482" s="30"/>
      <c r="BW482" s="30"/>
      <c r="BX482" s="30"/>
      <c r="BY482" s="30"/>
      <c r="BZ482" s="30"/>
      <c r="CA482" s="30"/>
      <c r="CB482" s="30"/>
      <c r="CC482" s="30"/>
      <c r="CD482" s="30"/>
      <c r="CE482" s="30"/>
      <c r="CF482" s="30"/>
      <c r="CG482" s="30"/>
      <c r="CH482" s="30"/>
      <c r="CI482" s="30"/>
      <c r="CJ482" s="30"/>
      <c r="CK482" s="30"/>
      <c r="CL482" s="30"/>
      <c r="CM482" s="30"/>
      <c r="CN482" s="30"/>
      <c r="CO482" s="30"/>
      <c r="CP482" s="30"/>
      <c r="CQ482" s="30"/>
      <c r="CR482" s="30"/>
      <c r="CS482" s="30"/>
      <c r="CT482" s="30"/>
      <c r="CU482" s="30"/>
      <c r="CV482" s="30"/>
      <c r="CW482" s="30"/>
      <c r="CX482" s="30"/>
      <c r="CY482" s="30"/>
      <c r="CZ482" s="30"/>
      <c r="DA482" s="30"/>
      <c r="DB482" s="30"/>
      <c r="DC482" s="30"/>
      <c r="DD482" s="30"/>
      <c r="DE482" s="30"/>
      <c r="DF482" s="30"/>
      <c r="DG482" s="30"/>
      <c r="DH482" s="30"/>
      <c r="DI482" s="30"/>
      <c r="DJ482" s="30"/>
      <c r="DK482" s="30"/>
      <c r="DL482" s="30"/>
      <c r="DM482" s="30"/>
      <c r="DN482" s="30"/>
      <c r="DO482" s="30"/>
      <c r="DP482" s="30"/>
      <c r="DQ482" s="30"/>
      <c r="DR482" s="30"/>
      <c r="DS482" s="30"/>
      <c r="DT482" s="30"/>
      <c r="DU482" s="30"/>
      <c r="DV482" s="30"/>
      <c r="DW482" s="30"/>
    </row>
    <row r="483" spans="1:127" ht="13">
      <c r="A483" s="39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  <c r="BS483" s="30"/>
      <c r="BT483" s="30"/>
      <c r="BU483" s="30"/>
      <c r="BV483" s="30"/>
      <c r="BW483" s="30"/>
      <c r="BX483" s="30"/>
      <c r="BY483" s="30"/>
      <c r="BZ483" s="30"/>
      <c r="CA483" s="30"/>
      <c r="CB483" s="30"/>
      <c r="CC483" s="30"/>
      <c r="CD483" s="30"/>
      <c r="CE483" s="30"/>
      <c r="CF483" s="30"/>
      <c r="CG483" s="30"/>
      <c r="CH483" s="30"/>
      <c r="CI483" s="30"/>
      <c r="CJ483" s="30"/>
      <c r="CK483" s="30"/>
      <c r="CL483" s="30"/>
      <c r="CM483" s="30"/>
      <c r="CN483" s="30"/>
      <c r="CO483" s="30"/>
      <c r="CP483" s="30"/>
      <c r="CQ483" s="30"/>
      <c r="CR483" s="30"/>
      <c r="CS483" s="30"/>
      <c r="CT483" s="30"/>
      <c r="CU483" s="30"/>
      <c r="CV483" s="30"/>
      <c r="CW483" s="30"/>
      <c r="CX483" s="30"/>
      <c r="CY483" s="30"/>
      <c r="CZ483" s="30"/>
      <c r="DA483" s="30"/>
      <c r="DB483" s="30"/>
      <c r="DC483" s="30"/>
      <c r="DD483" s="30"/>
      <c r="DE483" s="30"/>
      <c r="DF483" s="30"/>
      <c r="DG483" s="30"/>
      <c r="DH483" s="30"/>
      <c r="DI483" s="30"/>
      <c r="DJ483" s="30"/>
      <c r="DK483" s="30"/>
      <c r="DL483" s="30"/>
      <c r="DM483" s="30"/>
      <c r="DN483" s="30"/>
      <c r="DO483" s="30"/>
      <c r="DP483" s="30"/>
      <c r="DQ483" s="30"/>
      <c r="DR483" s="30"/>
      <c r="DS483" s="30"/>
      <c r="DT483" s="30"/>
      <c r="DU483" s="30"/>
      <c r="DV483" s="30"/>
      <c r="DW483" s="30"/>
    </row>
    <row r="484" spans="1:127" ht="13">
      <c r="A484" s="39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  <c r="BS484" s="30"/>
      <c r="BT484" s="30"/>
      <c r="BU484" s="30"/>
      <c r="BV484" s="30"/>
      <c r="BW484" s="30"/>
      <c r="BX484" s="30"/>
      <c r="BY484" s="30"/>
      <c r="BZ484" s="30"/>
      <c r="CA484" s="30"/>
      <c r="CB484" s="30"/>
      <c r="CC484" s="30"/>
      <c r="CD484" s="30"/>
      <c r="CE484" s="30"/>
      <c r="CF484" s="30"/>
      <c r="CG484" s="30"/>
      <c r="CH484" s="30"/>
      <c r="CI484" s="30"/>
      <c r="CJ484" s="30"/>
      <c r="CK484" s="30"/>
      <c r="CL484" s="30"/>
      <c r="CM484" s="30"/>
      <c r="CN484" s="30"/>
      <c r="CO484" s="30"/>
      <c r="CP484" s="30"/>
      <c r="CQ484" s="30"/>
      <c r="CR484" s="30"/>
      <c r="CS484" s="30"/>
      <c r="CT484" s="30"/>
      <c r="CU484" s="30"/>
      <c r="CV484" s="30"/>
      <c r="CW484" s="30"/>
      <c r="CX484" s="30"/>
      <c r="CY484" s="30"/>
      <c r="CZ484" s="30"/>
      <c r="DA484" s="30"/>
      <c r="DB484" s="30"/>
      <c r="DC484" s="30"/>
      <c r="DD484" s="30"/>
      <c r="DE484" s="30"/>
      <c r="DF484" s="30"/>
      <c r="DG484" s="30"/>
      <c r="DH484" s="30"/>
      <c r="DI484" s="30"/>
      <c r="DJ484" s="30"/>
      <c r="DK484" s="30"/>
      <c r="DL484" s="30"/>
      <c r="DM484" s="30"/>
      <c r="DN484" s="30"/>
      <c r="DO484" s="30"/>
      <c r="DP484" s="30"/>
      <c r="DQ484" s="30"/>
      <c r="DR484" s="30"/>
      <c r="DS484" s="30"/>
      <c r="DT484" s="30"/>
      <c r="DU484" s="30"/>
      <c r="DV484" s="30"/>
      <c r="DW484" s="30"/>
    </row>
    <row r="485" spans="1:127" ht="13">
      <c r="A485" s="39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  <c r="BS485" s="30"/>
      <c r="BT485" s="30"/>
      <c r="BU485" s="30"/>
      <c r="BV485" s="30"/>
      <c r="BW485" s="30"/>
      <c r="BX485" s="30"/>
      <c r="BY485" s="30"/>
      <c r="BZ485" s="30"/>
      <c r="CA485" s="30"/>
      <c r="CB485" s="30"/>
      <c r="CC485" s="30"/>
      <c r="CD485" s="30"/>
      <c r="CE485" s="30"/>
      <c r="CF485" s="30"/>
      <c r="CG485" s="30"/>
      <c r="CH485" s="30"/>
      <c r="CI485" s="30"/>
      <c r="CJ485" s="30"/>
      <c r="CK485" s="30"/>
      <c r="CL485" s="30"/>
      <c r="CM485" s="30"/>
      <c r="CN485" s="30"/>
      <c r="CO485" s="30"/>
      <c r="CP485" s="30"/>
      <c r="CQ485" s="30"/>
      <c r="CR485" s="30"/>
      <c r="CS485" s="30"/>
      <c r="CT485" s="30"/>
      <c r="CU485" s="30"/>
      <c r="CV485" s="30"/>
      <c r="CW485" s="30"/>
      <c r="CX485" s="30"/>
      <c r="CY485" s="30"/>
      <c r="CZ485" s="30"/>
      <c r="DA485" s="30"/>
      <c r="DB485" s="30"/>
      <c r="DC485" s="30"/>
      <c r="DD485" s="30"/>
      <c r="DE485" s="30"/>
      <c r="DF485" s="30"/>
      <c r="DG485" s="30"/>
      <c r="DH485" s="30"/>
      <c r="DI485" s="30"/>
      <c r="DJ485" s="30"/>
      <c r="DK485" s="30"/>
      <c r="DL485" s="30"/>
      <c r="DM485" s="30"/>
      <c r="DN485" s="30"/>
      <c r="DO485" s="30"/>
      <c r="DP485" s="30"/>
      <c r="DQ485" s="30"/>
      <c r="DR485" s="30"/>
      <c r="DS485" s="30"/>
      <c r="DT485" s="30"/>
      <c r="DU485" s="30"/>
      <c r="DV485" s="30"/>
      <c r="DW485" s="30"/>
    </row>
    <row r="486" spans="1:127" ht="13">
      <c r="A486" s="39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  <c r="BU486" s="30"/>
      <c r="BV486" s="30"/>
      <c r="BW486" s="30"/>
      <c r="BX486" s="30"/>
      <c r="BY486" s="30"/>
      <c r="BZ486" s="30"/>
      <c r="CA486" s="30"/>
      <c r="CB486" s="30"/>
      <c r="CC486" s="30"/>
      <c r="CD486" s="30"/>
      <c r="CE486" s="30"/>
      <c r="CF486" s="30"/>
      <c r="CG486" s="30"/>
      <c r="CH486" s="30"/>
      <c r="CI486" s="30"/>
      <c r="CJ486" s="30"/>
      <c r="CK486" s="30"/>
      <c r="CL486" s="30"/>
      <c r="CM486" s="30"/>
      <c r="CN486" s="30"/>
      <c r="CO486" s="30"/>
      <c r="CP486" s="30"/>
      <c r="CQ486" s="30"/>
      <c r="CR486" s="30"/>
      <c r="CS486" s="30"/>
      <c r="CT486" s="30"/>
      <c r="CU486" s="30"/>
      <c r="CV486" s="30"/>
      <c r="CW486" s="30"/>
      <c r="CX486" s="30"/>
      <c r="CY486" s="30"/>
      <c r="CZ486" s="30"/>
      <c r="DA486" s="30"/>
      <c r="DB486" s="30"/>
      <c r="DC486" s="30"/>
      <c r="DD486" s="30"/>
      <c r="DE486" s="30"/>
      <c r="DF486" s="30"/>
      <c r="DG486" s="30"/>
      <c r="DH486" s="30"/>
      <c r="DI486" s="30"/>
      <c r="DJ486" s="30"/>
      <c r="DK486" s="30"/>
      <c r="DL486" s="30"/>
      <c r="DM486" s="30"/>
      <c r="DN486" s="30"/>
      <c r="DO486" s="30"/>
      <c r="DP486" s="30"/>
      <c r="DQ486" s="30"/>
      <c r="DR486" s="30"/>
      <c r="DS486" s="30"/>
      <c r="DT486" s="30"/>
      <c r="DU486" s="30"/>
      <c r="DV486" s="30"/>
      <c r="DW486" s="30"/>
    </row>
    <row r="487" spans="1:127" ht="13">
      <c r="A487" s="39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  <c r="BS487" s="30"/>
      <c r="BT487" s="30"/>
      <c r="BU487" s="30"/>
      <c r="BV487" s="30"/>
      <c r="BW487" s="30"/>
      <c r="BX487" s="30"/>
      <c r="BY487" s="30"/>
      <c r="BZ487" s="30"/>
      <c r="CA487" s="30"/>
      <c r="CB487" s="30"/>
      <c r="CC487" s="30"/>
      <c r="CD487" s="30"/>
      <c r="CE487" s="30"/>
      <c r="CF487" s="30"/>
      <c r="CG487" s="30"/>
      <c r="CH487" s="30"/>
      <c r="CI487" s="30"/>
      <c r="CJ487" s="30"/>
      <c r="CK487" s="30"/>
      <c r="CL487" s="30"/>
      <c r="CM487" s="30"/>
      <c r="CN487" s="30"/>
      <c r="CO487" s="30"/>
      <c r="CP487" s="30"/>
      <c r="CQ487" s="30"/>
      <c r="CR487" s="30"/>
      <c r="CS487" s="30"/>
      <c r="CT487" s="30"/>
      <c r="CU487" s="30"/>
      <c r="CV487" s="30"/>
      <c r="CW487" s="30"/>
      <c r="CX487" s="30"/>
      <c r="CY487" s="30"/>
      <c r="CZ487" s="30"/>
      <c r="DA487" s="30"/>
      <c r="DB487" s="30"/>
      <c r="DC487" s="30"/>
      <c r="DD487" s="30"/>
      <c r="DE487" s="30"/>
      <c r="DF487" s="30"/>
      <c r="DG487" s="30"/>
      <c r="DH487" s="30"/>
      <c r="DI487" s="30"/>
      <c r="DJ487" s="30"/>
      <c r="DK487" s="30"/>
      <c r="DL487" s="30"/>
      <c r="DM487" s="30"/>
      <c r="DN487" s="30"/>
      <c r="DO487" s="30"/>
      <c r="DP487" s="30"/>
      <c r="DQ487" s="30"/>
      <c r="DR487" s="30"/>
      <c r="DS487" s="30"/>
      <c r="DT487" s="30"/>
      <c r="DU487" s="30"/>
      <c r="DV487" s="30"/>
      <c r="DW487" s="30"/>
    </row>
    <row r="488" spans="1:127" ht="13">
      <c r="A488" s="39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  <c r="BS488" s="30"/>
      <c r="BT488" s="30"/>
      <c r="BU488" s="30"/>
      <c r="BV488" s="30"/>
      <c r="BW488" s="30"/>
      <c r="BX488" s="30"/>
      <c r="BY488" s="30"/>
      <c r="BZ488" s="30"/>
      <c r="CA488" s="30"/>
      <c r="CB488" s="30"/>
      <c r="CC488" s="30"/>
      <c r="CD488" s="30"/>
      <c r="CE488" s="30"/>
      <c r="CF488" s="30"/>
      <c r="CG488" s="30"/>
      <c r="CH488" s="30"/>
      <c r="CI488" s="30"/>
      <c r="CJ488" s="30"/>
      <c r="CK488" s="30"/>
      <c r="CL488" s="30"/>
      <c r="CM488" s="30"/>
      <c r="CN488" s="30"/>
      <c r="CO488" s="30"/>
      <c r="CP488" s="30"/>
      <c r="CQ488" s="30"/>
      <c r="CR488" s="30"/>
      <c r="CS488" s="30"/>
      <c r="CT488" s="30"/>
      <c r="CU488" s="30"/>
      <c r="CV488" s="30"/>
      <c r="CW488" s="30"/>
      <c r="CX488" s="30"/>
      <c r="CY488" s="30"/>
      <c r="CZ488" s="30"/>
      <c r="DA488" s="30"/>
      <c r="DB488" s="30"/>
      <c r="DC488" s="30"/>
      <c r="DD488" s="30"/>
      <c r="DE488" s="30"/>
      <c r="DF488" s="30"/>
      <c r="DG488" s="30"/>
      <c r="DH488" s="30"/>
      <c r="DI488" s="30"/>
      <c r="DJ488" s="30"/>
      <c r="DK488" s="30"/>
      <c r="DL488" s="30"/>
      <c r="DM488" s="30"/>
      <c r="DN488" s="30"/>
      <c r="DO488" s="30"/>
      <c r="DP488" s="30"/>
      <c r="DQ488" s="30"/>
      <c r="DR488" s="30"/>
      <c r="DS488" s="30"/>
      <c r="DT488" s="30"/>
      <c r="DU488" s="30"/>
      <c r="DV488" s="30"/>
      <c r="DW488" s="30"/>
    </row>
    <row r="489" spans="1:127" ht="13">
      <c r="A489" s="39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  <c r="BS489" s="30"/>
      <c r="BT489" s="30"/>
      <c r="BU489" s="30"/>
      <c r="BV489" s="30"/>
      <c r="BW489" s="30"/>
      <c r="BX489" s="30"/>
      <c r="BY489" s="30"/>
      <c r="BZ489" s="30"/>
      <c r="CA489" s="30"/>
      <c r="CB489" s="30"/>
      <c r="CC489" s="30"/>
      <c r="CD489" s="30"/>
      <c r="CE489" s="30"/>
      <c r="CF489" s="30"/>
      <c r="CG489" s="30"/>
      <c r="CH489" s="30"/>
      <c r="CI489" s="30"/>
      <c r="CJ489" s="30"/>
      <c r="CK489" s="30"/>
      <c r="CL489" s="30"/>
      <c r="CM489" s="30"/>
      <c r="CN489" s="30"/>
      <c r="CO489" s="30"/>
      <c r="CP489" s="30"/>
      <c r="CQ489" s="30"/>
      <c r="CR489" s="30"/>
      <c r="CS489" s="30"/>
      <c r="CT489" s="30"/>
      <c r="CU489" s="30"/>
      <c r="CV489" s="30"/>
      <c r="CW489" s="30"/>
      <c r="CX489" s="30"/>
      <c r="CY489" s="30"/>
      <c r="CZ489" s="30"/>
      <c r="DA489" s="30"/>
      <c r="DB489" s="30"/>
      <c r="DC489" s="30"/>
      <c r="DD489" s="30"/>
      <c r="DE489" s="30"/>
      <c r="DF489" s="30"/>
      <c r="DG489" s="30"/>
      <c r="DH489" s="30"/>
      <c r="DI489" s="30"/>
      <c r="DJ489" s="30"/>
      <c r="DK489" s="30"/>
      <c r="DL489" s="30"/>
      <c r="DM489" s="30"/>
      <c r="DN489" s="30"/>
      <c r="DO489" s="30"/>
      <c r="DP489" s="30"/>
      <c r="DQ489" s="30"/>
      <c r="DR489" s="30"/>
      <c r="DS489" s="30"/>
      <c r="DT489" s="30"/>
      <c r="DU489" s="30"/>
      <c r="DV489" s="30"/>
      <c r="DW489" s="30"/>
    </row>
    <row r="490" spans="1:127" ht="13">
      <c r="A490" s="39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  <c r="BU490" s="30"/>
      <c r="BV490" s="30"/>
      <c r="BW490" s="30"/>
      <c r="BX490" s="30"/>
      <c r="BY490" s="30"/>
      <c r="BZ490" s="30"/>
      <c r="CA490" s="30"/>
      <c r="CB490" s="30"/>
      <c r="CC490" s="30"/>
      <c r="CD490" s="30"/>
      <c r="CE490" s="30"/>
      <c r="CF490" s="30"/>
      <c r="CG490" s="30"/>
      <c r="CH490" s="30"/>
      <c r="CI490" s="30"/>
      <c r="CJ490" s="30"/>
      <c r="CK490" s="30"/>
      <c r="CL490" s="30"/>
      <c r="CM490" s="30"/>
      <c r="CN490" s="30"/>
      <c r="CO490" s="30"/>
      <c r="CP490" s="30"/>
      <c r="CQ490" s="30"/>
      <c r="CR490" s="30"/>
      <c r="CS490" s="30"/>
      <c r="CT490" s="30"/>
      <c r="CU490" s="30"/>
      <c r="CV490" s="30"/>
      <c r="CW490" s="30"/>
      <c r="CX490" s="30"/>
      <c r="CY490" s="30"/>
      <c r="CZ490" s="30"/>
      <c r="DA490" s="30"/>
      <c r="DB490" s="30"/>
      <c r="DC490" s="30"/>
      <c r="DD490" s="30"/>
      <c r="DE490" s="30"/>
      <c r="DF490" s="30"/>
      <c r="DG490" s="30"/>
      <c r="DH490" s="30"/>
      <c r="DI490" s="30"/>
      <c r="DJ490" s="30"/>
      <c r="DK490" s="30"/>
      <c r="DL490" s="30"/>
      <c r="DM490" s="30"/>
      <c r="DN490" s="30"/>
      <c r="DO490" s="30"/>
      <c r="DP490" s="30"/>
      <c r="DQ490" s="30"/>
      <c r="DR490" s="30"/>
      <c r="DS490" s="30"/>
      <c r="DT490" s="30"/>
      <c r="DU490" s="30"/>
      <c r="DV490" s="30"/>
      <c r="DW490" s="30"/>
    </row>
    <row r="491" spans="1:127" ht="13">
      <c r="A491" s="39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  <c r="BS491" s="30"/>
      <c r="BT491" s="30"/>
      <c r="BU491" s="30"/>
      <c r="BV491" s="30"/>
      <c r="BW491" s="30"/>
      <c r="BX491" s="30"/>
      <c r="BY491" s="30"/>
      <c r="BZ491" s="30"/>
      <c r="CA491" s="30"/>
      <c r="CB491" s="30"/>
      <c r="CC491" s="30"/>
      <c r="CD491" s="30"/>
      <c r="CE491" s="30"/>
      <c r="CF491" s="30"/>
      <c r="CG491" s="30"/>
      <c r="CH491" s="30"/>
      <c r="CI491" s="30"/>
      <c r="CJ491" s="30"/>
      <c r="CK491" s="30"/>
      <c r="CL491" s="30"/>
      <c r="CM491" s="30"/>
      <c r="CN491" s="30"/>
      <c r="CO491" s="30"/>
      <c r="CP491" s="30"/>
      <c r="CQ491" s="30"/>
      <c r="CR491" s="30"/>
      <c r="CS491" s="30"/>
      <c r="CT491" s="30"/>
      <c r="CU491" s="30"/>
      <c r="CV491" s="30"/>
      <c r="CW491" s="30"/>
      <c r="CX491" s="30"/>
      <c r="CY491" s="30"/>
      <c r="CZ491" s="30"/>
      <c r="DA491" s="30"/>
      <c r="DB491" s="30"/>
      <c r="DC491" s="30"/>
      <c r="DD491" s="30"/>
      <c r="DE491" s="30"/>
      <c r="DF491" s="30"/>
      <c r="DG491" s="30"/>
      <c r="DH491" s="30"/>
      <c r="DI491" s="30"/>
      <c r="DJ491" s="30"/>
      <c r="DK491" s="30"/>
      <c r="DL491" s="30"/>
      <c r="DM491" s="30"/>
      <c r="DN491" s="30"/>
      <c r="DO491" s="30"/>
      <c r="DP491" s="30"/>
      <c r="DQ491" s="30"/>
      <c r="DR491" s="30"/>
      <c r="DS491" s="30"/>
      <c r="DT491" s="30"/>
      <c r="DU491" s="30"/>
      <c r="DV491" s="30"/>
      <c r="DW491" s="30"/>
    </row>
    <row r="492" spans="1:127" ht="13">
      <c r="A492" s="39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  <c r="BS492" s="30"/>
      <c r="BT492" s="30"/>
      <c r="BU492" s="30"/>
      <c r="BV492" s="30"/>
      <c r="BW492" s="30"/>
      <c r="BX492" s="30"/>
      <c r="BY492" s="30"/>
      <c r="BZ492" s="30"/>
      <c r="CA492" s="30"/>
      <c r="CB492" s="30"/>
      <c r="CC492" s="30"/>
      <c r="CD492" s="30"/>
      <c r="CE492" s="30"/>
      <c r="CF492" s="30"/>
      <c r="CG492" s="30"/>
      <c r="CH492" s="30"/>
      <c r="CI492" s="30"/>
      <c r="CJ492" s="30"/>
      <c r="CK492" s="30"/>
      <c r="CL492" s="30"/>
      <c r="CM492" s="30"/>
      <c r="CN492" s="30"/>
      <c r="CO492" s="30"/>
      <c r="CP492" s="30"/>
      <c r="CQ492" s="30"/>
      <c r="CR492" s="30"/>
      <c r="CS492" s="30"/>
      <c r="CT492" s="30"/>
      <c r="CU492" s="30"/>
      <c r="CV492" s="30"/>
      <c r="CW492" s="30"/>
      <c r="CX492" s="30"/>
      <c r="CY492" s="30"/>
      <c r="CZ492" s="30"/>
      <c r="DA492" s="30"/>
      <c r="DB492" s="30"/>
      <c r="DC492" s="30"/>
      <c r="DD492" s="30"/>
      <c r="DE492" s="30"/>
      <c r="DF492" s="30"/>
      <c r="DG492" s="30"/>
      <c r="DH492" s="30"/>
      <c r="DI492" s="30"/>
      <c r="DJ492" s="30"/>
      <c r="DK492" s="30"/>
      <c r="DL492" s="30"/>
      <c r="DM492" s="30"/>
      <c r="DN492" s="30"/>
      <c r="DO492" s="30"/>
      <c r="DP492" s="30"/>
      <c r="DQ492" s="30"/>
      <c r="DR492" s="30"/>
      <c r="DS492" s="30"/>
      <c r="DT492" s="30"/>
      <c r="DU492" s="30"/>
      <c r="DV492" s="30"/>
      <c r="DW492" s="30"/>
    </row>
    <row r="493" spans="1:127" ht="13">
      <c r="A493" s="39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  <c r="BS493" s="30"/>
      <c r="BT493" s="30"/>
      <c r="BU493" s="30"/>
      <c r="BV493" s="30"/>
      <c r="BW493" s="30"/>
      <c r="BX493" s="30"/>
      <c r="BY493" s="30"/>
      <c r="BZ493" s="30"/>
      <c r="CA493" s="30"/>
      <c r="CB493" s="30"/>
      <c r="CC493" s="30"/>
      <c r="CD493" s="30"/>
      <c r="CE493" s="30"/>
      <c r="CF493" s="30"/>
      <c r="CG493" s="30"/>
      <c r="CH493" s="30"/>
      <c r="CI493" s="30"/>
      <c r="CJ493" s="30"/>
      <c r="CK493" s="30"/>
      <c r="CL493" s="30"/>
      <c r="CM493" s="30"/>
      <c r="CN493" s="30"/>
      <c r="CO493" s="30"/>
      <c r="CP493" s="30"/>
      <c r="CQ493" s="30"/>
      <c r="CR493" s="30"/>
      <c r="CS493" s="30"/>
      <c r="CT493" s="30"/>
      <c r="CU493" s="30"/>
      <c r="CV493" s="30"/>
      <c r="CW493" s="30"/>
      <c r="CX493" s="30"/>
      <c r="CY493" s="30"/>
      <c r="CZ493" s="30"/>
      <c r="DA493" s="30"/>
      <c r="DB493" s="30"/>
      <c r="DC493" s="30"/>
      <c r="DD493" s="30"/>
      <c r="DE493" s="30"/>
      <c r="DF493" s="30"/>
      <c r="DG493" s="30"/>
      <c r="DH493" s="30"/>
      <c r="DI493" s="30"/>
      <c r="DJ493" s="30"/>
      <c r="DK493" s="30"/>
      <c r="DL493" s="30"/>
      <c r="DM493" s="30"/>
      <c r="DN493" s="30"/>
      <c r="DO493" s="30"/>
      <c r="DP493" s="30"/>
      <c r="DQ493" s="30"/>
      <c r="DR493" s="30"/>
      <c r="DS493" s="30"/>
      <c r="DT493" s="30"/>
      <c r="DU493" s="30"/>
      <c r="DV493" s="30"/>
      <c r="DW493" s="30"/>
    </row>
    <row r="494" spans="1:127" ht="13">
      <c r="A494" s="39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  <c r="BU494" s="30"/>
      <c r="BV494" s="30"/>
      <c r="BW494" s="30"/>
      <c r="BX494" s="30"/>
      <c r="BY494" s="30"/>
      <c r="BZ494" s="30"/>
      <c r="CA494" s="30"/>
      <c r="CB494" s="30"/>
      <c r="CC494" s="30"/>
      <c r="CD494" s="30"/>
      <c r="CE494" s="30"/>
      <c r="CF494" s="30"/>
      <c r="CG494" s="30"/>
      <c r="CH494" s="30"/>
      <c r="CI494" s="30"/>
      <c r="CJ494" s="30"/>
      <c r="CK494" s="30"/>
      <c r="CL494" s="30"/>
      <c r="CM494" s="30"/>
      <c r="CN494" s="30"/>
      <c r="CO494" s="30"/>
      <c r="CP494" s="30"/>
      <c r="CQ494" s="30"/>
      <c r="CR494" s="30"/>
      <c r="CS494" s="30"/>
      <c r="CT494" s="30"/>
      <c r="CU494" s="30"/>
      <c r="CV494" s="30"/>
      <c r="CW494" s="30"/>
      <c r="CX494" s="30"/>
      <c r="CY494" s="30"/>
      <c r="CZ494" s="30"/>
      <c r="DA494" s="30"/>
      <c r="DB494" s="30"/>
      <c r="DC494" s="30"/>
      <c r="DD494" s="30"/>
      <c r="DE494" s="30"/>
      <c r="DF494" s="30"/>
      <c r="DG494" s="30"/>
      <c r="DH494" s="30"/>
      <c r="DI494" s="30"/>
      <c r="DJ494" s="30"/>
      <c r="DK494" s="30"/>
      <c r="DL494" s="30"/>
      <c r="DM494" s="30"/>
      <c r="DN494" s="30"/>
      <c r="DO494" s="30"/>
      <c r="DP494" s="30"/>
      <c r="DQ494" s="30"/>
      <c r="DR494" s="30"/>
      <c r="DS494" s="30"/>
      <c r="DT494" s="30"/>
      <c r="DU494" s="30"/>
      <c r="DV494" s="30"/>
      <c r="DW494" s="30"/>
    </row>
    <row r="495" spans="1:127" ht="13">
      <c r="A495" s="39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  <c r="BS495" s="30"/>
      <c r="BT495" s="30"/>
      <c r="BU495" s="30"/>
      <c r="BV495" s="30"/>
      <c r="BW495" s="30"/>
      <c r="BX495" s="30"/>
      <c r="BY495" s="30"/>
      <c r="BZ495" s="30"/>
      <c r="CA495" s="30"/>
      <c r="CB495" s="30"/>
      <c r="CC495" s="30"/>
      <c r="CD495" s="30"/>
      <c r="CE495" s="30"/>
      <c r="CF495" s="30"/>
      <c r="CG495" s="30"/>
      <c r="CH495" s="30"/>
      <c r="CI495" s="30"/>
      <c r="CJ495" s="30"/>
      <c r="CK495" s="30"/>
      <c r="CL495" s="30"/>
      <c r="CM495" s="30"/>
      <c r="CN495" s="30"/>
      <c r="CO495" s="30"/>
      <c r="CP495" s="30"/>
      <c r="CQ495" s="30"/>
      <c r="CR495" s="30"/>
      <c r="CS495" s="30"/>
      <c r="CT495" s="30"/>
      <c r="CU495" s="30"/>
      <c r="CV495" s="30"/>
      <c r="CW495" s="30"/>
      <c r="CX495" s="30"/>
      <c r="CY495" s="30"/>
      <c r="CZ495" s="30"/>
      <c r="DA495" s="30"/>
      <c r="DB495" s="30"/>
      <c r="DC495" s="30"/>
      <c r="DD495" s="30"/>
      <c r="DE495" s="30"/>
      <c r="DF495" s="30"/>
      <c r="DG495" s="30"/>
      <c r="DH495" s="30"/>
      <c r="DI495" s="30"/>
      <c r="DJ495" s="30"/>
      <c r="DK495" s="30"/>
      <c r="DL495" s="30"/>
      <c r="DM495" s="30"/>
      <c r="DN495" s="30"/>
      <c r="DO495" s="30"/>
      <c r="DP495" s="30"/>
      <c r="DQ495" s="30"/>
      <c r="DR495" s="30"/>
      <c r="DS495" s="30"/>
      <c r="DT495" s="30"/>
      <c r="DU495" s="30"/>
      <c r="DV495" s="30"/>
      <c r="DW495" s="30"/>
    </row>
    <row r="496" spans="1:127" ht="13">
      <c r="A496" s="39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  <c r="BS496" s="30"/>
      <c r="BT496" s="30"/>
      <c r="BU496" s="30"/>
      <c r="BV496" s="30"/>
      <c r="BW496" s="30"/>
      <c r="BX496" s="30"/>
      <c r="BY496" s="30"/>
      <c r="BZ496" s="30"/>
      <c r="CA496" s="30"/>
      <c r="CB496" s="30"/>
      <c r="CC496" s="30"/>
      <c r="CD496" s="30"/>
      <c r="CE496" s="30"/>
      <c r="CF496" s="30"/>
      <c r="CG496" s="30"/>
      <c r="CH496" s="30"/>
      <c r="CI496" s="30"/>
      <c r="CJ496" s="30"/>
      <c r="CK496" s="30"/>
      <c r="CL496" s="30"/>
      <c r="CM496" s="30"/>
      <c r="CN496" s="30"/>
      <c r="CO496" s="30"/>
      <c r="CP496" s="30"/>
      <c r="CQ496" s="30"/>
      <c r="CR496" s="30"/>
      <c r="CS496" s="30"/>
      <c r="CT496" s="30"/>
      <c r="CU496" s="30"/>
      <c r="CV496" s="30"/>
      <c r="CW496" s="30"/>
      <c r="CX496" s="30"/>
      <c r="CY496" s="30"/>
      <c r="CZ496" s="30"/>
      <c r="DA496" s="30"/>
      <c r="DB496" s="30"/>
      <c r="DC496" s="30"/>
      <c r="DD496" s="30"/>
      <c r="DE496" s="30"/>
      <c r="DF496" s="30"/>
      <c r="DG496" s="30"/>
      <c r="DH496" s="30"/>
      <c r="DI496" s="30"/>
      <c r="DJ496" s="30"/>
      <c r="DK496" s="30"/>
      <c r="DL496" s="30"/>
      <c r="DM496" s="30"/>
      <c r="DN496" s="30"/>
      <c r="DO496" s="30"/>
      <c r="DP496" s="30"/>
      <c r="DQ496" s="30"/>
      <c r="DR496" s="30"/>
      <c r="DS496" s="30"/>
      <c r="DT496" s="30"/>
      <c r="DU496" s="30"/>
      <c r="DV496" s="30"/>
      <c r="DW496" s="30"/>
    </row>
    <row r="497" spans="1:127" ht="13">
      <c r="A497" s="39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  <c r="BU497" s="30"/>
      <c r="BV497" s="30"/>
      <c r="BW497" s="30"/>
      <c r="BX497" s="30"/>
      <c r="BY497" s="30"/>
      <c r="BZ497" s="30"/>
      <c r="CA497" s="30"/>
      <c r="CB497" s="30"/>
      <c r="CC497" s="30"/>
      <c r="CD497" s="30"/>
      <c r="CE497" s="30"/>
      <c r="CF497" s="30"/>
      <c r="CG497" s="30"/>
      <c r="CH497" s="30"/>
      <c r="CI497" s="30"/>
      <c r="CJ497" s="30"/>
      <c r="CK497" s="30"/>
      <c r="CL497" s="30"/>
      <c r="CM497" s="30"/>
      <c r="CN497" s="30"/>
      <c r="CO497" s="30"/>
      <c r="CP497" s="30"/>
      <c r="CQ497" s="30"/>
      <c r="CR497" s="30"/>
      <c r="CS497" s="30"/>
      <c r="CT497" s="30"/>
      <c r="CU497" s="30"/>
      <c r="CV497" s="30"/>
      <c r="CW497" s="30"/>
      <c r="CX497" s="30"/>
      <c r="CY497" s="30"/>
      <c r="CZ497" s="30"/>
      <c r="DA497" s="30"/>
      <c r="DB497" s="30"/>
      <c r="DC497" s="30"/>
      <c r="DD497" s="30"/>
      <c r="DE497" s="30"/>
      <c r="DF497" s="30"/>
      <c r="DG497" s="30"/>
      <c r="DH497" s="30"/>
      <c r="DI497" s="30"/>
      <c r="DJ497" s="30"/>
      <c r="DK497" s="30"/>
      <c r="DL497" s="30"/>
      <c r="DM497" s="30"/>
      <c r="DN497" s="30"/>
      <c r="DO497" s="30"/>
      <c r="DP497" s="30"/>
      <c r="DQ497" s="30"/>
      <c r="DR497" s="30"/>
      <c r="DS497" s="30"/>
      <c r="DT497" s="30"/>
      <c r="DU497" s="30"/>
      <c r="DV497" s="30"/>
      <c r="DW497" s="30"/>
    </row>
    <row r="498" spans="1:127" ht="13">
      <c r="A498" s="39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  <c r="BV498" s="30"/>
      <c r="BW498" s="30"/>
      <c r="BX498" s="30"/>
      <c r="BY498" s="30"/>
      <c r="BZ498" s="30"/>
      <c r="CA498" s="30"/>
      <c r="CB498" s="30"/>
      <c r="CC498" s="30"/>
      <c r="CD498" s="30"/>
      <c r="CE498" s="30"/>
      <c r="CF498" s="30"/>
      <c r="CG498" s="30"/>
      <c r="CH498" s="30"/>
      <c r="CI498" s="30"/>
      <c r="CJ498" s="30"/>
      <c r="CK498" s="30"/>
      <c r="CL498" s="30"/>
      <c r="CM498" s="30"/>
      <c r="CN498" s="30"/>
      <c r="CO498" s="30"/>
      <c r="CP498" s="30"/>
      <c r="CQ498" s="30"/>
      <c r="CR498" s="30"/>
      <c r="CS498" s="30"/>
      <c r="CT498" s="30"/>
      <c r="CU498" s="30"/>
      <c r="CV498" s="30"/>
      <c r="CW498" s="30"/>
      <c r="CX498" s="30"/>
      <c r="CY498" s="30"/>
      <c r="CZ498" s="30"/>
      <c r="DA498" s="30"/>
      <c r="DB498" s="30"/>
      <c r="DC498" s="30"/>
      <c r="DD498" s="30"/>
      <c r="DE498" s="30"/>
      <c r="DF498" s="30"/>
      <c r="DG498" s="30"/>
      <c r="DH498" s="30"/>
      <c r="DI498" s="30"/>
      <c r="DJ498" s="30"/>
      <c r="DK498" s="30"/>
      <c r="DL498" s="30"/>
      <c r="DM498" s="30"/>
      <c r="DN498" s="30"/>
      <c r="DO498" s="30"/>
      <c r="DP498" s="30"/>
      <c r="DQ498" s="30"/>
      <c r="DR498" s="30"/>
      <c r="DS498" s="30"/>
      <c r="DT498" s="30"/>
      <c r="DU498" s="30"/>
      <c r="DV498" s="30"/>
      <c r="DW498" s="30"/>
    </row>
    <row r="499" spans="1:127" ht="13">
      <c r="A499" s="39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  <c r="BU499" s="30"/>
      <c r="BV499" s="30"/>
      <c r="BW499" s="30"/>
      <c r="BX499" s="30"/>
      <c r="BY499" s="30"/>
      <c r="BZ499" s="30"/>
      <c r="CA499" s="30"/>
      <c r="CB499" s="30"/>
      <c r="CC499" s="30"/>
      <c r="CD499" s="30"/>
      <c r="CE499" s="30"/>
      <c r="CF499" s="30"/>
      <c r="CG499" s="30"/>
      <c r="CH499" s="30"/>
      <c r="CI499" s="30"/>
      <c r="CJ499" s="30"/>
      <c r="CK499" s="30"/>
      <c r="CL499" s="30"/>
      <c r="CM499" s="30"/>
      <c r="CN499" s="30"/>
      <c r="CO499" s="30"/>
      <c r="CP499" s="30"/>
      <c r="CQ499" s="30"/>
      <c r="CR499" s="30"/>
      <c r="CS499" s="30"/>
      <c r="CT499" s="30"/>
      <c r="CU499" s="30"/>
      <c r="CV499" s="30"/>
      <c r="CW499" s="30"/>
      <c r="CX499" s="30"/>
      <c r="CY499" s="30"/>
      <c r="CZ499" s="30"/>
      <c r="DA499" s="30"/>
      <c r="DB499" s="30"/>
      <c r="DC499" s="30"/>
      <c r="DD499" s="30"/>
      <c r="DE499" s="30"/>
      <c r="DF499" s="30"/>
      <c r="DG499" s="30"/>
      <c r="DH499" s="30"/>
      <c r="DI499" s="30"/>
      <c r="DJ499" s="30"/>
      <c r="DK499" s="30"/>
      <c r="DL499" s="30"/>
      <c r="DM499" s="30"/>
      <c r="DN499" s="30"/>
      <c r="DO499" s="30"/>
      <c r="DP499" s="30"/>
      <c r="DQ499" s="30"/>
      <c r="DR499" s="30"/>
      <c r="DS499" s="30"/>
      <c r="DT499" s="30"/>
      <c r="DU499" s="30"/>
      <c r="DV499" s="30"/>
      <c r="DW499" s="30"/>
    </row>
    <row r="500" spans="1:127" ht="13">
      <c r="A500" s="39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  <c r="BS500" s="30"/>
      <c r="BT500" s="30"/>
      <c r="BU500" s="30"/>
      <c r="BV500" s="30"/>
      <c r="BW500" s="30"/>
      <c r="BX500" s="30"/>
      <c r="BY500" s="30"/>
      <c r="BZ500" s="30"/>
      <c r="CA500" s="30"/>
      <c r="CB500" s="30"/>
      <c r="CC500" s="30"/>
      <c r="CD500" s="30"/>
      <c r="CE500" s="30"/>
      <c r="CF500" s="30"/>
      <c r="CG500" s="30"/>
      <c r="CH500" s="30"/>
      <c r="CI500" s="30"/>
      <c r="CJ500" s="30"/>
      <c r="CK500" s="30"/>
      <c r="CL500" s="30"/>
      <c r="CM500" s="30"/>
      <c r="CN500" s="30"/>
      <c r="CO500" s="30"/>
      <c r="CP500" s="30"/>
      <c r="CQ500" s="30"/>
      <c r="CR500" s="30"/>
      <c r="CS500" s="30"/>
      <c r="CT500" s="30"/>
      <c r="CU500" s="30"/>
      <c r="CV500" s="30"/>
      <c r="CW500" s="30"/>
      <c r="CX500" s="30"/>
      <c r="CY500" s="30"/>
      <c r="CZ500" s="30"/>
      <c r="DA500" s="30"/>
      <c r="DB500" s="30"/>
      <c r="DC500" s="30"/>
      <c r="DD500" s="30"/>
      <c r="DE500" s="30"/>
      <c r="DF500" s="30"/>
      <c r="DG500" s="30"/>
      <c r="DH500" s="30"/>
      <c r="DI500" s="30"/>
      <c r="DJ500" s="30"/>
      <c r="DK500" s="30"/>
      <c r="DL500" s="30"/>
      <c r="DM500" s="30"/>
      <c r="DN500" s="30"/>
      <c r="DO500" s="30"/>
      <c r="DP500" s="30"/>
      <c r="DQ500" s="30"/>
      <c r="DR500" s="30"/>
      <c r="DS500" s="30"/>
      <c r="DT500" s="30"/>
      <c r="DU500" s="30"/>
      <c r="DV500" s="30"/>
      <c r="DW500" s="30"/>
    </row>
    <row r="501" spans="1:127" ht="13">
      <c r="A501" s="39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  <c r="BS501" s="30"/>
      <c r="BT501" s="30"/>
      <c r="BU501" s="30"/>
      <c r="BV501" s="30"/>
      <c r="BW501" s="30"/>
      <c r="BX501" s="30"/>
      <c r="BY501" s="30"/>
      <c r="BZ501" s="30"/>
      <c r="CA501" s="30"/>
      <c r="CB501" s="30"/>
      <c r="CC501" s="30"/>
      <c r="CD501" s="30"/>
      <c r="CE501" s="30"/>
      <c r="CF501" s="30"/>
      <c r="CG501" s="30"/>
      <c r="CH501" s="30"/>
      <c r="CI501" s="30"/>
      <c r="CJ501" s="30"/>
      <c r="CK501" s="30"/>
      <c r="CL501" s="30"/>
      <c r="CM501" s="30"/>
      <c r="CN501" s="30"/>
      <c r="CO501" s="30"/>
      <c r="CP501" s="30"/>
      <c r="CQ501" s="30"/>
      <c r="CR501" s="30"/>
      <c r="CS501" s="30"/>
      <c r="CT501" s="30"/>
      <c r="CU501" s="30"/>
      <c r="CV501" s="30"/>
      <c r="CW501" s="30"/>
      <c r="CX501" s="30"/>
      <c r="CY501" s="30"/>
      <c r="CZ501" s="30"/>
      <c r="DA501" s="30"/>
      <c r="DB501" s="30"/>
      <c r="DC501" s="30"/>
      <c r="DD501" s="30"/>
      <c r="DE501" s="30"/>
      <c r="DF501" s="30"/>
      <c r="DG501" s="30"/>
      <c r="DH501" s="30"/>
      <c r="DI501" s="30"/>
      <c r="DJ501" s="30"/>
      <c r="DK501" s="30"/>
      <c r="DL501" s="30"/>
      <c r="DM501" s="30"/>
      <c r="DN501" s="30"/>
      <c r="DO501" s="30"/>
      <c r="DP501" s="30"/>
      <c r="DQ501" s="30"/>
      <c r="DR501" s="30"/>
      <c r="DS501" s="30"/>
      <c r="DT501" s="30"/>
      <c r="DU501" s="30"/>
      <c r="DV501" s="30"/>
      <c r="DW501" s="30"/>
    </row>
    <row r="502" spans="1:127" ht="13">
      <c r="A502" s="39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  <c r="BS502" s="30"/>
      <c r="BT502" s="30"/>
      <c r="BU502" s="30"/>
      <c r="BV502" s="30"/>
      <c r="BW502" s="30"/>
      <c r="BX502" s="30"/>
      <c r="BY502" s="30"/>
      <c r="BZ502" s="30"/>
      <c r="CA502" s="30"/>
      <c r="CB502" s="30"/>
      <c r="CC502" s="30"/>
      <c r="CD502" s="30"/>
      <c r="CE502" s="30"/>
      <c r="CF502" s="30"/>
      <c r="CG502" s="30"/>
      <c r="CH502" s="30"/>
      <c r="CI502" s="30"/>
      <c r="CJ502" s="30"/>
      <c r="CK502" s="30"/>
      <c r="CL502" s="30"/>
      <c r="CM502" s="30"/>
      <c r="CN502" s="30"/>
      <c r="CO502" s="30"/>
      <c r="CP502" s="30"/>
      <c r="CQ502" s="30"/>
      <c r="CR502" s="30"/>
      <c r="CS502" s="30"/>
      <c r="CT502" s="30"/>
      <c r="CU502" s="30"/>
      <c r="CV502" s="30"/>
      <c r="CW502" s="30"/>
      <c r="CX502" s="30"/>
      <c r="CY502" s="30"/>
      <c r="CZ502" s="30"/>
      <c r="DA502" s="30"/>
      <c r="DB502" s="30"/>
      <c r="DC502" s="30"/>
      <c r="DD502" s="30"/>
      <c r="DE502" s="30"/>
      <c r="DF502" s="30"/>
      <c r="DG502" s="30"/>
      <c r="DH502" s="30"/>
      <c r="DI502" s="30"/>
      <c r="DJ502" s="30"/>
      <c r="DK502" s="30"/>
      <c r="DL502" s="30"/>
      <c r="DM502" s="30"/>
      <c r="DN502" s="30"/>
      <c r="DO502" s="30"/>
      <c r="DP502" s="30"/>
      <c r="DQ502" s="30"/>
      <c r="DR502" s="30"/>
      <c r="DS502" s="30"/>
      <c r="DT502" s="30"/>
      <c r="DU502" s="30"/>
      <c r="DV502" s="30"/>
      <c r="DW502" s="30"/>
    </row>
    <row r="503" spans="1:127" ht="13">
      <c r="A503" s="39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  <c r="BS503" s="30"/>
      <c r="BT503" s="30"/>
      <c r="BU503" s="30"/>
      <c r="BV503" s="30"/>
      <c r="BW503" s="30"/>
      <c r="BX503" s="30"/>
      <c r="BY503" s="30"/>
      <c r="BZ503" s="30"/>
      <c r="CA503" s="30"/>
      <c r="CB503" s="30"/>
      <c r="CC503" s="30"/>
      <c r="CD503" s="30"/>
      <c r="CE503" s="30"/>
      <c r="CF503" s="30"/>
      <c r="CG503" s="30"/>
      <c r="CH503" s="30"/>
      <c r="CI503" s="30"/>
      <c r="CJ503" s="30"/>
      <c r="CK503" s="30"/>
      <c r="CL503" s="30"/>
      <c r="CM503" s="30"/>
      <c r="CN503" s="30"/>
      <c r="CO503" s="30"/>
      <c r="CP503" s="30"/>
      <c r="CQ503" s="30"/>
      <c r="CR503" s="30"/>
      <c r="CS503" s="30"/>
      <c r="CT503" s="30"/>
      <c r="CU503" s="30"/>
      <c r="CV503" s="30"/>
      <c r="CW503" s="30"/>
      <c r="CX503" s="30"/>
      <c r="CY503" s="30"/>
      <c r="CZ503" s="30"/>
      <c r="DA503" s="30"/>
      <c r="DB503" s="30"/>
      <c r="DC503" s="30"/>
      <c r="DD503" s="30"/>
      <c r="DE503" s="30"/>
      <c r="DF503" s="30"/>
      <c r="DG503" s="30"/>
      <c r="DH503" s="30"/>
      <c r="DI503" s="30"/>
      <c r="DJ503" s="30"/>
      <c r="DK503" s="30"/>
      <c r="DL503" s="30"/>
      <c r="DM503" s="30"/>
      <c r="DN503" s="30"/>
      <c r="DO503" s="30"/>
      <c r="DP503" s="30"/>
      <c r="DQ503" s="30"/>
      <c r="DR503" s="30"/>
      <c r="DS503" s="30"/>
      <c r="DT503" s="30"/>
      <c r="DU503" s="30"/>
      <c r="DV503" s="30"/>
      <c r="DW503" s="30"/>
    </row>
    <row r="504" spans="1:127" ht="13">
      <c r="A504" s="39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  <c r="BS504" s="30"/>
      <c r="BT504" s="30"/>
      <c r="BU504" s="30"/>
      <c r="BV504" s="30"/>
      <c r="BW504" s="30"/>
      <c r="BX504" s="30"/>
      <c r="BY504" s="30"/>
      <c r="BZ504" s="30"/>
      <c r="CA504" s="30"/>
      <c r="CB504" s="30"/>
      <c r="CC504" s="30"/>
      <c r="CD504" s="30"/>
      <c r="CE504" s="30"/>
      <c r="CF504" s="30"/>
      <c r="CG504" s="30"/>
      <c r="CH504" s="30"/>
      <c r="CI504" s="30"/>
      <c r="CJ504" s="30"/>
      <c r="CK504" s="30"/>
      <c r="CL504" s="30"/>
      <c r="CM504" s="30"/>
      <c r="CN504" s="30"/>
      <c r="CO504" s="30"/>
      <c r="CP504" s="30"/>
      <c r="CQ504" s="30"/>
      <c r="CR504" s="30"/>
      <c r="CS504" s="30"/>
      <c r="CT504" s="30"/>
      <c r="CU504" s="30"/>
      <c r="CV504" s="30"/>
      <c r="CW504" s="30"/>
      <c r="CX504" s="30"/>
      <c r="CY504" s="30"/>
      <c r="CZ504" s="30"/>
      <c r="DA504" s="30"/>
      <c r="DB504" s="30"/>
      <c r="DC504" s="30"/>
      <c r="DD504" s="30"/>
      <c r="DE504" s="30"/>
      <c r="DF504" s="30"/>
      <c r="DG504" s="30"/>
      <c r="DH504" s="30"/>
      <c r="DI504" s="30"/>
      <c r="DJ504" s="30"/>
      <c r="DK504" s="30"/>
      <c r="DL504" s="30"/>
      <c r="DM504" s="30"/>
      <c r="DN504" s="30"/>
      <c r="DO504" s="30"/>
      <c r="DP504" s="30"/>
      <c r="DQ504" s="30"/>
      <c r="DR504" s="30"/>
      <c r="DS504" s="30"/>
      <c r="DT504" s="30"/>
      <c r="DU504" s="30"/>
      <c r="DV504" s="30"/>
      <c r="DW504" s="30"/>
    </row>
    <row r="505" spans="1:127" ht="13">
      <c r="A505" s="39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  <c r="BS505" s="30"/>
      <c r="BT505" s="30"/>
      <c r="BU505" s="30"/>
      <c r="BV505" s="30"/>
      <c r="BW505" s="30"/>
      <c r="BX505" s="30"/>
      <c r="BY505" s="30"/>
      <c r="BZ505" s="30"/>
      <c r="CA505" s="30"/>
      <c r="CB505" s="30"/>
      <c r="CC505" s="30"/>
      <c r="CD505" s="30"/>
      <c r="CE505" s="30"/>
      <c r="CF505" s="30"/>
      <c r="CG505" s="30"/>
      <c r="CH505" s="30"/>
      <c r="CI505" s="30"/>
      <c r="CJ505" s="30"/>
      <c r="CK505" s="30"/>
      <c r="CL505" s="30"/>
      <c r="CM505" s="30"/>
      <c r="CN505" s="30"/>
      <c r="CO505" s="30"/>
      <c r="CP505" s="30"/>
      <c r="CQ505" s="30"/>
      <c r="CR505" s="30"/>
      <c r="CS505" s="30"/>
      <c r="CT505" s="30"/>
      <c r="CU505" s="30"/>
      <c r="CV505" s="30"/>
      <c r="CW505" s="30"/>
      <c r="CX505" s="30"/>
      <c r="CY505" s="30"/>
      <c r="CZ505" s="30"/>
      <c r="DA505" s="30"/>
      <c r="DB505" s="30"/>
      <c r="DC505" s="30"/>
      <c r="DD505" s="30"/>
      <c r="DE505" s="30"/>
      <c r="DF505" s="30"/>
      <c r="DG505" s="30"/>
      <c r="DH505" s="30"/>
      <c r="DI505" s="30"/>
      <c r="DJ505" s="30"/>
      <c r="DK505" s="30"/>
      <c r="DL505" s="30"/>
      <c r="DM505" s="30"/>
      <c r="DN505" s="30"/>
      <c r="DO505" s="30"/>
      <c r="DP505" s="30"/>
      <c r="DQ505" s="30"/>
      <c r="DR505" s="30"/>
      <c r="DS505" s="30"/>
      <c r="DT505" s="30"/>
      <c r="DU505" s="30"/>
      <c r="DV505" s="30"/>
      <c r="DW505" s="30"/>
    </row>
    <row r="506" spans="1:127" ht="13">
      <c r="A506" s="39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  <c r="BS506" s="30"/>
      <c r="BT506" s="30"/>
      <c r="BU506" s="30"/>
      <c r="BV506" s="30"/>
      <c r="BW506" s="30"/>
      <c r="BX506" s="30"/>
      <c r="BY506" s="30"/>
      <c r="BZ506" s="30"/>
      <c r="CA506" s="30"/>
      <c r="CB506" s="30"/>
      <c r="CC506" s="30"/>
      <c r="CD506" s="30"/>
      <c r="CE506" s="30"/>
      <c r="CF506" s="30"/>
      <c r="CG506" s="30"/>
      <c r="CH506" s="30"/>
      <c r="CI506" s="30"/>
      <c r="CJ506" s="30"/>
      <c r="CK506" s="30"/>
      <c r="CL506" s="30"/>
      <c r="CM506" s="30"/>
      <c r="CN506" s="30"/>
      <c r="CO506" s="30"/>
      <c r="CP506" s="30"/>
      <c r="CQ506" s="30"/>
      <c r="CR506" s="30"/>
      <c r="CS506" s="30"/>
      <c r="CT506" s="30"/>
      <c r="CU506" s="30"/>
      <c r="CV506" s="30"/>
      <c r="CW506" s="30"/>
      <c r="CX506" s="30"/>
      <c r="CY506" s="30"/>
      <c r="CZ506" s="30"/>
      <c r="DA506" s="30"/>
      <c r="DB506" s="30"/>
      <c r="DC506" s="30"/>
      <c r="DD506" s="30"/>
      <c r="DE506" s="30"/>
      <c r="DF506" s="30"/>
      <c r="DG506" s="30"/>
      <c r="DH506" s="30"/>
      <c r="DI506" s="30"/>
      <c r="DJ506" s="30"/>
      <c r="DK506" s="30"/>
      <c r="DL506" s="30"/>
      <c r="DM506" s="30"/>
      <c r="DN506" s="30"/>
      <c r="DO506" s="30"/>
      <c r="DP506" s="30"/>
      <c r="DQ506" s="30"/>
      <c r="DR506" s="30"/>
      <c r="DS506" s="30"/>
      <c r="DT506" s="30"/>
      <c r="DU506" s="30"/>
      <c r="DV506" s="30"/>
      <c r="DW506" s="30"/>
    </row>
    <row r="507" spans="1:127" ht="13">
      <c r="A507" s="39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  <c r="BS507" s="30"/>
      <c r="BT507" s="30"/>
      <c r="BU507" s="30"/>
      <c r="BV507" s="30"/>
      <c r="BW507" s="30"/>
      <c r="BX507" s="30"/>
      <c r="BY507" s="30"/>
      <c r="BZ507" s="30"/>
      <c r="CA507" s="30"/>
      <c r="CB507" s="30"/>
      <c r="CC507" s="30"/>
      <c r="CD507" s="30"/>
      <c r="CE507" s="30"/>
      <c r="CF507" s="30"/>
      <c r="CG507" s="30"/>
      <c r="CH507" s="30"/>
      <c r="CI507" s="30"/>
      <c r="CJ507" s="30"/>
      <c r="CK507" s="30"/>
      <c r="CL507" s="30"/>
      <c r="CM507" s="30"/>
      <c r="CN507" s="30"/>
      <c r="CO507" s="30"/>
      <c r="CP507" s="30"/>
      <c r="CQ507" s="30"/>
      <c r="CR507" s="30"/>
      <c r="CS507" s="30"/>
      <c r="CT507" s="30"/>
      <c r="CU507" s="30"/>
      <c r="CV507" s="30"/>
      <c r="CW507" s="30"/>
      <c r="CX507" s="30"/>
      <c r="CY507" s="30"/>
      <c r="CZ507" s="30"/>
      <c r="DA507" s="30"/>
      <c r="DB507" s="30"/>
      <c r="DC507" s="30"/>
      <c r="DD507" s="30"/>
      <c r="DE507" s="30"/>
      <c r="DF507" s="30"/>
      <c r="DG507" s="30"/>
      <c r="DH507" s="30"/>
      <c r="DI507" s="30"/>
      <c r="DJ507" s="30"/>
      <c r="DK507" s="30"/>
      <c r="DL507" s="30"/>
      <c r="DM507" s="30"/>
      <c r="DN507" s="30"/>
      <c r="DO507" s="30"/>
      <c r="DP507" s="30"/>
      <c r="DQ507" s="30"/>
      <c r="DR507" s="30"/>
      <c r="DS507" s="30"/>
      <c r="DT507" s="30"/>
      <c r="DU507" s="30"/>
      <c r="DV507" s="30"/>
      <c r="DW507" s="30"/>
    </row>
    <row r="508" spans="1:127" ht="13">
      <c r="A508" s="39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  <c r="BU508" s="30"/>
      <c r="BV508" s="30"/>
      <c r="BW508" s="30"/>
      <c r="BX508" s="30"/>
      <c r="BY508" s="30"/>
      <c r="BZ508" s="30"/>
      <c r="CA508" s="30"/>
      <c r="CB508" s="30"/>
      <c r="CC508" s="30"/>
      <c r="CD508" s="30"/>
      <c r="CE508" s="30"/>
      <c r="CF508" s="30"/>
      <c r="CG508" s="30"/>
      <c r="CH508" s="30"/>
      <c r="CI508" s="30"/>
      <c r="CJ508" s="30"/>
      <c r="CK508" s="30"/>
      <c r="CL508" s="30"/>
      <c r="CM508" s="30"/>
      <c r="CN508" s="30"/>
      <c r="CO508" s="30"/>
      <c r="CP508" s="30"/>
      <c r="CQ508" s="30"/>
      <c r="CR508" s="30"/>
      <c r="CS508" s="30"/>
      <c r="CT508" s="30"/>
      <c r="CU508" s="30"/>
      <c r="CV508" s="30"/>
      <c r="CW508" s="30"/>
      <c r="CX508" s="30"/>
      <c r="CY508" s="30"/>
      <c r="CZ508" s="30"/>
      <c r="DA508" s="30"/>
      <c r="DB508" s="30"/>
      <c r="DC508" s="30"/>
      <c r="DD508" s="30"/>
      <c r="DE508" s="30"/>
      <c r="DF508" s="30"/>
      <c r="DG508" s="30"/>
      <c r="DH508" s="30"/>
      <c r="DI508" s="30"/>
      <c r="DJ508" s="30"/>
      <c r="DK508" s="30"/>
      <c r="DL508" s="30"/>
      <c r="DM508" s="30"/>
      <c r="DN508" s="30"/>
      <c r="DO508" s="30"/>
      <c r="DP508" s="30"/>
      <c r="DQ508" s="30"/>
      <c r="DR508" s="30"/>
      <c r="DS508" s="30"/>
      <c r="DT508" s="30"/>
      <c r="DU508" s="30"/>
      <c r="DV508" s="30"/>
      <c r="DW508" s="30"/>
    </row>
    <row r="509" spans="1:127" ht="13">
      <c r="A509" s="39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  <c r="BS509" s="30"/>
      <c r="BT509" s="30"/>
      <c r="BU509" s="30"/>
      <c r="BV509" s="30"/>
      <c r="BW509" s="30"/>
      <c r="BX509" s="30"/>
      <c r="BY509" s="30"/>
      <c r="BZ509" s="30"/>
      <c r="CA509" s="30"/>
      <c r="CB509" s="30"/>
      <c r="CC509" s="30"/>
      <c r="CD509" s="30"/>
      <c r="CE509" s="30"/>
      <c r="CF509" s="30"/>
      <c r="CG509" s="30"/>
      <c r="CH509" s="30"/>
      <c r="CI509" s="30"/>
      <c r="CJ509" s="30"/>
      <c r="CK509" s="30"/>
      <c r="CL509" s="30"/>
      <c r="CM509" s="30"/>
      <c r="CN509" s="30"/>
      <c r="CO509" s="30"/>
      <c r="CP509" s="30"/>
      <c r="CQ509" s="30"/>
      <c r="CR509" s="30"/>
      <c r="CS509" s="30"/>
      <c r="CT509" s="30"/>
      <c r="CU509" s="30"/>
      <c r="CV509" s="30"/>
      <c r="CW509" s="30"/>
      <c r="CX509" s="30"/>
      <c r="CY509" s="30"/>
      <c r="CZ509" s="30"/>
      <c r="DA509" s="30"/>
      <c r="DB509" s="30"/>
      <c r="DC509" s="30"/>
      <c r="DD509" s="30"/>
      <c r="DE509" s="30"/>
      <c r="DF509" s="30"/>
      <c r="DG509" s="30"/>
      <c r="DH509" s="30"/>
      <c r="DI509" s="30"/>
      <c r="DJ509" s="30"/>
      <c r="DK509" s="30"/>
      <c r="DL509" s="30"/>
      <c r="DM509" s="30"/>
      <c r="DN509" s="30"/>
      <c r="DO509" s="30"/>
      <c r="DP509" s="30"/>
      <c r="DQ509" s="30"/>
      <c r="DR509" s="30"/>
      <c r="DS509" s="30"/>
      <c r="DT509" s="30"/>
      <c r="DU509" s="30"/>
      <c r="DV509" s="30"/>
      <c r="DW509" s="30"/>
    </row>
    <row r="510" spans="1:127" ht="13">
      <c r="A510" s="39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  <c r="BS510" s="30"/>
      <c r="BT510" s="30"/>
      <c r="BU510" s="30"/>
      <c r="BV510" s="30"/>
      <c r="BW510" s="30"/>
      <c r="BX510" s="30"/>
      <c r="BY510" s="30"/>
      <c r="BZ510" s="30"/>
      <c r="CA510" s="30"/>
      <c r="CB510" s="30"/>
      <c r="CC510" s="30"/>
      <c r="CD510" s="30"/>
      <c r="CE510" s="30"/>
      <c r="CF510" s="30"/>
      <c r="CG510" s="30"/>
      <c r="CH510" s="30"/>
      <c r="CI510" s="30"/>
      <c r="CJ510" s="30"/>
      <c r="CK510" s="30"/>
      <c r="CL510" s="30"/>
      <c r="CM510" s="30"/>
      <c r="CN510" s="30"/>
      <c r="CO510" s="30"/>
      <c r="CP510" s="30"/>
      <c r="CQ510" s="30"/>
      <c r="CR510" s="30"/>
      <c r="CS510" s="30"/>
      <c r="CT510" s="30"/>
      <c r="CU510" s="30"/>
      <c r="CV510" s="30"/>
      <c r="CW510" s="30"/>
      <c r="CX510" s="30"/>
      <c r="CY510" s="30"/>
      <c r="CZ510" s="30"/>
      <c r="DA510" s="30"/>
      <c r="DB510" s="30"/>
      <c r="DC510" s="30"/>
      <c r="DD510" s="30"/>
      <c r="DE510" s="30"/>
      <c r="DF510" s="30"/>
      <c r="DG510" s="30"/>
      <c r="DH510" s="30"/>
      <c r="DI510" s="30"/>
      <c r="DJ510" s="30"/>
      <c r="DK510" s="30"/>
      <c r="DL510" s="30"/>
      <c r="DM510" s="30"/>
      <c r="DN510" s="30"/>
      <c r="DO510" s="30"/>
      <c r="DP510" s="30"/>
      <c r="DQ510" s="30"/>
      <c r="DR510" s="30"/>
      <c r="DS510" s="30"/>
      <c r="DT510" s="30"/>
      <c r="DU510" s="30"/>
      <c r="DV510" s="30"/>
      <c r="DW510" s="30"/>
    </row>
    <row r="511" spans="1:127" ht="13">
      <c r="A511" s="39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  <c r="BS511" s="30"/>
      <c r="BT511" s="30"/>
      <c r="BU511" s="30"/>
      <c r="BV511" s="30"/>
      <c r="BW511" s="30"/>
      <c r="BX511" s="30"/>
      <c r="BY511" s="30"/>
      <c r="BZ511" s="30"/>
      <c r="CA511" s="30"/>
      <c r="CB511" s="30"/>
      <c r="CC511" s="30"/>
      <c r="CD511" s="30"/>
      <c r="CE511" s="30"/>
      <c r="CF511" s="30"/>
      <c r="CG511" s="30"/>
      <c r="CH511" s="30"/>
      <c r="CI511" s="30"/>
      <c r="CJ511" s="30"/>
      <c r="CK511" s="30"/>
      <c r="CL511" s="30"/>
      <c r="CM511" s="30"/>
      <c r="CN511" s="30"/>
      <c r="CO511" s="30"/>
      <c r="CP511" s="30"/>
      <c r="CQ511" s="30"/>
      <c r="CR511" s="30"/>
      <c r="CS511" s="30"/>
      <c r="CT511" s="30"/>
      <c r="CU511" s="30"/>
      <c r="CV511" s="30"/>
      <c r="CW511" s="30"/>
      <c r="CX511" s="30"/>
      <c r="CY511" s="30"/>
      <c r="CZ511" s="30"/>
      <c r="DA511" s="30"/>
      <c r="DB511" s="30"/>
      <c r="DC511" s="30"/>
      <c r="DD511" s="30"/>
      <c r="DE511" s="30"/>
      <c r="DF511" s="30"/>
      <c r="DG511" s="30"/>
      <c r="DH511" s="30"/>
      <c r="DI511" s="30"/>
      <c r="DJ511" s="30"/>
      <c r="DK511" s="30"/>
      <c r="DL511" s="30"/>
      <c r="DM511" s="30"/>
      <c r="DN511" s="30"/>
      <c r="DO511" s="30"/>
      <c r="DP511" s="30"/>
      <c r="DQ511" s="30"/>
      <c r="DR511" s="30"/>
      <c r="DS511" s="30"/>
      <c r="DT511" s="30"/>
      <c r="DU511" s="30"/>
      <c r="DV511" s="30"/>
      <c r="DW511" s="30"/>
    </row>
    <row r="512" spans="1:127" ht="13">
      <c r="A512" s="39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  <c r="BS512" s="30"/>
      <c r="BT512" s="30"/>
      <c r="BU512" s="30"/>
      <c r="BV512" s="30"/>
      <c r="BW512" s="30"/>
      <c r="BX512" s="30"/>
      <c r="BY512" s="30"/>
      <c r="BZ512" s="30"/>
      <c r="CA512" s="30"/>
      <c r="CB512" s="30"/>
      <c r="CC512" s="30"/>
      <c r="CD512" s="30"/>
      <c r="CE512" s="30"/>
      <c r="CF512" s="30"/>
      <c r="CG512" s="30"/>
      <c r="CH512" s="30"/>
      <c r="CI512" s="30"/>
      <c r="CJ512" s="30"/>
      <c r="CK512" s="30"/>
      <c r="CL512" s="30"/>
      <c r="CM512" s="30"/>
      <c r="CN512" s="30"/>
      <c r="CO512" s="30"/>
      <c r="CP512" s="30"/>
      <c r="CQ512" s="30"/>
      <c r="CR512" s="30"/>
      <c r="CS512" s="30"/>
      <c r="CT512" s="30"/>
      <c r="CU512" s="30"/>
      <c r="CV512" s="30"/>
      <c r="CW512" s="30"/>
      <c r="CX512" s="30"/>
      <c r="CY512" s="30"/>
      <c r="CZ512" s="30"/>
      <c r="DA512" s="30"/>
      <c r="DB512" s="30"/>
      <c r="DC512" s="30"/>
      <c r="DD512" s="30"/>
      <c r="DE512" s="30"/>
      <c r="DF512" s="30"/>
      <c r="DG512" s="30"/>
      <c r="DH512" s="30"/>
      <c r="DI512" s="30"/>
      <c r="DJ512" s="30"/>
      <c r="DK512" s="30"/>
      <c r="DL512" s="30"/>
      <c r="DM512" s="30"/>
      <c r="DN512" s="30"/>
      <c r="DO512" s="30"/>
      <c r="DP512" s="30"/>
      <c r="DQ512" s="30"/>
      <c r="DR512" s="30"/>
      <c r="DS512" s="30"/>
      <c r="DT512" s="30"/>
      <c r="DU512" s="30"/>
      <c r="DV512" s="30"/>
      <c r="DW512" s="30"/>
    </row>
    <row r="513" spans="1:127" ht="13">
      <c r="A513" s="39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  <c r="BV513" s="30"/>
      <c r="BW513" s="30"/>
      <c r="BX513" s="30"/>
      <c r="BY513" s="30"/>
      <c r="BZ513" s="30"/>
      <c r="CA513" s="30"/>
      <c r="CB513" s="30"/>
      <c r="CC513" s="30"/>
      <c r="CD513" s="30"/>
      <c r="CE513" s="30"/>
      <c r="CF513" s="30"/>
      <c r="CG513" s="30"/>
      <c r="CH513" s="30"/>
      <c r="CI513" s="30"/>
      <c r="CJ513" s="30"/>
      <c r="CK513" s="30"/>
      <c r="CL513" s="30"/>
      <c r="CM513" s="30"/>
      <c r="CN513" s="30"/>
      <c r="CO513" s="30"/>
      <c r="CP513" s="30"/>
      <c r="CQ513" s="30"/>
      <c r="CR513" s="30"/>
      <c r="CS513" s="30"/>
      <c r="CT513" s="30"/>
      <c r="CU513" s="30"/>
      <c r="CV513" s="30"/>
      <c r="CW513" s="30"/>
      <c r="CX513" s="30"/>
      <c r="CY513" s="30"/>
      <c r="CZ513" s="30"/>
      <c r="DA513" s="30"/>
      <c r="DB513" s="30"/>
      <c r="DC513" s="30"/>
      <c r="DD513" s="30"/>
      <c r="DE513" s="30"/>
      <c r="DF513" s="30"/>
      <c r="DG513" s="30"/>
      <c r="DH513" s="30"/>
      <c r="DI513" s="30"/>
      <c r="DJ513" s="30"/>
      <c r="DK513" s="30"/>
      <c r="DL513" s="30"/>
      <c r="DM513" s="30"/>
      <c r="DN513" s="30"/>
      <c r="DO513" s="30"/>
      <c r="DP513" s="30"/>
      <c r="DQ513" s="30"/>
      <c r="DR513" s="30"/>
      <c r="DS513" s="30"/>
      <c r="DT513" s="30"/>
      <c r="DU513" s="30"/>
      <c r="DV513" s="30"/>
      <c r="DW513" s="30"/>
    </row>
    <row r="514" spans="1:127" ht="13">
      <c r="A514" s="39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  <c r="BS514" s="30"/>
      <c r="BT514" s="30"/>
      <c r="BU514" s="30"/>
      <c r="BV514" s="30"/>
      <c r="BW514" s="30"/>
      <c r="BX514" s="30"/>
      <c r="BY514" s="30"/>
      <c r="BZ514" s="30"/>
      <c r="CA514" s="30"/>
      <c r="CB514" s="30"/>
      <c r="CC514" s="30"/>
      <c r="CD514" s="30"/>
      <c r="CE514" s="30"/>
      <c r="CF514" s="30"/>
      <c r="CG514" s="30"/>
      <c r="CH514" s="30"/>
      <c r="CI514" s="30"/>
      <c r="CJ514" s="30"/>
      <c r="CK514" s="30"/>
      <c r="CL514" s="30"/>
      <c r="CM514" s="30"/>
      <c r="CN514" s="30"/>
      <c r="CO514" s="30"/>
      <c r="CP514" s="30"/>
      <c r="CQ514" s="30"/>
      <c r="CR514" s="30"/>
      <c r="CS514" s="30"/>
      <c r="CT514" s="30"/>
      <c r="CU514" s="30"/>
      <c r="CV514" s="30"/>
      <c r="CW514" s="30"/>
      <c r="CX514" s="30"/>
      <c r="CY514" s="30"/>
      <c r="CZ514" s="30"/>
      <c r="DA514" s="30"/>
      <c r="DB514" s="30"/>
      <c r="DC514" s="30"/>
      <c r="DD514" s="30"/>
      <c r="DE514" s="30"/>
      <c r="DF514" s="30"/>
      <c r="DG514" s="30"/>
      <c r="DH514" s="30"/>
      <c r="DI514" s="30"/>
      <c r="DJ514" s="30"/>
      <c r="DK514" s="30"/>
      <c r="DL514" s="30"/>
      <c r="DM514" s="30"/>
      <c r="DN514" s="30"/>
      <c r="DO514" s="30"/>
      <c r="DP514" s="30"/>
      <c r="DQ514" s="30"/>
      <c r="DR514" s="30"/>
      <c r="DS514" s="30"/>
      <c r="DT514" s="30"/>
      <c r="DU514" s="30"/>
      <c r="DV514" s="30"/>
      <c r="DW514" s="30"/>
    </row>
    <row r="515" spans="1:127" ht="13">
      <c r="A515" s="39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  <c r="BS515" s="30"/>
      <c r="BT515" s="30"/>
      <c r="BU515" s="30"/>
      <c r="BV515" s="30"/>
      <c r="BW515" s="30"/>
      <c r="BX515" s="30"/>
      <c r="BY515" s="30"/>
      <c r="BZ515" s="30"/>
      <c r="CA515" s="30"/>
      <c r="CB515" s="30"/>
      <c r="CC515" s="30"/>
      <c r="CD515" s="30"/>
      <c r="CE515" s="30"/>
      <c r="CF515" s="30"/>
      <c r="CG515" s="30"/>
      <c r="CH515" s="30"/>
      <c r="CI515" s="30"/>
      <c r="CJ515" s="30"/>
      <c r="CK515" s="30"/>
      <c r="CL515" s="30"/>
      <c r="CM515" s="30"/>
      <c r="CN515" s="30"/>
      <c r="CO515" s="30"/>
      <c r="CP515" s="30"/>
      <c r="CQ515" s="30"/>
      <c r="CR515" s="30"/>
      <c r="CS515" s="30"/>
      <c r="CT515" s="30"/>
      <c r="CU515" s="30"/>
      <c r="CV515" s="30"/>
      <c r="CW515" s="30"/>
      <c r="CX515" s="30"/>
      <c r="CY515" s="30"/>
      <c r="CZ515" s="30"/>
      <c r="DA515" s="30"/>
      <c r="DB515" s="30"/>
      <c r="DC515" s="30"/>
      <c r="DD515" s="30"/>
      <c r="DE515" s="30"/>
      <c r="DF515" s="30"/>
      <c r="DG515" s="30"/>
      <c r="DH515" s="30"/>
      <c r="DI515" s="30"/>
      <c r="DJ515" s="30"/>
      <c r="DK515" s="30"/>
      <c r="DL515" s="30"/>
      <c r="DM515" s="30"/>
      <c r="DN515" s="30"/>
      <c r="DO515" s="30"/>
      <c r="DP515" s="30"/>
      <c r="DQ515" s="30"/>
      <c r="DR515" s="30"/>
      <c r="DS515" s="30"/>
      <c r="DT515" s="30"/>
      <c r="DU515" s="30"/>
      <c r="DV515" s="30"/>
      <c r="DW515" s="30"/>
    </row>
    <row r="516" spans="1:127" ht="13">
      <c r="A516" s="39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  <c r="BS516" s="30"/>
      <c r="BT516" s="30"/>
      <c r="BU516" s="30"/>
      <c r="BV516" s="30"/>
      <c r="BW516" s="30"/>
      <c r="BX516" s="30"/>
      <c r="BY516" s="30"/>
      <c r="BZ516" s="30"/>
      <c r="CA516" s="30"/>
      <c r="CB516" s="30"/>
      <c r="CC516" s="30"/>
      <c r="CD516" s="30"/>
      <c r="CE516" s="30"/>
      <c r="CF516" s="30"/>
      <c r="CG516" s="30"/>
      <c r="CH516" s="30"/>
      <c r="CI516" s="30"/>
      <c r="CJ516" s="30"/>
      <c r="CK516" s="30"/>
      <c r="CL516" s="30"/>
      <c r="CM516" s="30"/>
      <c r="CN516" s="30"/>
      <c r="CO516" s="30"/>
      <c r="CP516" s="30"/>
      <c r="CQ516" s="30"/>
      <c r="CR516" s="30"/>
      <c r="CS516" s="30"/>
      <c r="CT516" s="30"/>
      <c r="CU516" s="30"/>
      <c r="CV516" s="30"/>
      <c r="CW516" s="30"/>
      <c r="CX516" s="30"/>
      <c r="CY516" s="30"/>
      <c r="CZ516" s="30"/>
      <c r="DA516" s="30"/>
      <c r="DB516" s="30"/>
      <c r="DC516" s="30"/>
      <c r="DD516" s="30"/>
      <c r="DE516" s="30"/>
      <c r="DF516" s="30"/>
      <c r="DG516" s="30"/>
      <c r="DH516" s="30"/>
      <c r="DI516" s="30"/>
      <c r="DJ516" s="30"/>
      <c r="DK516" s="30"/>
      <c r="DL516" s="30"/>
      <c r="DM516" s="30"/>
      <c r="DN516" s="30"/>
      <c r="DO516" s="30"/>
      <c r="DP516" s="30"/>
      <c r="DQ516" s="30"/>
      <c r="DR516" s="30"/>
      <c r="DS516" s="30"/>
      <c r="DT516" s="30"/>
      <c r="DU516" s="30"/>
      <c r="DV516" s="30"/>
      <c r="DW516" s="30"/>
    </row>
    <row r="517" spans="1:127" ht="13">
      <c r="A517" s="39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  <c r="BS517" s="30"/>
      <c r="BT517" s="30"/>
      <c r="BU517" s="30"/>
      <c r="BV517" s="30"/>
      <c r="BW517" s="30"/>
      <c r="BX517" s="30"/>
      <c r="BY517" s="30"/>
      <c r="BZ517" s="30"/>
      <c r="CA517" s="30"/>
      <c r="CB517" s="30"/>
      <c r="CC517" s="30"/>
      <c r="CD517" s="30"/>
      <c r="CE517" s="30"/>
      <c r="CF517" s="30"/>
      <c r="CG517" s="30"/>
      <c r="CH517" s="30"/>
      <c r="CI517" s="30"/>
      <c r="CJ517" s="30"/>
      <c r="CK517" s="30"/>
      <c r="CL517" s="30"/>
      <c r="CM517" s="30"/>
      <c r="CN517" s="30"/>
      <c r="CO517" s="30"/>
      <c r="CP517" s="30"/>
      <c r="CQ517" s="30"/>
      <c r="CR517" s="30"/>
      <c r="CS517" s="30"/>
      <c r="CT517" s="30"/>
      <c r="CU517" s="30"/>
      <c r="CV517" s="30"/>
      <c r="CW517" s="30"/>
      <c r="CX517" s="30"/>
      <c r="CY517" s="30"/>
      <c r="CZ517" s="30"/>
      <c r="DA517" s="30"/>
      <c r="DB517" s="30"/>
      <c r="DC517" s="30"/>
      <c r="DD517" s="30"/>
      <c r="DE517" s="30"/>
      <c r="DF517" s="30"/>
      <c r="DG517" s="30"/>
      <c r="DH517" s="30"/>
      <c r="DI517" s="30"/>
      <c r="DJ517" s="30"/>
      <c r="DK517" s="30"/>
      <c r="DL517" s="30"/>
      <c r="DM517" s="30"/>
      <c r="DN517" s="30"/>
      <c r="DO517" s="30"/>
      <c r="DP517" s="30"/>
      <c r="DQ517" s="30"/>
      <c r="DR517" s="30"/>
      <c r="DS517" s="30"/>
      <c r="DT517" s="30"/>
      <c r="DU517" s="30"/>
      <c r="DV517" s="30"/>
      <c r="DW517" s="30"/>
    </row>
    <row r="518" spans="1:127" ht="13">
      <c r="A518" s="39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  <c r="BS518" s="30"/>
      <c r="BT518" s="30"/>
      <c r="BU518" s="30"/>
      <c r="BV518" s="30"/>
      <c r="BW518" s="30"/>
      <c r="BX518" s="30"/>
      <c r="BY518" s="30"/>
      <c r="BZ518" s="30"/>
      <c r="CA518" s="30"/>
      <c r="CB518" s="30"/>
      <c r="CC518" s="30"/>
      <c r="CD518" s="30"/>
      <c r="CE518" s="30"/>
      <c r="CF518" s="30"/>
      <c r="CG518" s="30"/>
      <c r="CH518" s="30"/>
      <c r="CI518" s="30"/>
      <c r="CJ518" s="30"/>
      <c r="CK518" s="30"/>
      <c r="CL518" s="30"/>
      <c r="CM518" s="30"/>
      <c r="CN518" s="30"/>
      <c r="CO518" s="30"/>
      <c r="CP518" s="30"/>
      <c r="CQ518" s="30"/>
      <c r="CR518" s="30"/>
      <c r="CS518" s="30"/>
      <c r="CT518" s="30"/>
      <c r="CU518" s="30"/>
      <c r="CV518" s="30"/>
      <c r="CW518" s="30"/>
      <c r="CX518" s="30"/>
      <c r="CY518" s="30"/>
      <c r="CZ518" s="30"/>
      <c r="DA518" s="30"/>
      <c r="DB518" s="30"/>
      <c r="DC518" s="30"/>
      <c r="DD518" s="30"/>
      <c r="DE518" s="30"/>
      <c r="DF518" s="30"/>
      <c r="DG518" s="30"/>
      <c r="DH518" s="30"/>
      <c r="DI518" s="30"/>
      <c r="DJ518" s="30"/>
      <c r="DK518" s="30"/>
      <c r="DL518" s="30"/>
      <c r="DM518" s="30"/>
      <c r="DN518" s="30"/>
      <c r="DO518" s="30"/>
      <c r="DP518" s="30"/>
      <c r="DQ518" s="30"/>
      <c r="DR518" s="30"/>
      <c r="DS518" s="30"/>
      <c r="DT518" s="30"/>
      <c r="DU518" s="30"/>
      <c r="DV518" s="30"/>
      <c r="DW518" s="30"/>
    </row>
    <row r="519" spans="1:127" ht="13">
      <c r="A519" s="39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  <c r="BS519" s="30"/>
      <c r="BT519" s="30"/>
      <c r="BU519" s="30"/>
      <c r="BV519" s="30"/>
      <c r="BW519" s="30"/>
      <c r="BX519" s="30"/>
      <c r="BY519" s="30"/>
      <c r="BZ519" s="30"/>
      <c r="CA519" s="30"/>
      <c r="CB519" s="30"/>
      <c r="CC519" s="30"/>
      <c r="CD519" s="30"/>
      <c r="CE519" s="30"/>
      <c r="CF519" s="30"/>
      <c r="CG519" s="30"/>
      <c r="CH519" s="30"/>
      <c r="CI519" s="30"/>
      <c r="CJ519" s="30"/>
      <c r="CK519" s="30"/>
      <c r="CL519" s="30"/>
      <c r="CM519" s="30"/>
      <c r="CN519" s="30"/>
      <c r="CO519" s="30"/>
      <c r="CP519" s="30"/>
      <c r="CQ519" s="30"/>
      <c r="CR519" s="30"/>
      <c r="CS519" s="30"/>
      <c r="CT519" s="30"/>
      <c r="CU519" s="30"/>
      <c r="CV519" s="30"/>
      <c r="CW519" s="30"/>
      <c r="CX519" s="30"/>
      <c r="CY519" s="30"/>
      <c r="CZ519" s="30"/>
      <c r="DA519" s="30"/>
      <c r="DB519" s="30"/>
      <c r="DC519" s="30"/>
      <c r="DD519" s="30"/>
      <c r="DE519" s="30"/>
      <c r="DF519" s="30"/>
      <c r="DG519" s="30"/>
      <c r="DH519" s="30"/>
      <c r="DI519" s="30"/>
      <c r="DJ519" s="30"/>
      <c r="DK519" s="30"/>
      <c r="DL519" s="30"/>
      <c r="DM519" s="30"/>
      <c r="DN519" s="30"/>
      <c r="DO519" s="30"/>
      <c r="DP519" s="30"/>
      <c r="DQ519" s="30"/>
      <c r="DR519" s="30"/>
      <c r="DS519" s="30"/>
      <c r="DT519" s="30"/>
      <c r="DU519" s="30"/>
      <c r="DV519" s="30"/>
      <c r="DW519" s="30"/>
    </row>
    <row r="520" spans="1:127" ht="13">
      <c r="A520" s="39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  <c r="BS520" s="30"/>
      <c r="BT520" s="30"/>
      <c r="BU520" s="30"/>
      <c r="BV520" s="30"/>
      <c r="BW520" s="30"/>
      <c r="BX520" s="30"/>
      <c r="BY520" s="30"/>
      <c r="BZ520" s="30"/>
      <c r="CA520" s="30"/>
      <c r="CB520" s="30"/>
      <c r="CC520" s="30"/>
      <c r="CD520" s="30"/>
      <c r="CE520" s="30"/>
      <c r="CF520" s="30"/>
      <c r="CG520" s="30"/>
      <c r="CH520" s="30"/>
      <c r="CI520" s="30"/>
      <c r="CJ520" s="30"/>
      <c r="CK520" s="30"/>
      <c r="CL520" s="30"/>
      <c r="CM520" s="30"/>
      <c r="CN520" s="30"/>
      <c r="CO520" s="30"/>
      <c r="CP520" s="30"/>
      <c r="CQ520" s="30"/>
      <c r="CR520" s="30"/>
      <c r="CS520" s="30"/>
      <c r="CT520" s="30"/>
      <c r="CU520" s="30"/>
      <c r="CV520" s="30"/>
      <c r="CW520" s="30"/>
      <c r="CX520" s="30"/>
      <c r="CY520" s="30"/>
      <c r="CZ520" s="30"/>
      <c r="DA520" s="30"/>
      <c r="DB520" s="30"/>
      <c r="DC520" s="30"/>
      <c r="DD520" s="30"/>
      <c r="DE520" s="30"/>
      <c r="DF520" s="30"/>
      <c r="DG520" s="30"/>
      <c r="DH520" s="30"/>
      <c r="DI520" s="30"/>
      <c r="DJ520" s="30"/>
      <c r="DK520" s="30"/>
      <c r="DL520" s="30"/>
      <c r="DM520" s="30"/>
      <c r="DN520" s="30"/>
      <c r="DO520" s="30"/>
      <c r="DP520" s="30"/>
      <c r="DQ520" s="30"/>
      <c r="DR520" s="30"/>
      <c r="DS520" s="30"/>
      <c r="DT520" s="30"/>
      <c r="DU520" s="30"/>
      <c r="DV520" s="30"/>
      <c r="DW520" s="30"/>
    </row>
    <row r="521" spans="1:127" ht="13">
      <c r="A521" s="39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  <c r="BS521" s="30"/>
      <c r="BT521" s="30"/>
      <c r="BU521" s="30"/>
      <c r="BV521" s="30"/>
      <c r="BW521" s="30"/>
      <c r="BX521" s="30"/>
      <c r="BY521" s="30"/>
      <c r="BZ521" s="30"/>
      <c r="CA521" s="30"/>
      <c r="CB521" s="30"/>
      <c r="CC521" s="30"/>
      <c r="CD521" s="30"/>
      <c r="CE521" s="30"/>
      <c r="CF521" s="30"/>
      <c r="CG521" s="30"/>
      <c r="CH521" s="30"/>
      <c r="CI521" s="30"/>
      <c r="CJ521" s="30"/>
      <c r="CK521" s="30"/>
      <c r="CL521" s="30"/>
      <c r="CM521" s="30"/>
      <c r="CN521" s="30"/>
      <c r="CO521" s="30"/>
      <c r="CP521" s="30"/>
      <c r="CQ521" s="30"/>
      <c r="CR521" s="30"/>
      <c r="CS521" s="30"/>
      <c r="CT521" s="30"/>
      <c r="CU521" s="30"/>
      <c r="CV521" s="30"/>
      <c r="CW521" s="30"/>
      <c r="CX521" s="30"/>
      <c r="CY521" s="30"/>
      <c r="CZ521" s="30"/>
      <c r="DA521" s="30"/>
      <c r="DB521" s="30"/>
      <c r="DC521" s="30"/>
      <c r="DD521" s="30"/>
      <c r="DE521" s="30"/>
      <c r="DF521" s="30"/>
      <c r="DG521" s="30"/>
      <c r="DH521" s="30"/>
      <c r="DI521" s="30"/>
      <c r="DJ521" s="30"/>
      <c r="DK521" s="30"/>
      <c r="DL521" s="30"/>
      <c r="DM521" s="30"/>
      <c r="DN521" s="30"/>
      <c r="DO521" s="30"/>
      <c r="DP521" s="30"/>
      <c r="DQ521" s="30"/>
      <c r="DR521" s="30"/>
      <c r="DS521" s="30"/>
      <c r="DT521" s="30"/>
      <c r="DU521" s="30"/>
      <c r="DV521" s="30"/>
      <c r="DW521" s="30"/>
    </row>
    <row r="522" spans="1:127" ht="13">
      <c r="A522" s="39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  <c r="BS522" s="30"/>
      <c r="BT522" s="30"/>
      <c r="BU522" s="30"/>
      <c r="BV522" s="30"/>
      <c r="BW522" s="30"/>
      <c r="BX522" s="30"/>
      <c r="BY522" s="30"/>
      <c r="BZ522" s="30"/>
      <c r="CA522" s="30"/>
      <c r="CB522" s="30"/>
      <c r="CC522" s="30"/>
      <c r="CD522" s="30"/>
      <c r="CE522" s="30"/>
      <c r="CF522" s="30"/>
      <c r="CG522" s="30"/>
      <c r="CH522" s="30"/>
      <c r="CI522" s="30"/>
      <c r="CJ522" s="30"/>
      <c r="CK522" s="30"/>
      <c r="CL522" s="30"/>
      <c r="CM522" s="30"/>
      <c r="CN522" s="30"/>
      <c r="CO522" s="30"/>
      <c r="CP522" s="30"/>
      <c r="CQ522" s="30"/>
      <c r="CR522" s="30"/>
      <c r="CS522" s="30"/>
      <c r="CT522" s="30"/>
      <c r="CU522" s="30"/>
      <c r="CV522" s="30"/>
      <c r="CW522" s="30"/>
      <c r="CX522" s="30"/>
      <c r="CY522" s="30"/>
      <c r="CZ522" s="30"/>
      <c r="DA522" s="30"/>
      <c r="DB522" s="30"/>
      <c r="DC522" s="30"/>
      <c r="DD522" s="30"/>
      <c r="DE522" s="30"/>
      <c r="DF522" s="30"/>
      <c r="DG522" s="30"/>
      <c r="DH522" s="30"/>
      <c r="DI522" s="30"/>
      <c r="DJ522" s="30"/>
      <c r="DK522" s="30"/>
      <c r="DL522" s="30"/>
      <c r="DM522" s="30"/>
      <c r="DN522" s="30"/>
      <c r="DO522" s="30"/>
      <c r="DP522" s="30"/>
      <c r="DQ522" s="30"/>
      <c r="DR522" s="30"/>
      <c r="DS522" s="30"/>
      <c r="DT522" s="30"/>
      <c r="DU522" s="30"/>
      <c r="DV522" s="30"/>
      <c r="DW522" s="30"/>
    </row>
    <row r="523" spans="1:127" ht="13">
      <c r="A523" s="39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  <c r="BS523" s="30"/>
      <c r="BT523" s="30"/>
      <c r="BU523" s="30"/>
      <c r="BV523" s="30"/>
      <c r="BW523" s="30"/>
      <c r="BX523" s="30"/>
      <c r="BY523" s="30"/>
      <c r="BZ523" s="30"/>
      <c r="CA523" s="30"/>
      <c r="CB523" s="30"/>
      <c r="CC523" s="30"/>
      <c r="CD523" s="30"/>
      <c r="CE523" s="30"/>
      <c r="CF523" s="30"/>
      <c r="CG523" s="30"/>
      <c r="CH523" s="30"/>
      <c r="CI523" s="30"/>
      <c r="CJ523" s="30"/>
      <c r="CK523" s="30"/>
      <c r="CL523" s="30"/>
      <c r="CM523" s="30"/>
      <c r="CN523" s="30"/>
      <c r="CO523" s="30"/>
      <c r="CP523" s="30"/>
      <c r="CQ523" s="30"/>
      <c r="CR523" s="30"/>
      <c r="CS523" s="30"/>
      <c r="CT523" s="30"/>
      <c r="CU523" s="30"/>
      <c r="CV523" s="30"/>
      <c r="CW523" s="30"/>
      <c r="CX523" s="30"/>
      <c r="CY523" s="30"/>
      <c r="CZ523" s="30"/>
      <c r="DA523" s="30"/>
      <c r="DB523" s="30"/>
      <c r="DC523" s="30"/>
      <c r="DD523" s="30"/>
      <c r="DE523" s="30"/>
      <c r="DF523" s="30"/>
      <c r="DG523" s="30"/>
      <c r="DH523" s="30"/>
      <c r="DI523" s="30"/>
      <c r="DJ523" s="30"/>
      <c r="DK523" s="30"/>
      <c r="DL523" s="30"/>
      <c r="DM523" s="30"/>
      <c r="DN523" s="30"/>
      <c r="DO523" s="30"/>
      <c r="DP523" s="30"/>
      <c r="DQ523" s="30"/>
      <c r="DR523" s="30"/>
      <c r="DS523" s="30"/>
      <c r="DT523" s="30"/>
      <c r="DU523" s="30"/>
      <c r="DV523" s="30"/>
      <c r="DW523" s="30"/>
    </row>
    <row r="524" spans="1:127" ht="13">
      <c r="A524" s="39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  <c r="BS524" s="30"/>
      <c r="BT524" s="30"/>
      <c r="BU524" s="30"/>
      <c r="BV524" s="30"/>
      <c r="BW524" s="30"/>
      <c r="BX524" s="30"/>
      <c r="BY524" s="30"/>
      <c r="BZ524" s="30"/>
      <c r="CA524" s="30"/>
      <c r="CB524" s="30"/>
      <c r="CC524" s="30"/>
      <c r="CD524" s="30"/>
      <c r="CE524" s="30"/>
      <c r="CF524" s="30"/>
      <c r="CG524" s="30"/>
      <c r="CH524" s="30"/>
      <c r="CI524" s="30"/>
      <c r="CJ524" s="30"/>
      <c r="CK524" s="30"/>
      <c r="CL524" s="30"/>
      <c r="CM524" s="30"/>
      <c r="CN524" s="30"/>
      <c r="CO524" s="30"/>
      <c r="CP524" s="30"/>
      <c r="CQ524" s="30"/>
      <c r="CR524" s="30"/>
      <c r="CS524" s="30"/>
      <c r="CT524" s="30"/>
      <c r="CU524" s="30"/>
      <c r="CV524" s="30"/>
      <c r="CW524" s="30"/>
      <c r="CX524" s="30"/>
      <c r="CY524" s="30"/>
      <c r="CZ524" s="30"/>
      <c r="DA524" s="30"/>
      <c r="DB524" s="30"/>
      <c r="DC524" s="30"/>
      <c r="DD524" s="30"/>
      <c r="DE524" s="30"/>
      <c r="DF524" s="30"/>
      <c r="DG524" s="30"/>
      <c r="DH524" s="30"/>
      <c r="DI524" s="30"/>
      <c r="DJ524" s="30"/>
      <c r="DK524" s="30"/>
      <c r="DL524" s="30"/>
      <c r="DM524" s="30"/>
      <c r="DN524" s="30"/>
      <c r="DO524" s="30"/>
      <c r="DP524" s="30"/>
      <c r="DQ524" s="30"/>
      <c r="DR524" s="30"/>
      <c r="DS524" s="30"/>
      <c r="DT524" s="30"/>
      <c r="DU524" s="30"/>
      <c r="DV524" s="30"/>
      <c r="DW524" s="30"/>
    </row>
    <row r="525" spans="1:127" ht="13">
      <c r="A525" s="39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  <c r="BS525" s="30"/>
      <c r="BT525" s="30"/>
      <c r="BU525" s="30"/>
      <c r="BV525" s="30"/>
      <c r="BW525" s="30"/>
      <c r="BX525" s="30"/>
      <c r="BY525" s="30"/>
      <c r="BZ525" s="30"/>
      <c r="CA525" s="30"/>
      <c r="CB525" s="30"/>
      <c r="CC525" s="30"/>
      <c r="CD525" s="30"/>
      <c r="CE525" s="30"/>
      <c r="CF525" s="30"/>
      <c r="CG525" s="30"/>
      <c r="CH525" s="30"/>
      <c r="CI525" s="30"/>
      <c r="CJ525" s="30"/>
      <c r="CK525" s="30"/>
      <c r="CL525" s="30"/>
      <c r="CM525" s="30"/>
      <c r="CN525" s="30"/>
      <c r="CO525" s="30"/>
      <c r="CP525" s="30"/>
      <c r="CQ525" s="30"/>
      <c r="CR525" s="30"/>
      <c r="CS525" s="30"/>
      <c r="CT525" s="30"/>
      <c r="CU525" s="30"/>
      <c r="CV525" s="30"/>
      <c r="CW525" s="30"/>
      <c r="CX525" s="30"/>
      <c r="CY525" s="30"/>
      <c r="CZ525" s="30"/>
      <c r="DA525" s="30"/>
      <c r="DB525" s="30"/>
      <c r="DC525" s="30"/>
      <c r="DD525" s="30"/>
      <c r="DE525" s="30"/>
      <c r="DF525" s="30"/>
      <c r="DG525" s="30"/>
      <c r="DH525" s="30"/>
      <c r="DI525" s="30"/>
      <c r="DJ525" s="30"/>
      <c r="DK525" s="30"/>
      <c r="DL525" s="30"/>
      <c r="DM525" s="30"/>
      <c r="DN525" s="30"/>
      <c r="DO525" s="30"/>
      <c r="DP525" s="30"/>
      <c r="DQ525" s="30"/>
      <c r="DR525" s="30"/>
      <c r="DS525" s="30"/>
      <c r="DT525" s="30"/>
      <c r="DU525" s="30"/>
      <c r="DV525" s="30"/>
      <c r="DW525" s="30"/>
    </row>
    <row r="526" spans="1:127" ht="13">
      <c r="A526" s="39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  <c r="BS526" s="30"/>
      <c r="BT526" s="30"/>
      <c r="BU526" s="30"/>
      <c r="BV526" s="30"/>
      <c r="BW526" s="30"/>
      <c r="BX526" s="30"/>
      <c r="BY526" s="30"/>
      <c r="BZ526" s="30"/>
      <c r="CA526" s="30"/>
      <c r="CB526" s="30"/>
      <c r="CC526" s="30"/>
      <c r="CD526" s="30"/>
      <c r="CE526" s="30"/>
      <c r="CF526" s="30"/>
      <c r="CG526" s="30"/>
      <c r="CH526" s="30"/>
      <c r="CI526" s="30"/>
      <c r="CJ526" s="30"/>
      <c r="CK526" s="30"/>
      <c r="CL526" s="30"/>
      <c r="CM526" s="30"/>
      <c r="CN526" s="30"/>
      <c r="CO526" s="30"/>
      <c r="CP526" s="30"/>
      <c r="CQ526" s="30"/>
      <c r="CR526" s="30"/>
      <c r="CS526" s="30"/>
      <c r="CT526" s="30"/>
      <c r="CU526" s="30"/>
      <c r="CV526" s="30"/>
      <c r="CW526" s="30"/>
      <c r="CX526" s="30"/>
      <c r="CY526" s="30"/>
      <c r="CZ526" s="30"/>
      <c r="DA526" s="30"/>
      <c r="DB526" s="30"/>
      <c r="DC526" s="30"/>
      <c r="DD526" s="30"/>
      <c r="DE526" s="30"/>
      <c r="DF526" s="30"/>
      <c r="DG526" s="30"/>
      <c r="DH526" s="30"/>
      <c r="DI526" s="30"/>
      <c r="DJ526" s="30"/>
      <c r="DK526" s="30"/>
      <c r="DL526" s="30"/>
      <c r="DM526" s="30"/>
      <c r="DN526" s="30"/>
      <c r="DO526" s="30"/>
      <c r="DP526" s="30"/>
      <c r="DQ526" s="30"/>
      <c r="DR526" s="30"/>
      <c r="DS526" s="30"/>
      <c r="DT526" s="30"/>
      <c r="DU526" s="30"/>
      <c r="DV526" s="30"/>
      <c r="DW526" s="30"/>
    </row>
    <row r="527" spans="1:127" ht="13">
      <c r="A527" s="39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  <c r="BS527" s="30"/>
      <c r="BT527" s="30"/>
      <c r="BU527" s="30"/>
      <c r="BV527" s="30"/>
      <c r="BW527" s="30"/>
      <c r="BX527" s="30"/>
      <c r="BY527" s="30"/>
      <c r="BZ527" s="30"/>
      <c r="CA527" s="30"/>
      <c r="CB527" s="30"/>
      <c r="CC527" s="30"/>
      <c r="CD527" s="30"/>
      <c r="CE527" s="30"/>
      <c r="CF527" s="30"/>
      <c r="CG527" s="30"/>
      <c r="CH527" s="30"/>
      <c r="CI527" s="30"/>
      <c r="CJ527" s="30"/>
      <c r="CK527" s="30"/>
      <c r="CL527" s="30"/>
      <c r="CM527" s="30"/>
      <c r="CN527" s="30"/>
      <c r="CO527" s="30"/>
      <c r="CP527" s="30"/>
      <c r="CQ527" s="30"/>
      <c r="CR527" s="30"/>
      <c r="CS527" s="30"/>
      <c r="CT527" s="30"/>
      <c r="CU527" s="30"/>
      <c r="CV527" s="30"/>
      <c r="CW527" s="30"/>
      <c r="CX527" s="30"/>
      <c r="CY527" s="30"/>
      <c r="CZ527" s="30"/>
      <c r="DA527" s="30"/>
      <c r="DB527" s="30"/>
      <c r="DC527" s="30"/>
      <c r="DD527" s="30"/>
      <c r="DE527" s="30"/>
      <c r="DF527" s="30"/>
      <c r="DG527" s="30"/>
      <c r="DH527" s="30"/>
      <c r="DI527" s="30"/>
      <c r="DJ527" s="30"/>
      <c r="DK527" s="30"/>
      <c r="DL527" s="30"/>
      <c r="DM527" s="30"/>
      <c r="DN527" s="30"/>
      <c r="DO527" s="30"/>
      <c r="DP527" s="30"/>
      <c r="DQ527" s="30"/>
      <c r="DR527" s="30"/>
      <c r="DS527" s="30"/>
      <c r="DT527" s="30"/>
      <c r="DU527" s="30"/>
      <c r="DV527" s="30"/>
      <c r="DW527" s="30"/>
    </row>
    <row r="528" spans="1:127" ht="13">
      <c r="A528" s="39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  <c r="BS528" s="30"/>
      <c r="BT528" s="30"/>
      <c r="BU528" s="30"/>
      <c r="BV528" s="30"/>
      <c r="BW528" s="30"/>
      <c r="BX528" s="30"/>
      <c r="BY528" s="30"/>
      <c r="BZ528" s="30"/>
      <c r="CA528" s="30"/>
      <c r="CB528" s="30"/>
      <c r="CC528" s="30"/>
      <c r="CD528" s="30"/>
      <c r="CE528" s="30"/>
      <c r="CF528" s="30"/>
      <c r="CG528" s="30"/>
      <c r="CH528" s="30"/>
      <c r="CI528" s="30"/>
      <c r="CJ528" s="30"/>
      <c r="CK528" s="30"/>
      <c r="CL528" s="30"/>
      <c r="CM528" s="30"/>
      <c r="CN528" s="30"/>
      <c r="CO528" s="30"/>
      <c r="CP528" s="30"/>
      <c r="CQ528" s="30"/>
      <c r="CR528" s="30"/>
      <c r="CS528" s="30"/>
      <c r="CT528" s="30"/>
      <c r="CU528" s="30"/>
      <c r="CV528" s="30"/>
      <c r="CW528" s="30"/>
      <c r="CX528" s="30"/>
      <c r="CY528" s="30"/>
      <c r="CZ528" s="30"/>
      <c r="DA528" s="30"/>
      <c r="DB528" s="30"/>
      <c r="DC528" s="30"/>
      <c r="DD528" s="30"/>
      <c r="DE528" s="30"/>
      <c r="DF528" s="30"/>
      <c r="DG528" s="30"/>
      <c r="DH528" s="30"/>
      <c r="DI528" s="30"/>
      <c r="DJ528" s="30"/>
      <c r="DK528" s="30"/>
      <c r="DL528" s="30"/>
      <c r="DM528" s="30"/>
      <c r="DN528" s="30"/>
      <c r="DO528" s="30"/>
      <c r="DP528" s="30"/>
      <c r="DQ528" s="30"/>
      <c r="DR528" s="30"/>
      <c r="DS528" s="30"/>
      <c r="DT528" s="30"/>
      <c r="DU528" s="30"/>
      <c r="DV528" s="30"/>
      <c r="DW528" s="30"/>
    </row>
    <row r="529" spans="1:127" ht="13">
      <c r="A529" s="39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  <c r="BS529" s="30"/>
      <c r="BT529" s="30"/>
      <c r="BU529" s="30"/>
      <c r="BV529" s="30"/>
      <c r="BW529" s="30"/>
      <c r="BX529" s="30"/>
      <c r="BY529" s="30"/>
      <c r="BZ529" s="30"/>
      <c r="CA529" s="30"/>
      <c r="CB529" s="30"/>
      <c r="CC529" s="30"/>
      <c r="CD529" s="30"/>
      <c r="CE529" s="30"/>
      <c r="CF529" s="30"/>
      <c r="CG529" s="30"/>
      <c r="CH529" s="30"/>
      <c r="CI529" s="30"/>
      <c r="CJ529" s="30"/>
      <c r="CK529" s="30"/>
      <c r="CL529" s="30"/>
      <c r="CM529" s="30"/>
      <c r="CN529" s="30"/>
      <c r="CO529" s="30"/>
      <c r="CP529" s="30"/>
      <c r="CQ529" s="30"/>
      <c r="CR529" s="30"/>
      <c r="CS529" s="30"/>
      <c r="CT529" s="30"/>
      <c r="CU529" s="30"/>
      <c r="CV529" s="30"/>
      <c r="CW529" s="30"/>
      <c r="CX529" s="30"/>
      <c r="CY529" s="30"/>
      <c r="CZ529" s="30"/>
      <c r="DA529" s="30"/>
      <c r="DB529" s="30"/>
      <c r="DC529" s="30"/>
      <c r="DD529" s="30"/>
      <c r="DE529" s="30"/>
      <c r="DF529" s="30"/>
      <c r="DG529" s="30"/>
      <c r="DH529" s="30"/>
      <c r="DI529" s="30"/>
      <c r="DJ529" s="30"/>
      <c r="DK529" s="30"/>
      <c r="DL529" s="30"/>
      <c r="DM529" s="30"/>
      <c r="DN529" s="30"/>
      <c r="DO529" s="30"/>
      <c r="DP529" s="30"/>
      <c r="DQ529" s="30"/>
      <c r="DR529" s="30"/>
      <c r="DS529" s="30"/>
      <c r="DT529" s="30"/>
      <c r="DU529" s="30"/>
      <c r="DV529" s="30"/>
      <c r="DW529" s="30"/>
    </row>
    <row r="530" spans="1:127" ht="13">
      <c r="A530" s="39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  <c r="BS530" s="30"/>
      <c r="BT530" s="30"/>
      <c r="BU530" s="30"/>
      <c r="BV530" s="30"/>
      <c r="BW530" s="30"/>
      <c r="BX530" s="30"/>
      <c r="BY530" s="30"/>
      <c r="BZ530" s="30"/>
      <c r="CA530" s="30"/>
      <c r="CB530" s="30"/>
      <c r="CC530" s="30"/>
      <c r="CD530" s="30"/>
      <c r="CE530" s="30"/>
      <c r="CF530" s="30"/>
      <c r="CG530" s="30"/>
      <c r="CH530" s="30"/>
      <c r="CI530" s="30"/>
      <c r="CJ530" s="30"/>
      <c r="CK530" s="30"/>
      <c r="CL530" s="30"/>
      <c r="CM530" s="30"/>
      <c r="CN530" s="30"/>
      <c r="CO530" s="30"/>
      <c r="CP530" s="30"/>
      <c r="CQ530" s="30"/>
      <c r="CR530" s="30"/>
      <c r="CS530" s="30"/>
      <c r="CT530" s="30"/>
      <c r="CU530" s="30"/>
      <c r="CV530" s="30"/>
      <c r="CW530" s="30"/>
      <c r="CX530" s="30"/>
      <c r="CY530" s="30"/>
      <c r="CZ530" s="30"/>
      <c r="DA530" s="30"/>
      <c r="DB530" s="30"/>
      <c r="DC530" s="30"/>
      <c r="DD530" s="30"/>
      <c r="DE530" s="30"/>
      <c r="DF530" s="30"/>
      <c r="DG530" s="30"/>
      <c r="DH530" s="30"/>
      <c r="DI530" s="30"/>
      <c r="DJ530" s="30"/>
      <c r="DK530" s="30"/>
      <c r="DL530" s="30"/>
      <c r="DM530" s="30"/>
      <c r="DN530" s="30"/>
      <c r="DO530" s="30"/>
      <c r="DP530" s="30"/>
      <c r="DQ530" s="30"/>
      <c r="DR530" s="30"/>
      <c r="DS530" s="30"/>
      <c r="DT530" s="30"/>
      <c r="DU530" s="30"/>
      <c r="DV530" s="30"/>
      <c r="DW530" s="30"/>
    </row>
    <row r="531" spans="1:127" ht="13">
      <c r="A531" s="39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  <c r="BS531" s="30"/>
      <c r="BT531" s="30"/>
      <c r="BU531" s="30"/>
      <c r="BV531" s="30"/>
      <c r="BW531" s="30"/>
      <c r="BX531" s="30"/>
      <c r="BY531" s="30"/>
      <c r="BZ531" s="30"/>
      <c r="CA531" s="30"/>
      <c r="CB531" s="30"/>
      <c r="CC531" s="30"/>
      <c r="CD531" s="30"/>
      <c r="CE531" s="30"/>
      <c r="CF531" s="30"/>
      <c r="CG531" s="30"/>
      <c r="CH531" s="30"/>
      <c r="CI531" s="30"/>
      <c r="CJ531" s="30"/>
      <c r="CK531" s="30"/>
      <c r="CL531" s="30"/>
      <c r="CM531" s="30"/>
      <c r="CN531" s="30"/>
      <c r="CO531" s="30"/>
      <c r="CP531" s="30"/>
      <c r="CQ531" s="30"/>
      <c r="CR531" s="30"/>
      <c r="CS531" s="30"/>
      <c r="CT531" s="30"/>
      <c r="CU531" s="30"/>
      <c r="CV531" s="30"/>
      <c r="CW531" s="30"/>
      <c r="CX531" s="30"/>
      <c r="CY531" s="30"/>
      <c r="CZ531" s="30"/>
      <c r="DA531" s="30"/>
      <c r="DB531" s="30"/>
      <c r="DC531" s="30"/>
      <c r="DD531" s="30"/>
      <c r="DE531" s="30"/>
      <c r="DF531" s="30"/>
      <c r="DG531" s="30"/>
      <c r="DH531" s="30"/>
      <c r="DI531" s="30"/>
      <c r="DJ531" s="30"/>
      <c r="DK531" s="30"/>
      <c r="DL531" s="30"/>
      <c r="DM531" s="30"/>
      <c r="DN531" s="30"/>
      <c r="DO531" s="30"/>
      <c r="DP531" s="30"/>
      <c r="DQ531" s="30"/>
      <c r="DR531" s="30"/>
      <c r="DS531" s="30"/>
      <c r="DT531" s="30"/>
      <c r="DU531" s="30"/>
      <c r="DV531" s="30"/>
      <c r="DW531" s="30"/>
    </row>
    <row r="532" spans="1:127" ht="13">
      <c r="A532" s="39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  <c r="BS532" s="30"/>
      <c r="BT532" s="30"/>
      <c r="BU532" s="30"/>
      <c r="BV532" s="30"/>
      <c r="BW532" s="30"/>
      <c r="BX532" s="30"/>
      <c r="BY532" s="30"/>
      <c r="BZ532" s="30"/>
      <c r="CA532" s="30"/>
      <c r="CB532" s="30"/>
      <c r="CC532" s="30"/>
      <c r="CD532" s="30"/>
      <c r="CE532" s="30"/>
      <c r="CF532" s="30"/>
      <c r="CG532" s="30"/>
      <c r="CH532" s="30"/>
      <c r="CI532" s="30"/>
      <c r="CJ532" s="30"/>
      <c r="CK532" s="30"/>
      <c r="CL532" s="30"/>
      <c r="CM532" s="30"/>
      <c r="CN532" s="30"/>
      <c r="CO532" s="30"/>
      <c r="CP532" s="30"/>
      <c r="CQ532" s="30"/>
      <c r="CR532" s="30"/>
      <c r="CS532" s="30"/>
      <c r="CT532" s="30"/>
      <c r="CU532" s="30"/>
      <c r="CV532" s="30"/>
      <c r="CW532" s="30"/>
      <c r="CX532" s="30"/>
      <c r="CY532" s="30"/>
      <c r="CZ532" s="30"/>
      <c r="DA532" s="30"/>
      <c r="DB532" s="30"/>
      <c r="DC532" s="30"/>
      <c r="DD532" s="30"/>
      <c r="DE532" s="30"/>
      <c r="DF532" s="30"/>
      <c r="DG532" s="30"/>
      <c r="DH532" s="30"/>
      <c r="DI532" s="30"/>
      <c r="DJ532" s="30"/>
      <c r="DK532" s="30"/>
      <c r="DL532" s="30"/>
      <c r="DM532" s="30"/>
      <c r="DN532" s="30"/>
      <c r="DO532" s="30"/>
      <c r="DP532" s="30"/>
      <c r="DQ532" s="30"/>
      <c r="DR532" s="30"/>
      <c r="DS532" s="30"/>
      <c r="DT532" s="30"/>
      <c r="DU532" s="30"/>
      <c r="DV532" s="30"/>
      <c r="DW532" s="30"/>
    </row>
    <row r="533" spans="1:127" ht="13">
      <c r="A533" s="39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  <c r="BS533" s="30"/>
      <c r="BT533" s="30"/>
      <c r="BU533" s="30"/>
      <c r="BV533" s="30"/>
      <c r="BW533" s="30"/>
      <c r="BX533" s="30"/>
      <c r="BY533" s="30"/>
      <c r="BZ533" s="30"/>
      <c r="CA533" s="30"/>
      <c r="CB533" s="30"/>
      <c r="CC533" s="30"/>
      <c r="CD533" s="30"/>
      <c r="CE533" s="30"/>
      <c r="CF533" s="30"/>
      <c r="CG533" s="30"/>
      <c r="CH533" s="30"/>
      <c r="CI533" s="30"/>
      <c r="CJ533" s="30"/>
      <c r="CK533" s="30"/>
      <c r="CL533" s="30"/>
      <c r="CM533" s="30"/>
      <c r="CN533" s="30"/>
      <c r="CO533" s="30"/>
      <c r="CP533" s="30"/>
      <c r="CQ533" s="30"/>
      <c r="CR533" s="30"/>
      <c r="CS533" s="30"/>
      <c r="CT533" s="30"/>
      <c r="CU533" s="30"/>
      <c r="CV533" s="30"/>
      <c r="CW533" s="30"/>
      <c r="CX533" s="30"/>
      <c r="CY533" s="30"/>
      <c r="CZ533" s="30"/>
      <c r="DA533" s="30"/>
      <c r="DB533" s="30"/>
      <c r="DC533" s="30"/>
      <c r="DD533" s="30"/>
      <c r="DE533" s="30"/>
      <c r="DF533" s="30"/>
      <c r="DG533" s="30"/>
      <c r="DH533" s="30"/>
      <c r="DI533" s="30"/>
      <c r="DJ533" s="30"/>
      <c r="DK533" s="30"/>
      <c r="DL533" s="30"/>
      <c r="DM533" s="30"/>
      <c r="DN533" s="30"/>
      <c r="DO533" s="30"/>
      <c r="DP533" s="30"/>
      <c r="DQ533" s="30"/>
      <c r="DR533" s="30"/>
      <c r="DS533" s="30"/>
      <c r="DT533" s="30"/>
      <c r="DU533" s="30"/>
      <c r="DV533" s="30"/>
      <c r="DW533" s="30"/>
    </row>
    <row r="534" spans="1:127" ht="13">
      <c r="A534" s="39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  <c r="BU534" s="30"/>
      <c r="BV534" s="30"/>
      <c r="BW534" s="30"/>
      <c r="BX534" s="30"/>
      <c r="BY534" s="30"/>
      <c r="BZ534" s="30"/>
      <c r="CA534" s="30"/>
      <c r="CB534" s="30"/>
      <c r="CC534" s="30"/>
      <c r="CD534" s="30"/>
      <c r="CE534" s="30"/>
      <c r="CF534" s="30"/>
      <c r="CG534" s="30"/>
      <c r="CH534" s="30"/>
      <c r="CI534" s="30"/>
      <c r="CJ534" s="30"/>
      <c r="CK534" s="30"/>
      <c r="CL534" s="30"/>
      <c r="CM534" s="30"/>
      <c r="CN534" s="30"/>
      <c r="CO534" s="30"/>
      <c r="CP534" s="30"/>
      <c r="CQ534" s="30"/>
      <c r="CR534" s="30"/>
      <c r="CS534" s="30"/>
      <c r="CT534" s="30"/>
      <c r="CU534" s="30"/>
      <c r="CV534" s="30"/>
      <c r="CW534" s="30"/>
      <c r="CX534" s="30"/>
      <c r="CY534" s="30"/>
      <c r="CZ534" s="30"/>
      <c r="DA534" s="30"/>
      <c r="DB534" s="30"/>
      <c r="DC534" s="30"/>
      <c r="DD534" s="30"/>
      <c r="DE534" s="30"/>
      <c r="DF534" s="30"/>
      <c r="DG534" s="30"/>
      <c r="DH534" s="30"/>
      <c r="DI534" s="30"/>
      <c r="DJ534" s="30"/>
      <c r="DK534" s="30"/>
      <c r="DL534" s="30"/>
      <c r="DM534" s="30"/>
      <c r="DN534" s="30"/>
      <c r="DO534" s="30"/>
      <c r="DP534" s="30"/>
      <c r="DQ534" s="30"/>
      <c r="DR534" s="30"/>
      <c r="DS534" s="30"/>
      <c r="DT534" s="30"/>
      <c r="DU534" s="30"/>
      <c r="DV534" s="30"/>
      <c r="DW534" s="30"/>
    </row>
    <row r="535" spans="1:127" ht="13">
      <c r="A535" s="39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  <c r="BS535" s="30"/>
      <c r="BT535" s="30"/>
      <c r="BU535" s="30"/>
      <c r="BV535" s="30"/>
      <c r="BW535" s="30"/>
      <c r="BX535" s="30"/>
      <c r="BY535" s="30"/>
      <c r="BZ535" s="30"/>
      <c r="CA535" s="30"/>
      <c r="CB535" s="30"/>
      <c r="CC535" s="30"/>
      <c r="CD535" s="30"/>
      <c r="CE535" s="30"/>
      <c r="CF535" s="30"/>
      <c r="CG535" s="30"/>
      <c r="CH535" s="30"/>
      <c r="CI535" s="30"/>
      <c r="CJ535" s="30"/>
      <c r="CK535" s="30"/>
      <c r="CL535" s="30"/>
      <c r="CM535" s="30"/>
      <c r="CN535" s="30"/>
      <c r="CO535" s="30"/>
      <c r="CP535" s="30"/>
      <c r="CQ535" s="30"/>
      <c r="CR535" s="30"/>
      <c r="CS535" s="30"/>
      <c r="CT535" s="30"/>
      <c r="CU535" s="30"/>
      <c r="CV535" s="30"/>
      <c r="CW535" s="30"/>
      <c r="CX535" s="30"/>
      <c r="CY535" s="30"/>
      <c r="CZ535" s="30"/>
      <c r="DA535" s="30"/>
      <c r="DB535" s="30"/>
      <c r="DC535" s="30"/>
      <c r="DD535" s="30"/>
      <c r="DE535" s="30"/>
      <c r="DF535" s="30"/>
      <c r="DG535" s="30"/>
      <c r="DH535" s="30"/>
      <c r="DI535" s="30"/>
      <c r="DJ535" s="30"/>
      <c r="DK535" s="30"/>
      <c r="DL535" s="30"/>
      <c r="DM535" s="30"/>
      <c r="DN535" s="30"/>
      <c r="DO535" s="30"/>
      <c r="DP535" s="30"/>
      <c r="DQ535" s="30"/>
      <c r="DR535" s="30"/>
      <c r="DS535" s="30"/>
      <c r="DT535" s="30"/>
      <c r="DU535" s="30"/>
      <c r="DV535" s="30"/>
      <c r="DW535" s="30"/>
    </row>
    <row r="536" spans="1:127" ht="13">
      <c r="A536" s="39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  <c r="BS536" s="30"/>
      <c r="BT536" s="30"/>
      <c r="BU536" s="30"/>
      <c r="BV536" s="30"/>
      <c r="BW536" s="30"/>
      <c r="BX536" s="30"/>
      <c r="BY536" s="30"/>
      <c r="BZ536" s="30"/>
      <c r="CA536" s="30"/>
      <c r="CB536" s="30"/>
      <c r="CC536" s="30"/>
      <c r="CD536" s="30"/>
      <c r="CE536" s="30"/>
      <c r="CF536" s="30"/>
      <c r="CG536" s="30"/>
      <c r="CH536" s="30"/>
      <c r="CI536" s="30"/>
      <c r="CJ536" s="30"/>
      <c r="CK536" s="30"/>
      <c r="CL536" s="30"/>
      <c r="CM536" s="30"/>
      <c r="CN536" s="30"/>
      <c r="CO536" s="30"/>
      <c r="CP536" s="30"/>
      <c r="CQ536" s="30"/>
      <c r="CR536" s="30"/>
      <c r="CS536" s="30"/>
      <c r="CT536" s="30"/>
      <c r="CU536" s="30"/>
      <c r="CV536" s="30"/>
      <c r="CW536" s="30"/>
      <c r="CX536" s="30"/>
      <c r="CY536" s="30"/>
      <c r="CZ536" s="30"/>
      <c r="DA536" s="30"/>
      <c r="DB536" s="30"/>
      <c r="DC536" s="30"/>
      <c r="DD536" s="30"/>
      <c r="DE536" s="30"/>
      <c r="DF536" s="30"/>
      <c r="DG536" s="30"/>
      <c r="DH536" s="30"/>
      <c r="DI536" s="30"/>
      <c r="DJ536" s="30"/>
      <c r="DK536" s="30"/>
      <c r="DL536" s="30"/>
      <c r="DM536" s="30"/>
      <c r="DN536" s="30"/>
      <c r="DO536" s="30"/>
      <c r="DP536" s="30"/>
      <c r="DQ536" s="30"/>
      <c r="DR536" s="30"/>
      <c r="DS536" s="30"/>
      <c r="DT536" s="30"/>
      <c r="DU536" s="30"/>
      <c r="DV536" s="30"/>
      <c r="DW536" s="30"/>
    </row>
    <row r="537" spans="1:127" ht="13">
      <c r="A537" s="39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  <c r="BS537" s="30"/>
      <c r="BT537" s="30"/>
      <c r="BU537" s="30"/>
      <c r="BV537" s="30"/>
      <c r="BW537" s="30"/>
      <c r="BX537" s="30"/>
      <c r="BY537" s="30"/>
      <c r="BZ537" s="30"/>
      <c r="CA537" s="30"/>
      <c r="CB537" s="30"/>
      <c r="CC537" s="30"/>
      <c r="CD537" s="30"/>
      <c r="CE537" s="30"/>
      <c r="CF537" s="30"/>
      <c r="CG537" s="30"/>
      <c r="CH537" s="30"/>
      <c r="CI537" s="30"/>
      <c r="CJ537" s="30"/>
      <c r="CK537" s="30"/>
      <c r="CL537" s="30"/>
      <c r="CM537" s="30"/>
      <c r="CN537" s="30"/>
      <c r="CO537" s="30"/>
      <c r="CP537" s="30"/>
      <c r="CQ537" s="30"/>
      <c r="CR537" s="30"/>
      <c r="CS537" s="30"/>
      <c r="CT537" s="30"/>
      <c r="CU537" s="30"/>
      <c r="CV537" s="30"/>
      <c r="CW537" s="30"/>
      <c r="CX537" s="30"/>
      <c r="CY537" s="30"/>
      <c r="CZ537" s="30"/>
      <c r="DA537" s="30"/>
      <c r="DB537" s="30"/>
      <c r="DC537" s="30"/>
      <c r="DD537" s="30"/>
      <c r="DE537" s="30"/>
      <c r="DF537" s="30"/>
      <c r="DG537" s="30"/>
      <c r="DH537" s="30"/>
      <c r="DI537" s="30"/>
      <c r="DJ537" s="30"/>
      <c r="DK537" s="30"/>
      <c r="DL537" s="30"/>
      <c r="DM537" s="30"/>
      <c r="DN537" s="30"/>
      <c r="DO537" s="30"/>
      <c r="DP537" s="30"/>
      <c r="DQ537" s="30"/>
      <c r="DR537" s="30"/>
      <c r="DS537" s="30"/>
      <c r="DT537" s="30"/>
      <c r="DU537" s="30"/>
      <c r="DV537" s="30"/>
      <c r="DW537" s="30"/>
    </row>
    <row r="538" spans="1:127" ht="13">
      <c r="A538" s="39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  <c r="BS538" s="30"/>
      <c r="BT538" s="30"/>
      <c r="BU538" s="30"/>
      <c r="BV538" s="30"/>
      <c r="BW538" s="30"/>
      <c r="BX538" s="30"/>
      <c r="BY538" s="30"/>
      <c r="BZ538" s="30"/>
      <c r="CA538" s="30"/>
      <c r="CB538" s="30"/>
      <c r="CC538" s="30"/>
      <c r="CD538" s="30"/>
      <c r="CE538" s="30"/>
      <c r="CF538" s="30"/>
      <c r="CG538" s="30"/>
      <c r="CH538" s="30"/>
      <c r="CI538" s="30"/>
      <c r="CJ538" s="30"/>
      <c r="CK538" s="30"/>
      <c r="CL538" s="30"/>
      <c r="CM538" s="30"/>
      <c r="CN538" s="30"/>
      <c r="CO538" s="30"/>
      <c r="CP538" s="30"/>
      <c r="CQ538" s="30"/>
      <c r="CR538" s="30"/>
      <c r="CS538" s="30"/>
      <c r="CT538" s="30"/>
      <c r="CU538" s="30"/>
      <c r="CV538" s="30"/>
      <c r="CW538" s="30"/>
      <c r="CX538" s="30"/>
      <c r="CY538" s="30"/>
      <c r="CZ538" s="30"/>
      <c r="DA538" s="30"/>
      <c r="DB538" s="30"/>
      <c r="DC538" s="30"/>
      <c r="DD538" s="30"/>
      <c r="DE538" s="30"/>
      <c r="DF538" s="30"/>
      <c r="DG538" s="30"/>
      <c r="DH538" s="30"/>
      <c r="DI538" s="30"/>
      <c r="DJ538" s="30"/>
      <c r="DK538" s="30"/>
      <c r="DL538" s="30"/>
      <c r="DM538" s="30"/>
      <c r="DN538" s="30"/>
      <c r="DO538" s="30"/>
      <c r="DP538" s="30"/>
      <c r="DQ538" s="30"/>
      <c r="DR538" s="30"/>
      <c r="DS538" s="30"/>
      <c r="DT538" s="30"/>
      <c r="DU538" s="30"/>
      <c r="DV538" s="30"/>
      <c r="DW538" s="30"/>
    </row>
    <row r="539" spans="1:127" ht="13">
      <c r="A539" s="39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  <c r="BS539" s="30"/>
      <c r="BT539" s="30"/>
      <c r="BU539" s="30"/>
      <c r="BV539" s="30"/>
      <c r="BW539" s="30"/>
      <c r="BX539" s="30"/>
      <c r="BY539" s="30"/>
      <c r="BZ539" s="30"/>
      <c r="CA539" s="30"/>
      <c r="CB539" s="30"/>
      <c r="CC539" s="30"/>
      <c r="CD539" s="30"/>
      <c r="CE539" s="30"/>
      <c r="CF539" s="30"/>
      <c r="CG539" s="30"/>
      <c r="CH539" s="30"/>
      <c r="CI539" s="30"/>
      <c r="CJ539" s="30"/>
      <c r="CK539" s="30"/>
      <c r="CL539" s="30"/>
      <c r="CM539" s="30"/>
      <c r="CN539" s="30"/>
      <c r="CO539" s="30"/>
      <c r="CP539" s="30"/>
      <c r="CQ539" s="30"/>
      <c r="CR539" s="30"/>
      <c r="CS539" s="30"/>
      <c r="CT539" s="30"/>
      <c r="CU539" s="30"/>
      <c r="CV539" s="30"/>
      <c r="CW539" s="30"/>
      <c r="CX539" s="30"/>
      <c r="CY539" s="30"/>
      <c r="CZ539" s="30"/>
      <c r="DA539" s="30"/>
      <c r="DB539" s="30"/>
      <c r="DC539" s="30"/>
      <c r="DD539" s="30"/>
      <c r="DE539" s="30"/>
      <c r="DF539" s="30"/>
      <c r="DG539" s="30"/>
      <c r="DH539" s="30"/>
      <c r="DI539" s="30"/>
      <c r="DJ539" s="30"/>
      <c r="DK539" s="30"/>
      <c r="DL539" s="30"/>
      <c r="DM539" s="30"/>
      <c r="DN539" s="30"/>
      <c r="DO539" s="30"/>
      <c r="DP539" s="30"/>
      <c r="DQ539" s="30"/>
      <c r="DR539" s="30"/>
      <c r="DS539" s="30"/>
      <c r="DT539" s="30"/>
      <c r="DU539" s="30"/>
      <c r="DV539" s="30"/>
      <c r="DW539" s="30"/>
    </row>
    <row r="540" spans="1:127" ht="13">
      <c r="A540" s="39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  <c r="BS540" s="30"/>
      <c r="BT540" s="30"/>
      <c r="BU540" s="30"/>
      <c r="BV540" s="30"/>
      <c r="BW540" s="30"/>
      <c r="BX540" s="30"/>
      <c r="BY540" s="30"/>
      <c r="BZ540" s="30"/>
      <c r="CA540" s="30"/>
      <c r="CB540" s="30"/>
      <c r="CC540" s="30"/>
      <c r="CD540" s="30"/>
      <c r="CE540" s="30"/>
      <c r="CF540" s="30"/>
      <c r="CG540" s="30"/>
      <c r="CH540" s="30"/>
      <c r="CI540" s="30"/>
      <c r="CJ540" s="30"/>
      <c r="CK540" s="30"/>
      <c r="CL540" s="30"/>
      <c r="CM540" s="30"/>
      <c r="CN540" s="30"/>
      <c r="CO540" s="30"/>
      <c r="CP540" s="30"/>
      <c r="CQ540" s="30"/>
      <c r="CR540" s="30"/>
      <c r="CS540" s="30"/>
      <c r="CT540" s="30"/>
      <c r="CU540" s="30"/>
      <c r="CV540" s="30"/>
      <c r="CW540" s="30"/>
      <c r="CX540" s="30"/>
      <c r="CY540" s="30"/>
      <c r="CZ540" s="30"/>
      <c r="DA540" s="30"/>
      <c r="DB540" s="30"/>
      <c r="DC540" s="30"/>
      <c r="DD540" s="30"/>
      <c r="DE540" s="30"/>
      <c r="DF540" s="30"/>
      <c r="DG540" s="30"/>
      <c r="DH540" s="30"/>
      <c r="DI540" s="30"/>
      <c r="DJ540" s="30"/>
      <c r="DK540" s="30"/>
      <c r="DL540" s="30"/>
      <c r="DM540" s="30"/>
      <c r="DN540" s="30"/>
      <c r="DO540" s="30"/>
      <c r="DP540" s="30"/>
      <c r="DQ540" s="30"/>
      <c r="DR540" s="30"/>
      <c r="DS540" s="30"/>
      <c r="DT540" s="30"/>
      <c r="DU540" s="30"/>
      <c r="DV540" s="30"/>
      <c r="DW540" s="30"/>
    </row>
    <row r="541" spans="1:127" ht="13">
      <c r="A541" s="39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  <c r="BS541" s="30"/>
      <c r="BT541" s="30"/>
      <c r="BU541" s="30"/>
      <c r="BV541" s="30"/>
      <c r="BW541" s="30"/>
      <c r="BX541" s="30"/>
      <c r="BY541" s="30"/>
      <c r="BZ541" s="30"/>
      <c r="CA541" s="30"/>
      <c r="CB541" s="30"/>
      <c r="CC541" s="30"/>
      <c r="CD541" s="30"/>
      <c r="CE541" s="30"/>
      <c r="CF541" s="30"/>
      <c r="CG541" s="30"/>
      <c r="CH541" s="30"/>
      <c r="CI541" s="30"/>
      <c r="CJ541" s="30"/>
      <c r="CK541" s="30"/>
      <c r="CL541" s="30"/>
      <c r="CM541" s="30"/>
      <c r="CN541" s="30"/>
      <c r="CO541" s="30"/>
      <c r="CP541" s="30"/>
      <c r="CQ541" s="30"/>
      <c r="CR541" s="30"/>
      <c r="CS541" s="30"/>
      <c r="CT541" s="30"/>
      <c r="CU541" s="30"/>
      <c r="CV541" s="30"/>
      <c r="CW541" s="30"/>
      <c r="CX541" s="30"/>
      <c r="CY541" s="30"/>
      <c r="CZ541" s="30"/>
      <c r="DA541" s="30"/>
      <c r="DB541" s="30"/>
      <c r="DC541" s="30"/>
      <c r="DD541" s="30"/>
      <c r="DE541" s="30"/>
      <c r="DF541" s="30"/>
      <c r="DG541" s="30"/>
      <c r="DH541" s="30"/>
      <c r="DI541" s="30"/>
      <c r="DJ541" s="30"/>
      <c r="DK541" s="30"/>
      <c r="DL541" s="30"/>
      <c r="DM541" s="30"/>
      <c r="DN541" s="30"/>
      <c r="DO541" s="30"/>
      <c r="DP541" s="30"/>
      <c r="DQ541" s="30"/>
      <c r="DR541" s="30"/>
      <c r="DS541" s="30"/>
      <c r="DT541" s="30"/>
      <c r="DU541" s="30"/>
      <c r="DV541" s="30"/>
      <c r="DW541" s="30"/>
    </row>
    <row r="542" spans="1:127" ht="13">
      <c r="A542" s="39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  <c r="BS542" s="30"/>
      <c r="BT542" s="30"/>
      <c r="BU542" s="30"/>
      <c r="BV542" s="30"/>
      <c r="BW542" s="30"/>
      <c r="BX542" s="30"/>
      <c r="BY542" s="30"/>
      <c r="BZ542" s="30"/>
      <c r="CA542" s="30"/>
      <c r="CB542" s="30"/>
      <c r="CC542" s="30"/>
      <c r="CD542" s="30"/>
      <c r="CE542" s="30"/>
      <c r="CF542" s="30"/>
      <c r="CG542" s="30"/>
      <c r="CH542" s="30"/>
      <c r="CI542" s="30"/>
      <c r="CJ542" s="30"/>
      <c r="CK542" s="30"/>
      <c r="CL542" s="30"/>
      <c r="CM542" s="30"/>
      <c r="CN542" s="30"/>
      <c r="CO542" s="30"/>
      <c r="CP542" s="30"/>
      <c r="CQ542" s="30"/>
      <c r="CR542" s="30"/>
      <c r="CS542" s="30"/>
      <c r="CT542" s="30"/>
      <c r="CU542" s="30"/>
      <c r="CV542" s="30"/>
      <c r="CW542" s="30"/>
      <c r="CX542" s="30"/>
      <c r="CY542" s="30"/>
      <c r="CZ542" s="30"/>
      <c r="DA542" s="30"/>
      <c r="DB542" s="30"/>
      <c r="DC542" s="30"/>
      <c r="DD542" s="30"/>
      <c r="DE542" s="30"/>
      <c r="DF542" s="30"/>
      <c r="DG542" s="30"/>
      <c r="DH542" s="30"/>
      <c r="DI542" s="30"/>
      <c r="DJ542" s="30"/>
      <c r="DK542" s="30"/>
      <c r="DL542" s="30"/>
      <c r="DM542" s="30"/>
      <c r="DN542" s="30"/>
      <c r="DO542" s="30"/>
      <c r="DP542" s="30"/>
      <c r="DQ542" s="30"/>
      <c r="DR542" s="30"/>
      <c r="DS542" s="30"/>
      <c r="DT542" s="30"/>
      <c r="DU542" s="30"/>
      <c r="DV542" s="30"/>
      <c r="DW542" s="30"/>
    </row>
    <row r="543" spans="1:127" ht="13">
      <c r="A543" s="39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  <c r="BS543" s="30"/>
      <c r="BT543" s="30"/>
      <c r="BU543" s="30"/>
      <c r="BV543" s="30"/>
      <c r="BW543" s="30"/>
      <c r="BX543" s="30"/>
      <c r="BY543" s="30"/>
      <c r="BZ543" s="30"/>
      <c r="CA543" s="30"/>
      <c r="CB543" s="30"/>
      <c r="CC543" s="30"/>
      <c r="CD543" s="30"/>
      <c r="CE543" s="30"/>
      <c r="CF543" s="30"/>
      <c r="CG543" s="30"/>
      <c r="CH543" s="30"/>
      <c r="CI543" s="30"/>
      <c r="CJ543" s="30"/>
      <c r="CK543" s="30"/>
      <c r="CL543" s="30"/>
      <c r="CM543" s="30"/>
      <c r="CN543" s="30"/>
      <c r="CO543" s="30"/>
      <c r="CP543" s="30"/>
      <c r="CQ543" s="30"/>
      <c r="CR543" s="30"/>
      <c r="CS543" s="30"/>
      <c r="CT543" s="30"/>
      <c r="CU543" s="30"/>
      <c r="CV543" s="30"/>
      <c r="CW543" s="30"/>
      <c r="CX543" s="30"/>
      <c r="CY543" s="30"/>
      <c r="CZ543" s="30"/>
      <c r="DA543" s="30"/>
      <c r="DB543" s="30"/>
      <c r="DC543" s="30"/>
      <c r="DD543" s="30"/>
      <c r="DE543" s="30"/>
      <c r="DF543" s="30"/>
      <c r="DG543" s="30"/>
      <c r="DH543" s="30"/>
      <c r="DI543" s="30"/>
      <c r="DJ543" s="30"/>
      <c r="DK543" s="30"/>
      <c r="DL543" s="30"/>
      <c r="DM543" s="30"/>
      <c r="DN543" s="30"/>
      <c r="DO543" s="30"/>
      <c r="DP543" s="30"/>
      <c r="DQ543" s="30"/>
      <c r="DR543" s="30"/>
      <c r="DS543" s="30"/>
      <c r="DT543" s="30"/>
      <c r="DU543" s="30"/>
      <c r="DV543" s="30"/>
      <c r="DW543" s="30"/>
    </row>
    <row r="544" spans="1:127" ht="13">
      <c r="A544" s="39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  <c r="BS544" s="30"/>
      <c r="BT544" s="30"/>
      <c r="BU544" s="30"/>
      <c r="BV544" s="30"/>
      <c r="BW544" s="30"/>
      <c r="BX544" s="30"/>
      <c r="BY544" s="30"/>
      <c r="BZ544" s="30"/>
      <c r="CA544" s="30"/>
      <c r="CB544" s="30"/>
      <c r="CC544" s="30"/>
      <c r="CD544" s="30"/>
      <c r="CE544" s="30"/>
      <c r="CF544" s="30"/>
      <c r="CG544" s="30"/>
      <c r="CH544" s="30"/>
      <c r="CI544" s="30"/>
      <c r="CJ544" s="30"/>
      <c r="CK544" s="30"/>
      <c r="CL544" s="30"/>
      <c r="CM544" s="30"/>
      <c r="CN544" s="30"/>
      <c r="CO544" s="30"/>
      <c r="CP544" s="30"/>
      <c r="CQ544" s="30"/>
      <c r="CR544" s="30"/>
      <c r="CS544" s="30"/>
      <c r="CT544" s="30"/>
      <c r="CU544" s="30"/>
      <c r="CV544" s="30"/>
      <c r="CW544" s="30"/>
      <c r="CX544" s="30"/>
      <c r="CY544" s="30"/>
      <c r="CZ544" s="30"/>
      <c r="DA544" s="30"/>
      <c r="DB544" s="30"/>
      <c r="DC544" s="30"/>
      <c r="DD544" s="30"/>
      <c r="DE544" s="30"/>
      <c r="DF544" s="30"/>
      <c r="DG544" s="30"/>
      <c r="DH544" s="30"/>
      <c r="DI544" s="30"/>
      <c r="DJ544" s="30"/>
      <c r="DK544" s="30"/>
      <c r="DL544" s="30"/>
      <c r="DM544" s="30"/>
      <c r="DN544" s="30"/>
      <c r="DO544" s="30"/>
      <c r="DP544" s="30"/>
      <c r="DQ544" s="30"/>
      <c r="DR544" s="30"/>
      <c r="DS544" s="30"/>
      <c r="DT544" s="30"/>
      <c r="DU544" s="30"/>
      <c r="DV544" s="30"/>
      <c r="DW544" s="30"/>
    </row>
    <row r="545" spans="1:127" ht="13">
      <c r="A545" s="39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  <c r="BS545" s="30"/>
      <c r="BT545" s="30"/>
      <c r="BU545" s="30"/>
      <c r="BV545" s="30"/>
      <c r="BW545" s="30"/>
      <c r="BX545" s="30"/>
      <c r="BY545" s="30"/>
      <c r="BZ545" s="30"/>
      <c r="CA545" s="30"/>
      <c r="CB545" s="30"/>
      <c r="CC545" s="30"/>
      <c r="CD545" s="30"/>
      <c r="CE545" s="30"/>
      <c r="CF545" s="30"/>
      <c r="CG545" s="30"/>
      <c r="CH545" s="30"/>
      <c r="CI545" s="30"/>
      <c r="CJ545" s="30"/>
      <c r="CK545" s="30"/>
      <c r="CL545" s="30"/>
      <c r="CM545" s="30"/>
      <c r="CN545" s="30"/>
      <c r="CO545" s="30"/>
      <c r="CP545" s="30"/>
      <c r="CQ545" s="30"/>
      <c r="CR545" s="30"/>
      <c r="CS545" s="30"/>
      <c r="CT545" s="30"/>
      <c r="CU545" s="30"/>
      <c r="CV545" s="30"/>
      <c r="CW545" s="30"/>
      <c r="CX545" s="30"/>
      <c r="CY545" s="30"/>
      <c r="CZ545" s="30"/>
      <c r="DA545" s="30"/>
      <c r="DB545" s="30"/>
      <c r="DC545" s="30"/>
      <c r="DD545" s="30"/>
      <c r="DE545" s="30"/>
      <c r="DF545" s="30"/>
      <c r="DG545" s="30"/>
      <c r="DH545" s="30"/>
      <c r="DI545" s="30"/>
      <c r="DJ545" s="30"/>
      <c r="DK545" s="30"/>
      <c r="DL545" s="30"/>
      <c r="DM545" s="30"/>
      <c r="DN545" s="30"/>
      <c r="DO545" s="30"/>
      <c r="DP545" s="30"/>
      <c r="DQ545" s="30"/>
      <c r="DR545" s="30"/>
      <c r="DS545" s="30"/>
      <c r="DT545" s="30"/>
      <c r="DU545" s="30"/>
      <c r="DV545" s="30"/>
      <c r="DW545" s="30"/>
    </row>
    <row r="546" spans="1:127" ht="13">
      <c r="A546" s="39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  <c r="BS546" s="30"/>
      <c r="BT546" s="30"/>
      <c r="BU546" s="30"/>
      <c r="BV546" s="30"/>
      <c r="BW546" s="30"/>
      <c r="BX546" s="30"/>
      <c r="BY546" s="30"/>
      <c r="BZ546" s="30"/>
      <c r="CA546" s="30"/>
      <c r="CB546" s="30"/>
      <c r="CC546" s="30"/>
      <c r="CD546" s="30"/>
      <c r="CE546" s="30"/>
      <c r="CF546" s="30"/>
      <c r="CG546" s="30"/>
      <c r="CH546" s="30"/>
      <c r="CI546" s="30"/>
      <c r="CJ546" s="30"/>
      <c r="CK546" s="30"/>
      <c r="CL546" s="30"/>
      <c r="CM546" s="30"/>
      <c r="CN546" s="30"/>
      <c r="CO546" s="30"/>
      <c r="CP546" s="30"/>
      <c r="CQ546" s="30"/>
      <c r="CR546" s="30"/>
      <c r="CS546" s="30"/>
      <c r="CT546" s="30"/>
      <c r="CU546" s="30"/>
      <c r="CV546" s="30"/>
      <c r="CW546" s="30"/>
      <c r="CX546" s="30"/>
      <c r="CY546" s="30"/>
      <c r="CZ546" s="30"/>
      <c r="DA546" s="30"/>
      <c r="DB546" s="30"/>
      <c r="DC546" s="30"/>
      <c r="DD546" s="30"/>
      <c r="DE546" s="30"/>
      <c r="DF546" s="30"/>
      <c r="DG546" s="30"/>
      <c r="DH546" s="30"/>
      <c r="DI546" s="30"/>
      <c r="DJ546" s="30"/>
      <c r="DK546" s="30"/>
      <c r="DL546" s="30"/>
      <c r="DM546" s="30"/>
      <c r="DN546" s="30"/>
      <c r="DO546" s="30"/>
      <c r="DP546" s="30"/>
      <c r="DQ546" s="30"/>
      <c r="DR546" s="30"/>
      <c r="DS546" s="30"/>
      <c r="DT546" s="30"/>
      <c r="DU546" s="30"/>
      <c r="DV546" s="30"/>
      <c r="DW546" s="30"/>
    </row>
    <row r="547" spans="1:127" ht="13">
      <c r="A547" s="39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  <c r="BS547" s="30"/>
      <c r="BT547" s="30"/>
      <c r="BU547" s="30"/>
      <c r="BV547" s="30"/>
      <c r="BW547" s="30"/>
      <c r="BX547" s="30"/>
      <c r="BY547" s="30"/>
      <c r="BZ547" s="30"/>
      <c r="CA547" s="30"/>
      <c r="CB547" s="30"/>
      <c r="CC547" s="30"/>
      <c r="CD547" s="30"/>
      <c r="CE547" s="30"/>
      <c r="CF547" s="30"/>
      <c r="CG547" s="30"/>
      <c r="CH547" s="30"/>
      <c r="CI547" s="30"/>
      <c r="CJ547" s="30"/>
      <c r="CK547" s="30"/>
      <c r="CL547" s="30"/>
      <c r="CM547" s="30"/>
      <c r="CN547" s="30"/>
      <c r="CO547" s="30"/>
      <c r="CP547" s="30"/>
      <c r="CQ547" s="30"/>
      <c r="CR547" s="30"/>
      <c r="CS547" s="30"/>
      <c r="CT547" s="30"/>
      <c r="CU547" s="30"/>
      <c r="CV547" s="30"/>
      <c r="CW547" s="30"/>
      <c r="CX547" s="30"/>
      <c r="CY547" s="30"/>
      <c r="CZ547" s="30"/>
      <c r="DA547" s="30"/>
      <c r="DB547" s="30"/>
      <c r="DC547" s="30"/>
      <c r="DD547" s="30"/>
      <c r="DE547" s="30"/>
      <c r="DF547" s="30"/>
      <c r="DG547" s="30"/>
      <c r="DH547" s="30"/>
      <c r="DI547" s="30"/>
      <c r="DJ547" s="30"/>
      <c r="DK547" s="30"/>
      <c r="DL547" s="30"/>
      <c r="DM547" s="30"/>
      <c r="DN547" s="30"/>
      <c r="DO547" s="30"/>
      <c r="DP547" s="30"/>
      <c r="DQ547" s="30"/>
      <c r="DR547" s="30"/>
      <c r="DS547" s="30"/>
      <c r="DT547" s="30"/>
      <c r="DU547" s="30"/>
      <c r="DV547" s="30"/>
      <c r="DW547" s="30"/>
    </row>
    <row r="548" spans="1:127" ht="13">
      <c r="A548" s="39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  <c r="BS548" s="30"/>
      <c r="BT548" s="30"/>
      <c r="BU548" s="30"/>
      <c r="BV548" s="30"/>
      <c r="BW548" s="30"/>
      <c r="BX548" s="30"/>
      <c r="BY548" s="30"/>
      <c r="BZ548" s="30"/>
      <c r="CA548" s="30"/>
      <c r="CB548" s="30"/>
      <c r="CC548" s="30"/>
      <c r="CD548" s="30"/>
      <c r="CE548" s="30"/>
      <c r="CF548" s="30"/>
      <c r="CG548" s="30"/>
      <c r="CH548" s="30"/>
      <c r="CI548" s="30"/>
      <c r="CJ548" s="30"/>
      <c r="CK548" s="30"/>
      <c r="CL548" s="30"/>
      <c r="CM548" s="30"/>
      <c r="CN548" s="30"/>
      <c r="CO548" s="30"/>
      <c r="CP548" s="30"/>
      <c r="CQ548" s="30"/>
      <c r="CR548" s="30"/>
      <c r="CS548" s="30"/>
      <c r="CT548" s="30"/>
      <c r="CU548" s="30"/>
      <c r="CV548" s="30"/>
      <c r="CW548" s="30"/>
      <c r="CX548" s="30"/>
      <c r="CY548" s="30"/>
      <c r="CZ548" s="30"/>
      <c r="DA548" s="30"/>
      <c r="DB548" s="30"/>
      <c r="DC548" s="30"/>
      <c r="DD548" s="30"/>
      <c r="DE548" s="30"/>
      <c r="DF548" s="30"/>
      <c r="DG548" s="30"/>
      <c r="DH548" s="30"/>
      <c r="DI548" s="30"/>
      <c r="DJ548" s="30"/>
      <c r="DK548" s="30"/>
      <c r="DL548" s="30"/>
      <c r="DM548" s="30"/>
      <c r="DN548" s="30"/>
      <c r="DO548" s="30"/>
      <c r="DP548" s="30"/>
      <c r="DQ548" s="30"/>
      <c r="DR548" s="30"/>
      <c r="DS548" s="30"/>
      <c r="DT548" s="30"/>
      <c r="DU548" s="30"/>
      <c r="DV548" s="30"/>
      <c r="DW548" s="30"/>
    </row>
    <row r="549" spans="1:127" ht="13">
      <c r="A549" s="39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  <c r="BS549" s="30"/>
      <c r="BT549" s="30"/>
      <c r="BU549" s="30"/>
      <c r="BV549" s="30"/>
      <c r="BW549" s="30"/>
      <c r="BX549" s="30"/>
      <c r="BY549" s="30"/>
      <c r="BZ549" s="30"/>
      <c r="CA549" s="30"/>
      <c r="CB549" s="30"/>
      <c r="CC549" s="30"/>
      <c r="CD549" s="30"/>
      <c r="CE549" s="30"/>
      <c r="CF549" s="30"/>
      <c r="CG549" s="30"/>
      <c r="CH549" s="30"/>
      <c r="CI549" s="30"/>
      <c r="CJ549" s="30"/>
      <c r="CK549" s="30"/>
      <c r="CL549" s="30"/>
      <c r="CM549" s="30"/>
      <c r="CN549" s="30"/>
      <c r="CO549" s="30"/>
      <c r="CP549" s="30"/>
      <c r="CQ549" s="30"/>
      <c r="CR549" s="30"/>
      <c r="CS549" s="30"/>
      <c r="CT549" s="30"/>
      <c r="CU549" s="30"/>
      <c r="CV549" s="30"/>
      <c r="CW549" s="30"/>
      <c r="CX549" s="30"/>
      <c r="CY549" s="30"/>
      <c r="CZ549" s="30"/>
      <c r="DA549" s="30"/>
      <c r="DB549" s="30"/>
      <c r="DC549" s="30"/>
      <c r="DD549" s="30"/>
      <c r="DE549" s="30"/>
      <c r="DF549" s="30"/>
      <c r="DG549" s="30"/>
      <c r="DH549" s="30"/>
      <c r="DI549" s="30"/>
      <c r="DJ549" s="30"/>
      <c r="DK549" s="30"/>
      <c r="DL549" s="30"/>
      <c r="DM549" s="30"/>
      <c r="DN549" s="30"/>
      <c r="DO549" s="30"/>
      <c r="DP549" s="30"/>
      <c r="DQ549" s="30"/>
      <c r="DR549" s="30"/>
      <c r="DS549" s="30"/>
      <c r="DT549" s="30"/>
      <c r="DU549" s="30"/>
      <c r="DV549" s="30"/>
      <c r="DW549" s="30"/>
    </row>
    <row r="550" spans="1:127" ht="13">
      <c r="A550" s="39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  <c r="BS550" s="30"/>
      <c r="BT550" s="30"/>
      <c r="BU550" s="30"/>
      <c r="BV550" s="30"/>
      <c r="BW550" s="30"/>
      <c r="BX550" s="30"/>
      <c r="BY550" s="30"/>
      <c r="BZ550" s="30"/>
      <c r="CA550" s="30"/>
      <c r="CB550" s="30"/>
      <c r="CC550" s="30"/>
      <c r="CD550" s="30"/>
      <c r="CE550" s="30"/>
      <c r="CF550" s="30"/>
      <c r="CG550" s="30"/>
      <c r="CH550" s="30"/>
      <c r="CI550" s="30"/>
      <c r="CJ550" s="30"/>
      <c r="CK550" s="30"/>
      <c r="CL550" s="30"/>
      <c r="CM550" s="30"/>
      <c r="CN550" s="30"/>
      <c r="CO550" s="30"/>
      <c r="CP550" s="30"/>
      <c r="CQ550" s="30"/>
      <c r="CR550" s="30"/>
      <c r="CS550" s="30"/>
      <c r="CT550" s="30"/>
      <c r="CU550" s="30"/>
      <c r="CV550" s="30"/>
      <c r="CW550" s="30"/>
      <c r="CX550" s="30"/>
      <c r="CY550" s="30"/>
      <c r="CZ550" s="30"/>
      <c r="DA550" s="30"/>
      <c r="DB550" s="30"/>
      <c r="DC550" s="30"/>
      <c r="DD550" s="30"/>
      <c r="DE550" s="30"/>
      <c r="DF550" s="30"/>
      <c r="DG550" s="30"/>
      <c r="DH550" s="30"/>
      <c r="DI550" s="30"/>
      <c r="DJ550" s="30"/>
      <c r="DK550" s="30"/>
      <c r="DL550" s="30"/>
      <c r="DM550" s="30"/>
      <c r="DN550" s="30"/>
      <c r="DO550" s="30"/>
      <c r="DP550" s="30"/>
      <c r="DQ550" s="30"/>
      <c r="DR550" s="30"/>
      <c r="DS550" s="30"/>
      <c r="DT550" s="30"/>
      <c r="DU550" s="30"/>
      <c r="DV550" s="30"/>
      <c r="DW550" s="30"/>
    </row>
    <row r="551" spans="1:127" ht="13">
      <c r="A551" s="39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  <c r="BS551" s="30"/>
      <c r="BT551" s="30"/>
      <c r="BU551" s="30"/>
      <c r="BV551" s="30"/>
      <c r="BW551" s="30"/>
      <c r="BX551" s="30"/>
      <c r="BY551" s="30"/>
      <c r="BZ551" s="30"/>
      <c r="CA551" s="30"/>
      <c r="CB551" s="30"/>
      <c r="CC551" s="30"/>
      <c r="CD551" s="30"/>
      <c r="CE551" s="30"/>
      <c r="CF551" s="30"/>
      <c r="CG551" s="30"/>
      <c r="CH551" s="30"/>
      <c r="CI551" s="30"/>
      <c r="CJ551" s="30"/>
      <c r="CK551" s="30"/>
      <c r="CL551" s="30"/>
      <c r="CM551" s="30"/>
      <c r="CN551" s="30"/>
      <c r="CO551" s="30"/>
      <c r="CP551" s="30"/>
      <c r="CQ551" s="30"/>
      <c r="CR551" s="30"/>
      <c r="CS551" s="30"/>
      <c r="CT551" s="30"/>
      <c r="CU551" s="30"/>
      <c r="CV551" s="30"/>
      <c r="CW551" s="30"/>
      <c r="CX551" s="30"/>
      <c r="CY551" s="30"/>
      <c r="CZ551" s="30"/>
      <c r="DA551" s="30"/>
      <c r="DB551" s="30"/>
      <c r="DC551" s="30"/>
      <c r="DD551" s="30"/>
      <c r="DE551" s="30"/>
      <c r="DF551" s="30"/>
      <c r="DG551" s="30"/>
      <c r="DH551" s="30"/>
      <c r="DI551" s="30"/>
      <c r="DJ551" s="30"/>
      <c r="DK551" s="30"/>
      <c r="DL551" s="30"/>
      <c r="DM551" s="30"/>
      <c r="DN551" s="30"/>
      <c r="DO551" s="30"/>
      <c r="DP551" s="30"/>
      <c r="DQ551" s="30"/>
      <c r="DR551" s="30"/>
      <c r="DS551" s="30"/>
      <c r="DT551" s="30"/>
      <c r="DU551" s="30"/>
      <c r="DV551" s="30"/>
      <c r="DW551" s="30"/>
    </row>
    <row r="552" spans="1:127" ht="13">
      <c r="A552" s="39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  <c r="BS552" s="30"/>
      <c r="BT552" s="30"/>
      <c r="BU552" s="30"/>
      <c r="BV552" s="30"/>
      <c r="BW552" s="30"/>
      <c r="BX552" s="30"/>
      <c r="BY552" s="30"/>
      <c r="BZ552" s="30"/>
      <c r="CA552" s="30"/>
      <c r="CB552" s="30"/>
      <c r="CC552" s="30"/>
      <c r="CD552" s="30"/>
      <c r="CE552" s="30"/>
      <c r="CF552" s="30"/>
      <c r="CG552" s="30"/>
      <c r="CH552" s="30"/>
      <c r="CI552" s="30"/>
      <c r="CJ552" s="30"/>
      <c r="CK552" s="30"/>
      <c r="CL552" s="30"/>
      <c r="CM552" s="30"/>
      <c r="CN552" s="30"/>
      <c r="CO552" s="30"/>
      <c r="CP552" s="30"/>
      <c r="CQ552" s="30"/>
      <c r="CR552" s="30"/>
      <c r="CS552" s="30"/>
      <c r="CT552" s="30"/>
      <c r="CU552" s="30"/>
      <c r="CV552" s="30"/>
      <c r="CW552" s="30"/>
      <c r="CX552" s="30"/>
      <c r="CY552" s="30"/>
      <c r="CZ552" s="30"/>
      <c r="DA552" s="30"/>
      <c r="DB552" s="30"/>
      <c r="DC552" s="30"/>
      <c r="DD552" s="30"/>
      <c r="DE552" s="30"/>
      <c r="DF552" s="30"/>
      <c r="DG552" s="30"/>
      <c r="DH552" s="30"/>
      <c r="DI552" s="30"/>
      <c r="DJ552" s="30"/>
      <c r="DK552" s="30"/>
      <c r="DL552" s="30"/>
      <c r="DM552" s="30"/>
      <c r="DN552" s="30"/>
      <c r="DO552" s="30"/>
      <c r="DP552" s="30"/>
      <c r="DQ552" s="30"/>
      <c r="DR552" s="30"/>
      <c r="DS552" s="30"/>
      <c r="DT552" s="30"/>
      <c r="DU552" s="30"/>
      <c r="DV552" s="30"/>
      <c r="DW552" s="30"/>
    </row>
    <row r="553" spans="1:127" ht="13">
      <c r="A553" s="39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  <c r="BS553" s="30"/>
      <c r="BT553" s="30"/>
      <c r="BU553" s="30"/>
      <c r="BV553" s="30"/>
      <c r="BW553" s="30"/>
      <c r="BX553" s="30"/>
      <c r="BY553" s="30"/>
      <c r="BZ553" s="30"/>
      <c r="CA553" s="30"/>
      <c r="CB553" s="30"/>
      <c r="CC553" s="30"/>
      <c r="CD553" s="30"/>
      <c r="CE553" s="30"/>
      <c r="CF553" s="30"/>
      <c r="CG553" s="30"/>
      <c r="CH553" s="30"/>
      <c r="CI553" s="30"/>
      <c r="CJ553" s="30"/>
      <c r="CK553" s="30"/>
      <c r="CL553" s="30"/>
      <c r="CM553" s="30"/>
      <c r="CN553" s="30"/>
      <c r="CO553" s="30"/>
      <c r="CP553" s="30"/>
      <c r="CQ553" s="30"/>
      <c r="CR553" s="30"/>
      <c r="CS553" s="30"/>
      <c r="CT553" s="30"/>
      <c r="CU553" s="30"/>
      <c r="CV553" s="30"/>
      <c r="CW553" s="30"/>
      <c r="CX553" s="30"/>
      <c r="CY553" s="30"/>
      <c r="CZ553" s="30"/>
      <c r="DA553" s="30"/>
      <c r="DB553" s="30"/>
      <c r="DC553" s="30"/>
      <c r="DD553" s="30"/>
      <c r="DE553" s="30"/>
      <c r="DF553" s="30"/>
      <c r="DG553" s="30"/>
      <c r="DH553" s="30"/>
      <c r="DI553" s="30"/>
      <c r="DJ553" s="30"/>
      <c r="DK553" s="30"/>
      <c r="DL553" s="30"/>
      <c r="DM553" s="30"/>
      <c r="DN553" s="30"/>
      <c r="DO553" s="30"/>
      <c r="DP553" s="30"/>
      <c r="DQ553" s="30"/>
      <c r="DR553" s="30"/>
      <c r="DS553" s="30"/>
      <c r="DT553" s="30"/>
      <c r="DU553" s="30"/>
      <c r="DV553" s="30"/>
      <c r="DW553" s="30"/>
    </row>
    <row r="554" spans="1:127" ht="13">
      <c r="A554" s="39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  <c r="BU554" s="30"/>
      <c r="BV554" s="30"/>
      <c r="BW554" s="30"/>
      <c r="BX554" s="30"/>
      <c r="BY554" s="30"/>
      <c r="BZ554" s="30"/>
      <c r="CA554" s="30"/>
      <c r="CB554" s="30"/>
      <c r="CC554" s="30"/>
      <c r="CD554" s="30"/>
      <c r="CE554" s="30"/>
      <c r="CF554" s="30"/>
      <c r="CG554" s="30"/>
      <c r="CH554" s="30"/>
      <c r="CI554" s="30"/>
      <c r="CJ554" s="30"/>
      <c r="CK554" s="30"/>
      <c r="CL554" s="30"/>
      <c r="CM554" s="30"/>
      <c r="CN554" s="30"/>
      <c r="CO554" s="30"/>
      <c r="CP554" s="30"/>
      <c r="CQ554" s="30"/>
      <c r="CR554" s="30"/>
      <c r="CS554" s="30"/>
      <c r="CT554" s="30"/>
      <c r="CU554" s="30"/>
      <c r="CV554" s="30"/>
      <c r="CW554" s="30"/>
      <c r="CX554" s="30"/>
      <c r="CY554" s="30"/>
      <c r="CZ554" s="30"/>
      <c r="DA554" s="30"/>
      <c r="DB554" s="30"/>
      <c r="DC554" s="30"/>
      <c r="DD554" s="30"/>
      <c r="DE554" s="30"/>
      <c r="DF554" s="30"/>
      <c r="DG554" s="30"/>
      <c r="DH554" s="30"/>
      <c r="DI554" s="30"/>
      <c r="DJ554" s="30"/>
      <c r="DK554" s="30"/>
      <c r="DL554" s="30"/>
      <c r="DM554" s="30"/>
      <c r="DN554" s="30"/>
      <c r="DO554" s="30"/>
      <c r="DP554" s="30"/>
      <c r="DQ554" s="30"/>
      <c r="DR554" s="30"/>
      <c r="DS554" s="30"/>
      <c r="DT554" s="30"/>
      <c r="DU554" s="30"/>
      <c r="DV554" s="30"/>
      <c r="DW554" s="30"/>
    </row>
    <row r="555" spans="1:127" ht="13">
      <c r="A555" s="39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  <c r="BS555" s="30"/>
      <c r="BT555" s="30"/>
      <c r="BU555" s="30"/>
      <c r="BV555" s="30"/>
      <c r="BW555" s="30"/>
      <c r="BX555" s="30"/>
      <c r="BY555" s="30"/>
      <c r="BZ555" s="30"/>
      <c r="CA555" s="30"/>
      <c r="CB555" s="30"/>
      <c r="CC555" s="30"/>
      <c r="CD555" s="30"/>
      <c r="CE555" s="30"/>
      <c r="CF555" s="30"/>
      <c r="CG555" s="30"/>
      <c r="CH555" s="30"/>
      <c r="CI555" s="30"/>
      <c r="CJ555" s="30"/>
      <c r="CK555" s="30"/>
      <c r="CL555" s="30"/>
      <c r="CM555" s="30"/>
      <c r="CN555" s="30"/>
      <c r="CO555" s="30"/>
      <c r="CP555" s="30"/>
      <c r="CQ555" s="30"/>
      <c r="CR555" s="30"/>
      <c r="CS555" s="30"/>
      <c r="CT555" s="30"/>
      <c r="CU555" s="30"/>
      <c r="CV555" s="30"/>
      <c r="CW555" s="30"/>
      <c r="CX555" s="30"/>
      <c r="CY555" s="30"/>
      <c r="CZ555" s="30"/>
      <c r="DA555" s="30"/>
      <c r="DB555" s="30"/>
      <c r="DC555" s="30"/>
      <c r="DD555" s="30"/>
      <c r="DE555" s="30"/>
      <c r="DF555" s="30"/>
      <c r="DG555" s="30"/>
      <c r="DH555" s="30"/>
      <c r="DI555" s="30"/>
      <c r="DJ555" s="30"/>
      <c r="DK555" s="30"/>
      <c r="DL555" s="30"/>
      <c r="DM555" s="30"/>
      <c r="DN555" s="30"/>
      <c r="DO555" s="30"/>
      <c r="DP555" s="30"/>
      <c r="DQ555" s="30"/>
      <c r="DR555" s="30"/>
      <c r="DS555" s="30"/>
      <c r="DT555" s="30"/>
      <c r="DU555" s="30"/>
      <c r="DV555" s="30"/>
      <c r="DW555" s="30"/>
    </row>
    <row r="556" spans="1:127" ht="13">
      <c r="A556" s="39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  <c r="BS556" s="30"/>
      <c r="BT556" s="30"/>
      <c r="BU556" s="30"/>
      <c r="BV556" s="30"/>
      <c r="BW556" s="30"/>
      <c r="BX556" s="30"/>
      <c r="BY556" s="30"/>
      <c r="BZ556" s="30"/>
      <c r="CA556" s="30"/>
      <c r="CB556" s="30"/>
      <c r="CC556" s="30"/>
      <c r="CD556" s="30"/>
      <c r="CE556" s="30"/>
      <c r="CF556" s="30"/>
      <c r="CG556" s="30"/>
      <c r="CH556" s="30"/>
      <c r="CI556" s="30"/>
      <c r="CJ556" s="30"/>
      <c r="CK556" s="30"/>
      <c r="CL556" s="30"/>
      <c r="CM556" s="30"/>
      <c r="CN556" s="30"/>
      <c r="CO556" s="30"/>
      <c r="CP556" s="30"/>
      <c r="CQ556" s="30"/>
      <c r="CR556" s="30"/>
      <c r="CS556" s="30"/>
      <c r="CT556" s="30"/>
      <c r="CU556" s="30"/>
      <c r="CV556" s="30"/>
      <c r="CW556" s="30"/>
      <c r="CX556" s="30"/>
      <c r="CY556" s="30"/>
      <c r="CZ556" s="30"/>
      <c r="DA556" s="30"/>
      <c r="DB556" s="30"/>
      <c r="DC556" s="30"/>
      <c r="DD556" s="30"/>
      <c r="DE556" s="30"/>
      <c r="DF556" s="30"/>
      <c r="DG556" s="30"/>
      <c r="DH556" s="30"/>
      <c r="DI556" s="30"/>
      <c r="DJ556" s="30"/>
      <c r="DK556" s="30"/>
      <c r="DL556" s="30"/>
      <c r="DM556" s="30"/>
      <c r="DN556" s="30"/>
      <c r="DO556" s="30"/>
      <c r="DP556" s="30"/>
      <c r="DQ556" s="30"/>
      <c r="DR556" s="30"/>
      <c r="DS556" s="30"/>
      <c r="DT556" s="30"/>
      <c r="DU556" s="30"/>
      <c r="DV556" s="30"/>
      <c r="DW556" s="30"/>
    </row>
    <row r="557" spans="1:127" ht="13">
      <c r="A557" s="39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  <c r="BU557" s="30"/>
      <c r="BV557" s="30"/>
      <c r="BW557" s="30"/>
      <c r="BX557" s="30"/>
      <c r="BY557" s="30"/>
      <c r="BZ557" s="30"/>
      <c r="CA557" s="30"/>
      <c r="CB557" s="30"/>
      <c r="CC557" s="30"/>
      <c r="CD557" s="30"/>
      <c r="CE557" s="30"/>
      <c r="CF557" s="30"/>
      <c r="CG557" s="30"/>
      <c r="CH557" s="30"/>
      <c r="CI557" s="30"/>
      <c r="CJ557" s="30"/>
      <c r="CK557" s="30"/>
      <c r="CL557" s="30"/>
      <c r="CM557" s="30"/>
      <c r="CN557" s="30"/>
      <c r="CO557" s="30"/>
      <c r="CP557" s="30"/>
      <c r="CQ557" s="30"/>
      <c r="CR557" s="30"/>
      <c r="CS557" s="30"/>
      <c r="CT557" s="30"/>
      <c r="CU557" s="30"/>
      <c r="CV557" s="30"/>
      <c r="CW557" s="30"/>
      <c r="CX557" s="30"/>
      <c r="CY557" s="30"/>
      <c r="CZ557" s="30"/>
      <c r="DA557" s="30"/>
      <c r="DB557" s="30"/>
      <c r="DC557" s="30"/>
      <c r="DD557" s="30"/>
      <c r="DE557" s="30"/>
      <c r="DF557" s="30"/>
      <c r="DG557" s="30"/>
      <c r="DH557" s="30"/>
      <c r="DI557" s="30"/>
      <c r="DJ557" s="30"/>
      <c r="DK557" s="30"/>
      <c r="DL557" s="30"/>
      <c r="DM557" s="30"/>
      <c r="DN557" s="30"/>
      <c r="DO557" s="30"/>
      <c r="DP557" s="30"/>
      <c r="DQ557" s="30"/>
      <c r="DR557" s="30"/>
      <c r="DS557" s="30"/>
      <c r="DT557" s="30"/>
      <c r="DU557" s="30"/>
      <c r="DV557" s="30"/>
      <c r="DW557" s="30"/>
    </row>
    <row r="558" spans="1:127" ht="13">
      <c r="A558" s="39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  <c r="BS558" s="30"/>
      <c r="BT558" s="30"/>
      <c r="BU558" s="30"/>
      <c r="BV558" s="30"/>
      <c r="BW558" s="30"/>
      <c r="BX558" s="30"/>
      <c r="BY558" s="30"/>
      <c r="BZ558" s="30"/>
      <c r="CA558" s="30"/>
      <c r="CB558" s="30"/>
      <c r="CC558" s="30"/>
      <c r="CD558" s="30"/>
      <c r="CE558" s="30"/>
      <c r="CF558" s="30"/>
      <c r="CG558" s="30"/>
      <c r="CH558" s="30"/>
      <c r="CI558" s="30"/>
      <c r="CJ558" s="30"/>
      <c r="CK558" s="30"/>
      <c r="CL558" s="30"/>
      <c r="CM558" s="30"/>
      <c r="CN558" s="30"/>
      <c r="CO558" s="30"/>
      <c r="CP558" s="30"/>
      <c r="CQ558" s="30"/>
      <c r="CR558" s="30"/>
      <c r="CS558" s="30"/>
      <c r="CT558" s="30"/>
      <c r="CU558" s="30"/>
      <c r="CV558" s="30"/>
      <c r="CW558" s="30"/>
      <c r="CX558" s="30"/>
      <c r="CY558" s="30"/>
      <c r="CZ558" s="30"/>
      <c r="DA558" s="30"/>
      <c r="DB558" s="30"/>
      <c r="DC558" s="30"/>
      <c r="DD558" s="30"/>
      <c r="DE558" s="30"/>
      <c r="DF558" s="30"/>
      <c r="DG558" s="30"/>
      <c r="DH558" s="30"/>
      <c r="DI558" s="30"/>
      <c r="DJ558" s="30"/>
      <c r="DK558" s="30"/>
      <c r="DL558" s="30"/>
      <c r="DM558" s="30"/>
      <c r="DN558" s="30"/>
      <c r="DO558" s="30"/>
      <c r="DP558" s="30"/>
      <c r="DQ558" s="30"/>
      <c r="DR558" s="30"/>
      <c r="DS558" s="30"/>
      <c r="DT558" s="30"/>
      <c r="DU558" s="30"/>
      <c r="DV558" s="30"/>
      <c r="DW558" s="30"/>
    </row>
    <row r="559" spans="1:127" ht="13">
      <c r="A559" s="39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  <c r="BS559" s="30"/>
      <c r="BT559" s="30"/>
      <c r="BU559" s="30"/>
      <c r="BV559" s="30"/>
      <c r="BW559" s="30"/>
      <c r="BX559" s="30"/>
      <c r="BY559" s="30"/>
      <c r="BZ559" s="30"/>
      <c r="CA559" s="30"/>
      <c r="CB559" s="30"/>
      <c r="CC559" s="30"/>
      <c r="CD559" s="30"/>
      <c r="CE559" s="30"/>
      <c r="CF559" s="30"/>
      <c r="CG559" s="30"/>
      <c r="CH559" s="30"/>
      <c r="CI559" s="30"/>
      <c r="CJ559" s="30"/>
      <c r="CK559" s="30"/>
      <c r="CL559" s="30"/>
      <c r="CM559" s="30"/>
      <c r="CN559" s="30"/>
      <c r="CO559" s="30"/>
      <c r="CP559" s="30"/>
      <c r="CQ559" s="30"/>
      <c r="CR559" s="30"/>
      <c r="CS559" s="30"/>
      <c r="CT559" s="30"/>
      <c r="CU559" s="30"/>
      <c r="CV559" s="30"/>
      <c r="CW559" s="30"/>
      <c r="CX559" s="30"/>
      <c r="CY559" s="30"/>
      <c r="CZ559" s="30"/>
      <c r="DA559" s="30"/>
      <c r="DB559" s="30"/>
      <c r="DC559" s="30"/>
      <c r="DD559" s="30"/>
      <c r="DE559" s="30"/>
      <c r="DF559" s="30"/>
      <c r="DG559" s="30"/>
      <c r="DH559" s="30"/>
      <c r="DI559" s="30"/>
      <c r="DJ559" s="30"/>
      <c r="DK559" s="30"/>
      <c r="DL559" s="30"/>
      <c r="DM559" s="30"/>
      <c r="DN559" s="30"/>
      <c r="DO559" s="30"/>
      <c r="DP559" s="30"/>
      <c r="DQ559" s="30"/>
      <c r="DR559" s="30"/>
      <c r="DS559" s="30"/>
      <c r="DT559" s="30"/>
      <c r="DU559" s="30"/>
      <c r="DV559" s="30"/>
      <c r="DW559" s="30"/>
    </row>
    <row r="560" spans="1:127" ht="13">
      <c r="A560" s="39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  <c r="BS560" s="30"/>
      <c r="BT560" s="30"/>
      <c r="BU560" s="30"/>
      <c r="BV560" s="30"/>
      <c r="BW560" s="30"/>
      <c r="BX560" s="30"/>
      <c r="BY560" s="30"/>
      <c r="BZ560" s="30"/>
      <c r="CA560" s="30"/>
      <c r="CB560" s="30"/>
      <c r="CC560" s="30"/>
      <c r="CD560" s="30"/>
      <c r="CE560" s="30"/>
      <c r="CF560" s="30"/>
      <c r="CG560" s="30"/>
      <c r="CH560" s="30"/>
      <c r="CI560" s="30"/>
      <c r="CJ560" s="30"/>
      <c r="CK560" s="30"/>
      <c r="CL560" s="30"/>
      <c r="CM560" s="30"/>
      <c r="CN560" s="30"/>
      <c r="CO560" s="30"/>
      <c r="CP560" s="30"/>
      <c r="CQ560" s="30"/>
      <c r="CR560" s="30"/>
      <c r="CS560" s="30"/>
      <c r="CT560" s="30"/>
      <c r="CU560" s="30"/>
      <c r="CV560" s="30"/>
      <c r="CW560" s="30"/>
      <c r="CX560" s="30"/>
      <c r="CY560" s="30"/>
      <c r="CZ560" s="30"/>
      <c r="DA560" s="30"/>
      <c r="DB560" s="30"/>
      <c r="DC560" s="30"/>
      <c r="DD560" s="30"/>
      <c r="DE560" s="30"/>
      <c r="DF560" s="30"/>
      <c r="DG560" s="30"/>
      <c r="DH560" s="30"/>
      <c r="DI560" s="30"/>
      <c r="DJ560" s="30"/>
      <c r="DK560" s="30"/>
      <c r="DL560" s="30"/>
      <c r="DM560" s="30"/>
      <c r="DN560" s="30"/>
      <c r="DO560" s="30"/>
      <c r="DP560" s="30"/>
      <c r="DQ560" s="30"/>
      <c r="DR560" s="30"/>
      <c r="DS560" s="30"/>
      <c r="DT560" s="30"/>
      <c r="DU560" s="30"/>
      <c r="DV560" s="30"/>
      <c r="DW560" s="30"/>
    </row>
    <row r="561" spans="1:127" ht="13">
      <c r="A561" s="39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  <c r="BS561" s="30"/>
      <c r="BT561" s="30"/>
      <c r="BU561" s="30"/>
      <c r="BV561" s="30"/>
      <c r="BW561" s="30"/>
      <c r="BX561" s="30"/>
      <c r="BY561" s="30"/>
      <c r="BZ561" s="30"/>
      <c r="CA561" s="30"/>
      <c r="CB561" s="30"/>
      <c r="CC561" s="30"/>
      <c r="CD561" s="30"/>
      <c r="CE561" s="30"/>
      <c r="CF561" s="30"/>
      <c r="CG561" s="30"/>
      <c r="CH561" s="30"/>
      <c r="CI561" s="30"/>
      <c r="CJ561" s="30"/>
      <c r="CK561" s="30"/>
      <c r="CL561" s="30"/>
      <c r="CM561" s="30"/>
      <c r="CN561" s="30"/>
      <c r="CO561" s="30"/>
      <c r="CP561" s="30"/>
      <c r="CQ561" s="30"/>
      <c r="CR561" s="30"/>
      <c r="CS561" s="30"/>
      <c r="CT561" s="30"/>
      <c r="CU561" s="30"/>
      <c r="CV561" s="30"/>
      <c r="CW561" s="30"/>
      <c r="CX561" s="30"/>
      <c r="CY561" s="30"/>
      <c r="CZ561" s="30"/>
      <c r="DA561" s="30"/>
      <c r="DB561" s="30"/>
      <c r="DC561" s="30"/>
      <c r="DD561" s="30"/>
      <c r="DE561" s="30"/>
      <c r="DF561" s="30"/>
      <c r="DG561" s="30"/>
      <c r="DH561" s="30"/>
      <c r="DI561" s="30"/>
      <c r="DJ561" s="30"/>
      <c r="DK561" s="30"/>
      <c r="DL561" s="30"/>
      <c r="DM561" s="30"/>
      <c r="DN561" s="30"/>
      <c r="DO561" s="30"/>
      <c r="DP561" s="30"/>
      <c r="DQ561" s="30"/>
      <c r="DR561" s="30"/>
      <c r="DS561" s="30"/>
      <c r="DT561" s="30"/>
      <c r="DU561" s="30"/>
      <c r="DV561" s="30"/>
      <c r="DW561" s="30"/>
    </row>
    <row r="562" spans="1:127" ht="13">
      <c r="A562" s="39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  <c r="BS562" s="30"/>
      <c r="BT562" s="30"/>
      <c r="BU562" s="30"/>
      <c r="BV562" s="30"/>
      <c r="BW562" s="30"/>
      <c r="BX562" s="30"/>
      <c r="BY562" s="30"/>
      <c r="BZ562" s="30"/>
      <c r="CA562" s="30"/>
      <c r="CB562" s="30"/>
      <c r="CC562" s="30"/>
      <c r="CD562" s="30"/>
      <c r="CE562" s="30"/>
      <c r="CF562" s="30"/>
      <c r="CG562" s="30"/>
      <c r="CH562" s="30"/>
      <c r="CI562" s="30"/>
      <c r="CJ562" s="30"/>
      <c r="CK562" s="30"/>
      <c r="CL562" s="30"/>
      <c r="CM562" s="30"/>
      <c r="CN562" s="30"/>
      <c r="CO562" s="30"/>
      <c r="CP562" s="30"/>
      <c r="CQ562" s="30"/>
      <c r="CR562" s="30"/>
      <c r="CS562" s="30"/>
      <c r="CT562" s="30"/>
      <c r="CU562" s="30"/>
      <c r="CV562" s="30"/>
      <c r="CW562" s="30"/>
      <c r="CX562" s="30"/>
      <c r="CY562" s="30"/>
      <c r="CZ562" s="30"/>
      <c r="DA562" s="30"/>
      <c r="DB562" s="30"/>
      <c r="DC562" s="30"/>
      <c r="DD562" s="30"/>
      <c r="DE562" s="30"/>
      <c r="DF562" s="30"/>
      <c r="DG562" s="30"/>
      <c r="DH562" s="30"/>
      <c r="DI562" s="30"/>
      <c r="DJ562" s="30"/>
      <c r="DK562" s="30"/>
      <c r="DL562" s="30"/>
      <c r="DM562" s="30"/>
      <c r="DN562" s="30"/>
      <c r="DO562" s="30"/>
      <c r="DP562" s="30"/>
      <c r="DQ562" s="30"/>
      <c r="DR562" s="30"/>
      <c r="DS562" s="30"/>
      <c r="DT562" s="30"/>
      <c r="DU562" s="30"/>
      <c r="DV562" s="30"/>
      <c r="DW562" s="30"/>
    </row>
    <row r="563" spans="1:127" ht="13">
      <c r="A563" s="39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  <c r="BS563" s="30"/>
      <c r="BT563" s="30"/>
      <c r="BU563" s="30"/>
      <c r="BV563" s="30"/>
      <c r="BW563" s="30"/>
      <c r="BX563" s="30"/>
      <c r="BY563" s="30"/>
      <c r="BZ563" s="30"/>
      <c r="CA563" s="30"/>
      <c r="CB563" s="30"/>
      <c r="CC563" s="30"/>
      <c r="CD563" s="30"/>
      <c r="CE563" s="30"/>
      <c r="CF563" s="30"/>
      <c r="CG563" s="30"/>
      <c r="CH563" s="30"/>
      <c r="CI563" s="30"/>
      <c r="CJ563" s="30"/>
      <c r="CK563" s="30"/>
      <c r="CL563" s="30"/>
      <c r="CM563" s="30"/>
      <c r="CN563" s="30"/>
      <c r="CO563" s="30"/>
      <c r="CP563" s="30"/>
      <c r="CQ563" s="30"/>
      <c r="CR563" s="30"/>
      <c r="CS563" s="30"/>
      <c r="CT563" s="30"/>
      <c r="CU563" s="30"/>
      <c r="CV563" s="30"/>
      <c r="CW563" s="30"/>
      <c r="CX563" s="30"/>
      <c r="CY563" s="30"/>
      <c r="CZ563" s="30"/>
      <c r="DA563" s="30"/>
      <c r="DB563" s="30"/>
      <c r="DC563" s="30"/>
      <c r="DD563" s="30"/>
      <c r="DE563" s="30"/>
      <c r="DF563" s="30"/>
      <c r="DG563" s="30"/>
      <c r="DH563" s="30"/>
      <c r="DI563" s="30"/>
      <c r="DJ563" s="30"/>
      <c r="DK563" s="30"/>
      <c r="DL563" s="30"/>
      <c r="DM563" s="30"/>
      <c r="DN563" s="30"/>
      <c r="DO563" s="30"/>
      <c r="DP563" s="30"/>
      <c r="DQ563" s="30"/>
      <c r="DR563" s="30"/>
      <c r="DS563" s="30"/>
      <c r="DT563" s="30"/>
      <c r="DU563" s="30"/>
      <c r="DV563" s="30"/>
      <c r="DW563" s="30"/>
    </row>
    <row r="564" spans="1:127" ht="13">
      <c r="A564" s="39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  <c r="BS564" s="30"/>
      <c r="BT564" s="30"/>
      <c r="BU564" s="30"/>
      <c r="BV564" s="30"/>
      <c r="BW564" s="30"/>
      <c r="BX564" s="30"/>
      <c r="BY564" s="30"/>
      <c r="BZ564" s="30"/>
      <c r="CA564" s="30"/>
      <c r="CB564" s="30"/>
      <c r="CC564" s="30"/>
      <c r="CD564" s="30"/>
      <c r="CE564" s="30"/>
      <c r="CF564" s="30"/>
      <c r="CG564" s="30"/>
      <c r="CH564" s="30"/>
      <c r="CI564" s="30"/>
      <c r="CJ564" s="30"/>
      <c r="CK564" s="30"/>
      <c r="CL564" s="30"/>
      <c r="CM564" s="30"/>
      <c r="CN564" s="30"/>
      <c r="CO564" s="30"/>
      <c r="CP564" s="30"/>
      <c r="CQ564" s="30"/>
      <c r="CR564" s="30"/>
      <c r="CS564" s="30"/>
      <c r="CT564" s="30"/>
      <c r="CU564" s="30"/>
      <c r="CV564" s="30"/>
      <c r="CW564" s="30"/>
      <c r="CX564" s="30"/>
      <c r="CY564" s="30"/>
      <c r="CZ564" s="30"/>
      <c r="DA564" s="30"/>
      <c r="DB564" s="30"/>
      <c r="DC564" s="30"/>
      <c r="DD564" s="30"/>
      <c r="DE564" s="30"/>
      <c r="DF564" s="30"/>
      <c r="DG564" s="30"/>
      <c r="DH564" s="30"/>
      <c r="DI564" s="30"/>
      <c r="DJ564" s="30"/>
      <c r="DK564" s="30"/>
      <c r="DL564" s="30"/>
      <c r="DM564" s="30"/>
      <c r="DN564" s="30"/>
      <c r="DO564" s="30"/>
      <c r="DP564" s="30"/>
      <c r="DQ564" s="30"/>
      <c r="DR564" s="30"/>
      <c r="DS564" s="30"/>
      <c r="DT564" s="30"/>
      <c r="DU564" s="30"/>
      <c r="DV564" s="30"/>
      <c r="DW564" s="30"/>
    </row>
    <row r="565" spans="1:127" ht="13">
      <c r="A565" s="39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  <c r="BS565" s="30"/>
      <c r="BT565" s="30"/>
      <c r="BU565" s="30"/>
      <c r="BV565" s="30"/>
      <c r="BW565" s="30"/>
      <c r="BX565" s="30"/>
      <c r="BY565" s="30"/>
      <c r="BZ565" s="30"/>
      <c r="CA565" s="30"/>
      <c r="CB565" s="30"/>
      <c r="CC565" s="30"/>
      <c r="CD565" s="30"/>
      <c r="CE565" s="30"/>
      <c r="CF565" s="30"/>
      <c r="CG565" s="30"/>
      <c r="CH565" s="30"/>
      <c r="CI565" s="30"/>
      <c r="CJ565" s="30"/>
      <c r="CK565" s="30"/>
      <c r="CL565" s="30"/>
      <c r="CM565" s="30"/>
      <c r="CN565" s="30"/>
      <c r="CO565" s="30"/>
      <c r="CP565" s="30"/>
      <c r="CQ565" s="30"/>
      <c r="CR565" s="30"/>
      <c r="CS565" s="30"/>
      <c r="CT565" s="30"/>
      <c r="CU565" s="30"/>
      <c r="CV565" s="30"/>
      <c r="CW565" s="30"/>
      <c r="CX565" s="30"/>
      <c r="CY565" s="30"/>
      <c r="CZ565" s="30"/>
      <c r="DA565" s="30"/>
      <c r="DB565" s="30"/>
      <c r="DC565" s="30"/>
      <c r="DD565" s="30"/>
      <c r="DE565" s="30"/>
      <c r="DF565" s="30"/>
      <c r="DG565" s="30"/>
      <c r="DH565" s="30"/>
      <c r="DI565" s="30"/>
      <c r="DJ565" s="30"/>
      <c r="DK565" s="30"/>
      <c r="DL565" s="30"/>
      <c r="DM565" s="30"/>
      <c r="DN565" s="30"/>
      <c r="DO565" s="30"/>
      <c r="DP565" s="30"/>
      <c r="DQ565" s="30"/>
      <c r="DR565" s="30"/>
      <c r="DS565" s="30"/>
      <c r="DT565" s="30"/>
      <c r="DU565" s="30"/>
      <c r="DV565" s="30"/>
      <c r="DW565" s="30"/>
    </row>
    <row r="566" spans="1:127" ht="13">
      <c r="A566" s="39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  <c r="BS566" s="30"/>
      <c r="BT566" s="30"/>
      <c r="BU566" s="30"/>
      <c r="BV566" s="30"/>
      <c r="BW566" s="30"/>
      <c r="BX566" s="30"/>
      <c r="BY566" s="30"/>
      <c r="BZ566" s="30"/>
      <c r="CA566" s="30"/>
      <c r="CB566" s="30"/>
      <c r="CC566" s="30"/>
      <c r="CD566" s="30"/>
      <c r="CE566" s="30"/>
      <c r="CF566" s="30"/>
      <c r="CG566" s="30"/>
      <c r="CH566" s="30"/>
      <c r="CI566" s="30"/>
      <c r="CJ566" s="30"/>
      <c r="CK566" s="30"/>
      <c r="CL566" s="30"/>
      <c r="CM566" s="30"/>
      <c r="CN566" s="30"/>
      <c r="CO566" s="30"/>
      <c r="CP566" s="30"/>
      <c r="CQ566" s="30"/>
      <c r="CR566" s="30"/>
      <c r="CS566" s="30"/>
      <c r="CT566" s="30"/>
      <c r="CU566" s="30"/>
      <c r="CV566" s="30"/>
      <c r="CW566" s="30"/>
      <c r="CX566" s="30"/>
      <c r="CY566" s="30"/>
      <c r="CZ566" s="30"/>
      <c r="DA566" s="30"/>
      <c r="DB566" s="30"/>
      <c r="DC566" s="30"/>
      <c r="DD566" s="30"/>
      <c r="DE566" s="30"/>
      <c r="DF566" s="30"/>
      <c r="DG566" s="30"/>
      <c r="DH566" s="30"/>
      <c r="DI566" s="30"/>
      <c r="DJ566" s="30"/>
      <c r="DK566" s="30"/>
      <c r="DL566" s="30"/>
      <c r="DM566" s="30"/>
      <c r="DN566" s="30"/>
      <c r="DO566" s="30"/>
      <c r="DP566" s="30"/>
      <c r="DQ566" s="30"/>
      <c r="DR566" s="30"/>
      <c r="DS566" s="30"/>
      <c r="DT566" s="30"/>
      <c r="DU566" s="30"/>
      <c r="DV566" s="30"/>
      <c r="DW566" s="30"/>
    </row>
    <row r="567" spans="1:127" ht="13">
      <c r="A567" s="39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  <c r="BS567" s="30"/>
      <c r="BT567" s="30"/>
      <c r="BU567" s="30"/>
      <c r="BV567" s="30"/>
      <c r="BW567" s="30"/>
      <c r="BX567" s="30"/>
      <c r="BY567" s="30"/>
      <c r="BZ567" s="30"/>
      <c r="CA567" s="30"/>
      <c r="CB567" s="30"/>
      <c r="CC567" s="30"/>
      <c r="CD567" s="30"/>
      <c r="CE567" s="30"/>
      <c r="CF567" s="30"/>
      <c r="CG567" s="30"/>
      <c r="CH567" s="30"/>
      <c r="CI567" s="30"/>
      <c r="CJ567" s="30"/>
      <c r="CK567" s="30"/>
      <c r="CL567" s="30"/>
      <c r="CM567" s="30"/>
      <c r="CN567" s="30"/>
      <c r="CO567" s="30"/>
      <c r="CP567" s="30"/>
      <c r="CQ567" s="30"/>
      <c r="CR567" s="30"/>
      <c r="CS567" s="30"/>
      <c r="CT567" s="30"/>
      <c r="CU567" s="30"/>
      <c r="CV567" s="30"/>
      <c r="CW567" s="30"/>
      <c r="CX567" s="30"/>
      <c r="CY567" s="30"/>
      <c r="CZ567" s="30"/>
      <c r="DA567" s="30"/>
      <c r="DB567" s="30"/>
      <c r="DC567" s="30"/>
      <c r="DD567" s="30"/>
      <c r="DE567" s="30"/>
      <c r="DF567" s="30"/>
      <c r="DG567" s="30"/>
      <c r="DH567" s="30"/>
      <c r="DI567" s="30"/>
      <c r="DJ567" s="30"/>
      <c r="DK567" s="30"/>
      <c r="DL567" s="30"/>
      <c r="DM567" s="30"/>
      <c r="DN567" s="30"/>
      <c r="DO567" s="30"/>
      <c r="DP567" s="30"/>
      <c r="DQ567" s="30"/>
      <c r="DR567" s="30"/>
      <c r="DS567" s="30"/>
      <c r="DT567" s="30"/>
      <c r="DU567" s="30"/>
      <c r="DV567" s="30"/>
      <c r="DW567" s="30"/>
    </row>
    <row r="568" spans="1:127" ht="13">
      <c r="A568" s="39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  <c r="BS568" s="30"/>
      <c r="BT568" s="30"/>
      <c r="BU568" s="30"/>
      <c r="BV568" s="30"/>
      <c r="BW568" s="30"/>
      <c r="BX568" s="30"/>
      <c r="BY568" s="30"/>
      <c r="BZ568" s="30"/>
      <c r="CA568" s="30"/>
      <c r="CB568" s="30"/>
      <c r="CC568" s="30"/>
      <c r="CD568" s="30"/>
      <c r="CE568" s="30"/>
      <c r="CF568" s="30"/>
      <c r="CG568" s="30"/>
      <c r="CH568" s="30"/>
      <c r="CI568" s="30"/>
      <c r="CJ568" s="30"/>
      <c r="CK568" s="30"/>
      <c r="CL568" s="30"/>
      <c r="CM568" s="30"/>
      <c r="CN568" s="30"/>
      <c r="CO568" s="30"/>
      <c r="CP568" s="30"/>
      <c r="CQ568" s="30"/>
      <c r="CR568" s="30"/>
      <c r="CS568" s="30"/>
      <c r="CT568" s="30"/>
      <c r="CU568" s="30"/>
      <c r="CV568" s="30"/>
      <c r="CW568" s="30"/>
      <c r="CX568" s="30"/>
      <c r="CY568" s="30"/>
      <c r="CZ568" s="30"/>
      <c r="DA568" s="30"/>
      <c r="DB568" s="30"/>
      <c r="DC568" s="30"/>
      <c r="DD568" s="30"/>
      <c r="DE568" s="30"/>
      <c r="DF568" s="30"/>
      <c r="DG568" s="30"/>
      <c r="DH568" s="30"/>
      <c r="DI568" s="30"/>
      <c r="DJ568" s="30"/>
      <c r="DK568" s="30"/>
      <c r="DL568" s="30"/>
      <c r="DM568" s="30"/>
      <c r="DN568" s="30"/>
      <c r="DO568" s="30"/>
      <c r="DP568" s="30"/>
      <c r="DQ568" s="30"/>
      <c r="DR568" s="30"/>
      <c r="DS568" s="30"/>
      <c r="DT568" s="30"/>
      <c r="DU568" s="30"/>
      <c r="DV568" s="30"/>
      <c r="DW568" s="30"/>
    </row>
    <row r="569" spans="1:127" ht="13">
      <c r="A569" s="39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  <c r="BS569" s="30"/>
      <c r="BT569" s="30"/>
      <c r="BU569" s="30"/>
      <c r="BV569" s="30"/>
      <c r="BW569" s="30"/>
      <c r="BX569" s="30"/>
      <c r="BY569" s="30"/>
      <c r="BZ569" s="30"/>
      <c r="CA569" s="30"/>
      <c r="CB569" s="30"/>
      <c r="CC569" s="30"/>
      <c r="CD569" s="30"/>
      <c r="CE569" s="30"/>
      <c r="CF569" s="30"/>
      <c r="CG569" s="30"/>
      <c r="CH569" s="30"/>
      <c r="CI569" s="30"/>
      <c r="CJ569" s="30"/>
      <c r="CK569" s="30"/>
      <c r="CL569" s="30"/>
      <c r="CM569" s="30"/>
      <c r="CN569" s="30"/>
      <c r="CO569" s="30"/>
      <c r="CP569" s="30"/>
      <c r="CQ569" s="30"/>
      <c r="CR569" s="30"/>
      <c r="CS569" s="30"/>
      <c r="CT569" s="30"/>
      <c r="CU569" s="30"/>
      <c r="CV569" s="30"/>
      <c r="CW569" s="30"/>
      <c r="CX569" s="30"/>
      <c r="CY569" s="30"/>
      <c r="CZ569" s="30"/>
      <c r="DA569" s="30"/>
      <c r="DB569" s="30"/>
      <c r="DC569" s="30"/>
      <c r="DD569" s="30"/>
      <c r="DE569" s="30"/>
      <c r="DF569" s="30"/>
      <c r="DG569" s="30"/>
      <c r="DH569" s="30"/>
      <c r="DI569" s="30"/>
      <c r="DJ569" s="30"/>
      <c r="DK569" s="30"/>
      <c r="DL569" s="30"/>
      <c r="DM569" s="30"/>
      <c r="DN569" s="30"/>
      <c r="DO569" s="30"/>
      <c r="DP569" s="30"/>
      <c r="DQ569" s="30"/>
      <c r="DR569" s="30"/>
      <c r="DS569" s="30"/>
      <c r="DT569" s="30"/>
      <c r="DU569" s="30"/>
      <c r="DV569" s="30"/>
      <c r="DW569" s="30"/>
    </row>
    <row r="570" spans="1:127" ht="13">
      <c r="A570" s="39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  <c r="BS570" s="30"/>
      <c r="BT570" s="30"/>
      <c r="BU570" s="30"/>
      <c r="BV570" s="30"/>
      <c r="BW570" s="30"/>
      <c r="BX570" s="30"/>
      <c r="BY570" s="30"/>
      <c r="BZ570" s="30"/>
      <c r="CA570" s="30"/>
      <c r="CB570" s="30"/>
      <c r="CC570" s="30"/>
      <c r="CD570" s="30"/>
      <c r="CE570" s="30"/>
      <c r="CF570" s="30"/>
      <c r="CG570" s="30"/>
      <c r="CH570" s="30"/>
      <c r="CI570" s="30"/>
      <c r="CJ570" s="30"/>
      <c r="CK570" s="30"/>
      <c r="CL570" s="30"/>
      <c r="CM570" s="30"/>
      <c r="CN570" s="30"/>
      <c r="CO570" s="30"/>
      <c r="CP570" s="30"/>
      <c r="CQ570" s="30"/>
      <c r="CR570" s="30"/>
      <c r="CS570" s="30"/>
      <c r="CT570" s="30"/>
      <c r="CU570" s="30"/>
      <c r="CV570" s="30"/>
      <c r="CW570" s="30"/>
      <c r="CX570" s="30"/>
      <c r="CY570" s="30"/>
      <c r="CZ570" s="30"/>
      <c r="DA570" s="30"/>
      <c r="DB570" s="30"/>
      <c r="DC570" s="30"/>
      <c r="DD570" s="30"/>
      <c r="DE570" s="30"/>
      <c r="DF570" s="30"/>
      <c r="DG570" s="30"/>
      <c r="DH570" s="30"/>
      <c r="DI570" s="30"/>
      <c r="DJ570" s="30"/>
      <c r="DK570" s="30"/>
      <c r="DL570" s="30"/>
      <c r="DM570" s="30"/>
      <c r="DN570" s="30"/>
      <c r="DO570" s="30"/>
      <c r="DP570" s="30"/>
      <c r="DQ570" s="30"/>
      <c r="DR570" s="30"/>
      <c r="DS570" s="30"/>
      <c r="DT570" s="30"/>
      <c r="DU570" s="30"/>
      <c r="DV570" s="30"/>
      <c r="DW570" s="30"/>
    </row>
    <row r="571" spans="1:127" ht="13">
      <c r="A571" s="39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  <c r="BS571" s="30"/>
      <c r="BT571" s="30"/>
      <c r="BU571" s="30"/>
      <c r="BV571" s="30"/>
      <c r="BW571" s="30"/>
      <c r="BX571" s="30"/>
      <c r="BY571" s="30"/>
      <c r="BZ571" s="30"/>
      <c r="CA571" s="30"/>
      <c r="CB571" s="30"/>
      <c r="CC571" s="30"/>
      <c r="CD571" s="30"/>
      <c r="CE571" s="30"/>
      <c r="CF571" s="30"/>
      <c r="CG571" s="30"/>
      <c r="CH571" s="30"/>
      <c r="CI571" s="30"/>
      <c r="CJ571" s="30"/>
      <c r="CK571" s="30"/>
      <c r="CL571" s="30"/>
      <c r="CM571" s="30"/>
      <c r="CN571" s="30"/>
      <c r="CO571" s="30"/>
      <c r="CP571" s="30"/>
      <c r="CQ571" s="30"/>
      <c r="CR571" s="30"/>
      <c r="CS571" s="30"/>
      <c r="CT571" s="30"/>
      <c r="CU571" s="30"/>
      <c r="CV571" s="30"/>
      <c r="CW571" s="30"/>
      <c r="CX571" s="30"/>
      <c r="CY571" s="30"/>
      <c r="CZ571" s="30"/>
      <c r="DA571" s="30"/>
      <c r="DB571" s="30"/>
      <c r="DC571" s="30"/>
      <c r="DD571" s="30"/>
      <c r="DE571" s="30"/>
      <c r="DF571" s="30"/>
      <c r="DG571" s="30"/>
      <c r="DH571" s="30"/>
      <c r="DI571" s="30"/>
      <c r="DJ571" s="30"/>
      <c r="DK571" s="30"/>
      <c r="DL571" s="30"/>
      <c r="DM571" s="30"/>
      <c r="DN571" s="30"/>
      <c r="DO571" s="30"/>
      <c r="DP571" s="30"/>
      <c r="DQ571" s="30"/>
      <c r="DR571" s="30"/>
      <c r="DS571" s="30"/>
      <c r="DT571" s="30"/>
      <c r="DU571" s="30"/>
      <c r="DV571" s="30"/>
      <c r="DW571" s="30"/>
    </row>
    <row r="572" spans="1:127" ht="13">
      <c r="A572" s="39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  <c r="BS572" s="30"/>
      <c r="BT572" s="30"/>
      <c r="BU572" s="30"/>
      <c r="BV572" s="30"/>
      <c r="BW572" s="30"/>
      <c r="BX572" s="30"/>
      <c r="BY572" s="30"/>
      <c r="BZ572" s="30"/>
      <c r="CA572" s="30"/>
      <c r="CB572" s="30"/>
      <c r="CC572" s="30"/>
      <c r="CD572" s="30"/>
      <c r="CE572" s="30"/>
      <c r="CF572" s="30"/>
      <c r="CG572" s="30"/>
      <c r="CH572" s="30"/>
      <c r="CI572" s="30"/>
      <c r="CJ572" s="30"/>
      <c r="CK572" s="30"/>
      <c r="CL572" s="30"/>
      <c r="CM572" s="30"/>
      <c r="CN572" s="30"/>
      <c r="CO572" s="30"/>
      <c r="CP572" s="30"/>
      <c r="CQ572" s="30"/>
      <c r="CR572" s="30"/>
      <c r="CS572" s="30"/>
      <c r="CT572" s="30"/>
      <c r="CU572" s="30"/>
      <c r="CV572" s="30"/>
      <c r="CW572" s="30"/>
      <c r="CX572" s="30"/>
      <c r="CY572" s="30"/>
      <c r="CZ572" s="30"/>
      <c r="DA572" s="30"/>
      <c r="DB572" s="30"/>
      <c r="DC572" s="30"/>
      <c r="DD572" s="30"/>
      <c r="DE572" s="30"/>
      <c r="DF572" s="30"/>
      <c r="DG572" s="30"/>
      <c r="DH572" s="30"/>
      <c r="DI572" s="30"/>
      <c r="DJ572" s="30"/>
      <c r="DK572" s="30"/>
      <c r="DL572" s="30"/>
      <c r="DM572" s="30"/>
      <c r="DN572" s="30"/>
      <c r="DO572" s="30"/>
      <c r="DP572" s="30"/>
      <c r="DQ572" s="30"/>
      <c r="DR572" s="30"/>
      <c r="DS572" s="30"/>
      <c r="DT572" s="30"/>
      <c r="DU572" s="30"/>
      <c r="DV572" s="30"/>
      <c r="DW572" s="30"/>
    </row>
    <row r="573" spans="1:127" ht="13">
      <c r="A573" s="39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  <c r="BU573" s="30"/>
      <c r="BV573" s="30"/>
      <c r="BW573" s="30"/>
      <c r="BX573" s="30"/>
      <c r="BY573" s="30"/>
      <c r="BZ573" s="30"/>
      <c r="CA573" s="30"/>
      <c r="CB573" s="30"/>
      <c r="CC573" s="30"/>
      <c r="CD573" s="30"/>
      <c r="CE573" s="30"/>
      <c r="CF573" s="30"/>
      <c r="CG573" s="30"/>
      <c r="CH573" s="30"/>
      <c r="CI573" s="30"/>
      <c r="CJ573" s="30"/>
      <c r="CK573" s="30"/>
      <c r="CL573" s="30"/>
      <c r="CM573" s="30"/>
      <c r="CN573" s="30"/>
      <c r="CO573" s="30"/>
      <c r="CP573" s="30"/>
      <c r="CQ573" s="30"/>
      <c r="CR573" s="30"/>
      <c r="CS573" s="30"/>
      <c r="CT573" s="30"/>
      <c r="CU573" s="30"/>
      <c r="CV573" s="30"/>
      <c r="CW573" s="30"/>
      <c r="CX573" s="30"/>
      <c r="CY573" s="30"/>
      <c r="CZ573" s="30"/>
      <c r="DA573" s="30"/>
      <c r="DB573" s="30"/>
      <c r="DC573" s="30"/>
      <c r="DD573" s="30"/>
      <c r="DE573" s="30"/>
      <c r="DF573" s="30"/>
      <c r="DG573" s="30"/>
      <c r="DH573" s="30"/>
      <c r="DI573" s="30"/>
      <c r="DJ573" s="30"/>
      <c r="DK573" s="30"/>
      <c r="DL573" s="30"/>
      <c r="DM573" s="30"/>
      <c r="DN573" s="30"/>
      <c r="DO573" s="30"/>
      <c r="DP573" s="30"/>
      <c r="DQ573" s="30"/>
      <c r="DR573" s="30"/>
      <c r="DS573" s="30"/>
      <c r="DT573" s="30"/>
      <c r="DU573" s="30"/>
      <c r="DV573" s="30"/>
      <c r="DW573" s="30"/>
    </row>
    <row r="574" spans="1:127" ht="13">
      <c r="A574" s="39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  <c r="BS574" s="30"/>
      <c r="BT574" s="30"/>
      <c r="BU574" s="30"/>
      <c r="BV574" s="30"/>
      <c r="BW574" s="30"/>
      <c r="BX574" s="30"/>
      <c r="BY574" s="30"/>
      <c r="BZ574" s="30"/>
      <c r="CA574" s="30"/>
      <c r="CB574" s="30"/>
      <c r="CC574" s="30"/>
      <c r="CD574" s="30"/>
      <c r="CE574" s="30"/>
      <c r="CF574" s="30"/>
      <c r="CG574" s="30"/>
      <c r="CH574" s="30"/>
      <c r="CI574" s="30"/>
      <c r="CJ574" s="30"/>
      <c r="CK574" s="30"/>
      <c r="CL574" s="30"/>
      <c r="CM574" s="30"/>
      <c r="CN574" s="30"/>
      <c r="CO574" s="30"/>
      <c r="CP574" s="30"/>
      <c r="CQ574" s="30"/>
      <c r="CR574" s="30"/>
      <c r="CS574" s="30"/>
      <c r="CT574" s="30"/>
      <c r="CU574" s="30"/>
      <c r="CV574" s="30"/>
      <c r="CW574" s="30"/>
      <c r="CX574" s="30"/>
      <c r="CY574" s="30"/>
      <c r="CZ574" s="30"/>
      <c r="DA574" s="30"/>
      <c r="DB574" s="30"/>
      <c r="DC574" s="30"/>
      <c r="DD574" s="30"/>
      <c r="DE574" s="30"/>
      <c r="DF574" s="30"/>
      <c r="DG574" s="30"/>
      <c r="DH574" s="30"/>
      <c r="DI574" s="30"/>
      <c r="DJ574" s="30"/>
      <c r="DK574" s="30"/>
      <c r="DL574" s="30"/>
      <c r="DM574" s="30"/>
      <c r="DN574" s="30"/>
      <c r="DO574" s="30"/>
      <c r="DP574" s="30"/>
      <c r="DQ574" s="30"/>
      <c r="DR574" s="30"/>
      <c r="DS574" s="30"/>
      <c r="DT574" s="30"/>
      <c r="DU574" s="30"/>
      <c r="DV574" s="30"/>
      <c r="DW574" s="30"/>
    </row>
    <row r="575" spans="1:127" ht="13">
      <c r="A575" s="39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  <c r="BS575" s="30"/>
      <c r="BT575" s="30"/>
      <c r="BU575" s="30"/>
      <c r="BV575" s="30"/>
      <c r="BW575" s="30"/>
      <c r="BX575" s="30"/>
      <c r="BY575" s="30"/>
      <c r="BZ575" s="30"/>
      <c r="CA575" s="30"/>
      <c r="CB575" s="30"/>
      <c r="CC575" s="30"/>
      <c r="CD575" s="30"/>
      <c r="CE575" s="30"/>
      <c r="CF575" s="30"/>
      <c r="CG575" s="30"/>
      <c r="CH575" s="30"/>
      <c r="CI575" s="30"/>
      <c r="CJ575" s="30"/>
      <c r="CK575" s="30"/>
      <c r="CL575" s="30"/>
      <c r="CM575" s="30"/>
      <c r="CN575" s="30"/>
      <c r="CO575" s="30"/>
      <c r="CP575" s="30"/>
      <c r="CQ575" s="30"/>
      <c r="CR575" s="30"/>
      <c r="CS575" s="30"/>
      <c r="CT575" s="30"/>
      <c r="CU575" s="30"/>
      <c r="CV575" s="30"/>
      <c r="CW575" s="30"/>
      <c r="CX575" s="30"/>
      <c r="CY575" s="30"/>
      <c r="CZ575" s="30"/>
      <c r="DA575" s="30"/>
      <c r="DB575" s="30"/>
      <c r="DC575" s="30"/>
      <c r="DD575" s="30"/>
      <c r="DE575" s="30"/>
      <c r="DF575" s="30"/>
      <c r="DG575" s="30"/>
      <c r="DH575" s="30"/>
      <c r="DI575" s="30"/>
      <c r="DJ575" s="30"/>
      <c r="DK575" s="30"/>
      <c r="DL575" s="30"/>
      <c r="DM575" s="30"/>
      <c r="DN575" s="30"/>
      <c r="DO575" s="30"/>
      <c r="DP575" s="30"/>
      <c r="DQ575" s="30"/>
      <c r="DR575" s="30"/>
      <c r="DS575" s="30"/>
      <c r="DT575" s="30"/>
      <c r="DU575" s="30"/>
      <c r="DV575" s="30"/>
      <c r="DW575" s="30"/>
    </row>
    <row r="576" spans="1:127" ht="13">
      <c r="A576" s="39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  <c r="BS576" s="30"/>
      <c r="BT576" s="30"/>
      <c r="BU576" s="30"/>
      <c r="BV576" s="30"/>
      <c r="BW576" s="30"/>
      <c r="BX576" s="30"/>
      <c r="BY576" s="30"/>
      <c r="BZ576" s="30"/>
      <c r="CA576" s="30"/>
      <c r="CB576" s="30"/>
      <c r="CC576" s="30"/>
      <c r="CD576" s="30"/>
      <c r="CE576" s="30"/>
      <c r="CF576" s="30"/>
      <c r="CG576" s="30"/>
      <c r="CH576" s="30"/>
      <c r="CI576" s="30"/>
      <c r="CJ576" s="30"/>
      <c r="CK576" s="30"/>
      <c r="CL576" s="30"/>
      <c r="CM576" s="30"/>
      <c r="CN576" s="30"/>
      <c r="CO576" s="30"/>
      <c r="CP576" s="30"/>
      <c r="CQ576" s="30"/>
      <c r="CR576" s="30"/>
      <c r="CS576" s="30"/>
      <c r="CT576" s="30"/>
      <c r="CU576" s="30"/>
      <c r="CV576" s="30"/>
      <c r="CW576" s="30"/>
      <c r="CX576" s="30"/>
      <c r="CY576" s="30"/>
      <c r="CZ576" s="30"/>
      <c r="DA576" s="30"/>
      <c r="DB576" s="30"/>
      <c r="DC576" s="30"/>
      <c r="DD576" s="30"/>
      <c r="DE576" s="30"/>
      <c r="DF576" s="30"/>
      <c r="DG576" s="30"/>
      <c r="DH576" s="30"/>
      <c r="DI576" s="30"/>
      <c r="DJ576" s="30"/>
      <c r="DK576" s="30"/>
      <c r="DL576" s="30"/>
      <c r="DM576" s="30"/>
      <c r="DN576" s="30"/>
      <c r="DO576" s="30"/>
      <c r="DP576" s="30"/>
      <c r="DQ576" s="30"/>
      <c r="DR576" s="30"/>
      <c r="DS576" s="30"/>
      <c r="DT576" s="30"/>
      <c r="DU576" s="30"/>
      <c r="DV576" s="30"/>
      <c r="DW576" s="30"/>
    </row>
    <row r="577" spans="1:127" ht="13">
      <c r="A577" s="39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  <c r="BS577" s="30"/>
      <c r="BT577" s="30"/>
      <c r="BU577" s="30"/>
      <c r="BV577" s="30"/>
      <c r="BW577" s="30"/>
      <c r="BX577" s="30"/>
      <c r="BY577" s="30"/>
      <c r="BZ577" s="30"/>
      <c r="CA577" s="30"/>
      <c r="CB577" s="30"/>
      <c r="CC577" s="30"/>
      <c r="CD577" s="30"/>
      <c r="CE577" s="30"/>
      <c r="CF577" s="30"/>
      <c r="CG577" s="30"/>
      <c r="CH577" s="30"/>
      <c r="CI577" s="30"/>
      <c r="CJ577" s="30"/>
      <c r="CK577" s="30"/>
      <c r="CL577" s="30"/>
      <c r="CM577" s="30"/>
      <c r="CN577" s="30"/>
      <c r="CO577" s="30"/>
      <c r="CP577" s="30"/>
      <c r="CQ577" s="30"/>
      <c r="CR577" s="30"/>
      <c r="CS577" s="30"/>
      <c r="CT577" s="30"/>
      <c r="CU577" s="30"/>
      <c r="CV577" s="30"/>
      <c r="CW577" s="30"/>
      <c r="CX577" s="30"/>
      <c r="CY577" s="30"/>
      <c r="CZ577" s="30"/>
      <c r="DA577" s="30"/>
      <c r="DB577" s="30"/>
      <c r="DC577" s="30"/>
      <c r="DD577" s="30"/>
      <c r="DE577" s="30"/>
      <c r="DF577" s="30"/>
      <c r="DG577" s="30"/>
      <c r="DH577" s="30"/>
      <c r="DI577" s="30"/>
      <c r="DJ577" s="30"/>
      <c r="DK577" s="30"/>
      <c r="DL577" s="30"/>
      <c r="DM577" s="30"/>
      <c r="DN577" s="30"/>
      <c r="DO577" s="30"/>
      <c r="DP577" s="30"/>
      <c r="DQ577" s="30"/>
      <c r="DR577" s="30"/>
      <c r="DS577" s="30"/>
      <c r="DT577" s="30"/>
      <c r="DU577" s="30"/>
      <c r="DV577" s="30"/>
      <c r="DW577" s="30"/>
    </row>
    <row r="578" spans="1:127" ht="13">
      <c r="A578" s="39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  <c r="BV578" s="30"/>
      <c r="BW578" s="30"/>
      <c r="BX578" s="30"/>
      <c r="BY578" s="30"/>
      <c r="BZ578" s="30"/>
      <c r="CA578" s="30"/>
      <c r="CB578" s="30"/>
      <c r="CC578" s="30"/>
      <c r="CD578" s="30"/>
      <c r="CE578" s="30"/>
      <c r="CF578" s="30"/>
      <c r="CG578" s="30"/>
      <c r="CH578" s="30"/>
      <c r="CI578" s="30"/>
      <c r="CJ578" s="30"/>
      <c r="CK578" s="30"/>
      <c r="CL578" s="30"/>
      <c r="CM578" s="30"/>
      <c r="CN578" s="30"/>
      <c r="CO578" s="30"/>
      <c r="CP578" s="30"/>
      <c r="CQ578" s="30"/>
      <c r="CR578" s="30"/>
      <c r="CS578" s="30"/>
      <c r="CT578" s="30"/>
      <c r="CU578" s="30"/>
      <c r="CV578" s="30"/>
      <c r="CW578" s="30"/>
      <c r="CX578" s="30"/>
      <c r="CY578" s="30"/>
      <c r="CZ578" s="30"/>
      <c r="DA578" s="30"/>
      <c r="DB578" s="30"/>
      <c r="DC578" s="30"/>
      <c r="DD578" s="30"/>
      <c r="DE578" s="30"/>
      <c r="DF578" s="30"/>
      <c r="DG578" s="30"/>
      <c r="DH578" s="30"/>
      <c r="DI578" s="30"/>
      <c r="DJ578" s="30"/>
      <c r="DK578" s="30"/>
      <c r="DL578" s="30"/>
      <c r="DM578" s="30"/>
      <c r="DN578" s="30"/>
      <c r="DO578" s="30"/>
      <c r="DP578" s="30"/>
      <c r="DQ578" s="30"/>
      <c r="DR578" s="30"/>
      <c r="DS578" s="30"/>
      <c r="DT578" s="30"/>
      <c r="DU578" s="30"/>
      <c r="DV578" s="30"/>
      <c r="DW578" s="30"/>
    </row>
    <row r="579" spans="1:127" ht="13">
      <c r="A579" s="39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  <c r="BS579" s="30"/>
      <c r="BT579" s="30"/>
      <c r="BU579" s="30"/>
      <c r="BV579" s="30"/>
      <c r="BW579" s="30"/>
      <c r="BX579" s="30"/>
      <c r="BY579" s="30"/>
      <c r="BZ579" s="30"/>
      <c r="CA579" s="30"/>
      <c r="CB579" s="30"/>
      <c r="CC579" s="30"/>
      <c r="CD579" s="30"/>
      <c r="CE579" s="30"/>
      <c r="CF579" s="30"/>
      <c r="CG579" s="30"/>
      <c r="CH579" s="30"/>
      <c r="CI579" s="30"/>
      <c r="CJ579" s="30"/>
      <c r="CK579" s="30"/>
      <c r="CL579" s="30"/>
      <c r="CM579" s="30"/>
      <c r="CN579" s="30"/>
      <c r="CO579" s="30"/>
      <c r="CP579" s="30"/>
      <c r="CQ579" s="30"/>
      <c r="CR579" s="30"/>
      <c r="CS579" s="30"/>
      <c r="CT579" s="30"/>
      <c r="CU579" s="30"/>
      <c r="CV579" s="30"/>
      <c r="CW579" s="30"/>
      <c r="CX579" s="30"/>
      <c r="CY579" s="30"/>
      <c r="CZ579" s="30"/>
      <c r="DA579" s="30"/>
      <c r="DB579" s="30"/>
      <c r="DC579" s="30"/>
      <c r="DD579" s="30"/>
      <c r="DE579" s="30"/>
      <c r="DF579" s="30"/>
      <c r="DG579" s="30"/>
      <c r="DH579" s="30"/>
      <c r="DI579" s="30"/>
      <c r="DJ579" s="30"/>
      <c r="DK579" s="30"/>
      <c r="DL579" s="30"/>
      <c r="DM579" s="30"/>
      <c r="DN579" s="30"/>
      <c r="DO579" s="30"/>
      <c r="DP579" s="30"/>
      <c r="DQ579" s="30"/>
      <c r="DR579" s="30"/>
      <c r="DS579" s="30"/>
      <c r="DT579" s="30"/>
      <c r="DU579" s="30"/>
      <c r="DV579" s="30"/>
      <c r="DW579" s="30"/>
    </row>
    <row r="580" spans="1:127" ht="13">
      <c r="A580" s="39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  <c r="BS580" s="30"/>
      <c r="BT580" s="30"/>
      <c r="BU580" s="30"/>
      <c r="BV580" s="30"/>
      <c r="BW580" s="30"/>
      <c r="BX580" s="30"/>
      <c r="BY580" s="30"/>
      <c r="BZ580" s="30"/>
      <c r="CA580" s="30"/>
      <c r="CB580" s="30"/>
      <c r="CC580" s="30"/>
      <c r="CD580" s="30"/>
      <c r="CE580" s="30"/>
      <c r="CF580" s="30"/>
      <c r="CG580" s="30"/>
      <c r="CH580" s="30"/>
      <c r="CI580" s="30"/>
      <c r="CJ580" s="30"/>
      <c r="CK580" s="30"/>
      <c r="CL580" s="30"/>
      <c r="CM580" s="30"/>
      <c r="CN580" s="30"/>
      <c r="CO580" s="30"/>
      <c r="CP580" s="30"/>
      <c r="CQ580" s="30"/>
      <c r="CR580" s="30"/>
      <c r="CS580" s="30"/>
      <c r="CT580" s="30"/>
      <c r="CU580" s="30"/>
      <c r="CV580" s="30"/>
      <c r="CW580" s="30"/>
      <c r="CX580" s="30"/>
      <c r="CY580" s="30"/>
      <c r="CZ580" s="30"/>
      <c r="DA580" s="30"/>
      <c r="DB580" s="30"/>
      <c r="DC580" s="30"/>
      <c r="DD580" s="30"/>
      <c r="DE580" s="30"/>
      <c r="DF580" s="30"/>
      <c r="DG580" s="30"/>
      <c r="DH580" s="30"/>
      <c r="DI580" s="30"/>
      <c r="DJ580" s="30"/>
      <c r="DK580" s="30"/>
      <c r="DL580" s="30"/>
      <c r="DM580" s="30"/>
      <c r="DN580" s="30"/>
      <c r="DO580" s="30"/>
      <c r="DP580" s="30"/>
      <c r="DQ580" s="30"/>
      <c r="DR580" s="30"/>
      <c r="DS580" s="30"/>
      <c r="DT580" s="30"/>
      <c r="DU580" s="30"/>
      <c r="DV580" s="30"/>
      <c r="DW580" s="30"/>
    </row>
    <row r="581" spans="1:127" ht="13">
      <c r="A581" s="39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  <c r="BS581" s="30"/>
      <c r="BT581" s="30"/>
      <c r="BU581" s="30"/>
      <c r="BV581" s="30"/>
      <c r="BW581" s="30"/>
      <c r="BX581" s="30"/>
      <c r="BY581" s="30"/>
      <c r="BZ581" s="30"/>
      <c r="CA581" s="30"/>
      <c r="CB581" s="30"/>
      <c r="CC581" s="30"/>
      <c r="CD581" s="30"/>
      <c r="CE581" s="30"/>
      <c r="CF581" s="30"/>
      <c r="CG581" s="30"/>
      <c r="CH581" s="30"/>
      <c r="CI581" s="30"/>
      <c r="CJ581" s="30"/>
      <c r="CK581" s="30"/>
      <c r="CL581" s="30"/>
      <c r="CM581" s="30"/>
      <c r="CN581" s="30"/>
      <c r="CO581" s="30"/>
      <c r="CP581" s="30"/>
      <c r="CQ581" s="30"/>
      <c r="CR581" s="30"/>
      <c r="CS581" s="30"/>
      <c r="CT581" s="30"/>
      <c r="CU581" s="30"/>
      <c r="CV581" s="30"/>
      <c r="CW581" s="30"/>
      <c r="CX581" s="30"/>
      <c r="CY581" s="30"/>
      <c r="CZ581" s="30"/>
      <c r="DA581" s="30"/>
      <c r="DB581" s="30"/>
      <c r="DC581" s="30"/>
      <c r="DD581" s="30"/>
      <c r="DE581" s="30"/>
      <c r="DF581" s="30"/>
      <c r="DG581" s="30"/>
      <c r="DH581" s="30"/>
      <c r="DI581" s="30"/>
      <c r="DJ581" s="30"/>
      <c r="DK581" s="30"/>
      <c r="DL581" s="30"/>
      <c r="DM581" s="30"/>
      <c r="DN581" s="30"/>
      <c r="DO581" s="30"/>
      <c r="DP581" s="30"/>
      <c r="DQ581" s="30"/>
      <c r="DR581" s="30"/>
      <c r="DS581" s="30"/>
      <c r="DT581" s="30"/>
      <c r="DU581" s="30"/>
      <c r="DV581" s="30"/>
      <c r="DW581" s="30"/>
    </row>
    <row r="582" spans="1:127" ht="13">
      <c r="A582" s="39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  <c r="BS582" s="30"/>
      <c r="BT582" s="30"/>
      <c r="BU582" s="30"/>
      <c r="BV582" s="30"/>
      <c r="BW582" s="30"/>
      <c r="BX582" s="30"/>
      <c r="BY582" s="30"/>
      <c r="BZ582" s="30"/>
      <c r="CA582" s="30"/>
      <c r="CB582" s="30"/>
      <c r="CC582" s="30"/>
      <c r="CD582" s="30"/>
      <c r="CE582" s="30"/>
      <c r="CF582" s="30"/>
      <c r="CG582" s="30"/>
      <c r="CH582" s="30"/>
      <c r="CI582" s="30"/>
      <c r="CJ582" s="30"/>
      <c r="CK582" s="30"/>
      <c r="CL582" s="30"/>
      <c r="CM582" s="30"/>
      <c r="CN582" s="30"/>
      <c r="CO582" s="30"/>
      <c r="CP582" s="30"/>
      <c r="CQ582" s="30"/>
      <c r="CR582" s="30"/>
      <c r="CS582" s="30"/>
      <c r="CT582" s="30"/>
      <c r="CU582" s="30"/>
      <c r="CV582" s="30"/>
      <c r="CW582" s="30"/>
      <c r="CX582" s="30"/>
      <c r="CY582" s="30"/>
      <c r="CZ582" s="30"/>
      <c r="DA582" s="30"/>
      <c r="DB582" s="30"/>
      <c r="DC582" s="30"/>
      <c r="DD582" s="30"/>
      <c r="DE582" s="30"/>
      <c r="DF582" s="30"/>
      <c r="DG582" s="30"/>
      <c r="DH582" s="30"/>
      <c r="DI582" s="30"/>
      <c r="DJ582" s="30"/>
      <c r="DK582" s="30"/>
      <c r="DL582" s="30"/>
      <c r="DM582" s="30"/>
      <c r="DN582" s="30"/>
      <c r="DO582" s="30"/>
      <c r="DP582" s="30"/>
      <c r="DQ582" s="30"/>
      <c r="DR582" s="30"/>
      <c r="DS582" s="30"/>
      <c r="DT582" s="30"/>
      <c r="DU582" s="30"/>
      <c r="DV582" s="30"/>
      <c r="DW582" s="30"/>
    </row>
    <row r="583" spans="1:127" ht="13">
      <c r="A583" s="39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  <c r="BS583" s="30"/>
      <c r="BT583" s="30"/>
      <c r="BU583" s="30"/>
      <c r="BV583" s="30"/>
      <c r="BW583" s="30"/>
      <c r="BX583" s="30"/>
      <c r="BY583" s="30"/>
      <c r="BZ583" s="30"/>
      <c r="CA583" s="30"/>
      <c r="CB583" s="30"/>
      <c r="CC583" s="30"/>
      <c r="CD583" s="30"/>
      <c r="CE583" s="30"/>
      <c r="CF583" s="30"/>
      <c r="CG583" s="30"/>
      <c r="CH583" s="30"/>
      <c r="CI583" s="30"/>
      <c r="CJ583" s="30"/>
      <c r="CK583" s="30"/>
      <c r="CL583" s="30"/>
      <c r="CM583" s="30"/>
      <c r="CN583" s="30"/>
      <c r="CO583" s="30"/>
      <c r="CP583" s="30"/>
      <c r="CQ583" s="30"/>
      <c r="CR583" s="30"/>
      <c r="CS583" s="30"/>
      <c r="CT583" s="30"/>
      <c r="CU583" s="30"/>
      <c r="CV583" s="30"/>
      <c r="CW583" s="30"/>
      <c r="CX583" s="30"/>
      <c r="CY583" s="30"/>
      <c r="CZ583" s="30"/>
      <c r="DA583" s="30"/>
      <c r="DB583" s="30"/>
      <c r="DC583" s="30"/>
      <c r="DD583" s="30"/>
      <c r="DE583" s="30"/>
      <c r="DF583" s="30"/>
      <c r="DG583" s="30"/>
      <c r="DH583" s="30"/>
      <c r="DI583" s="30"/>
      <c r="DJ583" s="30"/>
      <c r="DK583" s="30"/>
      <c r="DL583" s="30"/>
      <c r="DM583" s="30"/>
      <c r="DN583" s="30"/>
      <c r="DO583" s="30"/>
      <c r="DP583" s="30"/>
      <c r="DQ583" s="30"/>
      <c r="DR583" s="30"/>
      <c r="DS583" s="30"/>
      <c r="DT583" s="30"/>
      <c r="DU583" s="30"/>
      <c r="DV583" s="30"/>
      <c r="DW583" s="30"/>
    </row>
    <row r="584" spans="1:127" ht="13">
      <c r="A584" s="39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  <c r="BS584" s="30"/>
      <c r="BT584" s="30"/>
      <c r="BU584" s="30"/>
      <c r="BV584" s="30"/>
      <c r="BW584" s="30"/>
      <c r="BX584" s="30"/>
      <c r="BY584" s="30"/>
      <c r="BZ584" s="30"/>
      <c r="CA584" s="30"/>
      <c r="CB584" s="30"/>
      <c r="CC584" s="30"/>
      <c r="CD584" s="30"/>
      <c r="CE584" s="30"/>
      <c r="CF584" s="30"/>
      <c r="CG584" s="30"/>
      <c r="CH584" s="30"/>
      <c r="CI584" s="30"/>
      <c r="CJ584" s="30"/>
      <c r="CK584" s="30"/>
      <c r="CL584" s="30"/>
      <c r="CM584" s="30"/>
      <c r="CN584" s="30"/>
      <c r="CO584" s="30"/>
      <c r="CP584" s="30"/>
      <c r="CQ584" s="30"/>
      <c r="CR584" s="30"/>
      <c r="CS584" s="30"/>
      <c r="CT584" s="30"/>
      <c r="CU584" s="30"/>
      <c r="CV584" s="30"/>
      <c r="CW584" s="30"/>
      <c r="CX584" s="30"/>
      <c r="CY584" s="30"/>
      <c r="CZ584" s="30"/>
      <c r="DA584" s="30"/>
      <c r="DB584" s="30"/>
      <c r="DC584" s="30"/>
      <c r="DD584" s="30"/>
      <c r="DE584" s="30"/>
      <c r="DF584" s="30"/>
      <c r="DG584" s="30"/>
      <c r="DH584" s="30"/>
      <c r="DI584" s="30"/>
      <c r="DJ584" s="30"/>
      <c r="DK584" s="30"/>
      <c r="DL584" s="30"/>
      <c r="DM584" s="30"/>
      <c r="DN584" s="30"/>
      <c r="DO584" s="30"/>
      <c r="DP584" s="30"/>
      <c r="DQ584" s="30"/>
      <c r="DR584" s="30"/>
      <c r="DS584" s="30"/>
      <c r="DT584" s="30"/>
      <c r="DU584" s="30"/>
      <c r="DV584" s="30"/>
      <c r="DW584" s="30"/>
    </row>
    <row r="585" spans="1:127" ht="13">
      <c r="A585" s="39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  <c r="BS585" s="30"/>
      <c r="BT585" s="30"/>
      <c r="BU585" s="30"/>
      <c r="BV585" s="30"/>
      <c r="BW585" s="30"/>
      <c r="BX585" s="30"/>
      <c r="BY585" s="30"/>
      <c r="BZ585" s="30"/>
      <c r="CA585" s="30"/>
      <c r="CB585" s="30"/>
      <c r="CC585" s="30"/>
      <c r="CD585" s="30"/>
      <c r="CE585" s="30"/>
      <c r="CF585" s="30"/>
      <c r="CG585" s="30"/>
      <c r="CH585" s="30"/>
      <c r="CI585" s="30"/>
      <c r="CJ585" s="30"/>
      <c r="CK585" s="30"/>
      <c r="CL585" s="30"/>
      <c r="CM585" s="30"/>
      <c r="CN585" s="30"/>
      <c r="CO585" s="30"/>
      <c r="CP585" s="30"/>
      <c r="CQ585" s="30"/>
      <c r="CR585" s="30"/>
      <c r="CS585" s="30"/>
      <c r="CT585" s="30"/>
      <c r="CU585" s="30"/>
      <c r="CV585" s="30"/>
      <c r="CW585" s="30"/>
      <c r="CX585" s="30"/>
      <c r="CY585" s="30"/>
      <c r="CZ585" s="30"/>
      <c r="DA585" s="30"/>
      <c r="DB585" s="30"/>
      <c r="DC585" s="30"/>
      <c r="DD585" s="30"/>
      <c r="DE585" s="30"/>
      <c r="DF585" s="30"/>
      <c r="DG585" s="30"/>
      <c r="DH585" s="30"/>
      <c r="DI585" s="30"/>
      <c r="DJ585" s="30"/>
      <c r="DK585" s="30"/>
      <c r="DL585" s="30"/>
      <c r="DM585" s="30"/>
      <c r="DN585" s="30"/>
      <c r="DO585" s="30"/>
      <c r="DP585" s="30"/>
      <c r="DQ585" s="30"/>
      <c r="DR585" s="30"/>
      <c r="DS585" s="30"/>
      <c r="DT585" s="30"/>
      <c r="DU585" s="30"/>
      <c r="DV585" s="30"/>
      <c r="DW585" s="30"/>
    </row>
    <row r="586" spans="1:127" ht="13">
      <c r="A586" s="39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  <c r="BS586" s="30"/>
      <c r="BT586" s="30"/>
      <c r="BU586" s="30"/>
      <c r="BV586" s="30"/>
      <c r="BW586" s="30"/>
      <c r="BX586" s="30"/>
      <c r="BY586" s="30"/>
      <c r="BZ586" s="30"/>
      <c r="CA586" s="30"/>
      <c r="CB586" s="30"/>
      <c r="CC586" s="30"/>
      <c r="CD586" s="30"/>
      <c r="CE586" s="30"/>
      <c r="CF586" s="30"/>
      <c r="CG586" s="30"/>
      <c r="CH586" s="30"/>
      <c r="CI586" s="30"/>
      <c r="CJ586" s="30"/>
      <c r="CK586" s="30"/>
      <c r="CL586" s="30"/>
      <c r="CM586" s="30"/>
      <c r="CN586" s="30"/>
      <c r="CO586" s="30"/>
      <c r="CP586" s="30"/>
      <c r="CQ586" s="30"/>
      <c r="CR586" s="30"/>
      <c r="CS586" s="30"/>
      <c r="CT586" s="30"/>
      <c r="CU586" s="30"/>
      <c r="CV586" s="30"/>
      <c r="CW586" s="30"/>
      <c r="CX586" s="30"/>
      <c r="CY586" s="30"/>
      <c r="CZ586" s="30"/>
      <c r="DA586" s="30"/>
      <c r="DB586" s="30"/>
      <c r="DC586" s="30"/>
      <c r="DD586" s="30"/>
      <c r="DE586" s="30"/>
      <c r="DF586" s="30"/>
      <c r="DG586" s="30"/>
      <c r="DH586" s="30"/>
      <c r="DI586" s="30"/>
      <c r="DJ586" s="30"/>
      <c r="DK586" s="30"/>
      <c r="DL586" s="30"/>
      <c r="DM586" s="30"/>
      <c r="DN586" s="30"/>
      <c r="DO586" s="30"/>
      <c r="DP586" s="30"/>
      <c r="DQ586" s="30"/>
      <c r="DR586" s="30"/>
      <c r="DS586" s="30"/>
      <c r="DT586" s="30"/>
      <c r="DU586" s="30"/>
      <c r="DV586" s="30"/>
      <c r="DW586" s="30"/>
    </row>
    <row r="587" spans="1:127" ht="13">
      <c r="A587" s="39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  <c r="BS587" s="30"/>
      <c r="BT587" s="30"/>
      <c r="BU587" s="30"/>
      <c r="BV587" s="30"/>
      <c r="BW587" s="30"/>
      <c r="BX587" s="30"/>
      <c r="BY587" s="30"/>
      <c r="BZ587" s="30"/>
      <c r="CA587" s="30"/>
      <c r="CB587" s="30"/>
      <c r="CC587" s="30"/>
      <c r="CD587" s="30"/>
      <c r="CE587" s="30"/>
      <c r="CF587" s="30"/>
      <c r="CG587" s="30"/>
      <c r="CH587" s="30"/>
      <c r="CI587" s="30"/>
      <c r="CJ587" s="30"/>
      <c r="CK587" s="30"/>
      <c r="CL587" s="30"/>
      <c r="CM587" s="30"/>
      <c r="CN587" s="30"/>
      <c r="CO587" s="30"/>
      <c r="CP587" s="30"/>
      <c r="CQ587" s="30"/>
      <c r="CR587" s="30"/>
      <c r="CS587" s="30"/>
      <c r="CT587" s="30"/>
      <c r="CU587" s="30"/>
      <c r="CV587" s="30"/>
      <c r="CW587" s="30"/>
      <c r="CX587" s="30"/>
      <c r="CY587" s="30"/>
      <c r="CZ587" s="30"/>
      <c r="DA587" s="30"/>
      <c r="DB587" s="30"/>
      <c r="DC587" s="30"/>
      <c r="DD587" s="30"/>
      <c r="DE587" s="30"/>
      <c r="DF587" s="30"/>
      <c r="DG587" s="30"/>
      <c r="DH587" s="30"/>
      <c r="DI587" s="30"/>
      <c r="DJ587" s="30"/>
      <c r="DK587" s="30"/>
      <c r="DL587" s="30"/>
      <c r="DM587" s="30"/>
      <c r="DN587" s="30"/>
      <c r="DO587" s="30"/>
      <c r="DP587" s="30"/>
      <c r="DQ587" s="30"/>
      <c r="DR587" s="30"/>
      <c r="DS587" s="30"/>
      <c r="DT587" s="30"/>
      <c r="DU587" s="30"/>
      <c r="DV587" s="30"/>
      <c r="DW587" s="30"/>
    </row>
    <row r="588" spans="1:127" ht="13">
      <c r="A588" s="39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  <c r="BS588" s="30"/>
      <c r="BT588" s="30"/>
      <c r="BU588" s="30"/>
      <c r="BV588" s="30"/>
      <c r="BW588" s="30"/>
      <c r="BX588" s="30"/>
      <c r="BY588" s="30"/>
      <c r="BZ588" s="30"/>
      <c r="CA588" s="30"/>
      <c r="CB588" s="30"/>
      <c r="CC588" s="30"/>
      <c r="CD588" s="30"/>
      <c r="CE588" s="30"/>
      <c r="CF588" s="30"/>
      <c r="CG588" s="30"/>
      <c r="CH588" s="30"/>
      <c r="CI588" s="30"/>
      <c r="CJ588" s="30"/>
      <c r="CK588" s="30"/>
      <c r="CL588" s="30"/>
      <c r="CM588" s="30"/>
      <c r="CN588" s="30"/>
      <c r="CO588" s="30"/>
      <c r="CP588" s="30"/>
      <c r="CQ588" s="30"/>
      <c r="CR588" s="30"/>
      <c r="CS588" s="30"/>
      <c r="CT588" s="30"/>
      <c r="CU588" s="30"/>
      <c r="CV588" s="30"/>
      <c r="CW588" s="30"/>
      <c r="CX588" s="30"/>
      <c r="CY588" s="30"/>
      <c r="CZ588" s="30"/>
      <c r="DA588" s="30"/>
      <c r="DB588" s="30"/>
      <c r="DC588" s="30"/>
      <c r="DD588" s="30"/>
      <c r="DE588" s="30"/>
      <c r="DF588" s="30"/>
      <c r="DG588" s="30"/>
      <c r="DH588" s="30"/>
      <c r="DI588" s="30"/>
      <c r="DJ588" s="30"/>
      <c r="DK588" s="30"/>
      <c r="DL588" s="30"/>
      <c r="DM588" s="30"/>
      <c r="DN588" s="30"/>
      <c r="DO588" s="30"/>
      <c r="DP588" s="30"/>
      <c r="DQ588" s="30"/>
      <c r="DR588" s="30"/>
      <c r="DS588" s="30"/>
      <c r="DT588" s="30"/>
      <c r="DU588" s="30"/>
      <c r="DV588" s="30"/>
      <c r="DW588" s="30"/>
    </row>
    <row r="589" spans="1:127" ht="13">
      <c r="A589" s="39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  <c r="BS589" s="30"/>
      <c r="BT589" s="30"/>
      <c r="BU589" s="30"/>
      <c r="BV589" s="30"/>
      <c r="BW589" s="30"/>
      <c r="BX589" s="30"/>
      <c r="BY589" s="30"/>
      <c r="BZ589" s="30"/>
      <c r="CA589" s="30"/>
      <c r="CB589" s="30"/>
      <c r="CC589" s="30"/>
      <c r="CD589" s="30"/>
      <c r="CE589" s="30"/>
      <c r="CF589" s="30"/>
      <c r="CG589" s="30"/>
      <c r="CH589" s="30"/>
      <c r="CI589" s="30"/>
      <c r="CJ589" s="30"/>
      <c r="CK589" s="30"/>
      <c r="CL589" s="30"/>
      <c r="CM589" s="30"/>
      <c r="CN589" s="30"/>
      <c r="CO589" s="30"/>
      <c r="CP589" s="30"/>
      <c r="CQ589" s="30"/>
      <c r="CR589" s="30"/>
      <c r="CS589" s="30"/>
      <c r="CT589" s="30"/>
      <c r="CU589" s="30"/>
      <c r="CV589" s="30"/>
      <c r="CW589" s="30"/>
      <c r="CX589" s="30"/>
      <c r="CY589" s="30"/>
      <c r="CZ589" s="30"/>
      <c r="DA589" s="30"/>
      <c r="DB589" s="30"/>
      <c r="DC589" s="30"/>
      <c r="DD589" s="30"/>
      <c r="DE589" s="30"/>
      <c r="DF589" s="30"/>
      <c r="DG589" s="30"/>
      <c r="DH589" s="30"/>
      <c r="DI589" s="30"/>
      <c r="DJ589" s="30"/>
      <c r="DK589" s="30"/>
      <c r="DL589" s="30"/>
      <c r="DM589" s="30"/>
      <c r="DN589" s="30"/>
      <c r="DO589" s="30"/>
      <c r="DP589" s="30"/>
      <c r="DQ589" s="30"/>
      <c r="DR589" s="30"/>
      <c r="DS589" s="30"/>
      <c r="DT589" s="30"/>
      <c r="DU589" s="30"/>
      <c r="DV589" s="30"/>
      <c r="DW589" s="30"/>
    </row>
    <row r="590" spans="1:127" ht="13">
      <c r="A590" s="39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  <c r="BU590" s="30"/>
      <c r="BV590" s="30"/>
      <c r="BW590" s="30"/>
      <c r="BX590" s="30"/>
      <c r="BY590" s="30"/>
      <c r="BZ590" s="30"/>
      <c r="CA590" s="30"/>
      <c r="CB590" s="30"/>
      <c r="CC590" s="30"/>
      <c r="CD590" s="30"/>
      <c r="CE590" s="30"/>
      <c r="CF590" s="30"/>
      <c r="CG590" s="30"/>
      <c r="CH590" s="30"/>
      <c r="CI590" s="30"/>
      <c r="CJ590" s="30"/>
      <c r="CK590" s="30"/>
      <c r="CL590" s="30"/>
      <c r="CM590" s="30"/>
      <c r="CN590" s="30"/>
      <c r="CO590" s="30"/>
      <c r="CP590" s="30"/>
      <c r="CQ590" s="30"/>
      <c r="CR590" s="30"/>
      <c r="CS590" s="30"/>
      <c r="CT590" s="30"/>
      <c r="CU590" s="30"/>
      <c r="CV590" s="30"/>
      <c r="CW590" s="30"/>
      <c r="CX590" s="30"/>
      <c r="CY590" s="30"/>
      <c r="CZ590" s="30"/>
      <c r="DA590" s="30"/>
      <c r="DB590" s="30"/>
      <c r="DC590" s="30"/>
      <c r="DD590" s="30"/>
      <c r="DE590" s="30"/>
      <c r="DF590" s="30"/>
      <c r="DG590" s="30"/>
      <c r="DH590" s="30"/>
      <c r="DI590" s="30"/>
      <c r="DJ590" s="30"/>
      <c r="DK590" s="30"/>
      <c r="DL590" s="30"/>
      <c r="DM590" s="30"/>
      <c r="DN590" s="30"/>
      <c r="DO590" s="30"/>
      <c r="DP590" s="30"/>
      <c r="DQ590" s="30"/>
      <c r="DR590" s="30"/>
      <c r="DS590" s="30"/>
      <c r="DT590" s="30"/>
      <c r="DU590" s="30"/>
      <c r="DV590" s="30"/>
      <c r="DW590" s="30"/>
    </row>
    <row r="591" spans="1:127" ht="13">
      <c r="A591" s="39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  <c r="BS591" s="30"/>
      <c r="BT591" s="30"/>
      <c r="BU591" s="30"/>
      <c r="BV591" s="30"/>
      <c r="BW591" s="30"/>
      <c r="BX591" s="30"/>
      <c r="BY591" s="30"/>
      <c r="BZ591" s="30"/>
      <c r="CA591" s="30"/>
      <c r="CB591" s="30"/>
      <c r="CC591" s="30"/>
      <c r="CD591" s="30"/>
      <c r="CE591" s="30"/>
      <c r="CF591" s="30"/>
      <c r="CG591" s="30"/>
      <c r="CH591" s="30"/>
      <c r="CI591" s="30"/>
      <c r="CJ591" s="30"/>
      <c r="CK591" s="30"/>
      <c r="CL591" s="30"/>
      <c r="CM591" s="30"/>
      <c r="CN591" s="30"/>
      <c r="CO591" s="30"/>
      <c r="CP591" s="30"/>
      <c r="CQ591" s="30"/>
      <c r="CR591" s="30"/>
      <c r="CS591" s="30"/>
      <c r="CT591" s="30"/>
      <c r="CU591" s="30"/>
      <c r="CV591" s="30"/>
      <c r="CW591" s="30"/>
      <c r="CX591" s="30"/>
      <c r="CY591" s="30"/>
      <c r="CZ591" s="30"/>
      <c r="DA591" s="30"/>
      <c r="DB591" s="30"/>
      <c r="DC591" s="30"/>
      <c r="DD591" s="30"/>
      <c r="DE591" s="30"/>
      <c r="DF591" s="30"/>
      <c r="DG591" s="30"/>
      <c r="DH591" s="30"/>
      <c r="DI591" s="30"/>
      <c r="DJ591" s="30"/>
      <c r="DK591" s="30"/>
      <c r="DL591" s="30"/>
      <c r="DM591" s="30"/>
      <c r="DN591" s="30"/>
      <c r="DO591" s="30"/>
      <c r="DP591" s="30"/>
      <c r="DQ591" s="30"/>
      <c r="DR591" s="30"/>
      <c r="DS591" s="30"/>
      <c r="DT591" s="30"/>
      <c r="DU591" s="30"/>
      <c r="DV591" s="30"/>
      <c r="DW591" s="30"/>
    </row>
    <row r="592" spans="1:127" ht="13">
      <c r="A592" s="39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  <c r="BS592" s="30"/>
      <c r="BT592" s="30"/>
      <c r="BU592" s="30"/>
      <c r="BV592" s="30"/>
      <c r="BW592" s="30"/>
      <c r="BX592" s="30"/>
      <c r="BY592" s="30"/>
      <c r="BZ592" s="30"/>
      <c r="CA592" s="30"/>
      <c r="CB592" s="30"/>
      <c r="CC592" s="30"/>
      <c r="CD592" s="30"/>
      <c r="CE592" s="30"/>
      <c r="CF592" s="30"/>
      <c r="CG592" s="30"/>
      <c r="CH592" s="30"/>
      <c r="CI592" s="30"/>
      <c r="CJ592" s="30"/>
      <c r="CK592" s="30"/>
      <c r="CL592" s="30"/>
      <c r="CM592" s="30"/>
      <c r="CN592" s="30"/>
      <c r="CO592" s="30"/>
      <c r="CP592" s="30"/>
      <c r="CQ592" s="30"/>
      <c r="CR592" s="30"/>
      <c r="CS592" s="30"/>
      <c r="CT592" s="30"/>
      <c r="CU592" s="30"/>
      <c r="CV592" s="30"/>
      <c r="CW592" s="30"/>
      <c r="CX592" s="30"/>
      <c r="CY592" s="30"/>
      <c r="CZ592" s="30"/>
      <c r="DA592" s="30"/>
      <c r="DB592" s="30"/>
      <c r="DC592" s="30"/>
      <c r="DD592" s="30"/>
      <c r="DE592" s="30"/>
      <c r="DF592" s="30"/>
      <c r="DG592" s="30"/>
      <c r="DH592" s="30"/>
      <c r="DI592" s="30"/>
      <c r="DJ592" s="30"/>
      <c r="DK592" s="30"/>
      <c r="DL592" s="30"/>
      <c r="DM592" s="30"/>
      <c r="DN592" s="30"/>
      <c r="DO592" s="30"/>
      <c r="DP592" s="30"/>
      <c r="DQ592" s="30"/>
      <c r="DR592" s="30"/>
      <c r="DS592" s="30"/>
      <c r="DT592" s="30"/>
      <c r="DU592" s="30"/>
      <c r="DV592" s="30"/>
      <c r="DW592" s="30"/>
    </row>
    <row r="593" spans="1:127" ht="13">
      <c r="A593" s="39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  <c r="BS593" s="30"/>
      <c r="BT593" s="30"/>
      <c r="BU593" s="30"/>
      <c r="BV593" s="30"/>
      <c r="BW593" s="30"/>
      <c r="BX593" s="30"/>
      <c r="BY593" s="30"/>
      <c r="BZ593" s="30"/>
      <c r="CA593" s="30"/>
      <c r="CB593" s="30"/>
      <c r="CC593" s="30"/>
      <c r="CD593" s="30"/>
      <c r="CE593" s="30"/>
      <c r="CF593" s="30"/>
      <c r="CG593" s="30"/>
      <c r="CH593" s="30"/>
      <c r="CI593" s="30"/>
      <c r="CJ593" s="30"/>
      <c r="CK593" s="30"/>
      <c r="CL593" s="30"/>
      <c r="CM593" s="30"/>
      <c r="CN593" s="30"/>
      <c r="CO593" s="30"/>
      <c r="CP593" s="30"/>
      <c r="CQ593" s="30"/>
      <c r="CR593" s="30"/>
      <c r="CS593" s="30"/>
      <c r="CT593" s="30"/>
      <c r="CU593" s="30"/>
      <c r="CV593" s="30"/>
      <c r="CW593" s="30"/>
      <c r="CX593" s="30"/>
      <c r="CY593" s="30"/>
      <c r="CZ593" s="30"/>
      <c r="DA593" s="30"/>
      <c r="DB593" s="30"/>
      <c r="DC593" s="30"/>
      <c r="DD593" s="30"/>
      <c r="DE593" s="30"/>
      <c r="DF593" s="30"/>
      <c r="DG593" s="30"/>
      <c r="DH593" s="30"/>
      <c r="DI593" s="30"/>
      <c r="DJ593" s="30"/>
      <c r="DK593" s="30"/>
      <c r="DL593" s="30"/>
      <c r="DM593" s="30"/>
      <c r="DN593" s="30"/>
      <c r="DO593" s="30"/>
      <c r="DP593" s="30"/>
      <c r="DQ593" s="30"/>
      <c r="DR593" s="30"/>
      <c r="DS593" s="30"/>
      <c r="DT593" s="30"/>
      <c r="DU593" s="30"/>
      <c r="DV593" s="30"/>
      <c r="DW593" s="30"/>
    </row>
    <row r="594" spans="1:127" ht="13">
      <c r="A594" s="39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  <c r="BS594" s="30"/>
      <c r="BT594" s="30"/>
      <c r="BU594" s="30"/>
      <c r="BV594" s="30"/>
      <c r="BW594" s="30"/>
      <c r="BX594" s="30"/>
      <c r="BY594" s="30"/>
      <c r="BZ594" s="30"/>
      <c r="CA594" s="30"/>
      <c r="CB594" s="30"/>
      <c r="CC594" s="30"/>
      <c r="CD594" s="30"/>
      <c r="CE594" s="30"/>
      <c r="CF594" s="30"/>
      <c r="CG594" s="30"/>
      <c r="CH594" s="30"/>
      <c r="CI594" s="30"/>
      <c r="CJ594" s="30"/>
      <c r="CK594" s="30"/>
      <c r="CL594" s="30"/>
      <c r="CM594" s="30"/>
      <c r="CN594" s="30"/>
      <c r="CO594" s="30"/>
      <c r="CP594" s="30"/>
      <c r="CQ594" s="30"/>
      <c r="CR594" s="30"/>
      <c r="CS594" s="30"/>
      <c r="CT594" s="30"/>
      <c r="CU594" s="30"/>
      <c r="CV594" s="30"/>
      <c r="CW594" s="30"/>
      <c r="CX594" s="30"/>
      <c r="CY594" s="30"/>
      <c r="CZ594" s="30"/>
      <c r="DA594" s="30"/>
      <c r="DB594" s="30"/>
      <c r="DC594" s="30"/>
      <c r="DD594" s="30"/>
      <c r="DE594" s="30"/>
      <c r="DF594" s="30"/>
      <c r="DG594" s="30"/>
      <c r="DH594" s="30"/>
      <c r="DI594" s="30"/>
      <c r="DJ594" s="30"/>
      <c r="DK594" s="30"/>
      <c r="DL594" s="30"/>
      <c r="DM594" s="30"/>
      <c r="DN594" s="30"/>
      <c r="DO594" s="30"/>
      <c r="DP594" s="30"/>
      <c r="DQ594" s="30"/>
      <c r="DR594" s="30"/>
      <c r="DS594" s="30"/>
      <c r="DT594" s="30"/>
      <c r="DU594" s="30"/>
      <c r="DV594" s="30"/>
      <c r="DW594" s="30"/>
    </row>
    <row r="595" spans="1:127" ht="13">
      <c r="A595" s="39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  <c r="BV595" s="30"/>
      <c r="BW595" s="30"/>
      <c r="BX595" s="30"/>
      <c r="BY595" s="30"/>
      <c r="BZ595" s="30"/>
      <c r="CA595" s="30"/>
      <c r="CB595" s="30"/>
      <c r="CC595" s="30"/>
      <c r="CD595" s="30"/>
      <c r="CE595" s="30"/>
      <c r="CF595" s="30"/>
      <c r="CG595" s="30"/>
      <c r="CH595" s="30"/>
      <c r="CI595" s="30"/>
      <c r="CJ595" s="30"/>
      <c r="CK595" s="30"/>
      <c r="CL595" s="30"/>
      <c r="CM595" s="30"/>
      <c r="CN595" s="30"/>
      <c r="CO595" s="30"/>
      <c r="CP595" s="30"/>
      <c r="CQ595" s="30"/>
      <c r="CR595" s="30"/>
      <c r="CS595" s="30"/>
      <c r="CT595" s="30"/>
      <c r="CU595" s="30"/>
      <c r="CV595" s="30"/>
      <c r="CW595" s="30"/>
      <c r="CX595" s="30"/>
      <c r="CY595" s="30"/>
      <c r="CZ595" s="30"/>
      <c r="DA595" s="30"/>
      <c r="DB595" s="30"/>
      <c r="DC595" s="30"/>
      <c r="DD595" s="30"/>
      <c r="DE595" s="30"/>
      <c r="DF595" s="30"/>
      <c r="DG595" s="30"/>
      <c r="DH595" s="30"/>
      <c r="DI595" s="30"/>
      <c r="DJ595" s="30"/>
      <c r="DK595" s="30"/>
      <c r="DL595" s="30"/>
      <c r="DM595" s="30"/>
      <c r="DN595" s="30"/>
      <c r="DO595" s="30"/>
      <c r="DP595" s="30"/>
      <c r="DQ595" s="30"/>
      <c r="DR595" s="30"/>
      <c r="DS595" s="30"/>
      <c r="DT595" s="30"/>
      <c r="DU595" s="30"/>
      <c r="DV595" s="30"/>
      <c r="DW595" s="30"/>
    </row>
    <row r="596" spans="1:127" ht="13">
      <c r="A596" s="39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  <c r="BS596" s="30"/>
      <c r="BT596" s="30"/>
      <c r="BU596" s="30"/>
      <c r="BV596" s="30"/>
      <c r="BW596" s="30"/>
      <c r="BX596" s="30"/>
      <c r="BY596" s="30"/>
      <c r="BZ596" s="30"/>
      <c r="CA596" s="30"/>
      <c r="CB596" s="30"/>
      <c r="CC596" s="30"/>
      <c r="CD596" s="30"/>
      <c r="CE596" s="30"/>
      <c r="CF596" s="30"/>
      <c r="CG596" s="30"/>
      <c r="CH596" s="30"/>
      <c r="CI596" s="30"/>
      <c r="CJ596" s="30"/>
      <c r="CK596" s="30"/>
      <c r="CL596" s="30"/>
      <c r="CM596" s="30"/>
      <c r="CN596" s="30"/>
      <c r="CO596" s="30"/>
      <c r="CP596" s="30"/>
      <c r="CQ596" s="30"/>
      <c r="CR596" s="30"/>
      <c r="CS596" s="30"/>
      <c r="CT596" s="30"/>
      <c r="CU596" s="30"/>
      <c r="CV596" s="30"/>
      <c r="CW596" s="30"/>
      <c r="CX596" s="30"/>
      <c r="CY596" s="30"/>
      <c r="CZ596" s="30"/>
      <c r="DA596" s="30"/>
      <c r="DB596" s="30"/>
      <c r="DC596" s="30"/>
      <c r="DD596" s="30"/>
      <c r="DE596" s="30"/>
      <c r="DF596" s="30"/>
      <c r="DG596" s="30"/>
      <c r="DH596" s="30"/>
      <c r="DI596" s="30"/>
      <c r="DJ596" s="30"/>
      <c r="DK596" s="30"/>
      <c r="DL596" s="30"/>
      <c r="DM596" s="30"/>
      <c r="DN596" s="30"/>
      <c r="DO596" s="30"/>
      <c r="DP596" s="30"/>
      <c r="DQ596" s="30"/>
      <c r="DR596" s="30"/>
      <c r="DS596" s="30"/>
      <c r="DT596" s="30"/>
      <c r="DU596" s="30"/>
      <c r="DV596" s="30"/>
      <c r="DW596" s="30"/>
    </row>
    <row r="597" spans="1:127" ht="13">
      <c r="A597" s="39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  <c r="BS597" s="30"/>
      <c r="BT597" s="30"/>
      <c r="BU597" s="30"/>
      <c r="BV597" s="30"/>
      <c r="BW597" s="30"/>
      <c r="BX597" s="30"/>
      <c r="BY597" s="30"/>
      <c r="BZ597" s="30"/>
      <c r="CA597" s="30"/>
      <c r="CB597" s="30"/>
      <c r="CC597" s="30"/>
      <c r="CD597" s="30"/>
      <c r="CE597" s="30"/>
      <c r="CF597" s="30"/>
      <c r="CG597" s="30"/>
      <c r="CH597" s="30"/>
      <c r="CI597" s="30"/>
      <c r="CJ597" s="30"/>
      <c r="CK597" s="30"/>
      <c r="CL597" s="30"/>
      <c r="CM597" s="30"/>
      <c r="CN597" s="30"/>
      <c r="CO597" s="30"/>
      <c r="CP597" s="30"/>
      <c r="CQ597" s="30"/>
      <c r="CR597" s="30"/>
      <c r="CS597" s="30"/>
      <c r="CT597" s="30"/>
      <c r="CU597" s="30"/>
      <c r="CV597" s="30"/>
      <c r="CW597" s="30"/>
      <c r="CX597" s="30"/>
      <c r="CY597" s="30"/>
      <c r="CZ597" s="30"/>
      <c r="DA597" s="30"/>
      <c r="DB597" s="30"/>
      <c r="DC597" s="30"/>
      <c r="DD597" s="30"/>
      <c r="DE597" s="30"/>
      <c r="DF597" s="30"/>
      <c r="DG597" s="30"/>
      <c r="DH597" s="30"/>
      <c r="DI597" s="30"/>
      <c r="DJ597" s="30"/>
      <c r="DK597" s="30"/>
      <c r="DL597" s="30"/>
      <c r="DM597" s="30"/>
      <c r="DN597" s="30"/>
      <c r="DO597" s="30"/>
      <c r="DP597" s="30"/>
      <c r="DQ597" s="30"/>
      <c r="DR597" s="30"/>
      <c r="DS597" s="30"/>
      <c r="DT597" s="30"/>
      <c r="DU597" s="30"/>
      <c r="DV597" s="30"/>
      <c r="DW597" s="30"/>
    </row>
    <row r="598" spans="1:127" ht="13">
      <c r="A598" s="39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  <c r="BS598" s="30"/>
      <c r="BT598" s="30"/>
      <c r="BU598" s="30"/>
      <c r="BV598" s="30"/>
      <c r="BW598" s="30"/>
      <c r="BX598" s="30"/>
      <c r="BY598" s="30"/>
      <c r="BZ598" s="30"/>
      <c r="CA598" s="30"/>
      <c r="CB598" s="30"/>
      <c r="CC598" s="30"/>
      <c r="CD598" s="30"/>
      <c r="CE598" s="30"/>
      <c r="CF598" s="30"/>
      <c r="CG598" s="30"/>
      <c r="CH598" s="30"/>
      <c r="CI598" s="30"/>
      <c r="CJ598" s="30"/>
      <c r="CK598" s="30"/>
      <c r="CL598" s="30"/>
      <c r="CM598" s="30"/>
      <c r="CN598" s="30"/>
      <c r="CO598" s="30"/>
      <c r="CP598" s="30"/>
      <c r="CQ598" s="30"/>
      <c r="CR598" s="30"/>
      <c r="CS598" s="30"/>
      <c r="CT598" s="30"/>
      <c r="CU598" s="30"/>
      <c r="CV598" s="30"/>
      <c r="CW598" s="30"/>
      <c r="CX598" s="30"/>
      <c r="CY598" s="30"/>
      <c r="CZ598" s="30"/>
      <c r="DA598" s="30"/>
      <c r="DB598" s="30"/>
      <c r="DC598" s="30"/>
      <c r="DD598" s="30"/>
      <c r="DE598" s="30"/>
      <c r="DF598" s="30"/>
      <c r="DG598" s="30"/>
      <c r="DH598" s="30"/>
      <c r="DI598" s="30"/>
      <c r="DJ598" s="30"/>
      <c r="DK598" s="30"/>
      <c r="DL598" s="30"/>
      <c r="DM598" s="30"/>
      <c r="DN598" s="30"/>
      <c r="DO598" s="30"/>
      <c r="DP598" s="30"/>
      <c r="DQ598" s="30"/>
      <c r="DR598" s="30"/>
      <c r="DS598" s="30"/>
      <c r="DT598" s="30"/>
      <c r="DU598" s="30"/>
      <c r="DV598" s="30"/>
      <c r="DW598" s="30"/>
    </row>
    <row r="599" spans="1:127" ht="13">
      <c r="A599" s="39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  <c r="BS599" s="30"/>
      <c r="BT599" s="30"/>
      <c r="BU599" s="30"/>
      <c r="BV599" s="30"/>
      <c r="BW599" s="30"/>
      <c r="BX599" s="30"/>
      <c r="BY599" s="30"/>
      <c r="BZ599" s="30"/>
      <c r="CA599" s="30"/>
      <c r="CB599" s="30"/>
      <c r="CC599" s="30"/>
      <c r="CD599" s="30"/>
      <c r="CE599" s="30"/>
      <c r="CF599" s="30"/>
      <c r="CG599" s="30"/>
      <c r="CH599" s="30"/>
      <c r="CI599" s="30"/>
      <c r="CJ599" s="30"/>
      <c r="CK599" s="30"/>
      <c r="CL599" s="30"/>
      <c r="CM599" s="30"/>
      <c r="CN599" s="30"/>
      <c r="CO599" s="30"/>
      <c r="CP599" s="30"/>
      <c r="CQ599" s="30"/>
      <c r="CR599" s="30"/>
      <c r="CS599" s="30"/>
      <c r="CT599" s="30"/>
      <c r="CU599" s="30"/>
      <c r="CV599" s="30"/>
      <c r="CW599" s="30"/>
      <c r="CX599" s="30"/>
      <c r="CY599" s="30"/>
      <c r="CZ599" s="30"/>
      <c r="DA599" s="30"/>
      <c r="DB599" s="30"/>
      <c r="DC599" s="30"/>
      <c r="DD599" s="30"/>
      <c r="DE599" s="30"/>
      <c r="DF599" s="30"/>
      <c r="DG599" s="30"/>
      <c r="DH599" s="30"/>
      <c r="DI599" s="30"/>
      <c r="DJ599" s="30"/>
      <c r="DK599" s="30"/>
      <c r="DL599" s="30"/>
      <c r="DM599" s="30"/>
      <c r="DN599" s="30"/>
      <c r="DO599" s="30"/>
      <c r="DP599" s="30"/>
      <c r="DQ599" s="30"/>
      <c r="DR599" s="30"/>
      <c r="DS599" s="30"/>
      <c r="DT599" s="30"/>
      <c r="DU599" s="30"/>
      <c r="DV599" s="30"/>
      <c r="DW599" s="30"/>
    </row>
    <row r="600" spans="1:127" ht="13">
      <c r="A600" s="39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  <c r="BS600" s="30"/>
      <c r="BT600" s="30"/>
      <c r="BU600" s="30"/>
      <c r="BV600" s="30"/>
      <c r="BW600" s="30"/>
      <c r="BX600" s="30"/>
      <c r="BY600" s="30"/>
      <c r="BZ600" s="30"/>
      <c r="CA600" s="30"/>
      <c r="CB600" s="30"/>
      <c r="CC600" s="30"/>
      <c r="CD600" s="30"/>
      <c r="CE600" s="30"/>
      <c r="CF600" s="30"/>
      <c r="CG600" s="30"/>
      <c r="CH600" s="30"/>
      <c r="CI600" s="30"/>
      <c r="CJ600" s="30"/>
      <c r="CK600" s="30"/>
      <c r="CL600" s="30"/>
      <c r="CM600" s="30"/>
      <c r="CN600" s="30"/>
      <c r="CO600" s="30"/>
      <c r="CP600" s="30"/>
      <c r="CQ600" s="30"/>
      <c r="CR600" s="30"/>
      <c r="CS600" s="30"/>
      <c r="CT600" s="30"/>
      <c r="CU600" s="30"/>
      <c r="CV600" s="30"/>
      <c r="CW600" s="30"/>
      <c r="CX600" s="30"/>
      <c r="CY600" s="30"/>
      <c r="CZ600" s="30"/>
      <c r="DA600" s="30"/>
      <c r="DB600" s="30"/>
      <c r="DC600" s="30"/>
      <c r="DD600" s="30"/>
      <c r="DE600" s="30"/>
      <c r="DF600" s="30"/>
      <c r="DG600" s="30"/>
      <c r="DH600" s="30"/>
      <c r="DI600" s="30"/>
      <c r="DJ600" s="30"/>
      <c r="DK600" s="30"/>
      <c r="DL600" s="30"/>
      <c r="DM600" s="30"/>
      <c r="DN600" s="30"/>
      <c r="DO600" s="30"/>
      <c r="DP600" s="30"/>
      <c r="DQ600" s="30"/>
      <c r="DR600" s="30"/>
      <c r="DS600" s="30"/>
      <c r="DT600" s="30"/>
      <c r="DU600" s="30"/>
      <c r="DV600" s="30"/>
      <c r="DW600" s="30"/>
    </row>
    <row r="601" spans="1:127" ht="13">
      <c r="A601" s="39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  <c r="BS601" s="30"/>
      <c r="BT601" s="30"/>
      <c r="BU601" s="30"/>
      <c r="BV601" s="30"/>
      <c r="BW601" s="30"/>
      <c r="BX601" s="30"/>
      <c r="BY601" s="30"/>
      <c r="BZ601" s="30"/>
      <c r="CA601" s="30"/>
      <c r="CB601" s="30"/>
      <c r="CC601" s="30"/>
      <c r="CD601" s="30"/>
      <c r="CE601" s="30"/>
      <c r="CF601" s="30"/>
      <c r="CG601" s="30"/>
      <c r="CH601" s="30"/>
      <c r="CI601" s="30"/>
      <c r="CJ601" s="30"/>
      <c r="CK601" s="30"/>
      <c r="CL601" s="30"/>
      <c r="CM601" s="30"/>
      <c r="CN601" s="30"/>
      <c r="CO601" s="30"/>
      <c r="CP601" s="30"/>
      <c r="CQ601" s="30"/>
      <c r="CR601" s="30"/>
      <c r="CS601" s="30"/>
      <c r="CT601" s="30"/>
      <c r="CU601" s="30"/>
      <c r="CV601" s="30"/>
      <c r="CW601" s="30"/>
      <c r="CX601" s="30"/>
      <c r="CY601" s="30"/>
      <c r="CZ601" s="30"/>
      <c r="DA601" s="30"/>
      <c r="DB601" s="30"/>
      <c r="DC601" s="30"/>
      <c r="DD601" s="30"/>
      <c r="DE601" s="30"/>
      <c r="DF601" s="30"/>
      <c r="DG601" s="30"/>
      <c r="DH601" s="30"/>
      <c r="DI601" s="30"/>
      <c r="DJ601" s="30"/>
      <c r="DK601" s="30"/>
      <c r="DL601" s="30"/>
      <c r="DM601" s="30"/>
      <c r="DN601" s="30"/>
      <c r="DO601" s="30"/>
      <c r="DP601" s="30"/>
      <c r="DQ601" s="30"/>
      <c r="DR601" s="30"/>
      <c r="DS601" s="30"/>
      <c r="DT601" s="30"/>
      <c r="DU601" s="30"/>
      <c r="DV601" s="30"/>
      <c r="DW601" s="30"/>
    </row>
    <row r="602" spans="1:127" ht="13">
      <c r="A602" s="39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  <c r="BS602" s="30"/>
      <c r="BT602" s="30"/>
      <c r="BU602" s="30"/>
      <c r="BV602" s="30"/>
      <c r="BW602" s="30"/>
      <c r="BX602" s="30"/>
      <c r="BY602" s="30"/>
      <c r="BZ602" s="30"/>
      <c r="CA602" s="30"/>
      <c r="CB602" s="30"/>
      <c r="CC602" s="30"/>
      <c r="CD602" s="30"/>
      <c r="CE602" s="30"/>
      <c r="CF602" s="30"/>
      <c r="CG602" s="30"/>
      <c r="CH602" s="30"/>
      <c r="CI602" s="30"/>
      <c r="CJ602" s="30"/>
      <c r="CK602" s="30"/>
      <c r="CL602" s="30"/>
      <c r="CM602" s="30"/>
      <c r="CN602" s="30"/>
      <c r="CO602" s="30"/>
      <c r="CP602" s="30"/>
      <c r="CQ602" s="30"/>
      <c r="CR602" s="30"/>
      <c r="CS602" s="30"/>
      <c r="CT602" s="30"/>
      <c r="CU602" s="30"/>
      <c r="CV602" s="30"/>
      <c r="CW602" s="30"/>
      <c r="CX602" s="30"/>
      <c r="CY602" s="30"/>
      <c r="CZ602" s="30"/>
      <c r="DA602" s="30"/>
      <c r="DB602" s="30"/>
      <c r="DC602" s="30"/>
      <c r="DD602" s="30"/>
      <c r="DE602" s="30"/>
      <c r="DF602" s="30"/>
      <c r="DG602" s="30"/>
      <c r="DH602" s="30"/>
      <c r="DI602" s="30"/>
      <c r="DJ602" s="30"/>
      <c r="DK602" s="30"/>
      <c r="DL602" s="30"/>
      <c r="DM602" s="30"/>
      <c r="DN602" s="30"/>
      <c r="DO602" s="30"/>
      <c r="DP602" s="30"/>
      <c r="DQ602" s="30"/>
      <c r="DR602" s="30"/>
      <c r="DS602" s="30"/>
      <c r="DT602" s="30"/>
      <c r="DU602" s="30"/>
      <c r="DV602" s="30"/>
      <c r="DW602" s="30"/>
    </row>
    <row r="603" spans="1:127" ht="13">
      <c r="A603" s="39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  <c r="BS603" s="30"/>
      <c r="BT603" s="30"/>
      <c r="BU603" s="30"/>
      <c r="BV603" s="30"/>
      <c r="BW603" s="30"/>
      <c r="BX603" s="30"/>
      <c r="BY603" s="30"/>
      <c r="BZ603" s="30"/>
      <c r="CA603" s="30"/>
      <c r="CB603" s="30"/>
      <c r="CC603" s="30"/>
      <c r="CD603" s="30"/>
      <c r="CE603" s="30"/>
      <c r="CF603" s="30"/>
      <c r="CG603" s="30"/>
      <c r="CH603" s="30"/>
      <c r="CI603" s="30"/>
      <c r="CJ603" s="30"/>
      <c r="CK603" s="30"/>
      <c r="CL603" s="30"/>
      <c r="CM603" s="30"/>
      <c r="CN603" s="30"/>
      <c r="CO603" s="30"/>
      <c r="CP603" s="30"/>
      <c r="CQ603" s="30"/>
      <c r="CR603" s="30"/>
      <c r="CS603" s="30"/>
      <c r="CT603" s="30"/>
      <c r="CU603" s="30"/>
      <c r="CV603" s="30"/>
      <c r="CW603" s="30"/>
      <c r="CX603" s="30"/>
      <c r="CY603" s="30"/>
      <c r="CZ603" s="30"/>
      <c r="DA603" s="30"/>
      <c r="DB603" s="30"/>
      <c r="DC603" s="30"/>
      <c r="DD603" s="30"/>
      <c r="DE603" s="30"/>
      <c r="DF603" s="30"/>
      <c r="DG603" s="30"/>
      <c r="DH603" s="30"/>
      <c r="DI603" s="30"/>
      <c r="DJ603" s="30"/>
      <c r="DK603" s="30"/>
      <c r="DL603" s="30"/>
      <c r="DM603" s="30"/>
      <c r="DN603" s="30"/>
      <c r="DO603" s="30"/>
      <c r="DP603" s="30"/>
      <c r="DQ603" s="30"/>
      <c r="DR603" s="30"/>
      <c r="DS603" s="30"/>
      <c r="DT603" s="30"/>
      <c r="DU603" s="30"/>
      <c r="DV603" s="30"/>
      <c r="DW603" s="30"/>
    </row>
    <row r="604" spans="1:127" ht="13">
      <c r="A604" s="39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30"/>
      <c r="BS604" s="30"/>
      <c r="BT604" s="30"/>
      <c r="BU604" s="30"/>
      <c r="BV604" s="30"/>
      <c r="BW604" s="30"/>
      <c r="BX604" s="30"/>
      <c r="BY604" s="30"/>
      <c r="BZ604" s="30"/>
      <c r="CA604" s="30"/>
      <c r="CB604" s="30"/>
      <c r="CC604" s="30"/>
      <c r="CD604" s="30"/>
      <c r="CE604" s="30"/>
      <c r="CF604" s="30"/>
      <c r="CG604" s="30"/>
      <c r="CH604" s="30"/>
      <c r="CI604" s="30"/>
      <c r="CJ604" s="30"/>
      <c r="CK604" s="30"/>
      <c r="CL604" s="30"/>
      <c r="CM604" s="30"/>
      <c r="CN604" s="30"/>
      <c r="CO604" s="30"/>
      <c r="CP604" s="30"/>
      <c r="CQ604" s="30"/>
      <c r="CR604" s="30"/>
      <c r="CS604" s="30"/>
      <c r="CT604" s="30"/>
      <c r="CU604" s="30"/>
      <c r="CV604" s="30"/>
      <c r="CW604" s="30"/>
      <c r="CX604" s="30"/>
      <c r="CY604" s="30"/>
      <c r="CZ604" s="30"/>
      <c r="DA604" s="30"/>
      <c r="DB604" s="30"/>
      <c r="DC604" s="30"/>
      <c r="DD604" s="30"/>
      <c r="DE604" s="30"/>
      <c r="DF604" s="30"/>
      <c r="DG604" s="30"/>
      <c r="DH604" s="30"/>
      <c r="DI604" s="30"/>
      <c r="DJ604" s="30"/>
      <c r="DK604" s="30"/>
      <c r="DL604" s="30"/>
      <c r="DM604" s="30"/>
      <c r="DN604" s="30"/>
      <c r="DO604" s="30"/>
      <c r="DP604" s="30"/>
      <c r="DQ604" s="30"/>
      <c r="DR604" s="30"/>
      <c r="DS604" s="30"/>
      <c r="DT604" s="30"/>
      <c r="DU604" s="30"/>
      <c r="DV604" s="30"/>
      <c r="DW604" s="30"/>
    </row>
    <row r="605" spans="1:127" ht="13">
      <c r="A605" s="39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  <c r="BS605" s="30"/>
      <c r="BT605" s="30"/>
      <c r="BU605" s="30"/>
      <c r="BV605" s="30"/>
      <c r="BW605" s="30"/>
      <c r="BX605" s="30"/>
      <c r="BY605" s="30"/>
      <c r="BZ605" s="30"/>
      <c r="CA605" s="30"/>
      <c r="CB605" s="30"/>
      <c r="CC605" s="30"/>
      <c r="CD605" s="30"/>
      <c r="CE605" s="30"/>
      <c r="CF605" s="30"/>
      <c r="CG605" s="30"/>
      <c r="CH605" s="30"/>
      <c r="CI605" s="30"/>
      <c r="CJ605" s="30"/>
      <c r="CK605" s="30"/>
      <c r="CL605" s="30"/>
      <c r="CM605" s="30"/>
      <c r="CN605" s="30"/>
      <c r="CO605" s="30"/>
      <c r="CP605" s="30"/>
      <c r="CQ605" s="30"/>
      <c r="CR605" s="30"/>
      <c r="CS605" s="30"/>
      <c r="CT605" s="30"/>
      <c r="CU605" s="30"/>
      <c r="CV605" s="30"/>
      <c r="CW605" s="30"/>
      <c r="CX605" s="30"/>
      <c r="CY605" s="30"/>
      <c r="CZ605" s="30"/>
      <c r="DA605" s="30"/>
      <c r="DB605" s="30"/>
      <c r="DC605" s="30"/>
      <c r="DD605" s="30"/>
      <c r="DE605" s="30"/>
      <c r="DF605" s="30"/>
      <c r="DG605" s="30"/>
      <c r="DH605" s="30"/>
      <c r="DI605" s="30"/>
      <c r="DJ605" s="30"/>
      <c r="DK605" s="30"/>
      <c r="DL605" s="30"/>
      <c r="DM605" s="30"/>
      <c r="DN605" s="30"/>
      <c r="DO605" s="30"/>
      <c r="DP605" s="30"/>
      <c r="DQ605" s="30"/>
      <c r="DR605" s="30"/>
      <c r="DS605" s="30"/>
      <c r="DT605" s="30"/>
      <c r="DU605" s="30"/>
      <c r="DV605" s="30"/>
      <c r="DW605" s="30"/>
    </row>
    <row r="606" spans="1:127" ht="13">
      <c r="A606" s="39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  <c r="BS606" s="30"/>
      <c r="BT606" s="30"/>
      <c r="BU606" s="30"/>
      <c r="BV606" s="30"/>
      <c r="BW606" s="30"/>
      <c r="BX606" s="30"/>
      <c r="BY606" s="30"/>
      <c r="BZ606" s="30"/>
      <c r="CA606" s="30"/>
      <c r="CB606" s="30"/>
      <c r="CC606" s="30"/>
      <c r="CD606" s="30"/>
      <c r="CE606" s="30"/>
      <c r="CF606" s="30"/>
      <c r="CG606" s="30"/>
      <c r="CH606" s="30"/>
      <c r="CI606" s="30"/>
      <c r="CJ606" s="30"/>
      <c r="CK606" s="30"/>
      <c r="CL606" s="30"/>
      <c r="CM606" s="30"/>
      <c r="CN606" s="30"/>
      <c r="CO606" s="30"/>
      <c r="CP606" s="30"/>
      <c r="CQ606" s="30"/>
      <c r="CR606" s="30"/>
      <c r="CS606" s="30"/>
      <c r="CT606" s="30"/>
      <c r="CU606" s="30"/>
      <c r="CV606" s="30"/>
      <c r="CW606" s="30"/>
      <c r="CX606" s="30"/>
      <c r="CY606" s="30"/>
      <c r="CZ606" s="30"/>
      <c r="DA606" s="30"/>
      <c r="DB606" s="30"/>
      <c r="DC606" s="30"/>
      <c r="DD606" s="30"/>
      <c r="DE606" s="30"/>
      <c r="DF606" s="30"/>
      <c r="DG606" s="30"/>
      <c r="DH606" s="30"/>
      <c r="DI606" s="30"/>
      <c r="DJ606" s="30"/>
      <c r="DK606" s="30"/>
      <c r="DL606" s="30"/>
      <c r="DM606" s="30"/>
      <c r="DN606" s="30"/>
      <c r="DO606" s="30"/>
      <c r="DP606" s="30"/>
      <c r="DQ606" s="30"/>
      <c r="DR606" s="30"/>
      <c r="DS606" s="30"/>
      <c r="DT606" s="30"/>
      <c r="DU606" s="30"/>
      <c r="DV606" s="30"/>
      <c r="DW606" s="30"/>
    </row>
    <row r="607" spans="1:127" ht="13">
      <c r="A607" s="39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30"/>
      <c r="BS607" s="30"/>
      <c r="BT607" s="30"/>
      <c r="BU607" s="30"/>
      <c r="BV607" s="30"/>
      <c r="BW607" s="30"/>
      <c r="BX607" s="30"/>
      <c r="BY607" s="30"/>
      <c r="BZ607" s="30"/>
      <c r="CA607" s="30"/>
      <c r="CB607" s="30"/>
      <c r="CC607" s="30"/>
      <c r="CD607" s="30"/>
      <c r="CE607" s="30"/>
      <c r="CF607" s="30"/>
      <c r="CG607" s="30"/>
      <c r="CH607" s="30"/>
      <c r="CI607" s="30"/>
      <c r="CJ607" s="30"/>
      <c r="CK607" s="30"/>
      <c r="CL607" s="30"/>
      <c r="CM607" s="30"/>
      <c r="CN607" s="30"/>
      <c r="CO607" s="30"/>
      <c r="CP607" s="30"/>
      <c r="CQ607" s="30"/>
      <c r="CR607" s="30"/>
      <c r="CS607" s="30"/>
      <c r="CT607" s="30"/>
      <c r="CU607" s="30"/>
      <c r="CV607" s="30"/>
      <c r="CW607" s="30"/>
      <c r="CX607" s="30"/>
      <c r="CY607" s="30"/>
      <c r="CZ607" s="30"/>
      <c r="DA607" s="30"/>
      <c r="DB607" s="30"/>
      <c r="DC607" s="30"/>
      <c r="DD607" s="30"/>
      <c r="DE607" s="30"/>
      <c r="DF607" s="30"/>
      <c r="DG607" s="30"/>
      <c r="DH607" s="30"/>
      <c r="DI607" s="30"/>
      <c r="DJ607" s="30"/>
      <c r="DK607" s="30"/>
      <c r="DL607" s="30"/>
      <c r="DM607" s="30"/>
      <c r="DN607" s="30"/>
      <c r="DO607" s="30"/>
      <c r="DP607" s="30"/>
      <c r="DQ607" s="30"/>
      <c r="DR607" s="30"/>
      <c r="DS607" s="30"/>
      <c r="DT607" s="30"/>
      <c r="DU607" s="30"/>
      <c r="DV607" s="30"/>
      <c r="DW607" s="30"/>
    </row>
    <row r="608" spans="1:127" ht="13">
      <c r="A608" s="39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30"/>
      <c r="BS608" s="30"/>
      <c r="BT608" s="30"/>
      <c r="BU608" s="30"/>
      <c r="BV608" s="30"/>
      <c r="BW608" s="30"/>
      <c r="BX608" s="30"/>
      <c r="BY608" s="30"/>
      <c r="BZ608" s="30"/>
      <c r="CA608" s="30"/>
      <c r="CB608" s="30"/>
      <c r="CC608" s="30"/>
      <c r="CD608" s="30"/>
      <c r="CE608" s="30"/>
      <c r="CF608" s="30"/>
      <c r="CG608" s="30"/>
      <c r="CH608" s="30"/>
      <c r="CI608" s="30"/>
      <c r="CJ608" s="30"/>
      <c r="CK608" s="30"/>
      <c r="CL608" s="30"/>
      <c r="CM608" s="30"/>
      <c r="CN608" s="30"/>
      <c r="CO608" s="30"/>
      <c r="CP608" s="30"/>
      <c r="CQ608" s="30"/>
      <c r="CR608" s="30"/>
      <c r="CS608" s="30"/>
      <c r="CT608" s="30"/>
      <c r="CU608" s="30"/>
      <c r="CV608" s="30"/>
      <c r="CW608" s="30"/>
      <c r="CX608" s="30"/>
      <c r="CY608" s="30"/>
      <c r="CZ608" s="30"/>
      <c r="DA608" s="30"/>
      <c r="DB608" s="30"/>
      <c r="DC608" s="30"/>
      <c r="DD608" s="30"/>
      <c r="DE608" s="30"/>
      <c r="DF608" s="30"/>
      <c r="DG608" s="30"/>
      <c r="DH608" s="30"/>
      <c r="DI608" s="30"/>
      <c r="DJ608" s="30"/>
      <c r="DK608" s="30"/>
      <c r="DL608" s="30"/>
      <c r="DM608" s="30"/>
      <c r="DN608" s="30"/>
      <c r="DO608" s="30"/>
      <c r="DP608" s="30"/>
      <c r="DQ608" s="30"/>
      <c r="DR608" s="30"/>
      <c r="DS608" s="30"/>
      <c r="DT608" s="30"/>
      <c r="DU608" s="30"/>
      <c r="DV608" s="30"/>
      <c r="DW608" s="30"/>
    </row>
    <row r="609" spans="1:127" ht="13">
      <c r="A609" s="39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  <c r="BS609" s="30"/>
      <c r="BT609" s="30"/>
      <c r="BU609" s="30"/>
      <c r="BV609" s="30"/>
      <c r="BW609" s="30"/>
      <c r="BX609" s="30"/>
      <c r="BY609" s="30"/>
      <c r="BZ609" s="30"/>
      <c r="CA609" s="30"/>
      <c r="CB609" s="30"/>
      <c r="CC609" s="30"/>
      <c r="CD609" s="30"/>
      <c r="CE609" s="30"/>
      <c r="CF609" s="30"/>
      <c r="CG609" s="30"/>
      <c r="CH609" s="30"/>
      <c r="CI609" s="30"/>
      <c r="CJ609" s="30"/>
      <c r="CK609" s="30"/>
      <c r="CL609" s="30"/>
      <c r="CM609" s="30"/>
      <c r="CN609" s="30"/>
      <c r="CO609" s="30"/>
      <c r="CP609" s="30"/>
      <c r="CQ609" s="30"/>
      <c r="CR609" s="30"/>
      <c r="CS609" s="30"/>
      <c r="CT609" s="30"/>
      <c r="CU609" s="30"/>
      <c r="CV609" s="30"/>
      <c r="CW609" s="30"/>
      <c r="CX609" s="30"/>
      <c r="CY609" s="30"/>
      <c r="CZ609" s="30"/>
      <c r="DA609" s="30"/>
      <c r="DB609" s="30"/>
      <c r="DC609" s="30"/>
      <c r="DD609" s="30"/>
      <c r="DE609" s="30"/>
      <c r="DF609" s="30"/>
      <c r="DG609" s="30"/>
      <c r="DH609" s="30"/>
      <c r="DI609" s="30"/>
      <c r="DJ609" s="30"/>
      <c r="DK609" s="30"/>
      <c r="DL609" s="30"/>
      <c r="DM609" s="30"/>
      <c r="DN609" s="30"/>
      <c r="DO609" s="30"/>
      <c r="DP609" s="30"/>
      <c r="DQ609" s="30"/>
      <c r="DR609" s="30"/>
      <c r="DS609" s="30"/>
      <c r="DT609" s="30"/>
      <c r="DU609" s="30"/>
      <c r="DV609" s="30"/>
      <c r="DW609" s="30"/>
    </row>
    <row r="610" spans="1:127" ht="13">
      <c r="A610" s="39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30"/>
      <c r="BS610" s="30"/>
      <c r="BT610" s="30"/>
      <c r="BU610" s="30"/>
      <c r="BV610" s="30"/>
      <c r="BW610" s="30"/>
      <c r="BX610" s="30"/>
      <c r="BY610" s="30"/>
      <c r="BZ610" s="30"/>
      <c r="CA610" s="30"/>
      <c r="CB610" s="30"/>
      <c r="CC610" s="30"/>
      <c r="CD610" s="30"/>
      <c r="CE610" s="30"/>
      <c r="CF610" s="30"/>
      <c r="CG610" s="30"/>
      <c r="CH610" s="30"/>
      <c r="CI610" s="30"/>
      <c r="CJ610" s="30"/>
      <c r="CK610" s="30"/>
      <c r="CL610" s="30"/>
      <c r="CM610" s="30"/>
      <c r="CN610" s="30"/>
      <c r="CO610" s="30"/>
      <c r="CP610" s="30"/>
      <c r="CQ610" s="30"/>
      <c r="CR610" s="30"/>
      <c r="CS610" s="30"/>
      <c r="CT610" s="30"/>
      <c r="CU610" s="30"/>
      <c r="CV610" s="30"/>
      <c r="CW610" s="30"/>
      <c r="CX610" s="30"/>
      <c r="CY610" s="30"/>
      <c r="CZ610" s="30"/>
      <c r="DA610" s="30"/>
      <c r="DB610" s="30"/>
      <c r="DC610" s="30"/>
      <c r="DD610" s="30"/>
      <c r="DE610" s="30"/>
      <c r="DF610" s="30"/>
      <c r="DG610" s="30"/>
      <c r="DH610" s="30"/>
      <c r="DI610" s="30"/>
      <c r="DJ610" s="30"/>
      <c r="DK610" s="30"/>
      <c r="DL610" s="30"/>
      <c r="DM610" s="30"/>
      <c r="DN610" s="30"/>
      <c r="DO610" s="30"/>
      <c r="DP610" s="30"/>
      <c r="DQ610" s="30"/>
      <c r="DR610" s="30"/>
      <c r="DS610" s="30"/>
      <c r="DT610" s="30"/>
      <c r="DU610" s="30"/>
      <c r="DV610" s="30"/>
      <c r="DW610" s="30"/>
    </row>
    <row r="611" spans="1:127" ht="13">
      <c r="A611" s="39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  <c r="BS611" s="30"/>
      <c r="BT611" s="30"/>
      <c r="BU611" s="30"/>
      <c r="BV611" s="30"/>
      <c r="BW611" s="30"/>
      <c r="BX611" s="30"/>
      <c r="BY611" s="30"/>
      <c r="BZ611" s="30"/>
      <c r="CA611" s="30"/>
      <c r="CB611" s="30"/>
      <c r="CC611" s="30"/>
      <c r="CD611" s="30"/>
      <c r="CE611" s="30"/>
      <c r="CF611" s="30"/>
      <c r="CG611" s="30"/>
      <c r="CH611" s="30"/>
      <c r="CI611" s="30"/>
      <c r="CJ611" s="30"/>
      <c r="CK611" s="30"/>
      <c r="CL611" s="30"/>
      <c r="CM611" s="30"/>
      <c r="CN611" s="30"/>
      <c r="CO611" s="30"/>
      <c r="CP611" s="30"/>
      <c r="CQ611" s="30"/>
      <c r="CR611" s="30"/>
      <c r="CS611" s="30"/>
      <c r="CT611" s="30"/>
      <c r="CU611" s="30"/>
      <c r="CV611" s="30"/>
      <c r="CW611" s="30"/>
      <c r="CX611" s="30"/>
      <c r="CY611" s="30"/>
      <c r="CZ611" s="30"/>
      <c r="DA611" s="30"/>
      <c r="DB611" s="30"/>
      <c r="DC611" s="30"/>
      <c r="DD611" s="30"/>
      <c r="DE611" s="30"/>
      <c r="DF611" s="30"/>
      <c r="DG611" s="30"/>
      <c r="DH611" s="30"/>
      <c r="DI611" s="30"/>
      <c r="DJ611" s="30"/>
      <c r="DK611" s="30"/>
      <c r="DL611" s="30"/>
      <c r="DM611" s="30"/>
      <c r="DN611" s="30"/>
      <c r="DO611" s="30"/>
      <c r="DP611" s="30"/>
      <c r="DQ611" s="30"/>
      <c r="DR611" s="30"/>
      <c r="DS611" s="30"/>
      <c r="DT611" s="30"/>
      <c r="DU611" s="30"/>
      <c r="DV611" s="30"/>
      <c r="DW611" s="30"/>
    </row>
    <row r="612" spans="1:127" ht="13">
      <c r="A612" s="39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  <c r="BS612" s="30"/>
      <c r="BT612" s="30"/>
      <c r="BU612" s="30"/>
      <c r="BV612" s="30"/>
      <c r="BW612" s="30"/>
      <c r="BX612" s="30"/>
      <c r="BY612" s="30"/>
      <c r="BZ612" s="30"/>
      <c r="CA612" s="30"/>
      <c r="CB612" s="30"/>
      <c r="CC612" s="30"/>
      <c r="CD612" s="30"/>
      <c r="CE612" s="30"/>
      <c r="CF612" s="30"/>
      <c r="CG612" s="30"/>
      <c r="CH612" s="30"/>
      <c r="CI612" s="30"/>
      <c r="CJ612" s="30"/>
      <c r="CK612" s="30"/>
      <c r="CL612" s="30"/>
      <c r="CM612" s="30"/>
      <c r="CN612" s="30"/>
      <c r="CO612" s="30"/>
      <c r="CP612" s="30"/>
      <c r="CQ612" s="30"/>
      <c r="CR612" s="30"/>
      <c r="CS612" s="30"/>
      <c r="CT612" s="30"/>
      <c r="CU612" s="30"/>
      <c r="CV612" s="30"/>
      <c r="CW612" s="30"/>
      <c r="CX612" s="30"/>
      <c r="CY612" s="30"/>
      <c r="CZ612" s="30"/>
      <c r="DA612" s="30"/>
      <c r="DB612" s="30"/>
      <c r="DC612" s="30"/>
      <c r="DD612" s="30"/>
      <c r="DE612" s="30"/>
      <c r="DF612" s="30"/>
      <c r="DG612" s="30"/>
      <c r="DH612" s="30"/>
      <c r="DI612" s="30"/>
      <c r="DJ612" s="30"/>
      <c r="DK612" s="30"/>
      <c r="DL612" s="30"/>
      <c r="DM612" s="30"/>
      <c r="DN612" s="30"/>
      <c r="DO612" s="30"/>
      <c r="DP612" s="30"/>
      <c r="DQ612" s="30"/>
      <c r="DR612" s="30"/>
      <c r="DS612" s="30"/>
      <c r="DT612" s="30"/>
      <c r="DU612" s="30"/>
      <c r="DV612" s="30"/>
      <c r="DW612" s="30"/>
    </row>
    <row r="613" spans="1:127" ht="13">
      <c r="A613" s="39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  <c r="BS613" s="30"/>
      <c r="BT613" s="30"/>
      <c r="BU613" s="30"/>
      <c r="BV613" s="30"/>
      <c r="BW613" s="30"/>
      <c r="BX613" s="30"/>
      <c r="BY613" s="30"/>
      <c r="BZ613" s="30"/>
      <c r="CA613" s="30"/>
      <c r="CB613" s="30"/>
      <c r="CC613" s="30"/>
      <c r="CD613" s="30"/>
      <c r="CE613" s="30"/>
      <c r="CF613" s="30"/>
      <c r="CG613" s="30"/>
      <c r="CH613" s="30"/>
      <c r="CI613" s="30"/>
      <c r="CJ613" s="30"/>
      <c r="CK613" s="30"/>
      <c r="CL613" s="30"/>
      <c r="CM613" s="30"/>
      <c r="CN613" s="30"/>
      <c r="CO613" s="30"/>
      <c r="CP613" s="30"/>
      <c r="CQ613" s="30"/>
      <c r="CR613" s="30"/>
      <c r="CS613" s="30"/>
      <c r="CT613" s="30"/>
      <c r="CU613" s="30"/>
      <c r="CV613" s="30"/>
      <c r="CW613" s="30"/>
      <c r="CX613" s="30"/>
      <c r="CY613" s="30"/>
      <c r="CZ613" s="30"/>
      <c r="DA613" s="30"/>
      <c r="DB613" s="30"/>
      <c r="DC613" s="30"/>
      <c r="DD613" s="30"/>
      <c r="DE613" s="30"/>
      <c r="DF613" s="30"/>
      <c r="DG613" s="30"/>
      <c r="DH613" s="30"/>
      <c r="DI613" s="30"/>
      <c r="DJ613" s="30"/>
      <c r="DK613" s="30"/>
      <c r="DL613" s="30"/>
      <c r="DM613" s="30"/>
      <c r="DN613" s="30"/>
      <c r="DO613" s="30"/>
      <c r="DP613" s="30"/>
      <c r="DQ613" s="30"/>
      <c r="DR613" s="30"/>
      <c r="DS613" s="30"/>
      <c r="DT613" s="30"/>
      <c r="DU613" s="30"/>
      <c r="DV613" s="30"/>
      <c r="DW613" s="30"/>
    </row>
    <row r="614" spans="1:127" ht="13">
      <c r="A614" s="39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  <c r="BS614" s="30"/>
      <c r="BT614" s="30"/>
      <c r="BU614" s="30"/>
      <c r="BV614" s="30"/>
      <c r="BW614" s="30"/>
      <c r="BX614" s="30"/>
      <c r="BY614" s="30"/>
      <c r="BZ614" s="30"/>
      <c r="CA614" s="30"/>
      <c r="CB614" s="30"/>
      <c r="CC614" s="30"/>
      <c r="CD614" s="30"/>
      <c r="CE614" s="30"/>
      <c r="CF614" s="30"/>
      <c r="CG614" s="30"/>
      <c r="CH614" s="30"/>
      <c r="CI614" s="30"/>
      <c r="CJ614" s="30"/>
      <c r="CK614" s="30"/>
      <c r="CL614" s="30"/>
      <c r="CM614" s="30"/>
      <c r="CN614" s="30"/>
      <c r="CO614" s="30"/>
      <c r="CP614" s="30"/>
      <c r="CQ614" s="30"/>
      <c r="CR614" s="30"/>
      <c r="CS614" s="30"/>
      <c r="CT614" s="30"/>
      <c r="CU614" s="30"/>
      <c r="CV614" s="30"/>
      <c r="CW614" s="30"/>
      <c r="CX614" s="30"/>
      <c r="CY614" s="30"/>
      <c r="CZ614" s="30"/>
      <c r="DA614" s="30"/>
      <c r="DB614" s="30"/>
      <c r="DC614" s="30"/>
      <c r="DD614" s="30"/>
      <c r="DE614" s="30"/>
      <c r="DF614" s="30"/>
      <c r="DG614" s="30"/>
      <c r="DH614" s="30"/>
      <c r="DI614" s="30"/>
      <c r="DJ614" s="30"/>
      <c r="DK614" s="30"/>
      <c r="DL614" s="30"/>
      <c r="DM614" s="30"/>
      <c r="DN614" s="30"/>
      <c r="DO614" s="30"/>
      <c r="DP614" s="30"/>
      <c r="DQ614" s="30"/>
      <c r="DR614" s="30"/>
      <c r="DS614" s="30"/>
      <c r="DT614" s="30"/>
      <c r="DU614" s="30"/>
      <c r="DV614" s="30"/>
      <c r="DW614" s="30"/>
    </row>
    <row r="615" spans="1:127" ht="13">
      <c r="A615" s="39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  <c r="BS615" s="30"/>
      <c r="BT615" s="30"/>
      <c r="BU615" s="30"/>
      <c r="BV615" s="30"/>
      <c r="BW615" s="30"/>
      <c r="BX615" s="30"/>
      <c r="BY615" s="30"/>
      <c r="BZ615" s="30"/>
      <c r="CA615" s="30"/>
      <c r="CB615" s="30"/>
      <c r="CC615" s="30"/>
      <c r="CD615" s="30"/>
      <c r="CE615" s="30"/>
      <c r="CF615" s="30"/>
      <c r="CG615" s="30"/>
      <c r="CH615" s="30"/>
      <c r="CI615" s="30"/>
      <c r="CJ615" s="30"/>
      <c r="CK615" s="30"/>
      <c r="CL615" s="30"/>
      <c r="CM615" s="30"/>
      <c r="CN615" s="30"/>
      <c r="CO615" s="30"/>
      <c r="CP615" s="30"/>
      <c r="CQ615" s="30"/>
      <c r="CR615" s="30"/>
      <c r="CS615" s="30"/>
      <c r="CT615" s="30"/>
      <c r="CU615" s="30"/>
      <c r="CV615" s="30"/>
      <c r="CW615" s="30"/>
      <c r="CX615" s="30"/>
      <c r="CY615" s="30"/>
      <c r="CZ615" s="30"/>
      <c r="DA615" s="30"/>
      <c r="DB615" s="30"/>
      <c r="DC615" s="30"/>
      <c r="DD615" s="30"/>
      <c r="DE615" s="30"/>
      <c r="DF615" s="30"/>
      <c r="DG615" s="30"/>
      <c r="DH615" s="30"/>
      <c r="DI615" s="30"/>
      <c r="DJ615" s="30"/>
      <c r="DK615" s="30"/>
      <c r="DL615" s="30"/>
      <c r="DM615" s="30"/>
      <c r="DN615" s="30"/>
      <c r="DO615" s="30"/>
      <c r="DP615" s="30"/>
      <c r="DQ615" s="30"/>
      <c r="DR615" s="30"/>
      <c r="DS615" s="30"/>
      <c r="DT615" s="30"/>
      <c r="DU615" s="30"/>
      <c r="DV615" s="30"/>
      <c r="DW615" s="30"/>
    </row>
    <row r="616" spans="1:127" ht="13">
      <c r="A616" s="39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  <c r="BV616" s="30"/>
      <c r="BW616" s="30"/>
      <c r="BX616" s="30"/>
      <c r="BY616" s="30"/>
      <c r="BZ616" s="30"/>
      <c r="CA616" s="30"/>
      <c r="CB616" s="30"/>
      <c r="CC616" s="30"/>
      <c r="CD616" s="30"/>
      <c r="CE616" s="30"/>
      <c r="CF616" s="30"/>
      <c r="CG616" s="30"/>
      <c r="CH616" s="30"/>
      <c r="CI616" s="30"/>
      <c r="CJ616" s="30"/>
      <c r="CK616" s="30"/>
      <c r="CL616" s="30"/>
      <c r="CM616" s="30"/>
      <c r="CN616" s="30"/>
      <c r="CO616" s="30"/>
      <c r="CP616" s="30"/>
      <c r="CQ616" s="30"/>
      <c r="CR616" s="30"/>
      <c r="CS616" s="30"/>
      <c r="CT616" s="30"/>
      <c r="CU616" s="30"/>
      <c r="CV616" s="30"/>
      <c r="CW616" s="30"/>
      <c r="CX616" s="30"/>
      <c r="CY616" s="30"/>
      <c r="CZ616" s="30"/>
      <c r="DA616" s="30"/>
      <c r="DB616" s="30"/>
      <c r="DC616" s="30"/>
      <c r="DD616" s="30"/>
      <c r="DE616" s="30"/>
      <c r="DF616" s="30"/>
      <c r="DG616" s="30"/>
      <c r="DH616" s="30"/>
      <c r="DI616" s="30"/>
      <c r="DJ616" s="30"/>
      <c r="DK616" s="30"/>
      <c r="DL616" s="30"/>
      <c r="DM616" s="30"/>
      <c r="DN616" s="30"/>
      <c r="DO616" s="30"/>
      <c r="DP616" s="30"/>
      <c r="DQ616" s="30"/>
      <c r="DR616" s="30"/>
      <c r="DS616" s="30"/>
      <c r="DT616" s="30"/>
      <c r="DU616" s="30"/>
      <c r="DV616" s="30"/>
      <c r="DW616" s="30"/>
    </row>
    <row r="617" spans="1:127" ht="13">
      <c r="A617" s="39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  <c r="BS617" s="30"/>
      <c r="BT617" s="30"/>
      <c r="BU617" s="30"/>
      <c r="BV617" s="30"/>
      <c r="BW617" s="30"/>
      <c r="BX617" s="30"/>
      <c r="BY617" s="30"/>
      <c r="BZ617" s="30"/>
      <c r="CA617" s="30"/>
      <c r="CB617" s="30"/>
      <c r="CC617" s="30"/>
      <c r="CD617" s="30"/>
      <c r="CE617" s="30"/>
      <c r="CF617" s="30"/>
      <c r="CG617" s="30"/>
      <c r="CH617" s="30"/>
      <c r="CI617" s="30"/>
      <c r="CJ617" s="30"/>
      <c r="CK617" s="30"/>
      <c r="CL617" s="30"/>
      <c r="CM617" s="30"/>
      <c r="CN617" s="30"/>
      <c r="CO617" s="30"/>
      <c r="CP617" s="30"/>
      <c r="CQ617" s="30"/>
      <c r="CR617" s="30"/>
      <c r="CS617" s="30"/>
      <c r="CT617" s="30"/>
      <c r="CU617" s="30"/>
      <c r="CV617" s="30"/>
      <c r="CW617" s="30"/>
      <c r="CX617" s="30"/>
      <c r="CY617" s="30"/>
      <c r="CZ617" s="30"/>
      <c r="DA617" s="30"/>
      <c r="DB617" s="30"/>
      <c r="DC617" s="30"/>
      <c r="DD617" s="30"/>
      <c r="DE617" s="30"/>
      <c r="DF617" s="30"/>
      <c r="DG617" s="30"/>
      <c r="DH617" s="30"/>
      <c r="DI617" s="30"/>
      <c r="DJ617" s="30"/>
      <c r="DK617" s="30"/>
      <c r="DL617" s="30"/>
      <c r="DM617" s="30"/>
      <c r="DN617" s="30"/>
      <c r="DO617" s="30"/>
      <c r="DP617" s="30"/>
      <c r="DQ617" s="30"/>
      <c r="DR617" s="30"/>
      <c r="DS617" s="30"/>
      <c r="DT617" s="30"/>
      <c r="DU617" s="30"/>
      <c r="DV617" s="30"/>
      <c r="DW617" s="30"/>
    </row>
    <row r="618" spans="1:127" ht="13">
      <c r="A618" s="39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  <c r="BS618" s="30"/>
      <c r="BT618" s="30"/>
      <c r="BU618" s="30"/>
      <c r="BV618" s="30"/>
      <c r="BW618" s="30"/>
      <c r="BX618" s="30"/>
      <c r="BY618" s="30"/>
      <c r="BZ618" s="30"/>
      <c r="CA618" s="30"/>
      <c r="CB618" s="30"/>
      <c r="CC618" s="30"/>
      <c r="CD618" s="30"/>
      <c r="CE618" s="30"/>
      <c r="CF618" s="30"/>
      <c r="CG618" s="30"/>
      <c r="CH618" s="30"/>
      <c r="CI618" s="30"/>
      <c r="CJ618" s="30"/>
      <c r="CK618" s="30"/>
      <c r="CL618" s="30"/>
      <c r="CM618" s="30"/>
      <c r="CN618" s="30"/>
      <c r="CO618" s="30"/>
      <c r="CP618" s="30"/>
      <c r="CQ618" s="30"/>
      <c r="CR618" s="30"/>
      <c r="CS618" s="30"/>
      <c r="CT618" s="30"/>
      <c r="CU618" s="30"/>
      <c r="CV618" s="30"/>
      <c r="CW618" s="30"/>
      <c r="CX618" s="30"/>
      <c r="CY618" s="30"/>
      <c r="CZ618" s="30"/>
      <c r="DA618" s="30"/>
      <c r="DB618" s="30"/>
      <c r="DC618" s="30"/>
      <c r="DD618" s="30"/>
      <c r="DE618" s="30"/>
      <c r="DF618" s="30"/>
      <c r="DG618" s="30"/>
      <c r="DH618" s="30"/>
      <c r="DI618" s="30"/>
      <c r="DJ618" s="30"/>
      <c r="DK618" s="30"/>
      <c r="DL618" s="30"/>
      <c r="DM618" s="30"/>
      <c r="DN618" s="30"/>
      <c r="DO618" s="30"/>
      <c r="DP618" s="30"/>
      <c r="DQ618" s="30"/>
      <c r="DR618" s="30"/>
      <c r="DS618" s="30"/>
      <c r="DT618" s="30"/>
      <c r="DU618" s="30"/>
      <c r="DV618" s="30"/>
      <c r="DW618" s="30"/>
    </row>
    <row r="619" spans="1:127" ht="13">
      <c r="A619" s="39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  <c r="BS619" s="30"/>
      <c r="BT619" s="30"/>
      <c r="BU619" s="30"/>
      <c r="BV619" s="30"/>
      <c r="BW619" s="30"/>
      <c r="BX619" s="30"/>
      <c r="BY619" s="30"/>
      <c r="BZ619" s="30"/>
      <c r="CA619" s="30"/>
      <c r="CB619" s="30"/>
      <c r="CC619" s="30"/>
      <c r="CD619" s="30"/>
      <c r="CE619" s="30"/>
      <c r="CF619" s="30"/>
      <c r="CG619" s="30"/>
      <c r="CH619" s="30"/>
      <c r="CI619" s="30"/>
      <c r="CJ619" s="30"/>
      <c r="CK619" s="30"/>
      <c r="CL619" s="30"/>
      <c r="CM619" s="30"/>
      <c r="CN619" s="30"/>
      <c r="CO619" s="30"/>
      <c r="CP619" s="30"/>
      <c r="CQ619" s="30"/>
      <c r="CR619" s="30"/>
      <c r="CS619" s="30"/>
      <c r="CT619" s="30"/>
      <c r="CU619" s="30"/>
      <c r="CV619" s="30"/>
      <c r="CW619" s="30"/>
      <c r="CX619" s="30"/>
      <c r="CY619" s="30"/>
      <c r="CZ619" s="30"/>
      <c r="DA619" s="30"/>
      <c r="DB619" s="30"/>
      <c r="DC619" s="30"/>
      <c r="DD619" s="30"/>
      <c r="DE619" s="30"/>
      <c r="DF619" s="30"/>
      <c r="DG619" s="30"/>
      <c r="DH619" s="30"/>
      <c r="DI619" s="30"/>
      <c r="DJ619" s="30"/>
      <c r="DK619" s="30"/>
      <c r="DL619" s="30"/>
      <c r="DM619" s="30"/>
      <c r="DN619" s="30"/>
      <c r="DO619" s="30"/>
      <c r="DP619" s="30"/>
      <c r="DQ619" s="30"/>
      <c r="DR619" s="30"/>
      <c r="DS619" s="30"/>
      <c r="DT619" s="30"/>
      <c r="DU619" s="30"/>
      <c r="DV619" s="30"/>
      <c r="DW619" s="30"/>
    </row>
    <row r="620" spans="1:127" ht="13">
      <c r="A620" s="39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  <c r="BQ620" s="30"/>
      <c r="BR620" s="30"/>
      <c r="BS620" s="30"/>
      <c r="BT620" s="30"/>
      <c r="BU620" s="30"/>
      <c r="BV620" s="30"/>
      <c r="BW620" s="30"/>
      <c r="BX620" s="30"/>
      <c r="BY620" s="30"/>
      <c r="BZ620" s="30"/>
      <c r="CA620" s="30"/>
      <c r="CB620" s="30"/>
      <c r="CC620" s="30"/>
      <c r="CD620" s="30"/>
      <c r="CE620" s="30"/>
      <c r="CF620" s="30"/>
      <c r="CG620" s="30"/>
      <c r="CH620" s="30"/>
      <c r="CI620" s="30"/>
      <c r="CJ620" s="30"/>
      <c r="CK620" s="30"/>
      <c r="CL620" s="30"/>
      <c r="CM620" s="30"/>
      <c r="CN620" s="30"/>
      <c r="CO620" s="30"/>
      <c r="CP620" s="30"/>
      <c r="CQ620" s="30"/>
      <c r="CR620" s="30"/>
      <c r="CS620" s="30"/>
      <c r="CT620" s="30"/>
      <c r="CU620" s="30"/>
      <c r="CV620" s="30"/>
      <c r="CW620" s="30"/>
      <c r="CX620" s="30"/>
      <c r="CY620" s="30"/>
      <c r="CZ620" s="30"/>
      <c r="DA620" s="30"/>
      <c r="DB620" s="30"/>
      <c r="DC620" s="30"/>
      <c r="DD620" s="30"/>
      <c r="DE620" s="30"/>
      <c r="DF620" s="30"/>
      <c r="DG620" s="30"/>
      <c r="DH620" s="30"/>
      <c r="DI620" s="30"/>
      <c r="DJ620" s="30"/>
      <c r="DK620" s="30"/>
      <c r="DL620" s="30"/>
      <c r="DM620" s="30"/>
      <c r="DN620" s="30"/>
      <c r="DO620" s="30"/>
      <c r="DP620" s="30"/>
      <c r="DQ620" s="30"/>
      <c r="DR620" s="30"/>
      <c r="DS620" s="30"/>
      <c r="DT620" s="30"/>
      <c r="DU620" s="30"/>
      <c r="DV620" s="30"/>
      <c r="DW620" s="30"/>
    </row>
    <row r="621" spans="1:127" ht="13">
      <c r="A621" s="39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  <c r="BS621" s="30"/>
      <c r="BT621" s="30"/>
      <c r="BU621" s="30"/>
      <c r="BV621" s="30"/>
      <c r="BW621" s="30"/>
      <c r="BX621" s="30"/>
      <c r="BY621" s="30"/>
      <c r="BZ621" s="30"/>
      <c r="CA621" s="30"/>
      <c r="CB621" s="30"/>
      <c r="CC621" s="30"/>
      <c r="CD621" s="30"/>
      <c r="CE621" s="30"/>
      <c r="CF621" s="30"/>
      <c r="CG621" s="30"/>
      <c r="CH621" s="30"/>
      <c r="CI621" s="30"/>
      <c r="CJ621" s="30"/>
      <c r="CK621" s="30"/>
      <c r="CL621" s="30"/>
      <c r="CM621" s="30"/>
      <c r="CN621" s="30"/>
      <c r="CO621" s="30"/>
      <c r="CP621" s="30"/>
      <c r="CQ621" s="30"/>
      <c r="CR621" s="30"/>
      <c r="CS621" s="30"/>
      <c r="CT621" s="30"/>
      <c r="CU621" s="30"/>
      <c r="CV621" s="30"/>
      <c r="CW621" s="30"/>
      <c r="CX621" s="30"/>
      <c r="CY621" s="30"/>
      <c r="CZ621" s="30"/>
      <c r="DA621" s="30"/>
      <c r="DB621" s="30"/>
      <c r="DC621" s="30"/>
      <c r="DD621" s="30"/>
      <c r="DE621" s="30"/>
      <c r="DF621" s="30"/>
      <c r="DG621" s="30"/>
      <c r="DH621" s="30"/>
      <c r="DI621" s="30"/>
      <c r="DJ621" s="30"/>
      <c r="DK621" s="30"/>
      <c r="DL621" s="30"/>
      <c r="DM621" s="30"/>
      <c r="DN621" s="30"/>
      <c r="DO621" s="30"/>
      <c r="DP621" s="30"/>
      <c r="DQ621" s="30"/>
      <c r="DR621" s="30"/>
      <c r="DS621" s="30"/>
      <c r="DT621" s="30"/>
      <c r="DU621" s="30"/>
      <c r="DV621" s="30"/>
      <c r="DW621" s="30"/>
    </row>
    <row r="622" spans="1:127" ht="13">
      <c r="A622" s="39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  <c r="BQ622" s="30"/>
      <c r="BR622" s="30"/>
      <c r="BS622" s="30"/>
      <c r="BT622" s="30"/>
      <c r="BU622" s="30"/>
      <c r="BV622" s="30"/>
      <c r="BW622" s="30"/>
      <c r="BX622" s="30"/>
      <c r="BY622" s="30"/>
      <c r="BZ622" s="30"/>
      <c r="CA622" s="30"/>
      <c r="CB622" s="30"/>
      <c r="CC622" s="30"/>
      <c r="CD622" s="30"/>
      <c r="CE622" s="30"/>
      <c r="CF622" s="30"/>
      <c r="CG622" s="30"/>
      <c r="CH622" s="30"/>
      <c r="CI622" s="30"/>
      <c r="CJ622" s="30"/>
      <c r="CK622" s="30"/>
      <c r="CL622" s="30"/>
      <c r="CM622" s="30"/>
      <c r="CN622" s="30"/>
      <c r="CO622" s="30"/>
      <c r="CP622" s="30"/>
      <c r="CQ622" s="30"/>
      <c r="CR622" s="30"/>
      <c r="CS622" s="30"/>
      <c r="CT622" s="30"/>
      <c r="CU622" s="30"/>
      <c r="CV622" s="30"/>
      <c r="CW622" s="30"/>
      <c r="CX622" s="30"/>
      <c r="CY622" s="30"/>
      <c r="CZ622" s="30"/>
      <c r="DA622" s="30"/>
      <c r="DB622" s="30"/>
      <c r="DC622" s="30"/>
      <c r="DD622" s="30"/>
      <c r="DE622" s="30"/>
      <c r="DF622" s="30"/>
      <c r="DG622" s="30"/>
      <c r="DH622" s="30"/>
      <c r="DI622" s="30"/>
      <c r="DJ622" s="30"/>
      <c r="DK622" s="30"/>
      <c r="DL622" s="30"/>
      <c r="DM622" s="30"/>
      <c r="DN622" s="30"/>
      <c r="DO622" s="30"/>
      <c r="DP622" s="30"/>
      <c r="DQ622" s="30"/>
      <c r="DR622" s="30"/>
      <c r="DS622" s="30"/>
      <c r="DT622" s="30"/>
      <c r="DU622" s="30"/>
      <c r="DV622" s="30"/>
      <c r="DW622" s="30"/>
    </row>
    <row r="623" spans="1:127" ht="13">
      <c r="A623" s="39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  <c r="BS623" s="30"/>
      <c r="BT623" s="30"/>
      <c r="BU623" s="30"/>
      <c r="BV623" s="30"/>
      <c r="BW623" s="30"/>
      <c r="BX623" s="30"/>
      <c r="BY623" s="30"/>
      <c r="BZ623" s="30"/>
      <c r="CA623" s="30"/>
      <c r="CB623" s="30"/>
      <c r="CC623" s="30"/>
      <c r="CD623" s="30"/>
      <c r="CE623" s="30"/>
      <c r="CF623" s="30"/>
      <c r="CG623" s="30"/>
      <c r="CH623" s="30"/>
      <c r="CI623" s="30"/>
      <c r="CJ623" s="30"/>
      <c r="CK623" s="30"/>
      <c r="CL623" s="30"/>
      <c r="CM623" s="30"/>
      <c r="CN623" s="30"/>
      <c r="CO623" s="30"/>
      <c r="CP623" s="30"/>
      <c r="CQ623" s="30"/>
      <c r="CR623" s="30"/>
      <c r="CS623" s="30"/>
      <c r="CT623" s="30"/>
      <c r="CU623" s="30"/>
      <c r="CV623" s="30"/>
      <c r="CW623" s="30"/>
      <c r="CX623" s="30"/>
      <c r="CY623" s="30"/>
      <c r="CZ623" s="30"/>
      <c r="DA623" s="30"/>
      <c r="DB623" s="30"/>
      <c r="DC623" s="30"/>
      <c r="DD623" s="30"/>
      <c r="DE623" s="30"/>
      <c r="DF623" s="30"/>
      <c r="DG623" s="30"/>
      <c r="DH623" s="30"/>
      <c r="DI623" s="30"/>
      <c r="DJ623" s="30"/>
      <c r="DK623" s="30"/>
      <c r="DL623" s="30"/>
      <c r="DM623" s="30"/>
      <c r="DN623" s="30"/>
      <c r="DO623" s="30"/>
      <c r="DP623" s="30"/>
      <c r="DQ623" s="30"/>
      <c r="DR623" s="30"/>
      <c r="DS623" s="30"/>
      <c r="DT623" s="30"/>
      <c r="DU623" s="30"/>
      <c r="DV623" s="30"/>
      <c r="DW623" s="30"/>
    </row>
    <row r="624" spans="1:127" ht="13">
      <c r="A624" s="39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  <c r="BQ624" s="30"/>
      <c r="BR624" s="30"/>
      <c r="BS624" s="30"/>
      <c r="BT624" s="30"/>
      <c r="BU624" s="30"/>
      <c r="BV624" s="30"/>
      <c r="BW624" s="30"/>
      <c r="BX624" s="30"/>
      <c r="BY624" s="30"/>
      <c r="BZ624" s="30"/>
      <c r="CA624" s="30"/>
      <c r="CB624" s="30"/>
      <c r="CC624" s="30"/>
      <c r="CD624" s="30"/>
      <c r="CE624" s="30"/>
      <c r="CF624" s="30"/>
      <c r="CG624" s="30"/>
      <c r="CH624" s="30"/>
      <c r="CI624" s="30"/>
      <c r="CJ624" s="30"/>
      <c r="CK624" s="30"/>
      <c r="CL624" s="30"/>
      <c r="CM624" s="30"/>
      <c r="CN624" s="30"/>
      <c r="CO624" s="30"/>
      <c r="CP624" s="30"/>
      <c r="CQ624" s="30"/>
      <c r="CR624" s="30"/>
      <c r="CS624" s="30"/>
      <c r="CT624" s="30"/>
      <c r="CU624" s="30"/>
      <c r="CV624" s="30"/>
      <c r="CW624" s="30"/>
      <c r="CX624" s="30"/>
      <c r="CY624" s="30"/>
      <c r="CZ624" s="30"/>
      <c r="DA624" s="30"/>
      <c r="DB624" s="30"/>
      <c r="DC624" s="30"/>
      <c r="DD624" s="30"/>
      <c r="DE624" s="30"/>
      <c r="DF624" s="30"/>
      <c r="DG624" s="30"/>
      <c r="DH624" s="30"/>
      <c r="DI624" s="30"/>
      <c r="DJ624" s="30"/>
      <c r="DK624" s="30"/>
      <c r="DL624" s="30"/>
      <c r="DM624" s="30"/>
      <c r="DN624" s="30"/>
      <c r="DO624" s="30"/>
      <c r="DP624" s="30"/>
      <c r="DQ624" s="30"/>
      <c r="DR624" s="30"/>
      <c r="DS624" s="30"/>
      <c r="DT624" s="30"/>
      <c r="DU624" s="30"/>
      <c r="DV624" s="30"/>
      <c r="DW624" s="30"/>
    </row>
    <row r="625" spans="1:127" ht="13">
      <c r="A625" s="39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  <c r="BQ625" s="30"/>
      <c r="BR625" s="30"/>
      <c r="BS625" s="30"/>
      <c r="BT625" s="30"/>
      <c r="BU625" s="30"/>
      <c r="BV625" s="30"/>
      <c r="BW625" s="30"/>
      <c r="BX625" s="30"/>
      <c r="BY625" s="30"/>
      <c r="BZ625" s="30"/>
      <c r="CA625" s="30"/>
      <c r="CB625" s="30"/>
      <c r="CC625" s="30"/>
      <c r="CD625" s="30"/>
      <c r="CE625" s="30"/>
      <c r="CF625" s="30"/>
      <c r="CG625" s="30"/>
      <c r="CH625" s="30"/>
      <c r="CI625" s="30"/>
      <c r="CJ625" s="30"/>
      <c r="CK625" s="30"/>
      <c r="CL625" s="30"/>
      <c r="CM625" s="30"/>
      <c r="CN625" s="30"/>
      <c r="CO625" s="30"/>
      <c r="CP625" s="30"/>
      <c r="CQ625" s="30"/>
      <c r="CR625" s="30"/>
      <c r="CS625" s="30"/>
      <c r="CT625" s="30"/>
      <c r="CU625" s="30"/>
      <c r="CV625" s="30"/>
      <c r="CW625" s="30"/>
      <c r="CX625" s="30"/>
      <c r="CY625" s="30"/>
      <c r="CZ625" s="30"/>
      <c r="DA625" s="30"/>
      <c r="DB625" s="30"/>
      <c r="DC625" s="30"/>
      <c r="DD625" s="30"/>
      <c r="DE625" s="30"/>
      <c r="DF625" s="30"/>
      <c r="DG625" s="30"/>
      <c r="DH625" s="30"/>
      <c r="DI625" s="30"/>
      <c r="DJ625" s="30"/>
      <c r="DK625" s="30"/>
      <c r="DL625" s="30"/>
      <c r="DM625" s="30"/>
      <c r="DN625" s="30"/>
      <c r="DO625" s="30"/>
      <c r="DP625" s="30"/>
      <c r="DQ625" s="30"/>
      <c r="DR625" s="30"/>
      <c r="DS625" s="30"/>
      <c r="DT625" s="30"/>
      <c r="DU625" s="30"/>
      <c r="DV625" s="30"/>
      <c r="DW625" s="30"/>
    </row>
    <row r="626" spans="1:127" ht="13">
      <c r="A626" s="39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  <c r="BQ626" s="30"/>
      <c r="BR626" s="30"/>
      <c r="BS626" s="30"/>
      <c r="BT626" s="30"/>
      <c r="BU626" s="30"/>
      <c r="BV626" s="30"/>
      <c r="BW626" s="30"/>
      <c r="BX626" s="30"/>
      <c r="BY626" s="30"/>
      <c r="BZ626" s="30"/>
      <c r="CA626" s="30"/>
      <c r="CB626" s="30"/>
      <c r="CC626" s="30"/>
      <c r="CD626" s="30"/>
      <c r="CE626" s="30"/>
      <c r="CF626" s="30"/>
      <c r="CG626" s="30"/>
      <c r="CH626" s="30"/>
      <c r="CI626" s="30"/>
      <c r="CJ626" s="30"/>
      <c r="CK626" s="30"/>
      <c r="CL626" s="30"/>
      <c r="CM626" s="30"/>
      <c r="CN626" s="30"/>
      <c r="CO626" s="30"/>
      <c r="CP626" s="30"/>
      <c r="CQ626" s="30"/>
      <c r="CR626" s="30"/>
      <c r="CS626" s="30"/>
      <c r="CT626" s="30"/>
      <c r="CU626" s="30"/>
      <c r="CV626" s="30"/>
      <c r="CW626" s="30"/>
      <c r="CX626" s="30"/>
      <c r="CY626" s="30"/>
      <c r="CZ626" s="30"/>
      <c r="DA626" s="30"/>
      <c r="DB626" s="30"/>
      <c r="DC626" s="30"/>
      <c r="DD626" s="30"/>
      <c r="DE626" s="30"/>
      <c r="DF626" s="30"/>
      <c r="DG626" s="30"/>
      <c r="DH626" s="30"/>
      <c r="DI626" s="30"/>
      <c r="DJ626" s="30"/>
      <c r="DK626" s="30"/>
      <c r="DL626" s="30"/>
      <c r="DM626" s="30"/>
      <c r="DN626" s="30"/>
      <c r="DO626" s="30"/>
      <c r="DP626" s="30"/>
      <c r="DQ626" s="30"/>
      <c r="DR626" s="30"/>
      <c r="DS626" s="30"/>
      <c r="DT626" s="30"/>
      <c r="DU626" s="30"/>
      <c r="DV626" s="30"/>
      <c r="DW626" s="30"/>
    </row>
    <row r="627" spans="1:127" ht="13">
      <c r="A627" s="39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  <c r="BS627" s="30"/>
      <c r="BT627" s="30"/>
      <c r="BU627" s="30"/>
      <c r="BV627" s="30"/>
      <c r="BW627" s="30"/>
      <c r="BX627" s="30"/>
      <c r="BY627" s="30"/>
      <c r="BZ627" s="30"/>
      <c r="CA627" s="30"/>
      <c r="CB627" s="30"/>
      <c r="CC627" s="30"/>
      <c r="CD627" s="30"/>
      <c r="CE627" s="30"/>
      <c r="CF627" s="30"/>
      <c r="CG627" s="30"/>
      <c r="CH627" s="30"/>
      <c r="CI627" s="30"/>
      <c r="CJ627" s="30"/>
      <c r="CK627" s="30"/>
      <c r="CL627" s="30"/>
      <c r="CM627" s="30"/>
      <c r="CN627" s="30"/>
      <c r="CO627" s="30"/>
      <c r="CP627" s="30"/>
      <c r="CQ627" s="30"/>
      <c r="CR627" s="30"/>
      <c r="CS627" s="30"/>
      <c r="CT627" s="30"/>
      <c r="CU627" s="30"/>
      <c r="CV627" s="30"/>
      <c r="CW627" s="30"/>
      <c r="CX627" s="30"/>
      <c r="CY627" s="30"/>
      <c r="CZ627" s="30"/>
      <c r="DA627" s="30"/>
      <c r="DB627" s="30"/>
      <c r="DC627" s="30"/>
      <c r="DD627" s="30"/>
      <c r="DE627" s="30"/>
      <c r="DF627" s="30"/>
      <c r="DG627" s="30"/>
      <c r="DH627" s="30"/>
      <c r="DI627" s="30"/>
      <c r="DJ627" s="30"/>
      <c r="DK627" s="30"/>
      <c r="DL627" s="30"/>
      <c r="DM627" s="30"/>
      <c r="DN627" s="30"/>
      <c r="DO627" s="30"/>
      <c r="DP627" s="30"/>
      <c r="DQ627" s="30"/>
      <c r="DR627" s="30"/>
      <c r="DS627" s="30"/>
      <c r="DT627" s="30"/>
      <c r="DU627" s="30"/>
      <c r="DV627" s="30"/>
      <c r="DW627" s="30"/>
    </row>
    <row r="628" spans="1:127" ht="13">
      <c r="A628" s="39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  <c r="BS628" s="30"/>
      <c r="BT628" s="30"/>
      <c r="BU628" s="30"/>
      <c r="BV628" s="30"/>
      <c r="BW628" s="30"/>
      <c r="BX628" s="30"/>
      <c r="BY628" s="30"/>
      <c r="BZ628" s="30"/>
      <c r="CA628" s="30"/>
      <c r="CB628" s="30"/>
      <c r="CC628" s="30"/>
      <c r="CD628" s="30"/>
      <c r="CE628" s="30"/>
      <c r="CF628" s="30"/>
      <c r="CG628" s="30"/>
      <c r="CH628" s="30"/>
      <c r="CI628" s="30"/>
      <c r="CJ628" s="30"/>
      <c r="CK628" s="30"/>
      <c r="CL628" s="30"/>
      <c r="CM628" s="30"/>
      <c r="CN628" s="30"/>
      <c r="CO628" s="30"/>
      <c r="CP628" s="30"/>
      <c r="CQ628" s="30"/>
      <c r="CR628" s="30"/>
      <c r="CS628" s="30"/>
      <c r="CT628" s="30"/>
      <c r="CU628" s="30"/>
      <c r="CV628" s="30"/>
      <c r="CW628" s="30"/>
      <c r="CX628" s="30"/>
      <c r="CY628" s="30"/>
      <c r="CZ628" s="30"/>
      <c r="DA628" s="30"/>
      <c r="DB628" s="30"/>
      <c r="DC628" s="30"/>
      <c r="DD628" s="30"/>
      <c r="DE628" s="30"/>
      <c r="DF628" s="30"/>
      <c r="DG628" s="30"/>
      <c r="DH628" s="30"/>
      <c r="DI628" s="30"/>
      <c r="DJ628" s="30"/>
      <c r="DK628" s="30"/>
      <c r="DL628" s="30"/>
      <c r="DM628" s="30"/>
      <c r="DN628" s="30"/>
      <c r="DO628" s="30"/>
      <c r="DP628" s="30"/>
      <c r="DQ628" s="30"/>
      <c r="DR628" s="30"/>
      <c r="DS628" s="30"/>
      <c r="DT628" s="30"/>
      <c r="DU628" s="30"/>
      <c r="DV628" s="30"/>
      <c r="DW628" s="30"/>
    </row>
    <row r="629" spans="1:127" ht="13">
      <c r="A629" s="39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  <c r="BS629" s="30"/>
      <c r="BT629" s="30"/>
      <c r="BU629" s="30"/>
      <c r="BV629" s="30"/>
      <c r="BW629" s="30"/>
      <c r="BX629" s="30"/>
      <c r="BY629" s="30"/>
      <c r="BZ629" s="30"/>
      <c r="CA629" s="30"/>
      <c r="CB629" s="30"/>
      <c r="CC629" s="30"/>
      <c r="CD629" s="30"/>
      <c r="CE629" s="30"/>
      <c r="CF629" s="30"/>
      <c r="CG629" s="30"/>
      <c r="CH629" s="30"/>
      <c r="CI629" s="30"/>
      <c r="CJ629" s="30"/>
      <c r="CK629" s="30"/>
      <c r="CL629" s="30"/>
      <c r="CM629" s="30"/>
      <c r="CN629" s="30"/>
      <c r="CO629" s="30"/>
      <c r="CP629" s="30"/>
      <c r="CQ629" s="30"/>
      <c r="CR629" s="30"/>
      <c r="CS629" s="30"/>
      <c r="CT629" s="30"/>
      <c r="CU629" s="30"/>
      <c r="CV629" s="30"/>
      <c r="CW629" s="30"/>
      <c r="CX629" s="30"/>
      <c r="CY629" s="30"/>
      <c r="CZ629" s="30"/>
      <c r="DA629" s="30"/>
      <c r="DB629" s="30"/>
      <c r="DC629" s="30"/>
      <c r="DD629" s="30"/>
      <c r="DE629" s="30"/>
      <c r="DF629" s="30"/>
      <c r="DG629" s="30"/>
      <c r="DH629" s="30"/>
      <c r="DI629" s="30"/>
      <c r="DJ629" s="30"/>
      <c r="DK629" s="30"/>
      <c r="DL629" s="30"/>
      <c r="DM629" s="30"/>
      <c r="DN629" s="30"/>
      <c r="DO629" s="30"/>
      <c r="DP629" s="30"/>
      <c r="DQ629" s="30"/>
      <c r="DR629" s="30"/>
      <c r="DS629" s="30"/>
      <c r="DT629" s="30"/>
      <c r="DU629" s="30"/>
      <c r="DV629" s="30"/>
      <c r="DW629" s="30"/>
    </row>
    <row r="630" spans="1:127" ht="13">
      <c r="A630" s="39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  <c r="BS630" s="30"/>
      <c r="BT630" s="30"/>
      <c r="BU630" s="30"/>
      <c r="BV630" s="30"/>
      <c r="BW630" s="30"/>
      <c r="BX630" s="30"/>
      <c r="BY630" s="30"/>
      <c r="BZ630" s="30"/>
      <c r="CA630" s="30"/>
      <c r="CB630" s="30"/>
      <c r="CC630" s="30"/>
      <c r="CD630" s="30"/>
      <c r="CE630" s="30"/>
      <c r="CF630" s="30"/>
      <c r="CG630" s="30"/>
      <c r="CH630" s="30"/>
      <c r="CI630" s="30"/>
      <c r="CJ630" s="30"/>
      <c r="CK630" s="30"/>
      <c r="CL630" s="30"/>
      <c r="CM630" s="30"/>
      <c r="CN630" s="30"/>
      <c r="CO630" s="30"/>
      <c r="CP630" s="30"/>
      <c r="CQ630" s="30"/>
      <c r="CR630" s="30"/>
      <c r="CS630" s="30"/>
      <c r="CT630" s="30"/>
      <c r="CU630" s="30"/>
      <c r="CV630" s="30"/>
      <c r="CW630" s="30"/>
      <c r="CX630" s="30"/>
      <c r="CY630" s="30"/>
      <c r="CZ630" s="30"/>
      <c r="DA630" s="30"/>
      <c r="DB630" s="30"/>
      <c r="DC630" s="30"/>
      <c r="DD630" s="30"/>
      <c r="DE630" s="30"/>
      <c r="DF630" s="30"/>
      <c r="DG630" s="30"/>
      <c r="DH630" s="30"/>
      <c r="DI630" s="30"/>
      <c r="DJ630" s="30"/>
      <c r="DK630" s="30"/>
      <c r="DL630" s="30"/>
      <c r="DM630" s="30"/>
      <c r="DN630" s="30"/>
      <c r="DO630" s="30"/>
      <c r="DP630" s="30"/>
      <c r="DQ630" s="30"/>
      <c r="DR630" s="30"/>
      <c r="DS630" s="30"/>
      <c r="DT630" s="30"/>
      <c r="DU630" s="30"/>
      <c r="DV630" s="30"/>
      <c r="DW630" s="30"/>
    </row>
    <row r="631" spans="1:127" ht="13">
      <c r="A631" s="39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  <c r="BQ631" s="30"/>
      <c r="BR631" s="30"/>
      <c r="BS631" s="30"/>
      <c r="BT631" s="30"/>
      <c r="BU631" s="30"/>
      <c r="BV631" s="30"/>
      <c r="BW631" s="30"/>
      <c r="BX631" s="30"/>
      <c r="BY631" s="30"/>
      <c r="BZ631" s="30"/>
      <c r="CA631" s="30"/>
      <c r="CB631" s="30"/>
      <c r="CC631" s="30"/>
      <c r="CD631" s="30"/>
      <c r="CE631" s="30"/>
      <c r="CF631" s="30"/>
      <c r="CG631" s="30"/>
      <c r="CH631" s="30"/>
      <c r="CI631" s="30"/>
      <c r="CJ631" s="30"/>
      <c r="CK631" s="30"/>
      <c r="CL631" s="30"/>
      <c r="CM631" s="30"/>
      <c r="CN631" s="30"/>
      <c r="CO631" s="30"/>
      <c r="CP631" s="30"/>
      <c r="CQ631" s="30"/>
      <c r="CR631" s="30"/>
      <c r="CS631" s="30"/>
      <c r="CT631" s="30"/>
      <c r="CU631" s="30"/>
      <c r="CV631" s="30"/>
      <c r="CW631" s="30"/>
      <c r="CX631" s="30"/>
      <c r="CY631" s="30"/>
      <c r="CZ631" s="30"/>
      <c r="DA631" s="30"/>
      <c r="DB631" s="30"/>
      <c r="DC631" s="30"/>
      <c r="DD631" s="30"/>
      <c r="DE631" s="30"/>
      <c r="DF631" s="30"/>
      <c r="DG631" s="30"/>
      <c r="DH631" s="30"/>
      <c r="DI631" s="30"/>
      <c r="DJ631" s="30"/>
      <c r="DK631" s="30"/>
      <c r="DL631" s="30"/>
      <c r="DM631" s="30"/>
      <c r="DN631" s="30"/>
      <c r="DO631" s="30"/>
      <c r="DP631" s="30"/>
      <c r="DQ631" s="30"/>
      <c r="DR631" s="30"/>
      <c r="DS631" s="30"/>
      <c r="DT631" s="30"/>
      <c r="DU631" s="30"/>
      <c r="DV631" s="30"/>
      <c r="DW631" s="30"/>
    </row>
    <row r="632" spans="1:127" ht="13">
      <c r="A632" s="39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  <c r="BS632" s="30"/>
      <c r="BT632" s="30"/>
      <c r="BU632" s="30"/>
      <c r="BV632" s="30"/>
      <c r="BW632" s="30"/>
      <c r="BX632" s="30"/>
      <c r="BY632" s="30"/>
      <c r="BZ632" s="30"/>
      <c r="CA632" s="30"/>
      <c r="CB632" s="30"/>
      <c r="CC632" s="30"/>
      <c r="CD632" s="30"/>
      <c r="CE632" s="30"/>
      <c r="CF632" s="30"/>
      <c r="CG632" s="30"/>
      <c r="CH632" s="30"/>
      <c r="CI632" s="30"/>
      <c r="CJ632" s="30"/>
      <c r="CK632" s="30"/>
      <c r="CL632" s="30"/>
      <c r="CM632" s="30"/>
      <c r="CN632" s="30"/>
      <c r="CO632" s="30"/>
      <c r="CP632" s="30"/>
      <c r="CQ632" s="30"/>
      <c r="CR632" s="30"/>
      <c r="CS632" s="30"/>
      <c r="CT632" s="30"/>
      <c r="CU632" s="30"/>
      <c r="CV632" s="30"/>
      <c r="CW632" s="30"/>
      <c r="CX632" s="30"/>
      <c r="CY632" s="30"/>
      <c r="CZ632" s="30"/>
      <c r="DA632" s="30"/>
      <c r="DB632" s="30"/>
      <c r="DC632" s="30"/>
      <c r="DD632" s="30"/>
      <c r="DE632" s="30"/>
      <c r="DF632" s="30"/>
      <c r="DG632" s="30"/>
      <c r="DH632" s="30"/>
      <c r="DI632" s="30"/>
      <c r="DJ632" s="30"/>
      <c r="DK632" s="30"/>
      <c r="DL632" s="30"/>
      <c r="DM632" s="30"/>
      <c r="DN632" s="30"/>
      <c r="DO632" s="30"/>
      <c r="DP632" s="30"/>
      <c r="DQ632" s="30"/>
      <c r="DR632" s="30"/>
      <c r="DS632" s="30"/>
      <c r="DT632" s="30"/>
      <c r="DU632" s="30"/>
      <c r="DV632" s="30"/>
      <c r="DW632" s="30"/>
    </row>
    <row r="633" spans="1:127" ht="13">
      <c r="A633" s="39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  <c r="BS633" s="30"/>
      <c r="BT633" s="30"/>
      <c r="BU633" s="30"/>
      <c r="BV633" s="30"/>
      <c r="BW633" s="30"/>
      <c r="BX633" s="30"/>
      <c r="BY633" s="30"/>
      <c r="BZ633" s="30"/>
      <c r="CA633" s="30"/>
      <c r="CB633" s="30"/>
      <c r="CC633" s="30"/>
      <c r="CD633" s="30"/>
      <c r="CE633" s="30"/>
      <c r="CF633" s="30"/>
      <c r="CG633" s="30"/>
      <c r="CH633" s="30"/>
      <c r="CI633" s="30"/>
      <c r="CJ633" s="30"/>
      <c r="CK633" s="30"/>
      <c r="CL633" s="30"/>
      <c r="CM633" s="30"/>
      <c r="CN633" s="30"/>
      <c r="CO633" s="30"/>
      <c r="CP633" s="30"/>
      <c r="CQ633" s="30"/>
      <c r="CR633" s="30"/>
      <c r="CS633" s="30"/>
      <c r="CT633" s="30"/>
      <c r="CU633" s="30"/>
      <c r="CV633" s="30"/>
      <c r="CW633" s="30"/>
      <c r="CX633" s="30"/>
      <c r="CY633" s="30"/>
      <c r="CZ633" s="30"/>
      <c r="DA633" s="30"/>
      <c r="DB633" s="30"/>
      <c r="DC633" s="30"/>
      <c r="DD633" s="30"/>
      <c r="DE633" s="30"/>
      <c r="DF633" s="30"/>
      <c r="DG633" s="30"/>
      <c r="DH633" s="30"/>
      <c r="DI633" s="30"/>
      <c r="DJ633" s="30"/>
      <c r="DK633" s="30"/>
      <c r="DL633" s="30"/>
      <c r="DM633" s="30"/>
      <c r="DN633" s="30"/>
      <c r="DO633" s="30"/>
      <c r="DP633" s="30"/>
      <c r="DQ633" s="30"/>
      <c r="DR633" s="30"/>
      <c r="DS633" s="30"/>
      <c r="DT633" s="30"/>
      <c r="DU633" s="30"/>
      <c r="DV633" s="30"/>
      <c r="DW633" s="30"/>
    </row>
    <row r="634" spans="1:127" ht="13">
      <c r="A634" s="39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  <c r="BS634" s="30"/>
      <c r="BT634" s="30"/>
      <c r="BU634" s="30"/>
      <c r="BV634" s="30"/>
      <c r="BW634" s="30"/>
      <c r="BX634" s="30"/>
      <c r="BY634" s="30"/>
      <c r="BZ634" s="30"/>
      <c r="CA634" s="30"/>
      <c r="CB634" s="30"/>
      <c r="CC634" s="30"/>
      <c r="CD634" s="30"/>
      <c r="CE634" s="30"/>
      <c r="CF634" s="30"/>
      <c r="CG634" s="30"/>
      <c r="CH634" s="30"/>
      <c r="CI634" s="30"/>
      <c r="CJ634" s="30"/>
      <c r="CK634" s="30"/>
      <c r="CL634" s="30"/>
      <c r="CM634" s="30"/>
      <c r="CN634" s="30"/>
      <c r="CO634" s="30"/>
      <c r="CP634" s="30"/>
      <c r="CQ634" s="30"/>
      <c r="CR634" s="30"/>
      <c r="CS634" s="30"/>
      <c r="CT634" s="30"/>
      <c r="CU634" s="30"/>
      <c r="CV634" s="30"/>
      <c r="CW634" s="30"/>
      <c r="CX634" s="30"/>
      <c r="CY634" s="30"/>
      <c r="CZ634" s="30"/>
      <c r="DA634" s="30"/>
      <c r="DB634" s="30"/>
      <c r="DC634" s="30"/>
      <c r="DD634" s="30"/>
      <c r="DE634" s="30"/>
      <c r="DF634" s="30"/>
      <c r="DG634" s="30"/>
      <c r="DH634" s="30"/>
      <c r="DI634" s="30"/>
      <c r="DJ634" s="30"/>
      <c r="DK634" s="30"/>
      <c r="DL634" s="30"/>
      <c r="DM634" s="30"/>
      <c r="DN634" s="30"/>
      <c r="DO634" s="30"/>
      <c r="DP634" s="30"/>
      <c r="DQ634" s="30"/>
      <c r="DR634" s="30"/>
      <c r="DS634" s="30"/>
      <c r="DT634" s="30"/>
      <c r="DU634" s="30"/>
      <c r="DV634" s="30"/>
      <c r="DW634" s="30"/>
    </row>
    <row r="635" spans="1:127" ht="13">
      <c r="A635" s="39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  <c r="BQ635" s="30"/>
      <c r="BR635" s="30"/>
      <c r="BS635" s="30"/>
      <c r="BT635" s="30"/>
      <c r="BU635" s="30"/>
      <c r="BV635" s="30"/>
      <c r="BW635" s="30"/>
      <c r="BX635" s="30"/>
      <c r="BY635" s="30"/>
      <c r="BZ635" s="30"/>
      <c r="CA635" s="30"/>
      <c r="CB635" s="30"/>
      <c r="CC635" s="30"/>
      <c r="CD635" s="30"/>
      <c r="CE635" s="30"/>
      <c r="CF635" s="30"/>
      <c r="CG635" s="30"/>
      <c r="CH635" s="30"/>
      <c r="CI635" s="30"/>
      <c r="CJ635" s="30"/>
      <c r="CK635" s="30"/>
      <c r="CL635" s="30"/>
      <c r="CM635" s="30"/>
      <c r="CN635" s="30"/>
      <c r="CO635" s="30"/>
      <c r="CP635" s="30"/>
      <c r="CQ635" s="30"/>
      <c r="CR635" s="30"/>
      <c r="CS635" s="30"/>
      <c r="CT635" s="30"/>
      <c r="CU635" s="30"/>
      <c r="CV635" s="30"/>
      <c r="CW635" s="30"/>
      <c r="CX635" s="30"/>
      <c r="CY635" s="30"/>
      <c r="CZ635" s="30"/>
      <c r="DA635" s="30"/>
      <c r="DB635" s="30"/>
      <c r="DC635" s="30"/>
      <c r="DD635" s="30"/>
      <c r="DE635" s="30"/>
      <c r="DF635" s="30"/>
      <c r="DG635" s="30"/>
      <c r="DH635" s="30"/>
      <c r="DI635" s="30"/>
      <c r="DJ635" s="30"/>
      <c r="DK635" s="30"/>
      <c r="DL635" s="30"/>
      <c r="DM635" s="30"/>
      <c r="DN635" s="30"/>
      <c r="DO635" s="30"/>
      <c r="DP635" s="30"/>
      <c r="DQ635" s="30"/>
      <c r="DR635" s="30"/>
      <c r="DS635" s="30"/>
      <c r="DT635" s="30"/>
      <c r="DU635" s="30"/>
      <c r="DV635" s="30"/>
      <c r="DW635" s="30"/>
    </row>
    <row r="636" spans="1:127" ht="13">
      <c r="A636" s="39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  <c r="BS636" s="30"/>
      <c r="BT636" s="30"/>
      <c r="BU636" s="30"/>
      <c r="BV636" s="30"/>
      <c r="BW636" s="30"/>
      <c r="BX636" s="30"/>
      <c r="BY636" s="30"/>
      <c r="BZ636" s="30"/>
      <c r="CA636" s="30"/>
      <c r="CB636" s="30"/>
      <c r="CC636" s="30"/>
      <c r="CD636" s="30"/>
      <c r="CE636" s="30"/>
      <c r="CF636" s="30"/>
      <c r="CG636" s="30"/>
      <c r="CH636" s="30"/>
      <c r="CI636" s="30"/>
      <c r="CJ636" s="30"/>
      <c r="CK636" s="30"/>
      <c r="CL636" s="30"/>
      <c r="CM636" s="30"/>
      <c r="CN636" s="30"/>
      <c r="CO636" s="30"/>
      <c r="CP636" s="30"/>
      <c r="CQ636" s="30"/>
      <c r="CR636" s="30"/>
      <c r="CS636" s="30"/>
      <c r="CT636" s="30"/>
      <c r="CU636" s="30"/>
      <c r="CV636" s="30"/>
      <c r="CW636" s="30"/>
      <c r="CX636" s="30"/>
      <c r="CY636" s="30"/>
      <c r="CZ636" s="30"/>
      <c r="DA636" s="30"/>
      <c r="DB636" s="30"/>
      <c r="DC636" s="30"/>
      <c r="DD636" s="30"/>
      <c r="DE636" s="30"/>
      <c r="DF636" s="30"/>
      <c r="DG636" s="30"/>
      <c r="DH636" s="30"/>
      <c r="DI636" s="30"/>
      <c r="DJ636" s="30"/>
      <c r="DK636" s="30"/>
      <c r="DL636" s="30"/>
      <c r="DM636" s="30"/>
      <c r="DN636" s="30"/>
      <c r="DO636" s="30"/>
      <c r="DP636" s="30"/>
      <c r="DQ636" s="30"/>
      <c r="DR636" s="30"/>
      <c r="DS636" s="30"/>
      <c r="DT636" s="30"/>
      <c r="DU636" s="30"/>
      <c r="DV636" s="30"/>
      <c r="DW636" s="30"/>
    </row>
    <row r="637" spans="1:127" ht="13">
      <c r="A637" s="39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  <c r="BQ637" s="30"/>
      <c r="BR637" s="30"/>
      <c r="BS637" s="30"/>
      <c r="BT637" s="30"/>
      <c r="BU637" s="30"/>
      <c r="BV637" s="30"/>
      <c r="BW637" s="30"/>
      <c r="BX637" s="30"/>
      <c r="BY637" s="30"/>
      <c r="BZ637" s="30"/>
      <c r="CA637" s="30"/>
      <c r="CB637" s="30"/>
      <c r="CC637" s="30"/>
      <c r="CD637" s="30"/>
      <c r="CE637" s="30"/>
      <c r="CF637" s="30"/>
      <c r="CG637" s="30"/>
      <c r="CH637" s="30"/>
      <c r="CI637" s="30"/>
      <c r="CJ637" s="30"/>
      <c r="CK637" s="30"/>
      <c r="CL637" s="30"/>
      <c r="CM637" s="30"/>
      <c r="CN637" s="30"/>
      <c r="CO637" s="30"/>
      <c r="CP637" s="30"/>
      <c r="CQ637" s="30"/>
      <c r="CR637" s="30"/>
      <c r="CS637" s="30"/>
      <c r="CT637" s="30"/>
      <c r="CU637" s="30"/>
      <c r="CV637" s="30"/>
      <c r="CW637" s="30"/>
      <c r="CX637" s="30"/>
      <c r="CY637" s="30"/>
      <c r="CZ637" s="30"/>
      <c r="DA637" s="30"/>
      <c r="DB637" s="30"/>
      <c r="DC637" s="30"/>
      <c r="DD637" s="30"/>
      <c r="DE637" s="30"/>
      <c r="DF637" s="30"/>
      <c r="DG637" s="30"/>
      <c r="DH637" s="30"/>
      <c r="DI637" s="30"/>
      <c r="DJ637" s="30"/>
      <c r="DK637" s="30"/>
      <c r="DL637" s="30"/>
      <c r="DM637" s="30"/>
      <c r="DN637" s="30"/>
      <c r="DO637" s="30"/>
      <c r="DP637" s="30"/>
      <c r="DQ637" s="30"/>
      <c r="DR637" s="30"/>
      <c r="DS637" s="30"/>
      <c r="DT637" s="30"/>
      <c r="DU637" s="30"/>
      <c r="DV637" s="30"/>
      <c r="DW637" s="30"/>
    </row>
    <row r="638" spans="1:127" ht="13">
      <c r="A638" s="39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  <c r="BQ638" s="30"/>
      <c r="BR638" s="30"/>
      <c r="BS638" s="30"/>
      <c r="BT638" s="30"/>
      <c r="BU638" s="30"/>
      <c r="BV638" s="30"/>
      <c r="BW638" s="30"/>
      <c r="BX638" s="30"/>
      <c r="BY638" s="30"/>
      <c r="BZ638" s="30"/>
      <c r="CA638" s="30"/>
      <c r="CB638" s="30"/>
      <c r="CC638" s="30"/>
      <c r="CD638" s="30"/>
      <c r="CE638" s="30"/>
      <c r="CF638" s="30"/>
      <c r="CG638" s="30"/>
      <c r="CH638" s="30"/>
      <c r="CI638" s="30"/>
      <c r="CJ638" s="30"/>
      <c r="CK638" s="30"/>
      <c r="CL638" s="30"/>
      <c r="CM638" s="30"/>
      <c r="CN638" s="30"/>
      <c r="CO638" s="30"/>
      <c r="CP638" s="30"/>
      <c r="CQ638" s="30"/>
      <c r="CR638" s="30"/>
      <c r="CS638" s="30"/>
      <c r="CT638" s="30"/>
      <c r="CU638" s="30"/>
      <c r="CV638" s="30"/>
      <c r="CW638" s="30"/>
      <c r="CX638" s="30"/>
      <c r="CY638" s="30"/>
      <c r="CZ638" s="30"/>
      <c r="DA638" s="30"/>
      <c r="DB638" s="30"/>
      <c r="DC638" s="30"/>
      <c r="DD638" s="30"/>
      <c r="DE638" s="30"/>
      <c r="DF638" s="30"/>
      <c r="DG638" s="30"/>
      <c r="DH638" s="30"/>
      <c r="DI638" s="30"/>
      <c r="DJ638" s="30"/>
      <c r="DK638" s="30"/>
      <c r="DL638" s="30"/>
      <c r="DM638" s="30"/>
      <c r="DN638" s="30"/>
      <c r="DO638" s="30"/>
      <c r="DP638" s="30"/>
      <c r="DQ638" s="30"/>
      <c r="DR638" s="30"/>
      <c r="DS638" s="30"/>
      <c r="DT638" s="30"/>
      <c r="DU638" s="30"/>
      <c r="DV638" s="30"/>
      <c r="DW638" s="30"/>
    </row>
    <row r="639" spans="1:127" ht="13">
      <c r="A639" s="39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  <c r="BQ639" s="30"/>
      <c r="BR639" s="30"/>
      <c r="BS639" s="30"/>
      <c r="BT639" s="30"/>
      <c r="BU639" s="30"/>
      <c r="BV639" s="30"/>
      <c r="BW639" s="30"/>
      <c r="BX639" s="30"/>
      <c r="BY639" s="30"/>
      <c r="BZ639" s="30"/>
      <c r="CA639" s="30"/>
      <c r="CB639" s="30"/>
      <c r="CC639" s="30"/>
      <c r="CD639" s="30"/>
      <c r="CE639" s="30"/>
      <c r="CF639" s="30"/>
      <c r="CG639" s="30"/>
      <c r="CH639" s="30"/>
      <c r="CI639" s="30"/>
      <c r="CJ639" s="30"/>
      <c r="CK639" s="30"/>
      <c r="CL639" s="30"/>
      <c r="CM639" s="30"/>
      <c r="CN639" s="30"/>
      <c r="CO639" s="30"/>
      <c r="CP639" s="30"/>
      <c r="CQ639" s="30"/>
      <c r="CR639" s="30"/>
      <c r="CS639" s="30"/>
      <c r="CT639" s="30"/>
      <c r="CU639" s="30"/>
      <c r="CV639" s="30"/>
      <c r="CW639" s="30"/>
      <c r="CX639" s="30"/>
      <c r="CY639" s="30"/>
      <c r="CZ639" s="30"/>
      <c r="DA639" s="30"/>
      <c r="DB639" s="30"/>
      <c r="DC639" s="30"/>
      <c r="DD639" s="30"/>
      <c r="DE639" s="30"/>
      <c r="DF639" s="30"/>
      <c r="DG639" s="30"/>
      <c r="DH639" s="30"/>
      <c r="DI639" s="30"/>
      <c r="DJ639" s="30"/>
      <c r="DK639" s="30"/>
      <c r="DL639" s="30"/>
      <c r="DM639" s="30"/>
      <c r="DN639" s="30"/>
      <c r="DO639" s="30"/>
      <c r="DP639" s="30"/>
      <c r="DQ639" s="30"/>
      <c r="DR639" s="30"/>
      <c r="DS639" s="30"/>
      <c r="DT639" s="30"/>
      <c r="DU639" s="30"/>
      <c r="DV639" s="30"/>
      <c r="DW639" s="30"/>
    </row>
    <row r="640" spans="1:127" ht="13">
      <c r="A640" s="39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  <c r="BS640" s="30"/>
      <c r="BT640" s="30"/>
      <c r="BU640" s="30"/>
      <c r="BV640" s="30"/>
      <c r="BW640" s="30"/>
      <c r="BX640" s="30"/>
      <c r="BY640" s="30"/>
      <c r="BZ640" s="30"/>
      <c r="CA640" s="30"/>
      <c r="CB640" s="30"/>
      <c r="CC640" s="30"/>
      <c r="CD640" s="30"/>
      <c r="CE640" s="30"/>
      <c r="CF640" s="30"/>
      <c r="CG640" s="30"/>
      <c r="CH640" s="30"/>
      <c r="CI640" s="30"/>
      <c r="CJ640" s="30"/>
      <c r="CK640" s="30"/>
      <c r="CL640" s="30"/>
      <c r="CM640" s="30"/>
      <c r="CN640" s="30"/>
      <c r="CO640" s="30"/>
      <c r="CP640" s="30"/>
      <c r="CQ640" s="30"/>
      <c r="CR640" s="30"/>
      <c r="CS640" s="30"/>
      <c r="CT640" s="30"/>
      <c r="CU640" s="30"/>
      <c r="CV640" s="30"/>
      <c r="CW640" s="30"/>
      <c r="CX640" s="30"/>
      <c r="CY640" s="30"/>
      <c r="CZ640" s="30"/>
      <c r="DA640" s="30"/>
      <c r="DB640" s="30"/>
      <c r="DC640" s="30"/>
      <c r="DD640" s="30"/>
      <c r="DE640" s="30"/>
      <c r="DF640" s="30"/>
      <c r="DG640" s="30"/>
      <c r="DH640" s="30"/>
      <c r="DI640" s="30"/>
      <c r="DJ640" s="30"/>
      <c r="DK640" s="30"/>
      <c r="DL640" s="30"/>
      <c r="DM640" s="30"/>
      <c r="DN640" s="30"/>
      <c r="DO640" s="30"/>
      <c r="DP640" s="30"/>
      <c r="DQ640" s="30"/>
      <c r="DR640" s="30"/>
      <c r="DS640" s="30"/>
      <c r="DT640" s="30"/>
      <c r="DU640" s="30"/>
      <c r="DV640" s="30"/>
      <c r="DW640" s="30"/>
    </row>
    <row r="641" spans="1:127" ht="13">
      <c r="A641" s="39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  <c r="BS641" s="30"/>
      <c r="BT641" s="30"/>
      <c r="BU641" s="30"/>
      <c r="BV641" s="30"/>
      <c r="BW641" s="30"/>
      <c r="BX641" s="30"/>
      <c r="BY641" s="30"/>
      <c r="BZ641" s="30"/>
      <c r="CA641" s="30"/>
      <c r="CB641" s="30"/>
      <c r="CC641" s="30"/>
      <c r="CD641" s="30"/>
      <c r="CE641" s="30"/>
      <c r="CF641" s="30"/>
      <c r="CG641" s="30"/>
      <c r="CH641" s="30"/>
      <c r="CI641" s="30"/>
      <c r="CJ641" s="30"/>
      <c r="CK641" s="30"/>
      <c r="CL641" s="30"/>
      <c r="CM641" s="30"/>
      <c r="CN641" s="30"/>
      <c r="CO641" s="30"/>
      <c r="CP641" s="30"/>
      <c r="CQ641" s="30"/>
      <c r="CR641" s="30"/>
      <c r="CS641" s="30"/>
      <c r="CT641" s="30"/>
      <c r="CU641" s="30"/>
      <c r="CV641" s="30"/>
      <c r="CW641" s="30"/>
      <c r="CX641" s="30"/>
      <c r="CY641" s="30"/>
      <c r="CZ641" s="30"/>
      <c r="DA641" s="30"/>
      <c r="DB641" s="30"/>
      <c r="DC641" s="30"/>
      <c r="DD641" s="30"/>
      <c r="DE641" s="30"/>
      <c r="DF641" s="30"/>
      <c r="DG641" s="30"/>
      <c r="DH641" s="30"/>
      <c r="DI641" s="30"/>
      <c r="DJ641" s="30"/>
      <c r="DK641" s="30"/>
      <c r="DL641" s="30"/>
      <c r="DM641" s="30"/>
      <c r="DN641" s="30"/>
      <c r="DO641" s="30"/>
      <c r="DP641" s="30"/>
      <c r="DQ641" s="30"/>
      <c r="DR641" s="30"/>
      <c r="DS641" s="30"/>
      <c r="DT641" s="30"/>
      <c r="DU641" s="30"/>
      <c r="DV641" s="30"/>
      <c r="DW641" s="30"/>
    </row>
    <row r="642" spans="1:127" ht="13">
      <c r="A642" s="39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  <c r="BQ642" s="30"/>
      <c r="BR642" s="30"/>
      <c r="BS642" s="30"/>
      <c r="BT642" s="30"/>
      <c r="BU642" s="30"/>
      <c r="BV642" s="30"/>
      <c r="BW642" s="30"/>
      <c r="BX642" s="30"/>
      <c r="BY642" s="30"/>
      <c r="BZ642" s="30"/>
      <c r="CA642" s="30"/>
      <c r="CB642" s="30"/>
      <c r="CC642" s="30"/>
      <c r="CD642" s="30"/>
      <c r="CE642" s="30"/>
      <c r="CF642" s="30"/>
      <c r="CG642" s="30"/>
      <c r="CH642" s="30"/>
      <c r="CI642" s="30"/>
      <c r="CJ642" s="30"/>
      <c r="CK642" s="30"/>
      <c r="CL642" s="30"/>
      <c r="CM642" s="30"/>
      <c r="CN642" s="30"/>
      <c r="CO642" s="30"/>
      <c r="CP642" s="30"/>
      <c r="CQ642" s="30"/>
      <c r="CR642" s="30"/>
      <c r="CS642" s="30"/>
      <c r="CT642" s="30"/>
      <c r="CU642" s="30"/>
      <c r="CV642" s="30"/>
      <c r="CW642" s="30"/>
      <c r="CX642" s="30"/>
      <c r="CY642" s="30"/>
      <c r="CZ642" s="30"/>
      <c r="DA642" s="30"/>
      <c r="DB642" s="30"/>
      <c r="DC642" s="30"/>
      <c r="DD642" s="30"/>
      <c r="DE642" s="30"/>
      <c r="DF642" s="30"/>
      <c r="DG642" s="30"/>
      <c r="DH642" s="30"/>
      <c r="DI642" s="30"/>
      <c r="DJ642" s="30"/>
      <c r="DK642" s="30"/>
      <c r="DL642" s="30"/>
      <c r="DM642" s="30"/>
      <c r="DN642" s="30"/>
      <c r="DO642" s="30"/>
      <c r="DP642" s="30"/>
      <c r="DQ642" s="30"/>
      <c r="DR642" s="30"/>
      <c r="DS642" s="30"/>
      <c r="DT642" s="30"/>
      <c r="DU642" s="30"/>
      <c r="DV642" s="30"/>
      <c r="DW642" s="30"/>
    </row>
    <row r="643" spans="1:127" ht="13">
      <c r="A643" s="39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  <c r="BQ643" s="30"/>
      <c r="BR643" s="30"/>
      <c r="BS643" s="30"/>
      <c r="BT643" s="30"/>
      <c r="BU643" s="30"/>
      <c r="BV643" s="30"/>
      <c r="BW643" s="30"/>
      <c r="BX643" s="30"/>
      <c r="BY643" s="30"/>
      <c r="BZ643" s="30"/>
      <c r="CA643" s="30"/>
      <c r="CB643" s="30"/>
      <c r="CC643" s="30"/>
      <c r="CD643" s="30"/>
      <c r="CE643" s="30"/>
      <c r="CF643" s="30"/>
      <c r="CG643" s="30"/>
      <c r="CH643" s="30"/>
      <c r="CI643" s="30"/>
      <c r="CJ643" s="30"/>
      <c r="CK643" s="30"/>
      <c r="CL643" s="30"/>
      <c r="CM643" s="30"/>
      <c r="CN643" s="30"/>
      <c r="CO643" s="30"/>
      <c r="CP643" s="30"/>
      <c r="CQ643" s="30"/>
      <c r="CR643" s="30"/>
      <c r="CS643" s="30"/>
      <c r="CT643" s="30"/>
      <c r="CU643" s="30"/>
      <c r="CV643" s="30"/>
      <c r="CW643" s="30"/>
      <c r="CX643" s="30"/>
      <c r="CY643" s="30"/>
      <c r="CZ643" s="30"/>
      <c r="DA643" s="30"/>
      <c r="DB643" s="30"/>
      <c r="DC643" s="30"/>
      <c r="DD643" s="30"/>
      <c r="DE643" s="30"/>
      <c r="DF643" s="30"/>
      <c r="DG643" s="30"/>
      <c r="DH643" s="30"/>
      <c r="DI643" s="30"/>
      <c r="DJ643" s="30"/>
      <c r="DK643" s="30"/>
      <c r="DL643" s="30"/>
      <c r="DM643" s="30"/>
      <c r="DN643" s="30"/>
      <c r="DO643" s="30"/>
      <c r="DP643" s="30"/>
      <c r="DQ643" s="30"/>
      <c r="DR643" s="30"/>
      <c r="DS643" s="30"/>
      <c r="DT643" s="30"/>
      <c r="DU643" s="30"/>
      <c r="DV643" s="30"/>
      <c r="DW643" s="30"/>
    </row>
    <row r="644" spans="1:127" ht="13">
      <c r="A644" s="39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  <c r="BQ644" s="30"/>
      <c r="BR644" s="30"/>
      <c r="BS644" s="30"/>
      <c r="BT644" s="30"/>
      <c r="BU644" s="30"/>
      <c r="BV644" s="30"/>
      <c r="BW644" s="30"/>
      <c r="BX644" s="30"/>
      <c r="BY644" s="30"/>
      <c r="BZ644" s="30"/>
      <c r="CA644" s="30"/>
      <c r="CB644" s="30"/>
      <c r="CC644" s="30"/>
      <c r="CD644" s="30"/>
      <c r="CE644" s="30"/>
      <c r="CF644" s="30"/>
      <c r="CG644" s="30"/>
      <c r="CH644" s="30"/>
      <c r="CI644" s="30"/>
      <c r="CJ644" s="30"/>
      <c r="CK644" s="30"/>
      <c r="CL644" s="30"/>
      <c r="CM644" s="30"/>
      <c r="CN644" s="30"/>
      <c r="CO644" s="30"/>
      <c r="CP644" s="30"/>
      <c r="CQ644" s="30"/>
      <c r="CR644" s="30"/>
      <c r="CS644" s="30"/>
      <c r="CT644" s="30"/>
      <c r="CU644" s="30"/>
      <c r="CV644" s="30"/>
      <c r="CW644" s="30"/>
      <c r="CX644" s="30"/>
      <c r="CY644" s="30"/>
      <c r="CZ644" s="30"/>
      <c r="DA644" s="30"/>
      <c r="DB644" s="30"/>
      <c r="DC644" s="30"/>
      <c r="DD644" s="30"/>
      <c r="DE644" s="30"/>
      <c r="DF644" s="30"/>
      <c r="DG644" s="30"/>
      <c r="DH644" s="30"/>
      <c r="DI644" s="30"/>
      <c r="DJ644" s="30"/>
      <c r="DK644" s="30"/>
      <c r="DL644" s="30"/>
      <c r="DM644" s="30"/>
      <c r="DN644" s="30"/>
      <c r="DO644" s="30"/>
      <c r="DP644" s="30"/>
      <c r="DQ644" s="30"/>
      <c r="DR644" s="30"/>
      <c r="DS644" s="30"/>
      <c r="DT644" s="30"/>
      <c r="DU644" s="30"/>
      <c r="DV644" s="30"/>
      <c r="DW644" s="30"/>
    </row>
    <row r="645" spans="1:127" ht="13">
      <c r="A645" s="39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  <c r="BQ645" s="30"/>
      <c r="BR645" s="30"/>
      <c r="BS645" s="30"/>
      <c r="BT645" s="30"/>
      <c r="BU645" s="30"/>
      <c r="BV645" s="30"/>
      <c r="BW645" s="30"/>
      <c r="BX645" s="30"/>
      <c r="BY645" s="30"/>
      <c r="BZ645" s="30"/>
      <c r="CA645" s="30"/>
      <c r="CB645" s="30"/>
      <c r="CC645" s="30"/>
      <c r="CD645" s="30"/>
      <c r="CE645" s="30"/>
      <c r="CF645" s="30"/>
      <c r="CG645" s="30"/>
      <c r="CH645" s="30"/>
      <c r="CI645" s="30"/>
      <c r="CJ645" s="30"/>
      <c r="CK645" s="30"/>
      <c r="CL645" s="30"/>
      <c r="CM645" s="30"/>
      <c r="CN645" s="30"/>
      <c r="CO645" s="30"/>
      <c r="CP645" s="30"/>
      <c r="CQ645" s="30"/>
      <c r="CR645" s="30"/>
      <c r="CS645" s="30"/>
      <c r="CT645" s="30"/>
      <c r="CU645" s="30"/>
      <c r="CV645" s="30"/>
      <c r="CW645" s="30"/>
      <c r="CX645" s="30"/>
      <c r="CY645" s="30"/>
      <c r="CZ645" s="30"/>
      <c r="DA645" s="30"/>
      <c r="DB645" s="30"/>
      <c r="DC645" s="30"/>
      <c r="DD645" s="30"/>
      <c r="DE645" s="30"/>
      <c r="DF645" s="30"/>
      <c r="DG645" s="30"/>
      <c r="DH645" s="30"/>
      <c r="DI645" s="30"/>
      <c r="DJ645" s="30"/>
      <c r="DK645" s="30"/>
      <c r="DL645" s="30"/>
      <c r="DM645" s="30"/>
      <c r="DN645" s="30"/>
      <c r="DO645" s="30"/>
      <c r="DP645" s="30"/>
      <c r="DQ645" s="30"/>
      <c r="DR645" s="30"/>
      <c r="DS645" s="30"/>
      <c r="DT645" s="30"/>
      <c r="DU645" s="30"/>
      <c r="DV645" s="30"/>
      <c r="DW645" s="30"/>
    </row>
    <row r="646" spans="1:127" ht="13">
      <c r="A646" s="39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  <c r="BQ646" s="30"/>
      <c r="BR646" s="30"/>
      <c r="BS646" s="30"/>
      <c r="BT646" s="30"/>
      <c r="BU646" s="30"/>
      <c r="BV646" s="30"/>
      <c r="BW646" s="30"/>
      <c r="BX646" s="30"/>
      <c r="BY646" s="30"/>
      <c r="BZ646" s="30"/>
      <c r="CA646" s="30"/>
      <c r="CB646" s="30"/>
      <c r="CC646" s="30"/>
      <c r="CD646" s="30"/>
      <c r="CE646" s="30"/>
      <c r="CF646" s="30"/>
      <c r="CG646" s="30"/>
      <c r="CH646" s="30"/>
      <c r="CI646" s="30"/>
      <c r="CJ646" s="30"/>
      <c r="CK646" s="30"/>
      <c r="CL646" s="30"/>
      <c r="CM646" s="30"/>
      <c r="CN646" s="30"/>
      <c r="CO646" s="30"/>
      <c r="CP646" s="30"/>
      <c r="CQ646" s="30"/>
      <c r="CR646" s="30"/>
      <c r="CS646" s="30"/>
      <c r="CT646" s="30"/>
      <c r="CU646" s="30"/>
      <c r="CV646" s="30"/>
      <c r="CW646" s="30"/>
      <c r="CX646" s="30"/>
      <c r="CY646" s="30"/>
      <c r="CZ646" s="30"/>
      <c r="DA646" s="30"/>
      <c r="DB646" s="30"/>
      <c r="DC646" s="30"/>
      <c r="DD646" s="30"/>
      <c r="DE646" s="30"/>
      <c r="DF646" s="30"/>
      <c r="DG646" s="30"/>
      <c r="DH646" s="30"/>
      <c r="DI646" s="30"/>
      <c r="DJ646" s="30"/>
      <c r="DK646" s="30"/>
      <c r="DL646" s="30"/>
      <c r="DM646" s="30"/>
      <c r="DN646" s="30"/>
      <c r="DO646" s="30"/>
      <c r="DP646" s="30"/>
      <c r="DQ646" s="30"/>
      <c r="DR646" s="30"/>
      <c r="DS646" s="30"/>
      <c r="DT646" s="30"/>
      <c r="DU646" s="30"/>
      <c r="DV646" s="30"/>
      <c r="DW646" s="30"/>
    </row>
    <row r="647" spans="1:127" ht="13">
      <c r="A647" s="39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  <c r="BQ647" s="30"/>
      <c r="BR647" s="30"/>
      <c r="BS647" s="30"/>
      <c r="BT647" s="30"/>
      <c r="BU647" s="30"/>
      <c r="BV647" s="30"/>
      <c r="BW647" s="30"/>
      <c r="BX647" s="30"/>
      <c r="BY647" s="30"/>
      <c r="BZ647" s="30"/>
      <c r="CA647" s="30"/>
      <c r="CB647" s="30"/>
      <c r="CC647" s="30"/>
      <c r="CD647" s="30"/>
      <c r="CE647" s="30"/>
      <c r="CF647" s="30"/>
      <c r="CG647" s="30"/>
      <c r="CH647" s="30"/>
      <c r="CI647" s="30"/>
      <c r="CJ647" s="30"/>
      <c r="CK647" s="30"/>
      <c r="CL647" s="30"/>
      <c r="CM647" s="30"/>
      <c r="CN647" s="30"/>
      <c r="CO647" s="30"/>
      <c r="CP647" s="30"/>
      <c r="CQ647" s="30"/>
      <c r="CR647" s="30"/>
      <c r="CS647" s="30"/>
      <c r="CT647" s="30"/>
      <c r="CU647" s="30"/>
      <c r="CV647" s="30"/>
      <c r="CW647" s="30"/>
      <c r="CX647" s="30"/>
      <c r="CY647" s="30"/>
      <c r="CZ647" s="30"/>
      <c r="DA647" s="30"/>
      <c r="DB647" s="30"/>
      <c r="DC647" s="30"/>
      <c r="DD647" s="30"/>
      <c r="DE647" s="30"/>
      <c r="DF647" s="30"/>
      <c r="DG647" s="30"/>
      <c r="DH647" s="30"/>
      <c r="DI647" s="30"/>
      <c r="DJ647" s="30"/>
      <c r="DK647" s="30"/>
      <c r="DL647" s="30"/>
      <c r="DM647" s="30"/>
      <c r="DN647" s="30"/>
      <c r="DO647" s="30"/>
      <c r="DP647" s="30"/>
      <c r="DQ647" s="30"/>
      <c r="DR647" s="30"/>
      <c r="DS647" s="30"/>
      <c r="DT647" s="30"/>
      <c r="DU647" s="30"/>
      <c r="DV647" s="30"/>
      <c r="DW647" s="30"/>
    </row>
    <row r="648" spans="1:127" ht="13">
      <c r="A648" s="39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  <c r="BS648" s="30"/>
      <c r="BT648" s="30"/>
      <c r="BU648" s="30"/>
      <c r="BV648" s="30"/>
      <c r="BW648" s="30"/>
      <c r="BX648" s="30"/>
      <c r="BY648" s="30"/>
      <c r="BZ648" s="30"/>
      <c r="CA648" s="30"/>
      <c r="CB648" s="30"/>
      <c r="CC648" s="30"/>
      <c r="CD648" s="30"/>
      <c r="CE648" s="30"/>
      <c r="CF648" s="30"/>
      <c r="CG648" s="30"/>
      <c r="CH648" s="30"/>
      <c r="CI648" s="30"/>
      <c r="CJ648" s="30"/>
      <c r="CK648" s="30"/>
      <c r="CL648" s="30"/>
      <c r="CM648" s="30"/>
      <c r="CN648" s="30"/>
      <c r="CO648" s="30"/>
      <c r="CP648" s="30"/>
      <c r="CQ648" s="30"/>
      <c r="CR648" s="30"/>
      <c r="CS648" s="30"/>
      <c r="CT648" s="30"/>
      <c r="CU648" s="30"/>
      <c r="CV648" s="30"/>
      <c r="CW648" s="30"/>
      <c r="CX648" s="30"/>
      <c r="CY648" s="30"/>
      <c r="CZ648" s="30"/>
      <c r="DA648" s="30"/>
      <c r="DB648" s="30"/>
      <c r="DC648" s="30"/>
      <c r="DD648" s="30"/>
      <c r="DE648" s="30"/>
      <c r="DF648" s="30"/>
      <c r="DG648" s="30"/>
      <c r="DH648" s="30"/>
      <c r="DI648" s="30"/>
      <c r="DJ648" s="30"/>
      <c r="DK648" s="30"/>
      <c r="DL648" s="30"/>
      <c r="DM648" s="30"/>
      <c r="DN648" s="30"/>
      <c r="DO648" s="30"/>
      <c r="DP648" s="30"/>
      <c r="DQ648" s="30"/>
      <c r="DR648" s="30"/>
      <c r="DS648" s="30"/>
      <c r="DT648" s="30"/>
      <c r="DU648" s="30"/>
      <c r="DV648" s="30"/>
      <c r="DW648" s="30"/>
    </row>
    <row r="649" spans="1:127" ht="13">
      <c r="A649" s="39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  <c r="BQ649" s="30"/>
      <c r="BR649" s="30"/>
      <c r="BS649" s="30"/>
      <c r="BT649" s="30"/>
      <c r="BU649" s="30"/>
      <c r="BV649" s="30"/>
      <c r="BW649" s="30"/>
      <c r="BX649" s="30"/>
      <c r="BY649" s="30"/>
      <c r="BZ649" s="30"/>
      <c r="CA649" s="30"/>
      <c r="CB649" s="30"/>
      <c r="CC649" s="30"/>
      <c r="CD649" s="30"/>
      <c r="CE649" s="30"/>
      <c r="CF649" s="30"/>
      <c r="CG649" s="30"/>
      <c r="CH649" s="30"/>
      <c r="CI649" s="30"/>
      <c r="CJ649" s="30"/>
      <c r="CK649" s="30"/>
      <c r="CL649" s="30"/>
      <c r="CM649" s="30"/>
      <c r="CN649" s="30"/>
      <c r="CO649" s="30"/>
      <c r="CP649" s="30"/>
      <c r="CQ649" s="30"/>
      <c r="CR649" s="30"/>
      <c r="CS649" s="30"/>
      <c r="CT649" s="30"/>
      <c r="CU649" s="30"/>
      <c r="CV649" s="30"/>
      <c r="CW649" s="30"/>
      <c r="CX649" s="30"/>
      <c r="CY649" s="30"/>
      <c r="CZ649" s="30"/>
      <c r="DA649" s="30"/>
      <c r="DB649" s="30"/>
      <c r="DC649" s="30"/>
      <c r="DD649" s="30"/>
      <c r="DE649" s="30"/>
      <c r="DF649" s="30"/>
      <c r="DG649" s="30"/>
      <c r="DH649" s="30"/>
      <c r="DI649" s="30"/>
      <c r="DJ649" s="30"/>
      <c r="DK649" s="30"/>
      <c r="DL649" s="30"/>
      <c r="DM649" s="30"/>
      <c r="DN649" s="30"/>
      <c r="DO649" s="30"/>
      <c r="DP649" s="30"/>
      <c r="DQ649" s="30"/>
      <c r="DR649" s="30"/>
      <c r="DS649" s="30"/>
      <c r="DT649" s="30"/>
      <c r="DU649" s="30"/>
      <c r="DV649" s="30"/>
      <c r="DW649" s="30"/>
    </row>
    <row r="650" spans="1:127" ht="13">
      <c r="A650" s="39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  <c r="BS650" s="30"/>
      <c r="BT650" s="30"/>
      <c r="BU650" s="30"/>
      <c r="BV650" s="30"/>
      <c r="BW650" s="30"/>
      <c r="BX650" s="30"/>
      <c r="BY650" s="30"/>
      <c r="BZ650" s="30"/>
      <c r="CA650" s="30"/>
      <c r="CB650" s="30"/>
      <c r="CC650" s="30"/>
      <c r="CD650" s="30"/>
      <c r="CE650" s="30"/>
      <c r="CF650" s="30"/>
      <c r="CG650" s="30"/>
      <c r="CH650" s="30"/>
      <c r="CI650" s="30"/>
      <c r="CJ650" s="30"/>
      <c r="CK650" s="30"/>
      <c r="CL650" s="30"/>
      <c r="CM650" s="30"/>
      <c r="CN650" s="30"/>
      <c r="CO650" s="30"/>
      <c r="CP650" s="30"/>
      <c r="CQ650" s="30"/>
      <c r="CR650" s="30"/>
      <c r="CS650" s="30"/>
      <c r="CT650" s="30"/>
      <c r="CU650" s="30"/>
      <c r="CV650" s="30"/>
      <c r="CW650" s="30"/>
      <c r="CX650" s="30"/>
      <c r="CY650" s="30"/>
      <c r="CZ650" s="30"/>
      <c r="DA650" s="30"/>
      <c r="DB650" s="30"/>
      <c r="DC650" s="30"/>
      <c r="DD650" s="30"/>
      <c r="DE650" s="30"/>
      <c r="DF650" s="30"/>
      <c r="DG650" s="30"/>
      <c r="DH650" s="30"/>
      <c r="DI650" s="30"/>
      <c r="DJ650" s="30"/>
      <c r="DK650" s="30"/>
      <c r="DL650" s="30"/>
      <c r="DM650" s="30"/>
      <c r="DN650" s="30"/>
      <c r="DO650" s="30"/>
      <c r="DP650" s="30"/>
      <c r="DQ650" s="30"/>
      <c r="DR650" s="30"/>
      <c r="DS650" s="30"/>
      <c r="DT650" s="30"/>
      <c r="DU650" s="30"/>
      <c r="DV650" s="30"/>
      <c r="DW650" s="30"/>
    </row>
    <row r="651" spans="1:127" ht="13">
      <c r="A651" s="39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  <c r="BQ651" s="30"/>
      <c r="BR651" s="30"/>
      <c r="BS651" s="30"/>
      <c r="BT651" s="30"/>
      <c r="BU651" s="30"/>
      <c r="BV651" s="30"/>
      <c r="BW651" s="30"/>
      <c r="BX651" s="30"/>
      <c r="BY651" s="30"/>
      <c r="BZ651" s="30"/>
      <c r="CA651" s="30"/>
      <c r="CB651" s="30"/>
      <c r="CC651" s="30"/>
      <c r="CD651" s="30"/>
      <c r="CE651" s="30"/>
      <c r="CF651" s="30"/>
      <c r="CG651" s="30"/>
      <c r="CH651" s="30"/>
      <c r="CI651" s="30"/>
      <c r="CJ651" s="30"/>
      <c r="CK651" s="30"/>
      <c r="CL651" s="30"/>
      <c r="CM651" s="30"/>
      <c r="CN651" s="30"/>
      <c r="CO651" s="30"/>
      <c r="CP651" s="30"/>
      <c r="CQ651" s="30"/>
      <c r="CR651" s="30"/>
      <c r="CS651" s="30"/>
      <c r="CT651" s="30"/>
      <c r="CU651" s="30"/>
      <c r="CV651" s="30"/>
      <c r="CW651" s="30"/>
      <c r="CX651" s="30"/>
      <c r="CY651" s="30"/>
      <c r="CZ651" s="30"/>
      <c r="DA651" s="30"/>
      <c r="DB651" s="30"/>
      <c r="DC651" s="30"/>
      <c r="DD651" s="30"/>
      <c r="DE651" s="30"/>
      <c r="DF651" s="30"/>
      <c r="DG651" s="30"/>
      <c r="DH651" s="30"/>
      <c r="DI651" s="30"/>
      <c r="DJ651" s="30"/>
      <c r="DK651" s="30"/>
      <c r="DL651" s="30"/>
      <c r="DM651" s="30"/>
      <c r="DN651" s="30"/>
      <c r="DO651" s="30"/>
      <c r="DP651" s="30"/>
      <c r="DQ651" s="30"/>
      <c r="DR651" s="30"/>
      <c r="DS651" s="30"/>
      <c r="DT651" s="30"/>
      <c r="DU651" s="30"/>
      <c r="DV651" s="30"/>
      <c r="DW651" s="30"/>
    </row>
    <row r="652" spans="1:127" ht="13">
      <c r="A652" s="39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  <c r="BS652" s="30"/>
      <c r="BT652" s="30"/>
      <c r="BU652" s="30"/>
      <c r="BV652" s="30"/>
      <c r="BW652" s="30"/>
      <c r="BX652" s="30"/>
      <c r="BY652" s="30"/>
      <c r="BZ652" s="30"/>
      <c r="CA652" s="30"/>
      <c r="CB652" s="30"/>
      <c r="CC652" s="30"/>
      <c r="CD652" s="30"/>
      <c r="CE652" s="30"/>
      <c r="CF652" s="30"/>
      <c r="CG652" s="30"/>
      <c r="CH652" s="30"/>
      <c r="CI652" s="30"/>
      <c r="CJ652" s="30"/>
      <c r="CK652" s="30"/>
      <c r="CL652" s="30"/>
      <c r="CM652" s="30"/>
      <c r="CN652" s="30"/>
      <c r="CO652" s="30"/>
      <c r="CP652" s="30"/>
      <c r="CQ652" s="30"/>
      <c r="CR652" s="30"/>
      <c r="CS652" s="30"/>
      <c r="CT652" s="30"/>
      <c r="CU652" s="30"/>
      <c r="CV652" s="30"/>
      <c r="CW652" s="30"/>
      <c r="CX652" s="30"/>
      <c r="CY652" s="30"/>
      <c r="CZ652" s="30"/>
      <c r="DA652" s="30"/>
      <c r="DB652" s="30"/>
      <c r="DC652" s="30"/>
      <c r="DD652" s="30"/>
      <c r="DE652" s="30"/>
      <c r="DF652" s="30"/>
      <c r="DG652" s="30"/>
      <c r="DH652" s="30"/>
      <c r="DI652" s="30"/>
      <c r="DJ652" s="30"/>
      <c r="DK652" s="30"/>
      <c r="DL652" s="30"/>
      <c r="DM652" s="30"/>
      <c r="DN652" s="30"/>
      <c r="DO652" s="30"/>
      <c r="DP652" s="30"/>
      <c r="DQ652" s="30"/>
      <c r="DR652" s="30"/>
      <c r="DS652" s="30"/>
      <c r="DT652" s="30"/>
      <c r="DU652" s="30"/>
      <c r="DV652" s="30"/>
      <c r="DW652" s="30"/>
    </row>
    <row r="653" spans="1:127" ht="13">
      <c r="A653" s="39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  <c r="BQ653" s="30"/>
      <c r="BR653" s="30"/>
      <c r="BS653" s="30"/>
      <c r="BT653" s="30"/>
      <c r="BU653" s="30"/>
      <c r="BV653" s="30"/>
      <c r="BW653" s="30"/>
      <c r="BX653" s="30"/>
      <c r="BY653" s="30"/>
      <c r="BZ653" s="30"/>
      <c r="CA653" s="30"/>
      <c r="CB653" s="30"/>
      <c r="CC653" s="30"/>
      <c r="CD653" s="30"/>
      <c r="CE653" s="30"/>
      <c r="CF653" s="30"/>
      <c r="CG653" s="30"/>
      <c r="CH653" s="30"/>
      <c r="CI653" s="30"/>
      <c r="CJ653" s="30"/>
      <c r="CK653" s="30"/>
      <c r="CL653" s="30"/>
      <c r="CM653" s="30"/>
      <c r="CN653" s="30"/>
      <c r="CO653" s="30"/>
      <c r="CP653" s="30"/>
      <c r="CQ653" s="30"/>
      <c r="CR653" s="30"/>
      <c r="CS653" s="30"/>
      <c r="CT653" s="30"/>
      <c r="CU653" s="30"/>
      <c r="CV653" s="30"/>
      <c r="CW653" s="30"/>
      <c r="CX653" s="30"/>
      <c r="CY653" s="30"/>
      <c r="CZ653" s="30"/>
      <c r="DA653" s="30"/>
      <c r="DB653" s="30"/>
      <c r="DC653" s="30"/>
      <c r="DD653" s="30"/>
      <c r="DE653" s="30"/>
      <c r="DF653" s="30"/>
      <c r="DG653" s="30"/>
      <c r="DH653" s="30"/>
      <c r="DI653" s="30"/>
      <c r="DJ653" s="30"/>
      <c r="DK653" s="30"/>
      <c r="DL653" s="30"/>
      <c r="DM653" s="30"/>
      <c r="DN653" s="30"/>
      <c r="DO653" s="30"/>
      <c r="DP653" s="30"/>
      <c r="DQ653" s="30"/>
      <c r="DR653" s="30"/>
      <c r="DS653" s="30"/>
      <c r="DT653" s="30"/>
      <c r="DU653" s="30"/>
      <c r="DV653" s="30"/>
      <c r="DW653" s="30"/>
    </row>
    <row r="654" spans="1:127" ht="13">
      <c r="A654" s="39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  <c r="BS654" s="30"/>
      <c r="BT654" s="30"/>
      <c r="BU654" s="30"/>
      <c r="BV654" s="30"/>
      <c r="BW654" s="30"/>
      <c r="BX654" s="30"/>
      <c r="BY654" s="30"/>
      <c r="BZ654" s="30"/>
      <c r="CA654" s="30"/>
      <c r="CB654" s="30"/>
      <c r="CC654" s="30"/>
      <c r="CD654" s="30"/>
      <c r="CE654" s="30"/>
      <c r="CF654" s="30"/>
      <c r="CG654" s="30"/>
      <c r="CH654" s="30"/>
      <c r="CI654" s="30"/>
      <c r="CJ654" s="30"/>
      <c r="CK654" s="30"/>
      <c r="CL654" s="30"/>
      <c r="CM654" s="30"/>
      <c r="CN654" s="30"/>
      <c r="CO654" s="30"/>
      <c r="CP654" s="30"/>
      <c r="CQ654" s="30"/>
      <c r="CR654" s="30"/>
      <c r="CS654" s="30"/>
      <c r="CT654" s="30"/>
      <c r="CU654" s="30"/>
      <c r="CV654" s="30"/>
      <c r="CW654" s="30"/>
      <c r="CX654" s="30"/>
      <c r="CY654" s="30"/>
      <c r="CZ654" s="30"/>
      <c r="DA654" s="30"/>
      <c r="DB654" s="30"/>
      <c r="DC654" s="30"/>
      <c r="DD654" s="30"/>
      <c r="DE654" s="30"/>
      <c r="DF654" s="30"/>
      <c r="DG654" s="30"/>
      <c r="DH654" s="30"/>
      <c r="DI654" s="30"/>
      <c r="DJ654" s="30"/>
      <c r="DK654" s="30"/>
      <c r="DL654" s="30"/>
      <c r="DM654" s="30"/>
      <c r="DN654" s="30"/>
      <c r="DO654" s="30"/>
      <c r="DP654" s="30"/>
      <c r="DQ654" s="30"/>
      <c r="DR654" s="30"/>
      <c r="DS654" s="30"/>
      <c r="DT654" s="30"/>
      <c r="DU654" s="30"/>
      <c r="DV654" s="30"/>
      <c r="DW654" s="30"/>
    </row>
    <row r="655" spans="1:127" ht="13">
      <c r="A655" s="39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  <c r="BQ655" s="30"/>
      <c r="BR655" s="30"/>
      <c r="BS655" s="30"/>
      <c r="BT655" s="30"/>
      <c r="BU655" s="30"/>
      <c r="BV655" s="30"/>
      <c r="BW655" s="30"/>
      <c r="BX655" s="30"/>
      <c r="BY655" s="30"/>
      <c r="BZ655" s="30"/>
      <c r="CA655" s="30"/>
      <c r="CB655" s="30"/>
      <c r="CC655" s="30"/>
      <c r="CD655" s="30"/>
      <c r="CE655" s="30"/>
      <c r="CF655" s="30"/>
      <c r="CG655" s="30"/>
      <c r="CH655" s="30"/>
      <c r="CI655" s="30"/>
      <c r="CJ655" s="30"/>
      <c r="CK655" s="30"/>
      <c r="CL655" s="30"/>
      <c r="CM655" s="30"/>
      <c r="CN655" s="30"/>
      <c r="CO655" s="30"/>
      <c r="CP655" s="30"/>
      <c r="CQ655" s="30"/>
      <c r="CR655" s="30"/>
      <c r="CS655" s="30"/>
      <c r="CT655" s="30"/>
      <c r="CU655" s="30"/>
      <c r="CV655" s="30"/>
      <c r="CW655" s="30"/>
      <c r="CX655" s="30"/>
      <c r="CY655" s="30"/>
      <c r="CZ655" s="30"/>
      <c r="DA655" s="30"/>
      <c r="DB655" s="30"/>
      <c r="DC655" s="30"/>
      <c r="DD655" s="30"/>
      <c r="DE655" s="30"/>
      <c r="DF655" s="30"/>
      <c r="DG655" s="30"/>
      <c r="DH655" s="30"/>
      <c r="DI655" s="30"/>
      <c r="DJ655" s="30"/>
      <c r="DK655" s="30"/>
      <c r="DL655" s="30"/>
      <c r="DM655" s="30"/>
      <c r="DN655" s="30"/>
      <c r="DO655" s="30"/>
      <c r="DP655" s="30"/>
      <c r="DQ655" s="30"/>
      <c r="DR655" s="30"/>
      <c r="DS655" s="30"/>
      <c r="DT655" s="30"/>
      <c r="DU655" s="30"/>
      <c r="DV655" s="30"/>
      <c r="DW655" s="30"/>
    </row>
    <row r="656" spans="1:127" ht="13">
      <c r="A656" s="39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  <c r="BQ656" s="30"/>
      <c r="BR656" s="30"/>
      <c r="BS656" s="30"/>
      <c r="BT656" s="30"/>
      <c r="BU656" s="30"/>
      <c r="BV656" s="30"/>
      <c r="BW656" s="30"/>
      <c r="BX656" s="30"/>
      <c r="BY656" s="30"/>
      <c r="BZ656" s="30"/>
      <c r="CA656" s="30"/>
      <c r="CB656" s="30"/>
      <c r="CC656" s="30"/>
      <c r="CD656" s="30"/>
      <c r="CE656" s="30"/>
      <c r="CF656" s="30"/>
      <c r="CG656" s="30"/>
      <c r="CH656" s="30"/>
      <c r="CI656" s="30"/>
      <c r="CJ656" s="30"/>
      <c r="CK656" s="30"/>
      <c r="CL656" s="30"/>
      <c r="CM656" s="30"/>
      <c r="CN656" s="30"/>
      <c r="CO656" s="30"/>
      <c r="CP656" s="30"/>
      <c r="CQ656" s="30"/>
      <c r="CR656" s="30"/>
      <c r="CS656" s="30"/>
      <c r="CT656" s="30"/>
      <c r="CU656" s="30"/>
      <c r="CV656" s="30"/>
      <c r="CW656" s="30"/>
      <c r="CX656" s="30"/>
      <c r="CY656" s="30"/>
      <c r="CZ656" s="30"/>
      <c r="DA656" s="30"/>
      <c r="DB656" s="30"/>
      <c r="DC656" s="30"/>
      <c r="DD656" s="30"/>
      <c r="DE656" s="30"/>
      <c r="DF656" s="30"/>
      <c r="DG656" s="30"/>
      <c r="DH656" s="30"/>
      <c r="DI656" s="30"/>
      <c r="DJ656" s="30"/>
      <c r="DK656" s="30"/>
      <c r="DL656" s="30"/>
      <c r="DM656" s="30"/>
      <c r="DN656" s="30"/>
      <c r="DO656" s="30"/>
      <c r="DP656" s="30"/>
      <c r="DQ656" s="30"/>
      <c r="DR656" s="30"/>
      <c r="DS656" s="30"/>
      <c r="DT656" s="30"/>
      <c r="DU656" s="30"/>
      <c r="DV656" s="30"/>
      <c r="DW656" s="30"/>
    </row>
    <row r="657" spans="1:127" ht="13">
      <c r="A657" s="39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  <c r="BS657" s="30"/>
      <c r="BT657" s="30"/>
      <c r="BU657" s="30"/>
      <c r="BV657" s="30"/>
      <c r="BW657" s="30"/>
      <c r="BX657" s="30"/>
      <c r="BY657" s="30"/>
      <c r="BZ657" s="30"/>
      <c r="CA657" s="30"/>
      <c r="CB657" s="30"/>
      <c r="CC657" s="30"/>
      <c r="CD657" s="30"/>
      <c r="CE657" s="30"/>
      <c r="CF657" s="30"/>
      <c r="CG657" s="30"/>
      <c r="CH657" s="30"/>
      <c r="CI657" s="30"/>
      <c r="CJ657" s="30"/>
      <c r="CK657" s="30"/>
      <c r="CL657" s="30"/>
      <c r="CM657" s="30"/>
      <c r="CN657" s="30"/>
      <c r="CO657" s="30"/>
      <c r="CP657" s="30"/>
      <c r="CQ657" s="30"/>
      <c r="CR657" s="30"/>
      <c r="CS657" s="30"/>
      <c r="CT657" s="30"/>
      <c r="CU657" s="30"/>
      <c r="CV657" s="30"/>
      <c r="CW657" s="30"/>
      <c r="CX657" s="30"/>
      <c r="CY657" s="30"/>
      <c r="CZ657" s="30"/>
      <c r="DA657" s="30"/>
      <c r="DB657" s="30"/>
      <c r="DC657" s="30"/>
      <c r="DD657" s="30"/>
      <c r="DE657" s="30"/>
      <c r="DF657" s="30"/>
      <c r="DG657" s="30"/>
      <c r="DH657" s="30"/>
      <c r="DI657" s="30"/>
      <c r="DJ657" s="30"/>
      <c r="DK657" s="30"/>
      <c r="DL657" s="30"/>
      <c r="DM657" s="30"/>
      <c r="DN657" s="30"/>
      <c r="DO657" s="30"/>
      <c r="DP657" s="30"/>
      <c r="DQ657" s="30"/>
      <c r="DR657" s="30"/>
      <c r="DS657" s="30"/>
      <c r="DT657" s="30"/>
      <c r="DU657" s="30"/>
      <c r="DV657" s="30"/>
      <c r="DW657" s="30"/>
    </row>
    <row r="658" spans="1:127" ht="13">
      <c r="A658" s="39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  <c r="BQ658" s="30"/>
      <c r="BR658" s="30"/>
      <c r="BS658" s="30"/>
      <c r="BT658" s="30"/>
      <c r="BU658" s="30"/>
      <c r="BV658" s="30"/>
      <c r="BW658" s="30"/>
      <c r="BX658" s="30"/>
      <c r="BY658" s="30"/>
      <c r="BZ658" s="30"/>
      <c r="CA658" s="30"/>
      <c r="CB658" s="30"/>
      <c r="CC658" s="30"/>
      <c r="CD658" s="30"/>
      <c r="CE658" s="30"/>
      <c r="CF658" s="30"/>
      <c r="CG658" s="30"/>
      <c r="CH658" s="30"/>
      <c r="CI658" s="30"/>
      <c r="CJ658" s="30"/>
      <c r="CK658" s="30"/>
      <c r="CL658" s="30"/>
      <c r="CM658" s="30"/>
      <c r="CN658" s="30"/>
      <c r="CO658" s="30"/>
      <c r="CP658" s="30"/>
      <c r="CQ658" s="30"/>
      <c r="CR658" s="30"/>
      <c r="CS658" s="30"/>
      <c r="CT658" s="30"/>
      <c r="CU658" s="30"/>
      <c r="CV658" s="30"/>
      <c r="CW658" s="30"/>
      <c r="CX658" s="30"/>
      <c r="CY658" s="30"/>
      <c r="CZ658" s="30"/>
      <c r="DA658" s="30"/>
      <c r="DB658" s="30"/>
      <c r="DC658" s="30"/>
      <c r="DD658" s="30"/>
      <c r="DE658" s="30"/>
      <c r="DF658" s="30"/>
      <c r="DG658" s="30"/>
      <c r="DH658" s="30"/>
      <c r="DI658" s="30"/>
      <c r="DJ658" s="30"/>
      <c r="DK658" s="30"/>
      <c r="DL658" s="30"/>
      <c r="DM658" s="30"/>
      <c r="DN658" s="30"/>
      <c r="DO658" s="30"/>
      <c r="DP658" s="30"/>
      <c r="DQ658" s="30"/>
      <c r="DR658" s="30"/>
      <c r="DS658" s="30"/>
      <c r="DT658" s="30"/>
      <c r="DU658" s="30"/>
      <c r="DV658" s="30"/>
      <c r="DW658" s="30"/>
    </row>
    <row r="659" spans="1:127" ht="13">
      <c r="A659" s="39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30"/>
      <c r="BS659" s="30"/>
      <c r="BT659" s="30"/>
      <c r="BU659" s="30"/>
      <c r="BV659" s="30"/>
      <c r="BW659" s="30"/>
      <c r="BX659" s="30"/>
      <c r="BY659" s="30"/>
      <c r="BZ659" s="30"/>
      <c r="CA659" s="30"/>
      <c r="CB659" s="30"/>
      <c r="CC659" s="30"/>
      <c r="CD659" s="30"/>
      <c r="CE659" s="30"/>
      <c r="CF659" s="30"/>
      <c r="CG659" s="30"/>
      <c r="CH659" s="30"/>
      <c r="CI659" s="30"/>
      <c r="CJ659" s="30"/>
      <c r="CK659" s="30"/>
      <c r="CL659" s="30"/>
      <c r="CM659" s="30"/>
      <c r="CN659" s="30"/>
      <c r="CO659" s="30"/>
      <c r="CP659" s="30"/>
      <c r="CQ659" s="30"/>
      <c r="CR659" s="30"/>
      <c r="CS659" s="30"/>
      <c r="CT659" s="30"/>
      <c r="CU659" s="30"/>
      <c r="CV659" s="30"/>
      <c r="CW659" s="30"/>
      <c r="CX659" s="30"/>
      <c r="CY659" s="30"/>
      <c r="CZ659" s="30"/>
      <c r="DA659" s="30"/>
      <c r="DB659" s="30"/>
      <c r="DC659" s="30"/>
      <c r="DD659" s="30"/>
      <c r="DE659" s="30"/>
      <c r="DF659" s="30"/>
      <c r="DG659" s="30"/>
      <c r="DH659" s="30"/>
      <c r="DI659" s="30"/>
      <c r="DJ659" s="30"/>
      <c r="DK659" s="30"/>
      <c r="DL659" s="30"/>
      <c r="DM659" s="30"/>
      <c r="DN659" s="30"/>
      <c r="DO659" s="30"/>
      <c r="DP659" s="30"/>
      <c r="DQ659" s="30"/>
      <c r="DR659" s="30"/>
      <c r="DS659" s="30"/>
      <c r="DT659" s="30"/>
      <c r="DU659" s="30"/>
      <c r="DV659" s="30"/>
      <c r="DW659" s="30"/>
    </row>
    <row r="660" spans="1:127" ht="13">
      <c r="A660" s="39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30"/>
      <c r="BS660" s="30"/>
      <c r="BT660" s="30"/>
      <c r="BU660" s="30"/>
      <c r="BV660" s="30"/>
      <c r="BW660" s="30"/>
      <c r="BX660" s="30"/>
      <c r="BY660" s="30"/>
      <c r="BZ660" s="30"/>
      <c r="CA660" s="30"/>
      <c r="CB660" s="30"/>
      <c r="CC660" s="30"/>
      <c r="CD660" s="30"/>
      <c r="CE660" s="30"/>
      <c r="CF660" s="30"/>
      <c r="CG660" s="30"/>
      <c r="CH660" s="30"/>
      <c r="CI660" s="30"/>
      <c r="CJ660" s="30"/>
      <c r="CK660" s="30"/>
      <c r="CL660" s="30"/>
      <c r="CM660" s="30"/>
      <c r="CN660" s="30"/>
      <c r="CO660" s="30"/>
      <c r="CP660" s="30"/>
      <c r="CQ660" s="30"/>
      <c r="CR660" s="30"/>
      <c r="CS660" s="30"/>
      <c r="CT660" s="30"/>
      <c r="CU660" s="30"/>
      <c r="CV660" s="30"/>
      <c r="CW660" s="30"/>
      <c r="CX660" s="30"/>
      <c r="CY660" s="30"/>
      <c r="CZ660" s="30"/>
      <c r="DA660" s="30"/>
      <c r="DB660" s="30"/>
      <c r="DC660" s="30"/>
      <c r="DD660" s="30"/>
      <c r="DE660" s="30"/>
      <c r="DF660" s="30"/>
      <c r="DG660" s="30"/>
      <c r="DH660" s="30"/>
      <c r="DI660" s="30"/>
      <c r="DJ660" s="30"/>
      <c r="DK660" s="30"/>
      <c r="DL660" s="30"/>
      <c r="DM660" s="30"/>
      <c r="DN660" s="30"/>
      <c r="DO660" s="30"/>
      <c r="DP660" s="30"/>
      <c r="DQ660" s="30"/>
      <c r="DR660" s="30"/>
      <c r="DS660" s="30"/>
      <c r="DT660" s="30"/>
      <c r="DU660" s="30"/>
      <c r="DV660" s="30"/>
      <c r="DW660" s="30"/>
    </row>
    <row r="661" spans="1:127" ht="13">
      <c r="A661" s="39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  <c r="BS661" s="30"/>
      <c r="BT661" s="30"/>
      <c r="BU661" s="30"/>
      <c r="BV661" s="30"/>
      <c r="BW661" s="30"/>
      <c r="BX661" s="30"/>
      <c r="BY661" s="30"/>
      <c r="BZ661" s="30"/>
      <c r="CA661" s="30"/>
      <c r="CB661" s="30"/>
      <c r="CC661" s="30"/>
      <c r="CD661" s="30"/>
      <c r="CE661" s="30"/>
      <c r="CF661" s="30"/>
      <c r="CG661" s="30"/>
      <c r="CH661" s="30"/>
      <c r="CI661" s="30"/>
      <c r="CJ661" s="30"/>
      <c r="CK661" s="30"/>
      <c r="CL661" s="30"/>
      <c r="CM661" s="30"/>
      <c r="CN661" s="30"/>
      <c r="CO661" s="30"/>
      <c r="CP661" s="30"/>
      <c r="CQ661" s="30"/>
      <c r="CR661" s="30"/>
      <c r="CS661" s="30"/>
      <c r="CT661" s="30"/>
      <c r="CU661" s="30"/>
      <c r="CV661" s="30"/>
      <c r="CW661" s="30"/>
      <c r="CX661" s="30"/>
      <c r="CY661" s="30"/>
      <c r="CZ661" s="30"/>
      <c r="DA661" s="30"/>
      <c r="DB661" s="30"/>
      <c r="DC661" s="30"/>
      <c r="DD661" s="30"/>
      <c r="DE661" s="30"/>
      <c r="DF661" s="30"/>
      <c r="DG661" s="30"/>
      <c r="DH661" s="30"/>
      <c r="DI661" s="30"/>
      <c r="DJ661" s="30"/>
      <c r="DK661" s="30"/>
      <c r="DL661" s="30"/>
      <c r="DM661" s="30"/>
      <c r="DN661" s="30"/>
      <c r="DO661" s="30"/>
      <c r="DP661" s="30"/>
      <c r="DQ661" s="30"/>
      <c r="DR661" s="30"/>
      <c r="DS661" s="30"/>
      <c r="DT661" s="30"/>
      <c r="DU661" s="30"/>
      <c r="DV661" s="30"/>
      <c r="DW661" s="30"/>
    </row>
    <row r="662" spans="1:127" ht="13">
      <c r="A662" s="39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30"/>
      <c r="BS662" s="30"/>
      <c r="BT662" s="30"/>
      <c r="BU662" s="30"/>
      <c r="BV662" s="30"/>
      <c r="BW662" s="30"/>
      <c r="BX662" s="30"/>
      <c r="BY662" s="30"/>
      <c r="BZ662" s="30"/>
      <c r="CA662" s="30"/>
      <c r="CB662" s="30"/>
      <c r="CC662" s="30"/>
      <c r="CD662" s="30"/>
      <c r="CE662" s="30"/>
      <c r="CF662" s="30"/>
      <c r="CG662" s="30"/>
      <c r="CH662" s="30"/>
      <c r="CI662" s="30"/>
      <c r="CJ662" s="30"/>
      <c r="CK662" s="30"/>
      <c r="CL662" s="30"/>
      <c r="CM662" s="30"/>
      <c r="CN662" s="30"/>
      <c r="CO662" s="30"/>
      <c r="CP662" s="30"/>
      <c r="CQ662" s="30"/>
      <c r="CR662" s="30"/>
      <c r="CS662" s="30"/>
      <c r="CT662" s="30"/>
      <c r="CU662" s="30"/>
      <c r="CV662" s="30"/>
      <c r="CW662" s="30"/>
      <c r="CX662" s="30"/>
      <c r="CY662" s="30"/>
      <c r="CZ662" s="30"/>
      <c r="DA662" s="30"/>
      <c r="DB662" s="30"/>
      <c r="DC662" s="30"/>
      <c r="DD662" s="30"/>
      <c r="DE662" s="30"/>
      <c r="DF662" s="30"/>
      <c r="DG662" s="30"/>
      <c r="DH662" s="30"/>
      <c r="DI662" s="30"/>
      <c r="DJ662" s="30"/>
      <c r="DK662" s="30"/>
      <c r="DL662" s="30"/>
      <c r="DM662" s="30"/>
      <c r="DN662" s="30"/>
      <c r="DO662" s="30"/>
      <c r="DP662" s="30"/>
      <c r="DQ662" s="30"/>
      <c r="DR662" s="30"/>
      <c r="DS662" s="30"/>
      <c r="DT662" s="30"/>
      <c r="DU662" s="30"/>
      <c r="DV662" s="30"/>
      <c r="DW662" s="30"/>
    </row>
    <row r="663" spans="1:127" ht="13">
      <c r="A663" s="39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  <c r="BS663" s="30"/>
      <c r="BT663" s="30"/>
      <c r="BU663" s="30"/>
      <c r="BV663" s="30"/>
      <c r="BW663" s="30"/>
      <c r="BX663" s="30"/>
      <c r="BY663" s="30"/>
      <c r="BZ663" s="30"/>
      <c r="CA663" s="30"/>
      <c r="CB663" s="30"/>
      <c r="CC663" s="30"/>
      <c r="CD663" s="30"/>
      <c r="CE663" s="30"/>
      <c r="CF663" s="30"/>
      <c r="CG663" s="30"/>
      <c r="CH663" s="30"/>
      <c r="CI663" s="30"/>
      <c r="CJ663" s="30"/>
      <c r="CK663" s="30"/>
      <c r="CL663" s="30"/>
      <c r="CM663" s="30"/>
      <c r="CN663" s="30"/>
      <c r="CO663" s="30"/>
      <c r="CP663" s="30"/>
      <c r="CQ663" s="30"/>
      <c r="CR663" s="30"/>
      <c r="CS663" s="30"/>
      <c r="CT663" s="30"/>
      <c r="CU663" s="30"/>
      <c r="CV663" s="30"/>
      <c r="CW663" s="30"/>
      <c r="CX663" s="30"/>
      <c r="CY663" s="30"/>
      <c r="CZ663" s="30"/>
      <c r="DA663" s="30"/>
      <c r="DB663" s="30"/>
      <c r="DC663" s="30"/>
      <c r="DD663" s="30"/>
      <c r="DE663" s="30"/>
      <c r="DF663" s="30"/>
      <c r="DG663" s="30"/>
      <c r="DH663" s="30"/>
      <c r="DI663" s="30"/>
      <c r="DJ663" s="30"/>
      <c r="DK663" s="30"/>
      <c r="DL663" s="30"/>
      <c r="DM663" s="30"/>
      <c r="DN663" s="30"/>
      <c r="DO663" s="30"/>
      <c r="DP663" s="30"/>
      <c r="DQ663" s="30"/>
      <c r="DR663" s="30"/>
      <c r="DS663" s="30"/>
      <c r="DT663" s="30"/>
      <c r="DU663" s="30"/>
      <c r="DV663" s="30"/>
      <c r="DW663" s="30"/>
    </row>
    <row r="664" spans="1:127" ht="13">
      <c r="A664" s="39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  <c r="BQ664" s="30"/>
      <c r="BR664" s="30"/>
      <c r="BS664" s="30"/>
      <c r="BT664" s="30"/>
      <c r="BU664" s="30"/>
      <c r="BV664" s="30"/>
      <c r="BW664" s="30"/>
      <c r="BX664" s="30"/>
      <c r="BY664" s="30"/>
      <c r="BZ664" s="30"/>
      <c r="CA664" s="30"/>
      <c r="CB664" s="30"/>
      <c r="CC664" s="30"/>
      <c r="CD664" s="30"/>
      <c r="CE664" s="30"/>
      <c r="CF664" s="30"/>
      <c r="CG664" s="30"/>
      <c r="CH664" s="30"/>
      <c r="CI664" s="30"/>
      <c r="CJ664" s="30"/>
      <c r="CK664" s="30"/>
      <c r="CL664" s="30"/>
      <c r="CM664" s="30"/>
      <c r="CN664" s="30"/>
      <c r="CO664" s="30"/>
      <c r="CP664" s="30"/>
      <c r="CQ664" s="30"/>
      <c r="CR664" s="30"/>
      <c r="CS664" s="30"/>
      <c r="CT664" s="30"/>
      <c r="CU664" s="30"/>
      <c r="CV664" s="30"/>
      <c r="CW664" s="30"/>
      <c r="CX664" s="30"/>
      <c r="CY664" s="30"/>
      <c r="CZ664" s="30"/>
      <c r="DA664" s="30"/>
      <c r="DB664" s="30"/>
      <c r="DC664" s="30"/>
      <c r="DD664" s="30"/>
      <c r="DE664" s="30"/>
      <c r="DF664" s="30"/>
      <c r="DG664" s="30"/>
      <c r="DH664" s="30"/>
      <c r="DI664" s="30"/>
      <c r="DJ664" s="30"/>
      <c r="DK664" s="30"/>
      <c r="DL664" s="30"/>
      <c r="DM664" s="30"/>
      <c r="DN664" s="30"/>
      <c r="DO664" s="30"/>
      <c r="DP664" s="30"/>
      <c r="DQ664" s="30"/>
      <c r="DR664" s="30"/>
      <c r="DS664" s="30"/>
      <c r="DT664" s="30"/>
      <c r="DU664" s="30"/>
      <c r="DV664" s="30"/>
      <c r="DW664" s="30"/>
    </row>
    <row r="665" spans="1:127" ht="13">
      <c r="A665" s="39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30"/>
      <c r="BS665" s="30"/>
      <c r="BT665" s="30"/>
      <c r="BU665" s="30"/>
      <c r="BV665" s="30"/>
      <c r="BW665" s="30"/>
      <c r="BX665" s="30"/>
      <c r="BY665" s="30"/>
      <c r="BZ665" s="30"/>
      <c r="CA665" s="30"/>
      <c r="CB665" s="30"/>
      <c r="CC665" s="30"/>
      <c r="CD665" s="30"/>
      <c r="CE665" s="30"/>
      <c r="CF665" s="30"/>
      <c r="CG665" s="30"/>
      <c r="CH665" s="30"/>
      <c r="CI665" s="30"/>
      <c r="CJ665" s="30"/>
      <c r="CK665" s="30"/>
      <c r="CL665" s="30"/>
      <c r="CM665" s="30"/>
      <c r="CN665" s="30"/>
      <c r="CO665" s="30"/>
      <c r="CP665" s="30"/>
      <c r="CQ665" s="30"/>
      <c r="CR665" s="30"/>
      <c r="CS665" s="30"/>
      <c r="CT665" s="30"/>
      <c r="CU665" s="30"/>
      <c r="CV665" s="30"/>
      <c r="CW665" s="30"/>
      <c r="CX665" s="30"/>
      <c r="CY665" s="30"/>
      <c r="CZ665" s="30"/>
      <c r="DA665" s="30"/>
      <c r="DB665" s="30"/>
      <c r="DC665" s="30"/>
      <c r="DD665" s="30"/>
      <c r="DE665" s="30"/>
      <c r="DF665" s="30"/>
      <c r="DG665" s="30"/>
      <c r="DH665" s="30"/>
      <c r="DI665" s="30"/>
      <c r="DJ665" s="30"/>
      <c r="DK665" s="30"/>
      <c r="DL665" s="30"/>
      <c r="DM665" s="30"/>
      <c r="DN665" s="30"/>
      <c r="DO665" s="30"/>
      <c r="DP665" s="30"/>
      <c r="DQ665" s="30"/>
      <c r="DR665" s="30"/>
      <c r="DS665" s="30"/>
      <c r="DT665" s="30"/>
      <c r="DU665" s="30"/>
      <c r="DV665" s="30"/>
      <c r="DW665" s="30"/>
    </row>
    <row r="666" spans="1:127" ht="13">
      <c r="A666" s="39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  <c r="BS666" s="30"/>
      <c r="BT666" s="30"/>
      <c r="BU666" s="30"/>
      <c r="BV666" s="30"/>
      <c r="BW666" s="30"/>
      <c r="BX666" s="30"/>
      <c r="BY666" s="30"/>
      <c r="BZ666" s="30"/>
      <c r="CA666" s="30"/>
      <c r="CB666" s="30"/>
      <c r="CC666" s="30"/>
      <c r="CD666" s="30"/>
      <c r="CE666" s="30"/>
      <c r="CF666" s="30"/>
      <c r="CG666" s="30"/>
      <c r="CH666" s="30"/>
      <c r="CI666" s="30"/>
      <c r="CJ666" s="30"/>
      <c r="CK666" s="30"/>
      <c r="CL666" s="30"/>
      <c r="CM666" s="30"/>
      <c r="CN666" s="30"/>
      <c r="CO666" s="30"/>
      <c r="CP666" s="30"/>
      <c r="CQ666" s="30"/>
      <c r="CR666" s="30"/>
      <c r="CS666" s="30"/>
      <c r="CT666" s="30"/>
      <c r="CU666" s="30"/>
      <c r="CV666" s="30"/>
      <c r="CW666" s="30"/>
      <c r="CX666" s="30"/>
      <c r="CY666" s="30"/>
      <c r="CZ666" s="30"/>
      <c r="DA666" s="30"/>
      <c r="DB666" s="30"/>
      <c r="DC666" s="30"/>
      <c r="DD666" s="30"/>
      <c r="DE666" s="30"/>
      <c r="DF666" s="30"/>
      <c r="DG666" s="30"/>
      <c r="DH666" s="30"/>
      <c r="DI666" s="30"/>
      <c r="DJ666" s="30"/>
      <c r="DK666" s="30"/>
      <c r="DL666" s="30"/>
      <c r="DM666" s="30"/>
      <c r="DN666" s="30"/>
      <c r="DO666" s="30"/>
      <c r="DP666" s="30"/>
      <c r="DQ666" s="30"/>
      <c r="DR666" s="30"/>
      <c r="DS666" s="30"/>
      <c r="DT666" s="30"/>
      <c r="DU666" s="30"/>
      <c r="DV666" s="30"/>
      <c r="DW666" s="30"/>
    </row>
    <row r="667" spans="1:127" ht="13">
      <c r="A667" s="39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30"/>
      <c r="BS667" s="30"/>
      <c r="BT667" s="30"/>
      <c r="BU667" s="30"/>
      <c r="BV667" s="30"/>
      <c r="BW667" s="30"/>
      <c r="BX667" s="30"/>
      <c r="BY667" s="30"/>
      <c r="BZ667" s="30"/>
      <c r="CA667" s="30"/>
      <c r="CB667" s="30"/>
      <c r="CC667" s="30"/>
      <c r="CD667" s="30"/>
      <c r="CE667" s="30"/>
      <c r="CF667" s="30"/>
      <c r="CG667" s="30"/>
      <c r="CH667" s="30"/>
      <c r="CI667" s="30"/>
      <c r="CJ667" s="30"/>
      <c r="CK667" s="30"/>
      <c r="CL667" s="30"/>
      <c r="CM667" s="30"/>
      <c r="CN667" s="30"/>
      <c r="CO667" s="30"/>
      <c r="CP667" s="30"/>
      <c r="CQ667" s="30"/>
      <c r="CR667" s="30"/>
      <c r="CS667" s="30"/>
      <c r="CT667" s="30"/>
      <c r="CU667" s="30"/>
      <c r="CV667" s="30"/>
      <c r="CW667" s="30"/>
      <c r="CX667" s="30"/>
      <c r="CY667" s="30"/>
      <c r="CZ667" s="30"/>
      <c r="DA667" s="30"/>
      <c r="DB667" s="30"/>
      <c r="DC667" s="30"/>
      <c r="DD667" s="30"/>
      <c r="DE667" s="30"/>
      <c r="DF667" s="30"/>
      <c r="DG667" s="30"/>
      <c r="DH667" s="30"/>
      <c r="DI667" s="30"/>
      <c r="DJ667" s="30"/>
      <c r="DK667" s="30"/>
      <c r="DL667" s="30"/>
      <c r="DM667" s="30"/>
      <c r="DN667" s="30"/>
      <c r="DO667" s="30"/>
      <c r="DP667" s="30"/>
      <c r="DQ667" s="30"/>
      <c r="DR667" s="30"/>
      <c r="DS667" s="30"/>
      <c r="DT667" s="30"/>
      <c r="DU667" s="30"/>
      <c r="DV667" s="30"/>
      <c r="DW667" s="30"/>
    </row>
    <row r="668" spans="1:127" ht="13">
      <c r="A668" s="39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  <c r="BQ668" s="30"/>
      <c r="BR668" s="30"/>
      <c r="BS668" s="30"/>
      <c r="BT668" s="30"/>
      <c r="BU668" s="30"/>
      <c r="BV668" s="30"/>
      <c r="BW668" s="30"/>
      <c r="BX668" s="30"/>
      <c r="BY668" s="30"/>
      <c r="BZ668" s="30"/>
      <c r="CA668" s="30"/>
      <c r="CB668" s="30"/>
      <c r="CC668" s="30"/>
      <c r="CD668" s="30"/>
      <c r="CE668" s="30"/>
      <c r="CF668" s="30"/>
      <c r="CG668" s="30"/>
      <c r="CH668" s="30"/>
      <c r="CI668" s="30"/>
      <c r="CJ668" s="30"/>
      <c r="CK668" s="30"/>
      <c r="CL668" s="30"/>
      <c r="CM668" s="30"/>
      <c r="CN668" s="30"/>
      <c r="CO668" s="30"/>
      <c r="CP668" s="30"/>
      <c r="CQ668" s="30"/>
      <c r="CR668" s="30"/>
      <c r="CS668" s="30"/>
      <c r="CT668" s="30"/>
      <c r="CU668" s="30"/>
      <c r="CV668" s="30"/>
      <c r="CW668" s="30"/>
      <c r="CX668" s="30"/>
      <c r="CY668" s="30"/>
      <c r="CZ668" s="30"/>
      <c r="DA668" s="30"/>
      <c r="DB668" s="30"/>
      <c r="DC668" s="30"/>
      <c r="DD668" s="30"/>
      <c r="DE668" s="30"/>
      <c r="DF668" s="30"/>
      <c r="DG668" s="30"/>
      <c r="DH668" s="30"/>
      <c r="DI668" s="30"/>
      <c r="DJ668" s="30"/>
      <c r="DK668" s="30"/>
      <c r="DL668" s="30"/>
      <c r="DM668" s="30"/>
      <c r="DN668" s="30"/>
      <c r="DO668" s="30"/>
      <c r="DP668" s="30"/>
      <c r="DQ668" s="30"/>
      <c r="DR668" s="30"/>
      <c r="DS668" s="30"/>
      <c r="DT668" s="30"/>
      <c r="DU668" s="30"/>
      <c r="DV668" s="30"/>
      <c r="DW668" s="30"/>
    </row>
    <row r="669" spans="1:127" ht="13">
      <c r="A669" s="39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  <c r="BS669" s="30"/>
      <c r="BT669" s="30"/>
      <c r="BU669" s="30"/>
      <c r="BV669" s="30"/>
      <c r="BW669" s="30"/>
      <c r="BX669" s="30"/>
      <c r="BY669" s="30"/>
      <c r="BZ669" s="30"/>
      <c r="CA669" s="30"/>
      <c r="CB669" s="30"/>
      <c r="CC669" s="30"/>
      <c r="CD669" s="30"/>
      <c r="CE669" s="30"/>
      <c r="CF669" s="30"/>
      <c r="CG669" s="30"/>
      <c r="CH669" s="30"/>
      <c r="CI669" s="30"/>
      <c r="CJ669" s="30"/>
      <c r="CK669" s="30"/>
      <c r="CL669" s="30"/>
      <c r="CM669" s="30"/>
      <c r="CN669" s="30"/>
      <c r="CO669" s="30"/>
      <c r="CP669" s="30"/>
      <c r="CQ669" s="30"/>
      <c r="CR669" s="30"/>
      <c r="CS669" s="30"/>
      <c r="CT669" s="30"/>
      <c r="CU669" s="30"/>
      <c r="CV669" s="30"/>
      <c r="CW669" s="30"/>
      <c r="CX669" s="30"/>
      <c r="CY669" s="30"/>
      <c r="CZ669" s="30"/>
      <c r="DA669" s="30"/>
      <c r="DB669" s="30"/>
      <c r="DC669" s="30"/>
      <c r="DD669" s="30"/>
      <c r="DE669" s="30"/>
      <c r="DF669" s="30"/>
      <c r="DG669" s="30"/>
      <c r="DH669" s="30"/>
      <c r="DI669" s="30"/>
      <c r="DJ669" s="30"/>
      <c r="DK669" s="30"/>
      <c r="DL669" s="30"/>
      <c r="DM669" s="30"/>
      <c r="DN669" s="30"/>
      <c r="DO669" s="30"/>
      <c r="DP669" s="30"/>
      <c r="DQ669" s="30"/>
      <c r="DR669" s="30"/>
      <c r="DS669" s="30"/>
      <c r="DT669" s="30"/>
      <c r="DU669" s="30"/>
      <c r="DV669" s="30"/>
      <c r="DW669" s="30"/>
    </row>
    <row r="670" spans="1:127" ht="13">
      <c r="A670" s="39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  <c r="BS670" s="30"/>
      <c r="BT670" s="30"/>
      <c r="BU670" s="30"/>
      <c r="BV670" s="30"/>
      <c r="BW670" s="30"/>
      <c r="BX670" s="30"/>
      <c r="BY670" s="30"/>
      <c r="BZ670" s="30"/>
      <c r="CA670" s="30"/>
      <c r="CB670" s="30"/>
      <c r="CC670" s="30"/>
      <c r="CD670" s="30"/>
      <c r="CE670" s="30"/>
      <c r="CF670" s="30"/>
      <c r="CG670" s="30"/>
      <c r="CH670" s="30"/>
      <c r="CI670" s="30"/>
      <c r="CJ670" s="30"/>
      <c r="CK670" s="30"/>
      <c r="CL670" s="30"/>
      <c r="CM670" s="30"/>
      <c r="CN670" s="30"/>
      <c r="CO670" s="30"/>
      <c r="CP670" s="30"/>
      <c r="CQ670" s="30"/>
      <c r="CR670" s="30"/>
      <c r="CS670" s="30"/>
      <c r="CT670" s="30"/>
      <c r="CU670" s="30"/>
      <c r="CV670" s="30"/>
      <c r="CW670" s="30"/>
      <c r="CX670" s="30"/>
      <c r="CY670" s="30"/>
      <c r="CZ670" s="30"/>
      <c r="DA670" s="30"/>
      <c r="DB670" s="30"/>
      <c r="DC670" s="30"/>
      <c r="DD670" s="30"/>
      <c r="DE670" s="30"/>
      <c r="DF670" s="30"/>
      <c r="DG670" s="30"/>
      <c r="DH670" s="30"/>
      <c r="DI670" s="30"/>
      <c r="DJ670" s="30"/>
      <c r="DK670" s="30"/>
      <c r="DL670" s="30"/>
      <c r="DM670" s="30"/>
      <c r="DN670" s="30"/>
      <c r="DO670" s="30"/>
      <c r="DP670" s="30"/>
      <c r="DQ670" s="30"/>
      <c r="DR670" s="30"/>
      <c r="DS670" s="30"/>
      <c r="DT670" s="30"/>
      <c r="DU670" s="30"/>
      <c r="DV670" s="30"/>
      <c r="DW670" s="30"/>
    </row>
    <row r="671" spans="1:127" ht="13">
      <c r="A671" s="39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  <c r="BS671" s="30"/>
      <c r="BT671" s="30"/>
      <c r="BU671" s="30"/>
      <c r="BV671" s="30"/>
      <c r="BW671" s="30"/>
      <c r="BX671" s="30"/>
      <c r="BY671" s="30"/>
      <c r="BZ671" s="30"/>
      <c r="CA671" s="30"/>
      <c r="CB671" s="30"/>
      <c r="CC671" s="30"/>
      <c r="CD671" s="30"/>
      <c r="CE671" s="30"/>
      <c r="CF671" s="30"/>
      <c r="CG671" s="30"/>
      <c r="CH671" s="30"/>
      <c r="CI671" s="30"/>
      <c r="CJ671" s="30"/>
      <c r="CK671" s="30"/>
      <c r="CL671" s="30"/>
      <c r="CM671" s="30"/>
      <c r="CN671" s="30"/>
      <c r="CO671" s="30"/>
      <c r="CP671" s="30"/>
      <c r="CQ671" s="30"/>
      <c r="CR671" s="30"/>
      <c r="CS671" s="30"/>
      <c r="CT671" s="30"/>
      <c r="CU671" s="30"/>
      <c r="CV671" s="30"/>
      <c r="CW671" s="30"/>
      <c r="CX671" s="30"/>
      <c r="CY671" s="30"/>
      <c r="CZ671" s="30"/>
      <c r="DA671" s="30"/>
      <c r="DB671" s="30"/>
      <c r="DC671" s="30"/>
      <c r="DD671" s="30"/>
      <c r="DE671" s="30"/>
      <c r="DF671" s="30"/>
      <c r="DG671" s="30"/>
      <c r="DH671" s="30"/>
      <c r="DI671" s="30"/>
      <c r="DJ671" s="30"/>
      <c r="DK671" s="30"/>
      <c r="DL671" s="30"/>
      <c r="DM671" s="30"/>
      <c r="DN671" s="30"/>
      <c r="DO671" s="30"/>
      <c r="DP671" s="30"/>
      <c r="DQ671" s="30"/>
      <c r="DR671" s="30"/>
      <c r="DS671" s="30"/>
      <c r="DT671" s="30"/>
      <c r="DU671" s="30"/>
      <c r="DV671" s="30"/>
      <c r="DW671" s="30"/>
    </row>
    <row r="672" spans="1:127" ht="13">
      <c r="A672" s="39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  <c r="BQ672" s="30"/>
      <c r="BR672" s="30"/>
      <c r="BS672" s="30"/>
      <c r="BT672" s="30"/>
      <c r="BU672" s="30"/>
      <c r="BV672" s="30"/>
      <c r="BW672" s="30"/>
      <c r="BX672" s="30"/>
      <c r="BY672" s="30"/>
      <c r="BZ672" s="30"/>
      <c r="CA672" s="30"/>
      <c r="CB672" s="30"/>
      <c r="CC672" s="30"/>
      <c r="CD672" s="30"/>
      <c r="CE672" s="30"/>
      <c r="CF672" s="30"/>
      <c r="CG672" s="30"/>
      <c r="CH672" s="30"/>
      <c r="CI672" s="30"/>
      <c r="CJ672" s="30"/>
      <c r="CK672" s="30"/>
      <c r="CL672" s="30"/>
      <c r="CM672" s="30"/>
      <c r="CN672" s="30"/>
      <c r="CO672" s="30"/>
      <c r="CP672" s="30"/>
      <c r="CQ672" s="30"/>
      <c r="CR672" s="30"/>
      <c r="CS672" s="30"/>
      <c r="CT672" s="30"/>
      <c r="CU672" s="30"/>
      <c r="CV672" s="30"/>
      <c r="CW672" s="30"/>
      <c r="CX672" s="30"/>
      <c r="CY672" s="30"/>
      <c r="CZ672" s="30"/>
      <c r="DA672" s="30"/>
      <c r="DB672" s="30"/>
      <c r="DC672" s="30"/>
      <c r="DD672" s="30"/>
      <c r="DE672" s="30"/>
      <c r="DF672" s="30"/>
      <c r="DG672" s="30"/>
      <c r="DH672" s="30"/>
      <c r="DI672" s="30"/>
      <c r="DJ672" s="30"/>
      <c r="DK672" s="30"/>
      <c r="DL672" s="30"/>
      <c r="DM672" s="30"/>
      <c r="DN672" s="30"/>
      <c r="DO672" s="30"/>
      <c r="DP672" s="30"/>
      <c r="DQ672" s="30"/>
      <c r="DR672" s="30"/>
      <c r="DS672" s="30"/>
      <c r="DT672" s="30"/>
      <c r="DU672" s="30"/>
      <c r="DV672" s="30"/>
      <c r="DW672" s="30"/>
    </row>
    <row r="673" spans="1:127" ht="13">
      <c r="A673" s="39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  <c r="BQ673" s="30"/>
      <c r="BR673" s="30"/>
      <c r="BS673" s="30"/>
      <c r="BT673" s="30"/>
      <c r="BU673" s="30"/>
      <c r="BV673" s="30"/>
      <c r="BW673" s="30"/>
      <c r="BX673" s="30"/>
      <c r="BY673" s="30"/>
      <c r="BZ673" s="30"/>
      <c r="CA673" s="30"/>
      <c r="CB673" s="30"/>
      <c r="CC673" s="30"/>
      <c r="CD673" s="30"/>
      <c r="CE673" s="30"/>
      <c r="CF673" s="30"/>
      <c r="CG673" s="30"/>
      <c r="CH673" s="30"/>
      <c r="CI673" s="30"/>
      <c r="CJ673" s="30"/>
      <c r="CK673" s="30"/>
      <c r="CL673" s="30"/>
      <c r="CM673" s="30"/>
      <c r="CN673" s="30"/>
      <c r="CO673" s="30"/>
      <c r="CP673" s="30"/>
      <c r="CQ673" s="30"/>
      <c r="CR673" s="30"/>
      <c r="CS673" s="30"/>
      <c r="CT673" s="30"/>
      <c r="CU673" s="30"/>
      <c r="CV673" s="30"/>
      <c r="CW673" s="30"/>
      <c r="CX673" s="30"/>
      <c r="CY673" s="30"/>
      <c r="CZ673" s="30"/>
      <c r="DA673" s="30"/>
      <c r="DB673" s="30"/>
      <c r="DC673" s="30"/>
      <c r="DD673" s="30"/>
      <c r="DE673" s="30"/>
      <c r="DF673" s="30"/>
      <c r="DG673" s="30"/>
      <c r="DH673" s="30"/>
      <c r="DI673" s="30"/>
      <c r="DJ673" s="30"/>
      <c r="DK673" s="30"/>
      <c r="DL673" s="30"/>
      <c r="DM673" s="30"/>
      <c r="DN673" s="30"/>
      <c r="DO673" s="30"/>
      <c r="DP673" s="30"/>
      <c r="DQ673" s="30"/>
      <c r="DR673" s="30"/>
      <c r="DS673" s="30"/>
      <c r="DT673" s="30"/>
      <c r="DU673" s="30"/>
      <c r="DV673" s="30"/>
      <c r="DW673" s="30"/>
    </row>
    <row r="674" spans="1:127" ht="13">
      <c r="A674" s="39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  <c r="BP674" s="30"/>
      <c r="BQ674" s="30"/>
      <c r="BR674" s="30"/>
      <c r="BS674" s="30"/>
      <c r="BT674" s="30"/>
      <c r="BU674" s="30"/>
      <c r="BV674" s="30"/>
      <c r="BW674" s="30"/>
      <c r="BX674" s="30"/>
      <c r="BY674" s="30"/>
      <c r="BZ674" s="30"/>
      <c r="CA674" s="30"/>
      <c r="CB674" s="30"/>
      <c r="CC674" s="30"/>
      <c r="CD674" s="30"/>
      <c r="CE674" s="30"/>
      <c r="CF674" s="30"/>
      <c r="CG674" s="30"/>
      <c r="CH674" s="30"/>
      <c r="CI674" s="30"/>
      <c r="CJ674" s="30"/>
      <c r="CK674" s="30"/>
      <c r="CL674" s="30"/>
      <c r="CM674" s="30"/>
      <c r="CN674" s="30"/>
      <c r="CO674" s="30"/>
      <c r="CP674" s="30"/>
      <c r="CQ674" s="30"/>
      <c r="CR674" s="30"/>
      <c r="CS674" s="30"/>
      <c r="CT674" s="30"/>
      <c r="CU674" s="30"/>
      <c r="CV674" s="30"/>
      <c r="CW674" s="30"/>
      <c r="CX674" s="30"/>
      <c r="CY674" s="30"/>
      <c r="CZ674" s="30"/>
      <c r="DA674" s="30"/>
      <c r="DB674" s="30"/>
      <c r="DC674" s="30"/>
      <c r="DD674" s="30"/>
      <c r="DE674" s="30"/>
      <c r="DF674" s="30"/>
      <c r="DG674" s="30"/>
      <c r="DH674" s="30"/>
      <c r="DI674" s="30"/>
      <c r="DJ674" s="30"/>
      <c r="DK674" s="30"/>
      <c r="DL674" s="30"/>
      <c r="DM674" s="30"/>
      <c r="DN674" s="30"/>
      <c r="DO674" s="30"/>
      <c r="DP674" s="30"/>
      <c r="DQ674" s="30"/>
      <c r="DR674" s="30"/>
      <c r="DS674" s="30"/>
      <c r="DT674" s="30"/>
      <c r="DU674" s="30"/>
      <c r="DV674" s="30"/>
      <c r="DW674" s="30"/>
    </row>
    <row r="675" spans="1:127" ht="13">
      <c r="A675" s="39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  <c r="BP675" s="30"/>
      <c r="BQ675" s="30"/>
      <c r="BR675" s="30"/>
      <c r="BS675" s="30"/>
      <c r="BT675" s="30"/>
      <c r="BU675" s="30"/>
      <c r="BV675" s="30"/>
      <c r="BW675" s="30"/>
      <c r="BX675" s="30"/>
      <c r="BY675" s="30"/>
      <c r="BZ675" s="30"/>
      <c r="CA675" s="30"/>
      <c r="CB675" s="30"/>
      <c r="CC675" s="30"/>
      <c r="CD675" s="30"/>
      <c r="CE675" s="30"/>
      <c r="CF675" s="30"/>
      <c r="CG675" s="30"/>
      <c r="CH675" s="30"/>
      <c r="CI675" s="30"/>
      <c r="CJ675" s="30"/>
      <c r="CK675" s="30"/>
      <c r="CL675" s="30"/>
      <c r="CM675" s="30"/>
      <c r="CN675" s="30"/>
      <c r="CO675" s="30"/>
      <c r="CP675" s="30"/>
      <c r="CQ675" s="30"/>
      <c r="CR675" s="30"/>
      <c r="CS675" s="30"/>
      <c r="CT675" s="30"/>
      <c r="CU675" s="30"/>
      <c r="CV675" s="30"/>
      <c r="CW675" s="30"/>
      <c r="CX675" s="30"/>
      <c r="CY675" s="30"/>
      <c r="CZ675" s="30"/>
      <c r="DA675" s="30"/>
      <c r="DB675" s="30"/>
      <c r="DC675" s="30"/>
      <c r="DD675" s="30"/>
      <c r="DE675" s="30"/>
      <c r="DF675" s="30"/>
      <c r="DG675" s="30"/>
      <c r="DH675" s="30"/>
      <c r="DI675" s="30"/>
      <c r="DJ675" s="30"/>
      <c r="DK675" s="30"/>
      <c r="DL675" s="30"/>
      <c r="DM675" s="30"/>
      <c r="DN675" s="30"/>
      <c r="DO675" s="30"/>
      <c r="DP675" s="30"/>
      <c r="DQ675" s="30"/>
      <c r="DR675" s="30"/>
      <c r="DS675" s="30"/>
      <c r="DT675" s="30"/>
      <c r="DU675" s="30"/>
      <c r="DV675" s="30"/>
      <c r="DW675" s="30"/>
    </row>
    <row r="676" spans="1:127" ht="13">
      <c r="A676" s="39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  <c r="BS676" s="30"/>
      <c r="BT676" s="30"/>
      <c r="BU676" s="30"/>
      <c r="BV676" s="30"/>
      <c r="BW676" s="30"/>
      <c r="BX676" s="30"/>
      <c r="BY676" s="30"/>
      <c r="BZ676" s="30"/>
      <c r="CA676" s="30"/>
      <c r="CB676" s="30"/>
      <c r="CC676" s="30"/>
      <c r="CD676" s="30"/>
      <c r="CE676" s="30"/>
      <c r="CF676" s="30"/>
      <c r="CG676" s="30"/>
      <c r="CH676" s="30"/>
      <c r="CI676" s="30"/>
      <c r="CJ676" s="30"/>
      <c r="CK676" s="30"/>
      <c r="CL676" s="30"/>
      <c r="CM676" s="30"/>
      <c r="CN676" s="30"/>
      <c r="CO676" s="30"/>
      <c r="CP676" s="30"/>
      <c r="CQ676" s="30"/>
      <c r="CR676" s="30"/>
      <c r="CS676" s="30"/>
      <c r="CT676" s="30"/>
      <c r="CU676" s="30"/>
      <c r="CV676" s="30"/>
      <c r="CW676" s="30"/>
      <c r="CX676" s="30"/>
      <c r="CY676" s="30"/>
      <c r="CZ676" s="30"/>
      <c r="DA676" s="30"/>
      <c r="DB676" s="30"/>
      <c r="DC676" s="30"/>
      <c r="DD676" s="30"/>
      <c r="DE676" s="30"/>
      <c r="DF676" s="30"/>
      <c r="DG676" s="30"/>
      <c r="DH676" s="30"/>
      <c r="DI676" s="30"/>
      <c r="DJ676" s="30"/>
      <c r="DK676" s="30"/>
      <c r="DL676" s="30"/>
      <c r="DM676" s="30"/>
      <c r="DN676" s="30"/>
      <c r="DO676" s="30"/>
      <c r="DP676" s="30"/>
      <c r="DQ676" s="30"/>
      <c r="DR676" s="30"/>
      <c r="DS676" s="30"/>
      <c r="DT676" s="30"/>
      <c r="DU676" s="30"/>
      <c r="DV676" s="30"/>
      <c r="DW676" s="30"/>
    </row>
    <row r="677" spans="1:127" ht="13">
      <c r="A677" s="39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  <c r="BQ677" s="30"/>
      <c r="BR677" s="30"/>
      <c r="BS677" s="30"/>
      <c r="BT677" s="30"/>
      <c r="BU677" s="30"/>
      <c r="BV677" s="30"/>
      <c r="BW677" s="30"/>
      <c r="BX677" s="30"/>
      <c r="BY677" s="30"/>
      <c r="BZ677" s="30"/>
      <c r="CA677" s="30"/>
      <c r="CB677" s="30"/>
      <c r="CC677" s="30"/>
      <c r="CD677" s="30"/>
      <c r="CE677" s="30"/>
      <c r="CF677" s="30"/>
      <c r="CG677" s="30"/>
      <c r="CH677" s="30"/>
      <c r="CI677" s="30"/>
      <c r="CJ677" s="30"/>
      <c r="CK677" s="30"/>
      <c r="CL677" s="30"/>
      <c r="CM677" s="30"/>
      <c r="CN677" s="30"/>
      <c r="CO677" s="30"/>
      <c r="CP677" s="30"/>
      <c r="CQ677" s="30"/>
      <c r="CR677" s="30"/>
      <c r="CS677" s="30"/>
      <c r="CT677" s="30"/>
      <c r="CU677" s="30"/>
      <c r="CV677" s="30"/>
      <c r="CW677" s="30"/>
      <c r="CX677" s="30"/>
      <c r="CY677" s="30"/>
      <c r="CZ677" s="30"/>
      <c r="DA677" s="30"/>
      <c r="DB677" s="30"/>
      <c r="DC677" s="30"/>
      <c r="DD677" s="30"/>
      <c r="DE677" s="30"/>
      <c r="DF677" s="30"/>
      <c r="DG677" s="30"/>
      <c r="DH677" s="30"/>
      <c r="DI677" s="30"/>
      <c r="DJ677" s="30"/>
      <c r="DK677" s="30"/>
      <c r="DL677" s="30"/>
      <c r="DM677" s="30"/>
      <c r="DN677" s="30"/>
      <c r="DO677" s="30"/>
      <c r="DP677" s="30"/>
      <c r="DQ677" s="30"/>
      <c r="DR677" s="30"/>
      <c r="DS677" s="30"/>
      <c r="DT677" s="30"/>
      <c r="DU677" s="30"/>
      <c r="DV677" s="30"/>
      <c r="DW677" s="30"/>
    </row>
    <row r="678" spans="1:127" ht="13">
      <c r="A678" s="39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  <c r="BQ678" s="30"/>
      <c r="BR678" s="30"/>
      <c r="BS678" s="30"/>
      <c r="BT678" s="30"/>
      <c r="BU678" s="30"/>
      <c r="BV678" s="30"/>
      <c r="BW678" s="30"/>
      <c r="BX678" s="30"/>
      <c r="BY678" s="30"/>
      <c r="BZ678" s="30"/>
      <c r="CA678" s="30"/>
      <c r="CB678" s="30"/>
      <c r="CC678" s="30"/>
      <c r="CD678" s="30"/>
      <c r="CE678" s="30"/>
      <c r="CF678" s="30"/>
      <c r="CG678" s="30"/>
      <c r="CH678" s="30"/>
      <c r="CI678" s="30"/>
      <c r="CJ678" s="30"/>
      <c r="CK678" s="30"/>
      <c r="CL678" s="30"/>
      <c r="CM678" s="30"/>
      <c r="CN678" s="30"/>
      <c r="CO678" s="30"/>
      <c r="CP678" s="30"/>
      <c r="CQ678" s="30"/>
      <c r="CR678" s="30"/>
      <c r="CS678" s="30"/>
      <c r="CT678" s="30"/>
      <c r="CU678" s="30"/>
      <c r="CV678" s="30"/>
      <c r="CW678" s="30"/>
      <c r="CX678" s="30"/>
      <c r="CY678" s="30"/>
      <c r="CZ678" s="30"/>
      <c r="DA678" s="30"/>
      <c r="DB678" s="30"/>
      <c r="DC678" s="30"/>
      <c r="DD678" s="30"/>
      <c r="DE678" s="30"/>
      <c r="DF678" s="30"/>
      <c r="DG678" s="30"/>
      <c r="DH678" s="30"/>
      <c r="DI678" s="30"/>
      <c r="DJ678" s="30"/>
      <c r="DK678" s="30"/>
      <c r="DL678" s="30"/>
      <c r="DM678" s="30"/>
      <c r="DN678" s="30"/>
      <c r="DO678" s="30"/>
      <c r="DP678" s="30"/>
      <c r="DQ678" s="30"/>
      <c r="DR678" s="30"/>
      <c r="DS678" s="30"/>
      <c r="DT678" s="30"/>
      <c r="DU678" s="30"/>
      <c r="DV678" s="30"/>
      <c r="DW678" s="30"/>
    </row>
    <row r="679" spans="1:127" ht="13">
      <c r="A679" s="39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  <c r="BS679" s="30"/>
      <c r="BT679" s="30"/>
      <c r="BU679" s="30"/>
      <c r="BV679" s="30"/>
      <c r="BW679" s="30"/>
      <c r="BX679" s="30"/>
      <c r="BY679" s="30"/>
      <c r="BZ679" s="30"/>
      <c r="CA679" s="30"/>
      <c r="CB679" s="30"/>
      <c r="CC679" s="30"/>
      <c r="CD679" s="30"/>
      <c r="CE679" s="30"/>
      <c r="CF679" s="30"/>
      <c r="CG679" s="30"/>
      <c r="CH679" s="30"/>
      <c r="CI679" s="30"/>
      <c r="CJ679" s="30"/>
      <c r="CK679" s="30"/>
      <c r="CL679" s="30"/>
      <c r="CM679" s="30"/>
      <c r="CN679" s="30"/>
      <c r="CO679" s="30"/>
      <c r="CP679" s="30"/>
      <c r="CQ679" s="30"/>
      <c r="CR679" s="30"/>
      <c r="CS679" s="30"/>
      <c r="CT679" s="30"/>
      <c r="CU679" s="30"/>
      <c r="CV679" s="30"/>
      <c r="CW679" s="30"/>
      <c r="CX679" s="30"/>
      <c r="CY679" s="30"/>
      <c r="CZ679" s="30"/>
      <c r="DA679" s="30"/>
      <c r="DB679" s="30"/>
      <c r="DC679" s="30"/>
      <c r="DD679" s="30"/>
      <c r="DE679" s="30"/>
      <c r="DF679" s="30"/>
      <c r="DG679" s="30"/>
      <c r="DH679" s="30"/>
      <c r="DI679" s="30"/>
      <c r="DJ679" s="30"/>
      <c r="DK679" s="30"/>
      <c r="DL679" s="30"/>
      <c r="DM679" s="30"/>
      <c r="DN679" s="30"/>
      <c r="DO679" s="30"/>
      <c r="DP679" s="30"/>
      <c r="DQ679" s="30"/>
      <c r="DR679" s="30"/>
      <c r="DS679" s="30"/>
      <c r="DT679" s="30"/>
      <c r="DU679" s="30"/>
      <c r="DV679" s="30"/>
      <c r="DW679" s="30"/>
    </row>
    <row r="680" spans="1:127" ht="13">
      <c r="A680" s="39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30"/>
      <c r="BR680" s="30"/>
      <c r="BS680" s="30"/>
      <c r="BT680" s="30"/>
      <c r="BU680" s="30"/>
      <c r="BV680" s="30"/>
      <c r="BW680" s="30"/>
      <c r="BX680" s="30"/>
      <c r="BY680" s="30"/>
      <c r="BZ680" s="30"/>
      <c r="CA680" s="30"/>
      <c r="CB680" s="30"/>
      <c r="CC680" s="30"/>
      <c r="CD680" s="30"/>
      <c r="CE680" s="30"/>
      <c r="CF680" s="30"/>
      <c r="CG680" s="30"/>
      <c r="CH680" s="30"/>
      <c r="CI680" s="30"/>
      <c r="CJ680" s="30"/>
      <c r="CK680" s="30"/>
      <c r="CL680" s="30"/>
      <c r="CM680" s="30"/>
      <c r="CN680" s="30"/>
      <c r="CO680" s="30"/>
      <c r="CP680" s="30"/>
      <c r="CQ680" s="30"/>
      <c r="CR680" s="30"/>
      <c r="CS680" s="30"/>
      <c r="CT680" s="30"/>
      <c r="CU680" s="30"/>
      <c r="CV680" s="30"/>
      <c r="CW680" s="30"/>
      <c r="CX680" s="30"/>
      <c r="CY680" s="30"/>
      <c r="CZ680" s="30"/>
      <c r="DA680" s="30"/>
      <c r="DB680" s="30"/>
      <c r="DC680" s="30"/>
      <c r="DD680" s="30"/>
      <c r="DE680" s="30"/>
      <c r="DF680" s="30"/>
      <c r="DG680" s="30"/>
      <c r="DH680" s="30"/>
      <c r="DI680" s="30"/>
      <c r="DJ680" s="30"/>
      <c r="DK680" s="30"/>
      <c r="DL680" s="30"/>
      <c r="DM680" s="30"/>
      <c r="DN680" s="30"/>
      <c r="DO680" s="30"/>
      <c r="DP680" s="30"/>
      <c r="DQ680" s="30"/>
      <c r="DR680" s="30"/>
      <c r="DS680" s="30"/>
      <c r="DT680" s="30"/>
      <c r="DU680" s="30"/>
      <c r="DV680" s="30"/>
      <c r="DW680" s="30"/>
    </row>
    <row r="681" spans="1:127" ht="13">
      <c r="A681" s="39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  <c r="BS681" s="30"/>
      <c r="BT681" s="30"/>
      <c r="BU681" s="30"/>
      <c r="BV681" s="30"/>
      <c r="BW681" s="30"/>
      <c r="BX681" s="30"/>
      <c r="BY681" s="30"/>
      <c r="BZ681" s="30"/>
      <c r="CA681" s="30"/>
      <c r="CB681" s="30"/>
      <c r="CC681" s="30"/>
      <c r="CD681" s="30"/>
      <c r="CE681" s="30"/>
      <c r="CF681" s="30"/>
      <c r="CG681" s="30"/>
      <c r="CH681" s="30"/>
      <c r="CI681" s="30"/>
      <c r="CJ681" s="30"/>
      <c r="CK681" s="30"/>
      <c r="CL681" s="30"/>
      <c r="CM681" s="30"/>
      <c r="CN681" s="30"/>
      <c r="CO681" s="30"/>
      <c r="CP681" s="30"/>
      <c r="CQ681" s="30"/>
      <c r="CR681" s="30"/>
      <c r="CS681" s="30"/>
      <c r="CT681" s="30"/>
      <c r="CU681" s="30"/>
      <c r="CV681" s="30"/>
      <c r="CW681" s="30"/>
      <c r="CX681" s="30"/>
      <c r="CY681" s="30"/>
      <c r="CZ681" s="30"/>
      <c r="DA681" s="30"/>
      <c r="DB681" s="30"/>
      <c r="DC681" s="30"/>
      <c r="DD681" s="30"/>
      <c r="DE681" s="30"/>
      <c r="DF681" s="30"/>
      <c r="DG681" s="30"/>
      <c r="DH681" s="30"/>
      <c r="DI681" s="30"/>
      <c r="DJ681" s="30"/>
      <c r="DK681" s="30"/>
      <c r="DL681" s="30"/>
      <c r="DM681" s="30"/>
      <c r="DN681" s="30"/>
      <c r="DO681" s="30"/>
      <c r="DP681" s="30"/>
      <c r="DQ681" s="30"/>
      <c r="DR681" s="30"/>
      <c r="DS681" s="30"/>
      <c r="DT681" s="30"/>
      <c r="DU681" s="30"/>
      <c r="DV681" s="30"/>
      <c r="DW681" s="30"/>
    </row>
    <row r="682" spans="1:127" ht="13">
      <c r="A682" s="39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30"/>
      <c r="BR682" s="30"/>
      <c r="BS682" s="30"/>
      <c r="BT682" s="30"/>
      <c r="BU682" s="30"/>
      <c r="BV682" s="30"/>
      <c r="BW682" s="30"/>
      <c r="BX682" s="30"/>
      <c r="BY682" s="30"/>
      <c r="BZ682" s="30"/>
      <c r="CA682" s="30"/>
      <c r="CB682" s="30"/>
      <c r="CC682" s="30"/>
      <c r="CD682" s="30"/>
      <c r="CE682" s="30"/>
      <c r="CF682" s="30"/>
      <c r="CG682" s="30"/>
      <c r="CH682" s="30"/>
      <c r="CI682" s="30"/>
      <c r="CJ682" s="30"/>
      <c r="CK682" s="30"/>
      <c r="CL682" s="30"/>
      <c r="CM682" s="30"/>
      <c r="CN682" s="30"/>
      <c r="CO682" s="30"/>
      <c r="CP682" s="30"/>
      <c r="CQ682" s="30"/>
      <c r="CR682" s="30"/>
      <c r="CS682" s="30"/>
      <c r="CT682" s="30"/>
      <c r="CU682" s="30"/>
      <c r="CV682" s="30"/>
      <c r="CW682" s="30"/>
      <c r="CX682" s="30"/>
      <c r="CY682" s="30"/>
      <c r="CZ682" s="30"/>
      <c r="DA682" s="30"/>
      <c r="DB682" s="30"/>
      <c r="DC682" s="30"/>
      <c r="DD682" s="30"/>
      <c r="DE682" s="30"/>
      <c r="DF682" s="30"/>
      <c r="DG682" s="30"/>
      <c r="DH682" s="30"/>
      <c r="DI682" s="30"/>
      <c r="DJ682" s="30"/>
      <c r="DK682" s="30"/>
      <c r="DL682" s="30"/>
      <c r="DM682" s="30"/>
      <c r="DN682" s="30"/>
      <c r="DO682" s="30"/>
      <c r="DP682" s="30"/>
      <c r="DQ682" s="30"/>
      <c r="DR682" s="30"/>
      <c r="DS682" s="30"/>
      <c r="DT682" s="30"/>
      <c r="DU682" s="30"/>
      <c r="DV682" s="30"/>
      <c r="DW682" s="30"/>
    </row>
    <row r="683" spans="1:127" ht="13">
      <c r="A683" s="39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30"/>
      <c r="BR683" s="30"/>
      <c r="BS683" s="30"/>
      <c r="BT683" s="30"/>
      <c r="BU683" s="30"/>
      <c r="BV683" s="30"/>
      <c r="BW683" s="30"/>
      <c r="BX683" s="30"/>
      <c r="BY683" s="30"/>
      <c r="BZ683" s="30"/>
      <c r="CA683" s="30"/>
      <c r="CB683" s="30"/>
      <c r="CC683" s="30"/>
      <c r="CD683" s="30"/>
      <c r="CE683" s="30"/>
      <c r="CF683" s="30"/>
      <c r="CG683" s="30"/>
      <c r="CH683" s="30"/>
      <c r="CI683" s="30"/>
      <c r="CJ683" s="30"/>
      <c r="CK683" s="30"/>
      <c r="CL683" s="30"/>
      <c r="CM683" s="30"/>
      <c r="CN683" s="30"/>
      <c r="CO683" s="30"/>
      <c r="CP683" s="30"/>
      <c r="CQ683" s="30"/>
      <c r="CR683" s="30"/>
      <c r="CS683" s="30"/>
      <c r="CT683" s="30"/>
      <c r="CU683" s="30"/>
      <c r="CV683" s="30"/>
      <c r="CW683" s="30"/>
      <c r="CX683" s="30"/>
      <c r="CY683" s="30"/>
      <c r="CZ683" s="30"/>
      <c r="DA683" s="30"/>
      <c r="DB683" s="30"/>
      <c r="DC683" s="30"/>
      <c r="DD683" s="30"/>
      <c r="DE683" s="30"/>
      <c r="DF683" s="30"/>
      <c r="DG683" s="30"/>
      <c r="DH683" s="30"/>
      <c r="DI683" s="30"/>
      <c r="DJ683" s="30"/>
      <c r="DK683" s="30"/>
      <c r="DL683" s="30"/>
      <c r="DM683" s="30"/>
      <c r="DN683" s="30"/>
      <c r="DO683" s="30"/>
      <c r="DP683" s="30"/>
      <c r="DQ683" s="30"/>
      <c r="DR683" s="30"/>
      <c r="DS683" s="30"/>
      <c r="DT683" s="30"/>
      <c r="DU683" s="30"/>
      <c r="DV683" s="30"/>
      <c r="DW683" s="30"/>
    </row>
    <row r="684" spans="1:127" ht="13">
      <c r="A684" s="39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  <c r="BQ684" s="30"/>
      <c r="BR684" s="30"/>
      <c r="BS684" s="30"/>
      <c r="BT684" s="30"/>
      <c r="BU684" s="30"/>
      <c r="BV684" s="30"/>
      <c r="BW684" s="30"/>
      <c r="BX684" s="30"/>
      <c r="BY684" s="30"/>
      <c r="BZ684" s="30"/>
      <c r="CA684" s="30"/>
      <c r="CB684" s="30"/>
      <c r="CC684" s="30"/>
      <c r="CD684" s="30"/>
      <c r="CE684" s="30"/>
      <c r="CF684" s="30"/>
      <c r="CG684" s="30"/>
      <c r="CH684" s="30"/>
      <c r="CI684" s="30"/>
      <c r="CJ684" s="30"/>
      <c r="CK684" s="30"/>
      <c r="CL684" s="30"/>
      <c r="CM684" s="30"/>
      <c r="CN684" s="30"/>
      <c r="CO684" s="30"/>
      <c r="CP684" s="30"/>
      <c r="CQ684" s="30"/>
      <c r="CR684" s="30"/>
      <c r="CS684" s="30"/>
      <c r="CT684" s="30"/>
      <c r="CU684" s="30"/>
      <c r="CV684" s="30"/>
      <c r="CW684" s="30"/>
      <c r="CX684" s="30"/>
      <c r="CY684" s="30"/>
      <c r="CZ684" s="30"/>
      <c r="DA684" s="30"/>
      <c r="DB684" s="30"/>
      <c r="DC684" s="30"/>
      <c r="DD684" s="30"/>
      <c r="DE684" s="30"/>
      <c r="DF684" s="30"/>
      <c r="DG684" s="30"/>
      <c r="DH684" s="30"/>
      <c r="DI684" s="30"/>
      <c r="DJ684" s="30"/>
      <c r="DK684" s="30"/>
      <c r="DL684" s="30"/>
      <c r="DM684" s="30"/>
      <c r="DN684" s="30"/>
      <c r="DO684" s="30"/>
      <c r="DP684" s="30"/>
      <c r="DQ684" s="30"/>
      <c r="DR684" s="30"/>
      <c r="DS684" s="30"/>
      <c r="DT684" s="30"/>
      <c r="DU684" s="30"/>
      <c r="DV684" s="30"/>
      <c r="DW684" s="30"/>
    </row>
    <row r="685" spans="1:127" ht="13">
      <c r="A685" s="39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  <c r="BQ685" s="30"/>
      <c r="BR685" s="30"/>
      <c r="BS685" s="30"/>
      <c r="BT685" s="30"/>
      <c r="BU685" s="30"/>
      <c r="BV685" s="30"/>
      <c r="BW685" s="30"/>
      <c r="BX685" s="30"/>
      <c r="BY685" s="30"/>
      <c r="BZ685" s="30"/>
      <c r="CA685" s="30"/>
      <c r="CB685" s="30"/>
      <c r="CC685" s="30"/>
      <c r="CD685" s="30"/>
      <c r="CE685" s="30"/>
      <c r="CF685" s="30"/>
      <c r="CG685" s="30"/>
      <c r="CH685" s="30"/>
      <c r="CI685" s="30"/>
      <c r="CJ685" s="30"/>
      <c r="CK685" s="30"/>
      <c r="CL685" s="30"/>
      <c r="CM685" s="30"/>
      <c r="CN685" s="30"/>
      <c r="CO685" s="30"/>
      <c r="CP685" s="30"/>
      <c r="CQ685" s="30"/>
      <c r="CR685" s="30"/>
      <c r="CS685" s="30"/>
      <c r="CT685" s="30"/>
      <c r="CU685" s="30"/>
      <c r="CV685" s="30"/>
      <c r="CW685" s="30"/>
      <c r="CX685" s="30"/>
      <c r="CY685" s="30"/>
      <c r="CZ685" s="30"/>
      <c r="DA685" s="30"/>
      <c r="DB685" s="30"/>
      <c r="DC685" s="30"/>
      <c r="DD685" s="30"/>
      <c r="DE685" s="30"/>
      <c r="DF685" s="30"/>
      <c r="DG685" s="30"/>
      <c r="DH685" s="30"/>
      <c r="DI685" s="30"/>
      <c r="DJ685" s="30"/>
      <c r="DK685" s="30"/>
      <c r="DL685" s="30"/>
      <c r="DM685" s="30"/>
      <c r="DN685" s="30"/>
      <c r="DO685" s="30"/>
      <c r="DP685" s="30"/>
      <c r="DQ685" s="30"/>
      <c r="DR685" s="30"/>
      <c r="DS685" s="30"/>
      <c r="DT685" s="30"/>
      <c r="DU685" s="30"/>
      <c r="DV685" s="30"/>
      <c r="DW685" s="30"/>
    </row>
    <row r="686" spans="1:127" ht="13">
      <c r="A686" s="39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  <c r="BS686" s="30"/>
      <c r="BT686" s="30"/>
      <c r="BU686" s="30"/>
      <c r="BV686" s="30"/>
      <c r="BW686" s="30"/>
      <c r="BX686" s="30"/>
      <c r="BY686" s="30"/>
      <c r="BZ686" s="30"/>
      <c r="CA686" s="30"/>
      <c r="CB686" s="30"/>
      <c r="CC686" s="30"/>
      <c r="CD686" s="30"/>
      <c r="CE686" s="30"/>
      <c r="CF686" s="30"/>
      <c r="CG686" s="30"/>
      <c r="CH686" s="30"/>
      <c r="CI686" s="30"/>
      <c r="CJ686" s="30"/>
      <c r="CK686" s="30"/>
      <c r="CL686" s="30"/>
      <c r="CM686" s="30"/>
      <c r="CN686" s="30"/>
      <c r="CO686" s="30"/>
      <c r="CP686" s="30"/>
      <c r="CQ686" s="30"/>
      <c r="CR686" s="30"/>
      <c r="CS686" s="30"/>
      <c r="CT686" s="30"/>
      <c r="CU686" s="30"/>
      <c r="CV686" s="30"/>
      <c r="CW686" s="30"/>
      <c r="CX686" s="30"/>
      <c r="CY686" s="30"/>
      <c r="CZ686" s="30"/>
      <c r="DA686" s="30"/>
      <c r="DB686" s="30"/>
      <c r="DC686" s="30"/>
      <c r="DD686" s="30"/>
      <c r="DE686" s="30"/>
      <c r="DF686" s="30"/>
      <c r="DG686" s="30"/>
      <c r="DH686" s="30"/>
      <c r="DI686" s="30"/>
      <c r="DJ686" s="30"/>
      <c r="DK686" s="30"/>
      <c r="DL686" s="30"/>
      <c r="DM686" s="30"/>
      <c r="DN686" s="30"/>
      <c r="DO686" s="30"/>
      <c r="DP686" s="30"/>
      <c r="DQ686" s="30"/>
      <c r="DR686" s="30"/>
      <c r="DS686" s="30"/>
      <c r="DT686" s="30"/>
      <c r="DU686" s="30"/>
      <c r="DV686" s="30"/>
      <c r="DW686" s="30"/>
    </row>
    <row r="687" spans="1:127" ht="13">
      <c r="A687" s="39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  <c r="BQ687" s="30"/>
      <c r="BR687" s="30"/>
      <c r="BS687" s="30"/>
      <c r="BT687" s="30"/>
      <c r="BU687" s="30"/>
      <c r="BV687" s="30"/>
      <c r="BW687" s="30"/>
      <c r="BX687" s="30"/>
      <c r="BY687" s="30"/>
      <c r="BZ687" s="30"/>
      <c r="CA687" s="30"/>
      <c r="CB687" s="30"/>
      <c r="CC687" s="30"/>
      <c r="CD687" s="30"/>
      <c r="CE687" s="30"/>
      <c r="CF687" s="30"/>
      <c r="CG687" s="30"/>
      <c r="CH687" s="30"/>
      <c r="CI687" s="30"/>
      <c r="CJ687" s="30"/>
      <c r="CK687" s="30"/>
      <c r="CL687" s="30"/>
      <c r="CM687" s="30"/>
      <c r="CN687" s="30"/>
      <c r="CO687" s="30"/>
      <c r="CP687" s="30"/>
      <c r="CQ687" s="30"/>
      <c r="CR687" s="30"/>
      <c r="CS687" s="30"/>
      <c r="CT687" s="30"/>
      <c r="CU687" s="30"/>
      <c r="CV687" s="30"/>
      <c r="CW687" s="30"/>
      <c r="CX687" s="30"/>
      <c r="CY687" s="30"/>
      <c r="CZ687" s="30"/>
      <c r="DA687" s="30"/>
      <c r="DB687" s="30"/>
      <c r="DC687" s="30"/>
      <c r="DD687" s="30"/>
      <c r="DE687" s="30"/>
      <c r="DF687" s="30"/>
      <c r="DG687" s="30"/>
      <c r="DH687" s="30"/>
      <c r="DI687" s="30"/>
      <c r="DJ687" s="30"/>
      <c r="DK687" s="30"/>
      <c r="DL687" s="30"/>
      <c r="DM687" s="30"/>
      <c r="DN687" s="30"/>
      <c r="DO687" s="30"/>
      <c r="DP687" s="30"/>
      <c r="DQ687" s="30"/>
      <c r="DR687" s="30"/>
      <c r="DS687" s="30"/>
      <c r="DT687" s="30"/>
      <c r="DU687" s="30"/>
      <c r="DV687" s="30"/>
      <c r="DW687" s="30"/>
    </row>
    <row r="688" spans="1:127" ht="13">
      <c r="A688" s="39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  <c r="BQ688" s="30"/>
      <c r="BR688" s="30"/>
      <c r="BS688" s="30"/>
      <c r="BT688" s="30"/>
      <c r="BU688" s="30"/>
      <c r="BV688" s="30"/>
      <c r="BW688" s="30"/>
      <c r="BX688" s="30"/>
      <c r="BY688" s="30"/>
      <c r="BZ688" s="30"/>
      <c r="CA688" s="30"/>
      <c r="CB688" s="30"/>
      <c r="CC688" s="30"/>
      <c r="CD688" s="30"/>
      <c r="CE688" s="30"/>
      <c r="CF688" s="30"/>
      <c r="CG688" s="30"/>
      <c r="CH688" s="30"/>
      <c r="CI688" s="30"/>
      <c r="CJ688" s="30"/>
      <c r="CK688" s="30"/>
      <c r="CL688" s="30"/>
      <c r="CM688" s="30"/>
      <c r="CN688" s="30"/>
      <c r="CO688" s="30"/>
      <c r="CP688" s="30"/>
      <c r="CQ688" s="30"/>
      <c r="CR688" s="30"/>
      <c r="CS688" s="30"/>
      <c r="CT688" s="30"/>
      <c r="CU688" s="30"/>
      <c r="CV688" s="30"/>
      <c r="CW688" s="30"/>
      <c r="CX688" s="30"/>
      <c r="CY688" s="30"/>
      <c r="CZ688" s="30"/>
      <c r="DA688" s="30"/>
      <c r="DB688" s="30"/>
      <c r="DC688" s="30"/>
      <c r="DD688" s="30"/>
      <c r="DE688" s="30"/>
      <c r="DF688" s="30"/>
      <c r="DG688" s="30"/>
      <c r="DH688" s="30"/>
      <c r="DI688" s="30"/>
      <c r="DJ688" s="30"/>
      <c r="DK688" s="30"/>
      <c r="DL688" s="30"/>
      <c r="DM688" s="30"/>
      <c r="DN688" s="30"/>
      <c r="DO688" s="30"/>
      <c r="DP688" s="30"/>
      <c r="DQ688" s="30"/>
      <c r="DR688" s="30"/>
      <c r="DS688" s="30"/>
      <c r="DT688" s="30"/>
      <c r="DU688" s="30"/>
      <c r="DV688" s="30"/>
      <c r="DW688" s="30"/>
    </row>
    <row r="689" spans="1:127" ht="13">
      <c r="A689" s="39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  <c r="BQ689" s="30"/>
      <c r="BR689" s="30"/>
      <c r="BS689" s="30"/>
      <c r="BT689" s="30"/>
      <c r="BU689" s="30"/>
      <c r="BV689" s="30"/>
      <c r="BW689" s="30"/>
      <c r="BX689" s="30"/>
      <c r="BY689" s="30"/>
      <c r="BZ689" s="30"/>
      <c r="CA689" s="30"/>
      <c r="CB689" s="30"/>
      <c r="CC689" s="30"/>
      <c r="CD689" s="30"/>
      <c r="CE689" s="30"/>
      <c r="CF689" s="30"/>
      <c r="CG689" s="30"/>
      <c r="CH689" s="30"/>
      <c r="CI689" s="30"/>
      <c r="CJ689" s="30"/>
      <c r="CK689" s="30"/>
      <c r="CL689" s="30"/>
      <c r="CM689" s="30"/>
      <c r="CN689" s="30"/>
      <c r="CO689" s="30"/>
      <c r="CP689" s="30"/>
      <c r="CQ689" s="30"/>
      <c r="CR689" s="30"/>
      <c r="CS689" s="30"/>
      <c r="CT689" s="30"/>
      <c r="CU689" s="30"/>
      <c r="CV689" s="30"/>
      <c r="CW689" s="30"/>
      <c r="CX689" s="30"/>
      <c r="CY689" s="30"/>
      <c r="CZ689" s="30"/>
      <c r="DA689" s="30"/>
      <c r="DB689" s="30"/>
      <c r="DC689" s="30"/>
      <c r="DD689" s="30"/>
      <c r="DE689" s="30"/>
      <c r="DF689" s="30"/>
      <c r="DG689" s="30"/>
      <c r="DH689" s="30"/>
      <c r="DI689" s="30"/>
      <c r="DJ689" s="30"/>
      <c r="DK689" s="30"/>
      <c r="DL689" s="30"/>
      <c r="DM689" s="30"/>
      <c r="DN689" s="30"/>
      <c r="DO689" s="30"/>
      <c r="DP689" s="30"/>
      <c r="DQ689" s="30"/>
      <c r="DR689" s="30"/>
      <c r="DS689" s="30"/>
      <c r="DT689" s="30"/>
      <c r="DU689" s="30"/>
      <c r="DV689" s="30"/>
      <c r="DW689" s="30"/>
    </row>
    <row r="690" spans="1:127" ht="13">
      <c r="A690" s="39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  <c r="BQ690" s="30"/>
      <c r="BR690" s="30"/>
      <c r="BS690" s="30"/>
      <c r="BT690" s="30"/>
      <c r="BU690" s="30"/>
      <c r="BV690" s="30"/>
      <c r="BW690" s="30"/>
      <c r="BX690" s="30"/>
      <c r="BY690" s="30"/>
      <c r="BZ690" s="30"/>
      <c r="CA690" s="30"/>
      <c r="CB690" s="30"/>
      <c r="CC690" s="30"/>
      <c r="CD690" s="30"/>
      <c r="CE690" s="30"/>
      <c r="CF690" s="30"/>
      <c r="CG690" s="30"/>
      <c r="CH690" s="30"/>
      <c r="CI690" s="30"/>
      <c r="CJ690" s="30"/>
      <c r="CK690" s="30"/>
      <c r="CL690" s="30"/>
      <c r="CM690" s="30"/>
      <c r="CN690" s="30"/>
      <c r="CO690" s="30"/>
      <c r="CP690" s="30"/>
      <c r="CQ690" s="30"/>
      <c r="CR690" s="30"/>
      <c r="CS690" s="30"/>
      <c r="CT690" s="30"/>
      <c r="CU690" s="30"/>
      <c r="CV690" s="30"/>
      <c r="CW690" s="30"/>
      <c r="CX690" s="30"/>
      <c r="CY690" s="30"/>
      <c r="CZ690" s="30"/>
      <c r="DA690" s="30"/>
      <c r="DB690" s="30"/>
      <c r="DC690" s="30"/>
      <c r="DD690" s="30"/>
      <c r="DE690" s="30"/>
      <c r="DF690" s="30"/>
      <c r="DG690" s="30"/>
      <c r="DH690" s="30"/>
      <c r="DI690" s="30"/>
      <c r="DJ690" s="30"/>
      <c r="DK690" s="30"/>
      <c r="DL690" s="30"/>
      <c r="DM690" s="30"/>
      <c r="DN690" s="30"/>
      <c r="DO690" s="30"/>
      <c r="DP690" s="30"/>
      <c r="DQ690" s="30"/>
      <c r="DR690" s="30"/>
      <c r="DS690" s="30"/>
      <c r="DT690" s="30"/>
      <c r="DU690" s="30"/>
      <c r="DV690" s="30"/>
      <c r="DW690" s="30"/>
    </row>
    <row r="691" spans="1:127" ht="13">
      <c r="A691" s="39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  <c r="BS691" s="30"/>
      <c r="BT691" s="30"/>
      <c r="BU691" s="30"/>
      <c r="BV691" s="30"/>
      <c r="BW691" s="30"/>
      <c r="BX691" s="30"/>
      <c r="BY691" s="30"/>
      <c r="BZ691" s="30"/>
      <c r="CA691" s="30"/>
      <c r="CB691" s="30"/>
      <c r="CC691" s="30"/>
      <c r="CD691" s="30"/>
      <c r="CE691" s="30"/>
      <c r="CF691" s="30"/>
      <c r="CG691" s="30"/>
      <c r="CH691" s="30"/>
      <c r="CI691" s="30"/>
      <c r="CJ691" s="30"/>
      <c r="CK691" s="30"/>
      <c r="CL691" s="30"/>
      <c r="CM691" s="30"/>
      <c r="CN691" s="30"/>
      <c r="CO691" s="30"/>
      <c r="CP691" s="30"/>
      <c r="CQ691" s="30"/>
      <c r="CR691" s="30"/>
      <c r="CS691" s="30"/>
      <c r="CT691" s="30"/>
      <c r="CU691" s="30"/>
      <c r="CV691" s="30"/>
      <c r="CW691" s="30"/>
      <c r="CX691" s="30"/>
      <c r="CY691" s="30"/>
      <c r="CZ691" s="30"/>
      <c r="DA691" s="30"/>
      <c r="DB691" s="30"/>
      <c r="DC691" s="30"/>
      <c r="DD691" s="30"/>
      <c r="DE691" s="30"/>
      <c r="DF691" s="30"/>
      <c r="DG691" s="30"/>
      <c r="DH691" s="30"/>
      <c r="DI691" s="30"/>
      <c r="DJ691" s="30"/>
      <c r="DK691" s="30"/>
      <c r="DL691" s="30"/>
      <c r="DM691" s="30"/>
      <c r="DN691" s="30"/>
      <c r="DO691" s="30"/>
      <c r="DP691" s="30"/>
      <c r="DQ691" s="30"/>
      <c r="DR691" s="30"/>
      <c r="DS691" s="30"/>
      <c r="DT691" s="30"/>
      <c r="DU691" s="30"/>
      <c r="DV691" s="30"/>
      <c r="DW691" s="30"/>
    </row>
    <row r="692" spans="1:127" ht="13">
      <c r="A692" s="39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  <c r="BQ692" s="30"/>
      <c r="BR692" s="30"/>
      <c r="BS692" s="30"/>
      <c r="BT692" s="30"/>
      <c r="BU692" s="30"/>
      <c r="BV692" s="30"/>
      <c r="BW692" s="30"/>
      <c r="BX692" s="30"/>
      <c r="BY692" s="30"/>
      <c r="BZ692" s="30"/>
      <c r="CA692" s="30"/>
      <c r="CB692" s="30"/>
      <c r="CC692" s="30"/>
      <c r="CD692" s="30"/>
      <c r="CE692" s="30"/>
      <c r="CF692" s="30"/>
      <c r="CG692" s="30"/>
      <c r="CH692" s="30"/>
      <c r="CI692" s="30"/>
      <c r="CJ692" s="30"/>
      <c r="CK692" s="30"/>
      <c r="CL692" s="30"/>
      <c r="CM692" s="30"/>
      <c r="CN692" s="30"/>
      <c r="CO692" s="30"/>
      <c r="CP692" s="30"/>
      <c r="CQ692" s="30"/>
      <c r="CR692" s="30"/>
      <c r="CS692" s="30"/>
      <c r="CT692" s="30"/>
      <c r="CU692" s="30"/>
      <c r="CV692" s="30"/>
      <c r="CW692" s="30"/>
      <c r="CX692" s="30"/>
      <c r="CY692" s="30"/>
      <c r="CZ692" s="30"/>
      <c r="DA692" s="30"/>
      <c r="DB692" s="30"/>
      <c r="DC692" s="30"/>
      <c r="DD692" s="30"/>
      <c r="DE692" s="30"/>
      <c r="DF692" s="30"/>
      <c r="DG692" s="30"/>
      <c r="DH692" s="30"/>
      <c r="DI692" s="30"/>
      <c r="DJ692" s="30"/>
      <c r="DK692" s="30"/>
      <c r="DL692" s="30"/>
      <c r="DM692" s="30"/>
      <c r="DN692" s="30"/>
      <c r="DO692" s="30"/>
      <c r="DP692" s="30"/>
      <c r="DQ692" s="30"/>
      <c r="DR692" s="30"/>
      <c r="DS692" s="30"/>
      <c r="DT692" s="30"/>
      <c r="DU692" s="30"/>
      <c r="DV692" s="30"/>
      <c r="DW692" s="30"/>
    </row>
    <row r="693" spans="1:127" ht="13">
      <c r="A693" s="39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  <c r="BQ693" s="30"/>
      <c r="BR693" s="30"/>
      <c r="BS693" s="30"/>
      <c r="BT693" s="30"/>
      <c r="BU693" s="30"/>
      <c r="BV693" s="30"/>
      <c r="BW693" s="30"/>
      <c r="BX693" s="30"/>
      <c r="BY693" s="30"/>
      <c r="BZ693" s="30"/>
      <c r="CA693" s="30"/>
      <c r="CB693" s="30"/>
      <c r="CC693" s="30"/>
      <c r="CD693" s="30"/>
      <c r="CE693" s="30"/>
      <c r="CF693" s="30"/>
      <c r="CG693" s="30"/>
      <c r="CH693" s="30"/>
      <c r="CI693" s="30"/>
      <c r="CJ693" s="30"/>
      <c r="CK693" s="30"/>
      <c r="CL693" s="30"/>
      <c r="CM693" s="30"/>
      <c r="CN693" s="30"/>
      <c r="CO693" s="30"/>
      <c r="CP693" s="30"/>
      <c r="CQ693" s="30"/>
      <c r="CR693" s="30"/>
      <c r="CS693" s="30"/>
      <c r="CT693" s="30"/>
      <c r="CU693" s="30"/>
      <c r="CV693" s="30"/>
      <c r="CW693" s="30"/>
      <c r="CX693" s="30"/>
      <c r="CY693" s="30"/>
      <c r="CZ693" s="30"/>
      <c r="DA693" s="30"/>
      <c r="DB693" s="30"/>
      <c r="DC693" s="30"/>
      <c r="DD693" s="30"/>
      <c r="DE693" s="30"/>
      <c r="DF693" s="30"/>
      <c r="DG693" s="30"/>
      <c r="DH693" s="30"/>
      <c r="DI693" s="30"/>
      <c r="DJ693" s="30"/>
      <c r="DK693" s="30"/>
      <c r="DL693" s="30"/>
      <c r="DM693" s="30"/>
      <c r="DN693" s="30"/>
      <c r="DO693" s="30"/>
      <c r="DP693" s="30"/>
      <c r="DQ693" s="30"/>
      <c r="DR693" s="30"/>
      <c r="DS693" s="30"/>
      <c r="DT693" s="30"/>
      <c r="DU693" s="30"/>
      <c r="DV693" s="30"/>
      <c r="DW693" s="30"/>
    </row>
    <row r="694" spans="1:127" ht="13">
      <c r="A694" s="39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  <c r="BQ694" s="30"/>
      <c r="BR694" s="30"/>
      <c r="BS694" s="30"/>
      <c r="BT694" s="30"/>
      <c r="BU694" s="30"/>
      <c r="BV694" s="30"/>
      <c r="BW694" s="30"/>
      <c r="BX694" s="30"/>
      <c r="BY694" s="30"/>
      <c r="BZ694" s="30"/>
      <c r="CA694" s="30"/>
      <c r="CB694" s="30"/>
      <c r="CC694" s="30"/>
      <c r="CD694" s="30"/>
      <c r="CE694" s="30"/>
      <c r="CF694" s="30"/>
      <c r="CG694" s="30"/>
      <c r="CH694" s="30"/>
      <c r="CI694" s="30"/>
      <c r="CJ694" s="30"/>
      <c r="CK694" s="30"/>
      <c r="CL694" s="30"/>
      <c r="CM694" s="30"/>
      <c r="CN694" s="30"/>
      <c r="CO694" s="30"/>
      <c r="CP694" s="30"/>
      <c r="CQ694" s="30"/>
      <c r="CR694" s="30"/>
      <c r="CS694" s="30"/>
      <c r="CT694" s="30"/>
      <c r="CU694" s="30"/>
      <c r="CV694" s="30"/>
      <c r="CW694" s="30"/>
      <c r="CX694" s="30"/>
      <c r="CY694" s="30"/>
      <c r="CZ694" s="30"/>
      <c r="DA694" s="30"/>
      <c r="DB694" s="30"/>
      <c r="DC694" s="30"/>
      <c r="DD694" s="30"/>
      <c r="DE694" s="30"/>
      <c r="DF694" s="30"/>
      <c r="DG694" s="30"/>
      <c r="DH694" s="30"/>
      <c r="DI694" s="30"/>
      <c r="DJ694" s="30"/>
      <c r="DK694" s="30"/>
      <c r="DL694" s="30"/>
      <c r="DM694" s="30"/>
      <c r="DN694" s="30"/>
      <c r="DO694" s="30"/>
      <c r="DP694" s="30"/>
      <c r="DQ694" s="30"/>
      <c r="DR694" s="30"/>
      <c r="DS694" s="30"/>
      <c r="DT694" s="30"/>
      <c r="DU694" s="30"/>
      <c r="DV694" s="30"/>
      <c r="DW694" s="30"/>
    </row>
    <row r="695" spans="1:127" ht="13">
      <c r="A695" s="39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  <c r="BS695" s="30"/>
      <c r="BT695" s="30"/>
      <c r="BU695" s="30"/>
      <c r="BV695" s="30"/>
      <c r="BW695" s="30"/>
      <c r="BX695" s="30"/>
      <c r="BY695" s="30"/>
      <c r="BZ695" s="30"/>
      <c r="CA695" s="30"/>
      <c r="CB695" s="30"/>
      <c r="CC695" s="30"/>
      <c r="CD695" s="30"/>
      <c r="CE695" s="30"/>
      <c r="CF695" s="30"/>
      <c r="CG695" s="30"/>
      <c r="CH695" s="30"/>
      <c r="CI695" s="30"/>
      <c r="CJ695" s="30"/>
      <c r="CK695" s="30"/>
      <c r="CL695" s="30"/>
      <c r="CM695" s="30"/>
      <c r="CN695" s="30"/>
      <c r="CO695" s="30"/>
      <c r="CP695" s="30"/>
      <c r="CQ695" s="30"/>
      <c r="CR695" s="30"/>
      <c r="CS695" s="30"/>
      <c r="CT695" s="30"/>
      <c r="CU695" s="30"/>
      <c r="CV695" s="30"/>
      <c r="CW695" s="30"/>
      <c r="CX695" s="30"/>
      <c r="CY695" s="30"/>
      <c r="CZ695" s="30"/>
      <c r="DA695" s="30"/>
      <c r="DB695" s="30"/>
      <c r="DC695" s="30"/>
      <c r="DD695" s="30"/>
      <c r="DE695" s="30"/>
      <c r="DF695" s="30"/>
      <c r="DG695" s="30"/>
      <c r="DH695" s="30"/>
      <c r="DI695" s="30"/>
      <c r="DJ695" s="30"/>
      <c r="DK695" s="30"/>
      <c r="DL695" s="30"/>
      <c r="DM695" s="30"/>
      <c r="DN695" s="30"/>
      <c r="DO695" s="30"/>
      <c r="DP695" s="30"/>
      <c r="DQ695" s="30"/>
      <c r="DR695" s="30"/>
      <c r="DS695" s="30"/>
      <c r="DT695" s="30"/>
      <c r="DU695" s="30"/>
      <c r="DV695" s="30"/>
      <c r="DW695" s="30"/>
    </row>
    <row r="696" spans="1:127" ht="13">
      <c r="A696" s="39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  <c r="BQ696" s="30"/>
      <c r="BR696" s="30"/>
      <c r="BS696" s="30"/>
      <c r="BT696" s="30"/>
      <c r="BU696" s="30"/>
      <c r="BV696" s="30"/>
      <c r="BW696" s="30"/>
      <c r="BX696" s="30"/>
      <c r="BY696" s="30"/>
      <c r="BZ696" s="30"/>
      <c r="CA696" s="30"/>
      <c r="CB696" s="30"/>
      <c r="CC696" s="30"/>
      <c r="CD696" s="30"/>
      <c r="CE696" s="30"/>
      <c r="CF696" s="30"/>
      <c r="CG696" s="30"/>
      <c r="CH696" s="30"/>
      <c r="CI696" s="30"/>
      <c r="CJ696" s="30"/>
      <c r="CK696" s="30"/>
      <c r="CL696" s="30"/>
      <c r="CM696" s="30"/>
      <c r="CN696" s="30"/>
      <c r="CO696" s="30"/>
      <c r="CP696" s="30"/>
      <c r="CQ696" s="30"/>
      <c r="CR696" s="30"/>
      <c r="CS696" s="30"/>
      <c r="CT696" s="30"/>
      <c r="CU696" s="30"/>
      <c r="CV696" s="30"/>
      <c r="CW696" s="30"/>
      <c r="CX696" s="30"/>
      <c r="CY696" s="30"/>
      <c r="CZ696" s="30"/>
      <c r="DA696" s="30"/>
      <c r="DB696" s="30"/>
      <c r="DC696" s="30"/>
      <c r="DD696" s="30"/>
      <c r="DE696" s="30"/>
      <c r="DF696" s="30"/>
      <c r="DG696" s="30"/>
      <c r="DH696" s="30"/>
      <c r="DI696" s="30"/>
      <c r="DJ696" s="30"/>
      <c r="DK696" s="30"/>
      <c r="DL696" s="30"/>
      <c r="DM696" s="30"/>
      <c r="DN696" s="30"/>
      <c r="DO696" s="30"/>
      <c r="DP696" s="30"/>
      <c r="DQ696" s="30"/>
      <c r="DR696" s="30"/>
      <c r="DS696" s="30"/>
      <c r="DT696" s="30"/>
      <c r="DU696" s="30"/>
      <c r="DV696" s="30"/>
      <c r="DW696" s="30"/>
    </row>
    <row r="697" spans="1:127" ht="13">
      <c r="A697" s="39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  <c r="BS697" s="30"/>
      <c r="BT697" s="30"/>
      <c r="BU697" s="30"/>
      <c r="BV697" s="30"/>
      <c r="BW697" s="30"/>
      <c r="BX697" s="30"/>
      <c r="BY697" s="30"/>
      <c r="BZ697" s="30"/>
      <c r="CA697" s="30"/>
      <c r="CB697" s="30"/>
      <c r="CC697" s="30"/>
      <c r="CD697" s="30"/>
      <c r="CE697" s="30"/>
      <c r="CF697" s="30"/>
      <c r="CG697" s="30"/>
      <c r="CH697" s="30"/>
      <c r="CI697" s="30"/>
      <c r="CJ697" s="30"/>
      <c r="CK697" s="30"/>
      <c r="CL697" s="30"/>
      <c r="CM697" s="30"/>
      <c r="CN697" s="30"/>
      <c r="CO697" s="30"/>
      <c r="CP697" s="30"/>
      <c r="CQ697" s="30"/>
      <c r="CR697" s="30"/>
      <c r="CS697" s="30"/>
      <c r="CT697" s="30"/>
      <c r="CU697" s="30"/>
      <c r="CV697" s="30"/>
      <c r="CW697" s="30"/>
      <c r="CX697" s="30"/>
      <c r="CY697" s="30"/>
      <c r="CZ697" s="30"/>
      <c r="DA697" s="30"/>
      <c r="DB697" s="30"/>
      <c r="DC697" s="30"/>
      <c r="DD697" s="30"/>
      <c r="DE697" s="30"/>
      <c r="DF697" s="30"/>
      <c r="DG697" s="30"/>
      <c r="DH697" s="30"/>
      <c r="DI697" s="30"/>
      <c r="DJ697" s="30"/>
      <c r="DK697" s="30"/>
      <c r="DL697" s="30"/>
      <c r="DM697" s="30"/>
      <c r="DN697" s="30"/>
      <c r="DO697" s="30"/>
      <c r="DP697" s="30"/>
      <c r="DQ697" s="30"/>
      <c r="DR697" s="30"/>
      <c r="DS697" s="30"/>
      <c r="DT697" s="30"/>
      <c r="DU697" s="30"/>
      <c r="DV697" s="30"/>
      <c r="DW697" s="30"/>
    </row>
    <row r="698" spans="1:127" ht="13">
      <c r="A698" s="39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  <c r="BS698" s="30"/>
      <c r="BT698" s="30"/>
      <c r="BU698" s="30"/>
      <c r="BV698" s="30"/>
      <c r="BW698" s="30"/>
      <c r="BX698" s="30"/>
      <c r="BY698" s="30"/>
      <c r="BZ698" s="30"/>
      <c r="CA698" s="30"/>
      <c r="CB698" s="30"/>
      <c r="CC698" s="30"/>
      <c r="CD698" s="30"/>
      <c r="CE698" s="30"/>
      <c r="CF698" s="30"/>
      <c r="CG698" s="30"/>
      <c r="CH698" s="30"/>
      <c r="CI698" s="30"/>
      <c r="CJ698" s="30"/>
      <c r="CK698" s="30"/>
      <c r="CL698" s="30"/>
      <c r="CM698" s="30"/>
      <c r="CN698" s="30"/>
      <c r="CO698" s="30"/>
      <c r="CP698" s="30"/>
      <c r="CQ698" s="30"/>
      <c r="CR698" s="30"/>
      <c r="CS698" s="30"/>
      <c r="CT698" s="30"/>
      <c r="CU698" s="30"/>
      <c r="CV698" s="30"/>
      <c r="CW698" s="30"/>
      <c r="CX698" s="30"/>
      <c r="CY698" s="30"/>
      <c r="CZ698" s="30"/>
      <c r="DA698" s="30"/>
      <c r="DB698" s="30"/>
      <c r="DC698" s="30"/>
      <c r="DD698" s="30"/>
      <c r="DE698" s="30"/>
      <c r="DF698" s="30"/>
      <c r="DG698" s="30"/>
      <c r="DH698" s="30"/>
      <c r="DI698" s="30"/>
      <c r="DJ698" s="30"/>
      <c r="DK698" s="30"/>
      <c r="DL698" s="30"/>
      <c r="DM698" s="30"/>
      <c r="DN698" s="30"/>
      <c r="DO698" s="30"/>
      <c r="DP698" s="30"/>
      <c r="DQ698" s="30"/>
      <c r="DR698" s="30"/>
      <c r="DS698" s="30"/>
      <c r="DT698" s="30"/>
      <c r="DU698" s="30"/>
      <c r="DV698" s="30"/>
      <c r="DW698" s="30"/>
    </row>
    <row r="699" spans="1:127" ht="13">
      <c r="A699" s="39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  <c r="BP699" s="30"/>
      <c r="BQ699" s="30"/>
      <c r="BR699" s="30"/>
      <c r="BS699" s="30"/>
      <c r="BT699" s="30"/>
      <c r="BU699" s="30"/>
      <c r="BV699" s="30"/>
      <c r="BW699" s="30"/>
      <c r="BX699" s="30"/>
      <c r="BY699" s="30"/>
      <c r="BZ699" s="30"/>
      <c r="CA699" s="30"/>
      <c r="CB699" s="30"/>
      <c r="CC699" s="30"/>
      <c r="CD699" s="30"/>
      <c r="CE699" s="30"/>
      <c r="CF699" s="30"/>
      <c r="CG699" s="30"/>
      <c r="CH699" s="30"/>
      <c r="CI699" s="30"/>
      <c r="CJ699" s="30"/>
      <c r="CK699" s="30"/>
      <c r="CL699" s="30"/>
      <c r="CM699" s="30"/>
      <c r="CN699" s="30"/>
      <c r="CO699" s="30"/>
      <c r="CP699" s="30"/>
      <c r="CQ699" s="30"/>
      <c r="CR699" s="30"/>
      <c r="CS699" s="30"/>
      <c r="CT699" s="30"/>
      <c r="CU699" s="30"/>
      <c r="CV699" s="30"/>
      <c r="CW699" s="30"/>
      <c r="CX699" s="30"/>
      <c r="CY699" s="30"/>
      <c r="CZ699" s="30"/>
      <c r="DA699" s="30"/>
      <c r="DB699" s="30"/>
      <c r="DC699" s="30"/>
      <c r="DD699" s="30"/>
      <c r="DE699" s="30"/>
      <c r="DF699" s="30"/>
      <c r="DG699" s="30"/>
      <c r="DH699" s="30"/>
      <c r="DI699" s="30"/>
      <c r="DJ699" s="30"/>
      <c r="DK699" s="30"/>
      <c r="DL699" s="30"/>
      <c r="DM699" s="30"/>
      <c r="DN699" s="30"/>
      <c r="DO699" s="30"/>
      <c r="DP699" s="30"/>
      <c r="DQ699" s="30"/>
      <c r="DR699" s="30"/>
      <c r="DS699" s="30"/>
      <c r="DT699" s="30"/>
      <c r="DU699" s="30"/>
      <c r="DV699" s="30"/>
      <c r="DW699" s="30"/>
    </row>
    <row r="700" spans="1:127" ht="13">
      <c r="A700" s="39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  <c r="BQ700" s="30"/>
      <c r="BR700" s="30"/>
      <c r="BS700" s="30"/>
      <c r="BT700" s="30"/>
      <c r="BU700" s="30"/>
      <c r="BV700" s="30"/>
      <c r="BW700" s="30"/>
      <c r="BX700" s="30"/>
      <c r="BY700" s="30"/>
      <c r="BZ700" s="30"/>
      <c r="CA700" s="30"/>
      <c r="CB700" s="30"/>
      <c r="CC700" s="30"/>
      <c r="CD700" s="30"/>
      <c r="CE700" s="30"/>
      <c r="CF700" s="30"/>
      <c r="CG700" s="30"/>
      <c r="CH700" s="30"/>
      <c r="CI700" s="30"/>
      <c r="CJ700" s="30"/>
      <c r="CK700" s="30"/>
      <c r="CL700" s="30"/>
      <c r="CM700" s="30"/>
      <c r="CN700" s="30"/>
      <c r="CO700" s="30"/>
      <c r="CP700" s="30"/>
      <c r="CQ700" s="30"/>
      <c r="CR700" s="30"/>
      <c r="CS700" s="30"/>
      <c r="CT700" s="30"/>
      <c r="CU700" s="30"/>
      <c r="CV700" s="30"/>
      <c r="CW700" s="30"/>
      <c r="CX700" s="30"/>
      <c r="CY700" s="30"/>
      <c r="CZ700" s="30"/>
      <c r="DA700" s="30"/>
      <c r="DB700" s="30"/>
      <c r="DC700" s="30"/>
      <c r="DD700" s="30"/>
      <c r="DE700" s="30"/>
      <c r="DF700" s="30"/>
      <c r="DG700" s="30"/>
      <c r="DH700" s="30"/>
      <c r="DI700" s="30"/>
      <c r="DJ700" s="30"/>
      <c r="DK700" s="30"/>
      <c r="DL700" s="30"/>
      <c r="DM700" s="30"/>
      <c r="DN700" s="30"/>
      <c r="DO700" s="30"/>
      <c r="DP700" s="30"/>
      <c r="DQ700" s="30"/>
      <c r="DR700" s="30"/>
      <c r="DS700" s="30"/>
      <c r="DT700" s="30"/>
      <c r="DU700" s="30"/>
      <c r="DV700" s="30"/>
      <c r="DW700" s="30"/>
    </row>
    <row r="701" spans="1:127" ht="13">
      <c r="A701" s="39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  <c r="BS701" s="30"/>
      <c r="BT701" s="30"/>
      <c r="BU701" s="30"/>
      <c r="BV701" s="30"/>
      <c r="BW701" s="30"/>
      <c r="BX701" s="30"/>
      <c r="BY701" s="30"/>
      <c r="BZ701" s="30"/>
      <c r="CA701" s="30"/>
      <c r="CB701" s="30"/>
      <c r="CC701" s="30"/>
      <c r="CD701" s="30"/>
      <c r="CE701" s="30"/>
      <c r="CF701" s="30"/>
      <c r="CG701" s="30"/>
      <c r="CH701" s="30"/>
      <c r="CI701" s="30"/>
      <c r="CJ701" s="30"/>
      <c r="CK701" s="30"/>
      <c r="CL701" s="30"/>
      <c r="CM701" s="30"/>
      <c r="CN701" s="30"/>
      <c r="CO701" s="30"/>
      <c r="CP701" s="30"/>
      <c r="CQ701" s="30"/>
      <c r="CR701" s="30"/>
      <c r="CS701" s="30"/>
      <c r="CT701" s="30"/>
      <c r="CU701" s="30"/>
      <c r="CV701" s="30"/>
      <c r="CW701" s="30"/>
      <c r="CX701" s="30"/>
      <c r="CY701" s="30"/>
      <c r="CZ701" s="30"/>
      <c r="DA701" s="30"/>
      <c r="DB701" s="30"/>
      <c r="DC701" s="30"/>
      <c r="DD701" s="30"/>
      <c r="DE701" s="30"/>
      <c r="DF701" s="30"/>
      <c r="DG701" s="30"/>
      <c r="DH701" s="30"/>
      <c r="DI701" s="30"/>
      <c r="DJ701" s="30"/>
      <c r="DK701" s="30"/>
      <c r="DL701" s="30"/>
      <c r="DM701" s="30"/>
      <c r="DN701" s="30"/>
      <c r="DO701" s="30"/>
      <c r="DP701" s="30"/>
      <c r="DQ701" s="30"/>
      <c r="DR701" s="30"/>
      <c r="DS701" s="30"/>
      <c r="DT701" s="30"/>
      <c r="DU701" s="30"/>
      <c r="DV701" s="30"/>
      <c r="DW701" s="30"/>
    </row>
    <row r="702" spans="1:127" ht="13">
      <c r="A702" s="39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  <c r="BP702" s="30"/>
      <c r="BQ702" s="30"/>
      <c r="BR702" s="30"/>
      <c r="BS702" s="30"/>
      <c r="BT702" s="30"/>
      <c r="BU702" s="30"/>
      <c r="BV702" s="30"/>
      <c r="BW702" s="30"/>
      <c r="BX702" s="30"/>
      <c r="BY702" s="30"/>
      <c r="BZ702" s="30"/>
      <c r="CA702" s="30"/>
      <c r="CB702" s="30"/>
      <c r="CC702" s="30"/>
      <c r="CD702" s="30"/>
      <c r="CE702" s="30"/>
      <c r="CF702" s="30"/>
      <c r="CG702" s="30"/>
      <c r="CH702" s="30"/>
      <c r="CI702" s="30"/>
      <c r="CJ702" s="30"/>
      <c r="CK702" s="30"/>
      <c r="CL702" s="30"/>
      <c r="CM702" s="30"/>
      <c r="CN702" s="30"/>
      <c r="CO702" s="30"/>
      <c r="CP702" s="30"/>
      <c r="CQ702" s="30"/>
      <c r="CR702" s="30"/>
      <c r="CS702" s="30"/>
      <c r="CT702" s="30"/>
      <c r="CU702" s="30"/>
      <c r="CV702" s="30"/>
      <c r="CW702" s="30"/>
      <c r="CX702" s="30"/>
      <c r="CY702" s="30"/>
      <c r="CZ702" s="30"/>
      <c r="DA702" s="30"/>
      <c r="DB702" s="30"/>
      <c r="DC702" s="30"/>
      <c r="DD702" s="30"/>
      <c r="DE702" s="30"/>
      <c r="DF702" s="30"/>
      <c r="DG702" s="30"/>
      <c r="DH702" s="30"/>
      <c r="DI702" s="30"/>
      <c r="DJ702" s="30"/>
      <c r="DK702" s="30"/>
      <c r="DL702" s="30"/>
      <c r="DM702" s="30"/>
      <c r="DN702" s="30"/>
      <c r="DO702" s="30"/>
      <c r="DP702" s="30"/>
      <c r="DQ702" s="30"/>
      <c r="DR702" s="30"/>
      <c r="DS702" s="30"/>
      <c r="DT702" s="30"/>
      <c r="DU702" s="30"/>
      <c r="DV702" s="30"/>
      <c r="DW702" s="30"/>
    </row>
    <row r="703" spans="1:127" ht="13">
      <c r="A703" s="39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  <c r="BP703" s="30"/>
      <c r="BQ703" s="30"/>
      <c r="BR703" s="30"/>
      <c r="BS703" s="30"/>
      <c r="BT703" s="30"/>
      <c r="BU703" s="30"/>
      <c r="BV703" s="30"/>
      <c r="BW703" s="30"/>
      <c r="BX703" s="30"/>
      <c r="BY703" s="30"/>
      <c r="BZ703" s="30"/>
      <c r="CA703" s="30"/>
      <c r="CB703" s="30"/>
      <c r="CC703" s="30"/>
      <c r="CD703" s="30"/>
      <c r="CE703" s="30"/>
      <c r="CF703" s="30"/>
      <c r="CG703" s="30"/>
      <c r="CH703" s="30"/>
      <c r="CI703" s="30"/>
      <c r="CJ703" s="30"/>
      <c r="CK703" s="30"/>
      <c r="CL703" s="30"/>
      <c r="CM703" s="30"/>
      <c r="CN703" s="30"/>
      <c r="CO703" s="30"/>
      <c r="CP703" s="30"/>
      <c r="CQ703" s="30"/>
      <c r="CR703" s="30"/>
      <c r="CS703" s="30"/>
      <c r="CT703" s="30"/>
      <c r="CU703" s="30"/>
      <c r="CV703" s="30"/>
      <c r="CW703" s="30"/>
      <c r="CX703" s="30"/>
      <c r="CY703" s="30"/>
      <c r="CZ703" s="30"/>
      <c r="DA703" s="30"/>
      <c r="DB703" s="30"/>
      <c r="DC703" s="30"/>
      <c r="DD703" s="30"/>
      <c r="DE703" s="30"/>
      <c r="DF703" s="30"/>
      <c r="DG703" s="30"/>
      <c r="DH703" s="30"/>
      <c r="DI703" s="30"/>
      <c r="DJ703" s="30"/>
      <c r="DK703" s="30"/>
      <c r="DL703" s="30"/>
      <c r="DM703" s="30"/>
      <c r="DN703" s="30"/>
      <c r="DO703" s="30"/>
      <c r="DP703" s="30"/>
      <c r="DQ703" s="30"/>
      <c r="DR703" s="30"/>
      <c r="DS703" s="30"/>
      <c r="DT703" s="30"/>
      <c r="DU703" s="30"/>
      <c r="DV703" s="30"/>
      <c r="DW703" s="30"/>
    </row>
    <row r="704" spans="1:127" ht="13">
      <c r="A704" s="39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  <c r="BP704" s="30"/>
      <c r="BQ704" s="30"/>
      <c r="BR704" s="30"/>
      <c r="BS704" s="30"/>
      <c r="BT704" s="30"/>
      <c r="BU704" s="30"/>
      <c r="BV704" s="30"/>
      <c r="BW704" s="30"/>
      <c r="BX704" s="30"/>
      <c r="BY704" s="30"/>
      <c r="BZ704" s="30"/>
      <c r="CA704" s="30"/>
      <c r="CB704" s="30"/>
      <c r="CC704" s="30"/>
      <c r="CD704" s="30"/>
      <c r="CE704" s="30"/>
      <c r="CF704" s="30"/>
      <c r="CG704" s="30"/>
      <c r="CH704" s="30"/>
      <c r="CI704" s="30"/>
      <c r="CJ704" s="30"/>
      <c r="CK704" s="30"/>
      <c r="CL704" s="30"/>
      <c r="CM704" s="30"/>
      <c r="CN704" s="30"/>
      <c r="CO704" s="30"/>
      <c r="CP704" s="30"/>
      <c r="CQ704" s="30"/>
      <c r="CR704" s="30"/>
      <c r="CS704" s="30"/>
      <c r="CT704" s="30"/>
      <c r="CU704" s="30"/>
      <c r="CV704" s="30"/>
      <c r="CW704" s="30"/>
      <c r="CX704" s="30"/>
      <c r="CY704" s="30"/>
      <c r="CZ704" s="30"/>
      <c r="DA704" s="30"/>
      <c r="DB704" s="30"/>
      <c r="DC704" s="30"/>
      <c r="DD704" s="30"/>
      <c r="DE704" s="30"/>
      <c r="DF704" s="30"/>
      <c r="DG704" s="30"/>
      <c r="DH704" s="30"/>
      <c r="DI704" s="30"/>
      <c r="DJ704" s="30"/>
      <c r="DK704" s="30"/>
      <c r="DL704" s="30"/>
      <c r="DM704" s="30"/>
      <c r="DN704" s="30"/>
      <c r="DO704" s="30"/>
      <c r="DP704" s="30"/>
      <c r="DQ704" s="30"/>
      <c r="DR704" s="30"/>
      <c r="DS704" s="30"/>
      <c r="DT704" s="30"/>
      <c r="DU704" s="30"/>
      <c r="DV704" s="30"/>
      <c r="DW704" s="30"/>
    </row>
    <row r="705" spans="1:127" ht="13">
      <c r="A705" s="39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  <c r="BP705" s="30"/>
      <c r="BQ705" s="30"/>
      <c r="BR705" s="30"/>
      <c r="BS705" s="30"/>
      <c r="BT705" s="30"/>
      <c r="BU705" s="30"/>
      <c r="BV705" s="30"/>
      <c r="BW705" s="30"/>
      <c r="BX705" s="30"/>
      <c r="BY705" s="30"/>
      <c r="BZ705" s="30"/>
      <c r="CA705" s="30"/>
      <c r="CB705" s="30"/>
      <c r="CC705" s="30"/>
      <c r="CD705" s="30"/>
      <c r="CE705" s="30"/>
      <c r="CF705" s="30"/>
      <c r="CG705" s="30"/>
      <c r="CH705" s="30"/>
      <c r="CI705" s="30"/>
      <c r="CJ705" s="30"/>
      <c r="CK705" s="30"/>
      <c r="CL705" s="30"/>
      <c r="CM705" s="30"/>
      <c r="CN705" s="30"/>
      <c r="CO705" s="30"/>
      <c r="CP705" s="30"/>
      <c r="CQ705" s="30"/>
      <c r="CR705" s="30"/>
      <c r="CS705" s="30"/>
      <c r="CT705" s="30"/>
      <c r="CU705" s="30"/>
      <c r="CV705" s="30"/>
      <c r="CW705" s="30"/>
      <c r="CX705" s="30"/>
      <c r="CY705" s="30"/>
      <c r="CZ705" s="30"/>
      <c r="DA705" s="30"/>
      <c r="DB705" s="30"/>
      <c r="DC705" s="30"/>
      <c r="DD705" s="30"/>
      <c r="DE705" s="30"/>
      <c r="DF705" s="30"/>
      <c r="DG705" s="30"/>
      <c r="DH705" s="30"/>
      <c r="DI705" s="30"/>
      <c r="DJ705" s="30"/>
      <c r="DK705" s="30"/>
      <c r="DL705" s="30"/>
      <c r="DM705" s="30"/>
      <c r="DN705" s="30"/>
      <c r="DO705" s="30"/>
      <c r="DP705" s="30"/>
      <c r="DQ705" s="30"/>
      <c r="DR705" s="30"/>
      <c r="DS705" s="30"/>
      <c r="DT705" s="30"/>
      <c r="DU705" s="30"/>
      <c r="DV705" s="30"/>
      <c r="DW705" s="30"/>
    </row>
    <row r="706" spans="1:127" ht="13">
      <c r="A706" s="39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  <c r="BP706" s="30"/>
      <c r="BQ706" s="30"/>
      <c r="BR706" s="30"/>
      <c r="BS706" s="30"/>
      <c r="BT706" s="30"/>
      <c r="BU706" s="30"/>
      <c r="BV706" s="30"/>
      <c r="BW706" s="30"/>
      <c r="BX706" s="30"/>
      <c r="BY706" s="30"/>
      <c r="BZ706" s="30"/>
      <c r="CA706" s="30"/>
      <c r="CB706" s="30"/>
      <c r="CC706" s="30"/>
      <c r="CD706" s="30"/>
      <c r="CE706" s="30"/>
      <c r="CF706" s="30"/>
      <c r="CG706" s="30"/>
      <c r="CH706" s="30"/>
      <c r="CI706" s="30"/>
      <c r="CJ706" s="30"/>
      <c r="CK706" s="30"/>
      <c r="CL706" s="30"/>
      <c r="CM706" s="30"/>
      <c r="CN706" s="30"/>
      <c r="CO706" s="30"/>
      <c r="CP706" s="30"/>
      <c r="CQ706" s="30"/>
      <c r="CR706" s="30"/>
      <c r="CS706" s="30"/>
      <c r="CT706" s="30"/>
      <c r="CU706" s="30"/>
      <c r="CV706" s="30"/>
      <c r="CW706" s="30"/>
      <c r="CX706" s="30"/>
      <c r="CY706" s="30"/>
      <c r="CZ706" s="30"/>
      <c r="DA706" s="30"/>
      <c r="DB706" s="30"/>
      <c r="DC706" s="30"/>
      <c r="DD706" s="30"/>
      <c r="DE706" s="30"/>
      <c r="DF706" s="30"/>
      <c r="DG706" s="30"/>
      <c r="DH706" s="30"/>
      <c r="DI706" s="30"/>
      <c r="DJ706" s="30"/>
      <c r="DK706" s="30"/>
      <c r="DL706" s="30"/>
      <c r="DM706" s="30"/>
      <c r="DN706" s="30"/>
      <c r="DO706" s="30"/>
      <c r="DP706" s="30"/>
      <c r="DQ706" s="30"/>
      <c r="DR706" s="30"/>
      <c r="DS706" s="30"/>
      <c r="DT706" s="30"/>
      <c r="DU706" s="30"/>
      <c r="DV706" s="30"/>
      <c r="DW706" s="30"/>
    </row>
    <row r="707" spans="1:127" ht="13">
      <c r="A707" s="39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  <c r="BQ707" s="30"/>
      <c r="BR707" s="30"/>
      <c r="BS707" s="30"/>
      <c r="BT707" s="30"/>
      <c r="BU707" s="30"/>
      <c r="BV707" s="30"/>
      <c r="BW707" s="30"/>
      <c r="BX707" s="30"/>
      <c r="BY707" s="30"/>
      <c r="BZ707" s="30"/>
      <c r="CA707" s="30"/>
      <c r="CB707" s="30"/>
      <c r="CC707" s="30"/>
      <c r="CD707" s="30"/>
      <c r="CE707" s="30"/>
      <c r="CF707" s="30"/>
      <c r="CG707" s="30"/>
      <c r="CH707" s="30"/>
      <c r="CI707" s="30"/>
      <c r="CJ707" s="30"/>
      <c r="CK707" s="30"/>
      <c r="CL707" s="30"/>
      <c r="CM707" s="30"/>
      <c r="CN707" s="30"/>
      <c r="CO707" s="30"/>
      <c r="CP707" s="30"/>
      <c r="CQ707" s="30"/>
      <c r="CR707" s="30"/>
      <c r="CS707" s="30"/>
      <c r="CT707" s="30"/>
      <c r="CU707" s="30"/>
      <c r="CV707" s="30"/>
      <c r="CW707" s="30"/>
      <c r="CX707" s="30"/>
      <c r="CY707" s="30"/>
      <c r="CZ707" s="30"/>
      <c r="DA707" s="30"/>
      <c r="DB707" s="30"/>
      <c r="DC707" s="30"/>
      <c r="DD707" s="30"/>
      <c r="DE707" s="30"/>
      <c r="DF707" s="30"/>
      <c r="DG707" s="30"/>
      <c r="DH707" s="30"/>
      <c r="DI707" s="30"/>
      <c r="DJ707" s="30"/>
      <c r="DK707" s="30"/>
      <c r="DL707" s="30"/>
      <c r="DM707" s="30"/>
      <c r="DN707" s="30"/>
      <c r="DO707" s="30"/>
      <c r="DP707" s="30"/>
      <c r="DQ707" s="30"/>
      <c r="DR707" s="30"/>
      <c r="DS707" s="30"/>
      <c r="DT707" s="30"/>
      <c r="DU707" s="30"/>
      <c r="DV707" s="30"/>
      <c r="DW707" s="30"/>
    </row>
    <row r="708" spans="1:127" ht="13">
      <c r="A708" s="39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  <c r="BP708" s="30"/>
      <c r="BQ708" s="30"/>
      <c r="BR708" s="30"/>
      <c r="BS708" s="30"/>
      <c r="BT708" s="30"/>
      <c r="BU708" s="30"/>
      <c r="BV708" s="30"/>
      <c r="BW708" s="30"/>
      <c r="BX708" s="30"/>
      <c r="BY708" s="30"/>
      <c r="BZ708" s="30"/>
      <c r="CA708" s="30"/>
      <c r="CB708" s="30"/>
      <c r="CC708" s="30"/>
      <c r="CD708" s="30"/>
      <c r="CE708" s="30"/>
      <c r="CF708" s="30"/>
      <c r="CG708" s="30"/>
      <c r="CH708" s="30"/>
      <c r="CI708" s="30"/>
      <c r="CJ708" s="30"/>
      <c r="CK708" s="30"/>
      <c r="CL708" s="30"/>
      <c r="CM708" s="30"/>
      <c r="CN708" s="30"/>
      <c r="CO708" s="30"/>
      <c r="CP708" s="30"/>
      <c r="CQ708" s="30"/>
      <c r="CR708" s="30"/>
      <c r="CS708" s="30"/>
      <c r="CT708" s="30"/>
      <c r="CU708" s="30"/>
      <c r="CV708" s="30"/>
      <c r="CW708" s="30"/>
      <c r="CX708" s="30"/>
      <c r="CY708" s="30"/>
      <c r="CZ708" s="30"/>
      <c r="DA708" s="30"/>
      <c r="DB708" s="30"/>
      <c r="DC708" s="30"/>
      <c r="DD708" s="30"/>
      <c r="DE708" s="30"/>
      <c r="DF708" s="30"/>
      <c r="DG708" s="30"/>
      <c r="DH708" s="30"/>
      <c r="DI708" s="30"/>
      <c r="DJ708" s="30"/>
      <c r="DK708" s="30"/>
      <c r="DL708" s="30"/>
      <c r="DM708" s="30"/>
      <c r="DN708" s="30"/>
      <c r="DO708" s="30"/>
      <c r="DP708" s="30"/>
      <c r="DQ708" s="30"/>
      <c r="DR708" s="30"/>
      <c r="DS708" s="30"/>
      <c r="DT708" s="30"/>
      <c r="DU708" s="30"/>
      <c r="DV708" s="30"/>
      <c r="DW708" s="30"/>
    </row>
    <row r="709" spans="1:127" ht="13">
      <c r="A709" s="39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  <c r="BP709" s="30"/>
      <c r="BQ709" s="30"/>
      <c r="BR709" s="30"/>
      <c r="BS709" s="30"/>
      <c r="BT709" s="30"/>
      <c r="BU709" s="30"/>
      <c r="BV709" s="30"/>
      <c r="BW709" s="30"/>
      <c r="BX709" s="30"/>
      <c r="BY709" s="30"/>
      <c r="BZ709" s="30"/>
      <c r="CA709" s="30"/>
      <c r="CB709" s="30"/>
      <c r="CC709" s="30"/>
      <c r="CD709" s="30"/>
      <c r="CE709" s="30"/>
      <c r="CF709" s="30"/>
      <c r="CG709" s="30"/>
      <c r="CH709" s="30"/>
      <c r="CI709" s="30"/>
      <c r="CJ709" s="30"/>
      <c r="CK709" s="30"/>
      <c r="CL709" s="30"/>
      <c r="CM709" s="30"/>
      <c r="CN709" s="30"/>
      <c r="CO709" s="30"/>
      <c r="CP709" s="30"/>
      <c r="CQ709" s="30"/>
      <c r="CR709" s="30"/>
      <c r="CS709" s="30"/>
      <c r="CT709" s="30"/>
      <c r="CU709" s="30"/>
      <c r="CV709" s="30"/>
      <c r="CW709" s="30"/>
      <c r="CX709" s="30"/>
      <c r="CY709" s="30"/>
      <c r="CZ709" s="30"/>
      <c r="DA709" s="30"/>
      <c r="DB709" s="30"/>
      <c r="DC709" s="30"/>
      <c r="DD709" s="30"/>
      <c r="DE709" s="30"/>
      <c r="DF709" s="30"/>
      <c r="DG709" s="30"/>
      <c r="DH709" s="30"/>
      <c r="DI709" s="30"/>
      <c r="DJ709" s="30"/>
      <c r="DK709" s="30"/>
      <c r="DL709" s="30"/>
      <c r="DM709" s="30"/>
      <c r="DN709" s="30"/>
      <c r="DO709" s="30"/>
      <c r="DP709" s="30"/>
      <c r="DQ709" s="30"/>
      <c r="DR709" s="30"/>
      <c r="DS709" s="30"/>
      <c r="DT709" s="30"/>
      <c r="DU709" s="30"/>
      <c r="DV709" s="30"/>
      <c r="DW709" s="30"/>
    </row>
    <row r="710" spans="1:127" ht="13">
      <c r="A710" s="39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  <c r="BP710" s="30"/>
      <c r="BQ710" s="30"/>
      <c r="BR710" s="30"/>
      <c r="BS710" s="30"/>
      <c r="BT710" s="30"/>
      <c r="BU710" s="30"/>
      <c r="BV710" s="30"/>
      <c r="BW710" s="30"/>
      <c r="BX710" s="30"/>
      <c r="BY710" s="30"/>
      <c r="BZ710" s="30"/>
      <c r="CA710" s="30"/>
      <c r="CB710" s="30"/>
      <c r="CC710" s="30"/>
      <c r="CD710" s="30"/>
      <c r="CE710" s="30"/>
      <c r="CF710" s="30"/>
      <c r="CG710" s="30"/>
      <c r="CH710" s="30"/>
      <c r="CI710" s="30"/>
      <c r="CJ710" s="30"/>
      <c r="CK710" s="30"/>
      <c r="CL710" s="30"/>
      <c r="CM710" s="30"/>
      <c r="CN710" s="30"/>
      <c r="CO710" s="30"/>
      <c r="CP710" s="30"/>
      <c r="CQ710" s="30"/>
      <c r="CR710" s="30"/>
      <c r="CS710" s="30"/>
      <c r="CT710" s="30"/>
      <c r="CU710" s="30"/>
      <c r="CV710" s="30"/>
      <c r="CW710" s="30"/>
      <c r="CX710" s="30"/>
      <c r="CY710" s="30"/>
      <c r="CZ710" s="30"/>
      <c r="DA710" s="30"/>
      <c r="DB710" s="30"/>
      <c r="DC710" s="30"/>
      <c r="DD710" s="30"/>
      <c r="DE710" s="30"/>
      <c r="DF710" s="30"/>
      <c r="DG710" s="30"/>
      <c r="DH710" s="30"/>
      <c r="DI710" s="30"/>
      <c r="DJ710" s="30"/>
      <c r="DK710" s="30"/>
      <c r="DL710" s="30"/>
      <c r="DM710" s="30"/>
      <c r="DN710" s="30"/>
      <c r="DO710" s="30"/>
      <c r="DP710" s="30"/>
      <c r="DQ710" s="30"/>
      <c r="DR710" s="30"/>
      <c r="DS710" s="30"/>
      <c r="DT710" s="30"/>
      <c r="DU710" s="30"/>
      <c r="DV710" s="30"/>
      <c r="DW710" s="30"/>
    </row>
    <row r="711" spans="1:127" ht="13">
      <c r="A711" s="39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  <c r="BP711" s="30"/>
      <c r="BQ711" s="30"/>
      <c r="BR711" s="30"/>
      <c r="BS711" s="30"/>
      <c r="BT711" s="30"/>
      <c r="BU711" s="30"/>
      <c r="BV711" s="30"/>
      <c r="BW711" s="30"/>
      <c r="BX711" s="30"/>
      <c r="BY711" s="30"/>
      <c r="BZ711" s="30"/>
      <c r="CA711" s="30"/>
      <c r="CB711" s="30"/>
      <c r="CC711" s="30"/>
      <c r="CD711" s="30"/>
      <c r="CE711" s="30"/>
      <c r="CF711" s="30"/>
      <c r="CG711" s="30"/>
      <c r="CH711" s="30"/>
      <c r="CI711" s="30"/>
      <c r="CJ711" s="30"/>
      <c r="CK711" s="30"/>
      <c r="CL711" s="30"/>
      <c r="CM711" s="30"/>
      <c r="CN711" s="30"/>
      <c r="CO711" s="30"/>
      <c r="CP711" s="30"/>
      <c r="CQ711" s="30"/>
      <c r="CR711" s="30"/>
      <c r="CS711" s="30"/>
      <c r="CT711" s="30"/>
      <c r="CU711" s="30"/>
      <c r="CV711" s="30"/>
      <c r="CW711" s="30"/>
      <c r="CX711" s="30"/>
      <c r="CY711" s="30"/>
      <c r="CZ711" s="30"/>
      <c r="DA711" s="30"/>
      <c r="DB711" s="30"/>
      <c r="DC711" s="30"/>
      <c r="DD711" s="30"/>
      <c r="DE711" s="30"/>
      <c r="DF711" s="30"/>
      <c r="DG711" s="30"/>
      <c r="DH711" s="30"/>
      <c r="DI711" s="30"/>
      <c r="DJ711" s="30"/>
      <c r="DK711" s="30"/>
      <c r="DL711" s="30"/>
      <c r="DM711" s="30"/>
      <c r="DN711" s="30"/>
      <c r="DO711" s="30"/>
      <c r="DP711" s="30"/>
      <c r="DQ711" s="30"/>
      <c r="DR711" s="30"/>
      <c r="DS711" s="30"/>
      <c r="DT711" s="30"/>
      <c r="DU711" s="30"/>
      <c r="DV711" s="30"/>
      <c r="DW711" s="30"/>
    </row>
    <row r="712" spans="1:127" ht="13">
      <c r="A712" s="39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  <c r="BS712" s="30"/>
      <c r="BT712" s="30"/>
      <c r="BU712" s="30"/>
      <c r="BV712" s="30"/>
      <c r="BW712" s="30"/>
      <c r="BX712" s="30"/>
      <c r="BY712" s="30"/>
      <c r="BZ712" s="30"/>
      <c r="CA712" s="30"/>
      <c r="CB712" s="30"/>
      <c r="CC712" s="30"/>
      <c r="CD712" s="30"/>
      <c r="CE712" s="30"/>
      <c r="CF712" s="30"/>
      <c r="CG712" s="30"/>
      <c r="CH712" s="30"/>
      <c r="CI712" s="30"/>
      <c r="CJ712" s="30"/>
      <c r="CK712" s="30"/>
      <c r="CL712" s="30"/>
      <c r="CM712" s="30"/>
      <c r="CN712" s="30"/>
      <c r="CO712" s="30"/>
      <c r="CP712" s="30"/>
      <c r="CQ712" s="30"/>
      <c r="CR712" s="30"/>
      <c r="CS712" s="30"/>
      <c r="CT712" s="30"/>
      <c r="CU712" s="30"/>
      <c r="CV712" s="30"/>
      <c r="CW712" s="30"/>
      <c r="CX712" s="30"/>
      <c r="CY712" s="30"/>
      <c r="CZ712" s="30"/>
      <c r="DA712" s="30"/>
      <c r="DB712" s="30"/>
      <c r="DC712" s="30"/>
      <c r="DD712" s="30"/>
      <c r="DE712" s="30"/>
      <c r="DF712" s="30"/>
      <c r="DG712" s="30"/>
      <c r="DH712" s="30"/>
      <c r="DI712" s="30"/>
      <c r="DJ712" s="30"/>
      <c r="DK712" s="30"/>
      <c r="DL712" s="30"/>
      <c r="DM712" s="30"/>
      <c r="DN712" s="30"/>
      <c r="DO712" s="30"/>
      <c r="DP712" s="30"/>
      <c r="DQ712" s="30"/>
      <c r="DR712" s="30"/>
      <c r="DS712" s="30"/>
      <c r="DT712" s="30"/>
      <c r="DU712" s="30"/>
      <c r="DV712" s="30"/>
      <c r="DW712" s="30"/>
    </row>
    <row r="713" spans="1:127" ht="13">
      <c r="A713" s="39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  <c r="BP713" s="30"/>
      <c r="BQ713" s="30"/>
      <c r="BR713" s="30"/>
      <c r="BS713" s="30"/>
      <c r="BT713" s="30"/>
      <c r="BU713" s="30"/>
      <c r="BV713" s="30"/>
      <c r="BW713" s="30"/>
      <c r="BX713" s="30"/>
      <c r="BY713" s="30"/>
      <c r="BZ713" s="30"/>
      <c r="CA713" s="30"/>
      <c r="CB713" s="30"/>
      <c r="CC713" s="30"/>
      <c r="CD713" s="30"/>
      <c r="CE713" s="30"/>
      <c r="CF713" s="30"/>
      <c r="CG713" s="30"/>
      <c r="CH713" s="30"/>
      <c r="CI713" s="30"/>
      <c r="CJ713" s="30"/>
      <c r="CK713" s="30"/>
      <c r="CL713" s="30"/>
      <c r="CM713" s="30"/>
      <c r="CN713" s="30"/>
      <c r="CO713" s="30"/>
      <c r="CP713" s="30"/>
      <c r="CQ713" s="30"/>
      <c r="CR713" s="30"/>
      <c r="CS713" s="30"/>
      <c r="CT713" s="30"/>
      <c r="CU713" s="30"/>
      <c r="CV713" s="30"/>
      <c r="CW713" s="30"/>
      <c r="CX713" s="30"/>
      <c r="CY713" s="30"/>
      <c r="CZ713" s="30"/>
      <c r="DA713" s="30"/>
      <c r="DB713" s="30"/>
      <c r="DC713" s="30"/>
      <c r="DD713" s="30"/>
      <c r="DE713" s="30"/>
      <c r="DF713" s="30"/>
      <c r="DG713" s="30"/>
      <c r="DH713" s="30"/>
      <c r="DI713" s="30"/>
      <c r="DJ713" s="30"/>
      <c r="DK713" s="30"/>
      <c r="DL713" s="30"/>
      <c r="DM713" s="30"/>
      <c r="DN713" s="30"/>
      <c r="DO713" s="30"/>
      <c r="DP713" s="30"/>
      <c r="DQ713" s="30"/>
      <c r="DR713" s="30"/>
      <c r="DS713" s="30"/>
      <c r="DT713" s="30"/>
      <c r="DU713" s="30"/>
      <c r="DV713" s="30"/>
      <c r="DW713" s="30"/>
    </row>
    <row r="714" spans="1:127" ht="13">
      <c r="A714" s="39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  <c r="BQ714" s="30"/>
      <c r="BR714" s="30"/>
      <c r="BS714" s="30"/>
      <c r="BT714" s="30"/>
      <c r="BU714" s="30"/>
      <c r="BV714" s="30"/>
      <c r="BW714" s="30"/>
      <c r="BX714" s="30"/>
      <c r="BY714" s="30"/>
      <c r="BZ714" s="30"/>
      <c r="CA714" s="30"/>
      <c r="CB714" s="30"/>
      <c r="CC714" s="30"/>
      <c r="CD714" s="30"/>
      <c r="CE714" s="30"/>
      <c r="CF714" s="30"/>
      <c r="CG714" s="30"/>
      <c r="CH714" s="30"/>
      <c r="CI714" s="30"/>
      <c r="CJ714" s="30"/>
      <c r="CK714" s="30"/>
      <c r="CL714" s="30"/>
      <c r="CM714" s="30"/>
      <c r="CN714" s="30"/>
      <c r="CO714" s="30"/>
      <c r="CP714" s="30"/>
      <c r="CQ714" s="30"/>
      <c r="CR714" s="30"/>
      <c r="CS714" s="30"/>
      <c r="CT714" s="30"/>
      <c r="CU714" s="30"/>
      <c r="CV714" s="30"/>
      <c r="CW714" s="30"/>
      <c r="CX714" s="30"/>
      <c r="CY714" s="30"/>
      <c r="CZ714" s="30"/>
      <c r="DA714" s="30"/>
      <c r="DB714" s="30"/>
      <c r="DC714" s="30"/>
      <c r="DD714" s="30"/>
      <c r="DE714" s="30"/>
      <c r="DF714" s="30"/>
      <c r="DG714" s="30"/>
      <c r="DH714" s="30"/>
      <c r="DI714" s="30"/>
      <c r="DJ714" s="30"/>
      <c r="DK714" s="30"/>
      <c r="DL714" s="30"/>
      <c r="DM714" s="30"/>
      <c r="DN714" s="30"/>
      <c r="DO714" s="30"/>
      <c r="DP714" s="30"/>
      <c r="DQ714" s="30"/>
      <c r="DR714" s="30"/>
      <c r="DS714" s="30"/>
      <c r="DT714" s="30"/>
      <c r="DU714" s="30"/>
      <c r="DV714" s="30"/>
      <c r="DW714" s="30"/>
    </row>
    <row r="715" spans="1:127" ht="13">
      <c r="A715" s="39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  <c r="BP715" s="30"/>
      <c r="BQ715" s="30"/>
      <c r="BR715" s="30"/>
      <c r="BS715" s="30"/>
      <c r="BT715" s="30"/>
      <c r="BU715" s="30"/>
      <c r="BV715" s="30"/>
      <c r="BW715" s="30"/>
      <c r="BX715" s="30"/>
      <c r="BY715" s="30"/>
      <c r="BZ715" s="30"/>
      <c r="CA715" s="30"/>
      <c r="CB715" s="30"/>
      <c r="CC715" s="30"/>
      <c r="CD715" s="30"/>
      <c r="CE715" s="30"/>
      <c r="CF715" s="30"/>
      <c r="CG715" s="30"/>
      <c r="CH715" s="30"/>
      <c r="CI715" s="30"/>
      <c r="CJ715" s="30"/>
      <c r="CK715" s="30"/>
      <c r="CL715" s="30"/>
      <c r="CM715" s="30"/>
      <c r="CN715" s="30"/>
      <c r="CO715" s="30"/>
      <c r="CP715" s="30"/>
      <c r="CQ715" s="30"/>
      <c r="CR715" s="30"/>
      <c r="CS715" s="30"/>
      <c r="CT715" s="30"/>
      <c r="CU715" s="30"/>
      <c r="CV715" s="30"/>
      <c r="CW715" s="30"/>
      <c r="CX715" s="30"/>
      <c r="CY715" s="30"/>
      <c r="CZ715" s="30"/>
      <c r="DA715" s="30"/>
      <c r="DB715" s="30"/>
      <c r="DC715" s="30"/>
      <c r="DD715" s="30"/>
      <c r="DE715" s="30"/>
      <c r="DF715" s="30"/>
      <c r="DG715" s="30"/>
      <c r="DH715" s="30"/>
      <c r="DI715" s="30"/>
      <c r="DJ715" s="30"/>
      <c r="DK715" s="30"/>
      <c r="DL715" s="30"/>
      <c r="DM715" s="30"/>
      <c r="DN715" s="30"/>
      <c r="DO715" s="30"/>
      <c r="DP715" s="30"/>
      <c r="DQ715" s="30"/>
      <c r="DR715" s="30"/>
      <c r="DS715" s="30"/>
      <c r="DT715" s="30"/>
      <c r="DU715" s="30"/>
      <c r="DV715" s="30"/>
      <c r="DW715" s="30"/>
    </row>
    <row r="716" spans="1:127" ht="13">
      <c r="A716" s="39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  <c r="BP716" s="30"/>
      <c r="BQ716" s="30"/>
      <c r="BR716" s="30"/>
      <c r="BS716" s="30"/>
      <c r="BT716" s="30"/>
      <c r="BU716" s="30"/>
      <c r="BV716" s="30"/>
      <c r="BW716" s="30"/>
      <c r="BX716" s="30"/>
      <c r="BY716" s="30"/>
      <c r="BZ716" s="30"/>
      <c r="CA716" s="30"/>
      <c r="CB716" s="30"/>
      <c r="CC716" s="30"/>
      <c r="CD716" s="30"/>
      <c r="CE716" s="30"/>
      <c r="CF716" s="30"/>
      <c r="CG716" s="30"/>
      <c r="CH716" s="30"/>
      <c r="CI716" s="30"/>
      <c r="CJ716" s="30"/>
      <c r="CK716" s="30"/>
      <c r="CL716" s="30"/>
      <c r="CM716" s="30"/>
      <c r="CN716" s="30"/>
      <c r="CO716" s="30"/>
      <c r="CP716" s="30"/>
      <c r="CQ716" s="30"/>
      <c r="CR716" s="30"/>
      <c r="CS716" s="30"/>
      <c r="CT716" s="30"/>
      <c r="CU716" s="30"/>
      <c r="CV716" s="30"/>
      <c r="CW716" s="30"/>
      <c r="CX716" s="30"/>
      <c r="CY716" s="30"/>
      <c r="CZ716" s="30"/>
      <c r="DA716" s="30"/>
      <c r="DB716" s="30"/>
      <c r="DC716" s="30"/>
      <c r="DD716" s="30"/>
      <c r="DE716" s="30"/>
      <c r="DF716" s="30"/>
      <c r="DG716" s="30"/>
      <c r="DH716" s="30"/>
      <c r="DI716" s="30"/>
      <c r="DJ716" s="30"/>
      <c r="DK716" s="30"/>
      <c r="DL716" s="30"/>
      <c r="DM716" s="30"/>
      <c r="DN716" s="30"/>
      <c r="DO716" s="30"/>
      <c r="DP716" s="30"/>
      <c r="DQ716" s="30"/>
      <c r="DR716" s="30"/>
      <c r="DS716" s="30"/>
      <c r="DT716" s="30"/>
      <c r="DU716" s="30"/>
      <c r="DV716" s="30"/>
      <c r="DW716" s="30"/>
    </row>
    <row r="717" spans="1:127" ht="13">
      <c r="A717" s="39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  <c r="BS717" s="30"/>
      <c r="BT717" s="30"/>
      <c r="BU717" s="30"/>
      <c r="BV717" s="30"/>
      <c r="BW717" s="30"/>
      <c r="BX717" s="30"/>
      <c r="BY717" s="30"/>
      <c r="BZ717" s="30"/>
      <c r="CA717" s="30"/>
      <c r="CB717" s="30"/>
      <c r="CC717" s="30"/>
      <c r="CD717" s="30"/>
      <c r="CE717" s="30"/>
      <c r="CF717" s="30"/>
      <c r="CG717" s="30"/>
      <c r="CH717" s="30"/>
      <c r="CI717" s="30"/>
      <c r="CJ717" s="30"/>
      <c r="CK717" s="30"/>
      <c r="CL717" s="30"/>
      <c r="CM717" s="30"/>
      <c r="CN717" s="30"/>
      <c r="CO717" s="30"/>
      <c r="CP717" s="30"/>
      <c r="CQ717" s="30"/>
      <c r="CR717" s="30"/>
      <c r="CS717" s="30"/>
      <c r="CT717" s="30"/>
      <c r="CU717" s="30"/>
      <c r="CV717" s="30"/>
      <c r="CW717" s="30"/>
      <c r="CX717" s="30"/>
      <c r="CY717" s="30"/>
      <c r="CZ717" s="30"/>
      <c r="DA717" s="30"/>
      <c r="DB717" s="30"/>
      <c r="DC717" s="30"/>
      <c r="DD717" s="30"/>
      <c r="DE717" s="30"/>
      <c r="DF717" s="30"/>
      <c r="DG717" s="30"/>
      <c r="DH717" s="30"/>
      <c r="DI717" s="30"/>
      <c r="DJ717" s="30"/>
      <c r="DK717" s="30"/>
      <c r="DL717" s="30"/>
      <c r="DM717" s="30"/>
      <c r="DN717" s="30"/>
      <c r="DO717" s="30"/>
      <c r="DP717" s="30"/>
      <c r="DQ717" s="30"/>
      <c r="DR717" s="30"/>
      <c r="DS717" s="30"/>
      <c r="DT717" s="30"/>
      <c r="DU717" s="30"/>
      <c r="DV717" s="30"/>
      <c r="DW717" s="30"/>
    </row>
    <row r="718" spans="1:127" ht="13">
      <c r="A718" s="39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  <c r="BP718" s="30"/>
      <c r="BQ718" s="30"/>
      <c r="BR718" s="30"/>
      <c r="BS718" s="30"/>
      <c r="BT718" s="30"/>
      <c r="BU718" s="30"/>
      <c r="BV718" s="30"/>
      <c r="BW718" s="30"/>
      <c r="BX718" s="30"/>
      <c r="BY718" s="30"/>
      <c r="BZ718" s="30"/>
      <c r="CA718" s="30"/>
      <c r="CB718" s="30"/>
      <c r="CC718" s="30"/>
      <c r="CD718" s="30"/>
      <c r="CE718" s="30"/>
      <c r="CF718" s="30"/>
      <c r="CG718" s="30"/>
      <c r="CH718" s="30"/>
      <c r="CI718" s="30"/>
      <c r="CJ718" s="30"/>
      <c r="CK718" s="30"/>
      <c r="CL718" s="30"/>
      <c r="CM718" s="30"/>
      <c r="CN718" s="30"/>
      <c r="CO718" s="30"/>
      <c r="CP718" s="30"/>
      <c r="CQ718" s="30"/>
      <c r="CR718" s="30"/>
      <c r="CS718" s="30"/>
      <c r="CT718" s="30"/>
      <c r="CU718" s="30"/>
      <c r="CV718" s="30"/>
      <c r="CW718" s="30"/>
      <c r="CX718" s="30"/>
      <c r="CY718" s="30"/>
      <c r="CZ718" s="30"/>
      <c r="DA718" s="30"/>
      <c r="DB718" s="30"/>
      <c r="DC718" s="30"/>
      <c r="DD718" s="30"/>
      <c r="DE718" s="30"/>
      <c r="DF718" s="30"/>
      <c r="DG718" s="30"/>
      <c r="DH718" s="30"/>
      <c r="DI718" s="30"/>
      <c r="DJ718" s="30"/>
      <c r="DK718" s="30"/>
      <c r="DL718" s="30"/>
      <c r="DM718" s="30"/>
      <c r="DN718" s="30"/>
      <c r="DO718" s="30"/>
      <c r="DP718" s="30"/>
      <c r="DQ718" s="30"/>
      <c r="DR718" s="30"/>
      <c r="DS718" s="30"/>
      <c r="DT718" s="30"/>
      <c r="DU718" s="30"/>
      <c r="DV718" s="30"/>
      <c r="DW718" s="30"/>
    </row>
    <row r="719" spans="1:127" ht="13">
      <c r="A719" s="39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  <c r="BS719" s="30"/>
      <c r="BT719" s="30"/>
      <c r="BU719" s="30"/>
      <c r="BV719" s="30"/>
      <c r="BW719" s="30"/>
      <c r="BX719" s="30"/>
      <c r="BY719" s="30"/>
      <c r="BZ719" s="30"/>
      <c r="CA719" s="30"/>
      <c r="CB719" s="30"/>
      <c r="CC719" s="30"/>
      <c r="CD719" s="30"/>
      <c r="CE719" s="30"/>
      <c r="CF719" s="30"/>
      <c r="CG719" s="30"/>
      <c r="CH719" s="30"/>
      <c r="CI719" s="30"/>
      <c r="CJ719" s="30"/>
      <c r="CK719" s="30"/>
      <c r="CL719" s="30"/>
      <c r="CM719" s="30"/>
      <c r="CN719" s="30"/>
      <c r="CO719" s="30"/>
      <c r="CP719" s="30"/>
      <c r="CQ719" s="30"/>
      <c r="CR719" s="30"/>
      <c r="CS719" s="30"/>
      <c r="CT719" s="30"/>
      <c r="CU719" s="30"/>
      <c r="CV719" s="30"/>
      <c r="CW719" s="30"/>
      <c r="CX719" s="30"/>
      <c r="CY719" s="30"/>
      <c r="CZ719" s="30"/>
      <c r="DA719" s="30"/>
      <c r="DB719" s="30"/>
      <c r="DC719" s="30"/>
      <c r="DD719" s="30"/>
      <c r="DE719" s="30"/>
      <c r="DF719" s="30"/>
      <c r="DG719" s="30"/>
      <c r="DH719" s="30"/>
      <c r="DI719" s="30"/>
      <c r="DJ719" s="30"/>
      <c r="DK719" s="30"/>
      <c r="DL719" s="30"/>
      <c r="DM719" s="30"/>
      <c r="DN719" s="30"/>
      <c r="DO719" s="30"/>
      <c r="DP719" s="30"/>
      <c r="DQ719" s="30"/>
      <c r="DR719" s="30"/>
      <c r="DS719" s="30"/>
      <c r="DT719" s="30"/>
      <c r="DU719" s="30"/>
      <c r="DV719" s="30"/>
      <c r="DW719" s="30"/>
    </row>
    <row r="720" spans="1:127" ht="13">
      <c r="A720" s="39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  <c r="BQ720" s="30"/>
      <c r="BR720" s="30"/>
      <c r="BS720" s="30"/>
      <c r="BT720" s="30"/>
      <c r="BU720" s="30"/>
      <c r="BV720" s="30"/>
      <c r="BW720" s="30"/>
      <c r="BX720" s="30"/>
      <c r="BY720" s="30"/>
      <c r="BZ720" s="30"/>
      <c r="CA720" s="30"/>
      <c r="CB720" s="30"/>
      <c r="CC720" s="30"/>
      <c r="CD720" s="30"/>
      <c r="CE720" s="30"/>
      <c r="CF720" s="30"/>
      <c r="CG720" s="30"/>
      <c r="CH720" s="30"/>
      <c r="CI720" s="30"/>
      <c r="CJ720" s="30"/>
      <c r="CK720" s="30"/>
      <c r="CL720" s="30"/>
      <c r="CM720" s="30"/>
      <c r="CN720" s="30"/>
      <c r="CO720" s="30"/>
      <c r="CP720" s="30"/>
      <c r="CQ720" s="30"/>
      <c r="CR720" s="30"/>
      <c r="CS720" s="30"/>
      <c r="CT720" s="30"/>
      <c r="CU720" s="30"/>
      <c r="CV720" s="30"/>
      <c r="CW720" s="30"/>
      <c r="CX720" s="30"/>
      <c r="CY720" s="30"/>
      <c r="CZ720" s="30"/>
      <c r="DA720" s="30"/>
      <c r="DB720" s="30"/>
      <c r="DC720" s="30"/>
      <c r="DD720" s="30"/>
      <c r="DE720" s="30"/>
      <c r="DF720" s="30"/>
      <c r="DG720" s="30"/>
      <c r="DH720" s="30"/>
      <c r="DI720" s="30"/>
      <c r="DJ720" s="30"/>
      <c r="DK720" s="30"/>
      <c r="DL720" s="30"/>
      <c r="DM720" s="30"/>
      <c r="DN720" s="30"/>
      <c r="DO720" s="30"/>
      <c r="DP720" s="30"/>
      <c r="DQ720" s="30"/>
      <c r="DR720" s="30"/>
      <c r="DS720" s="30"/>
      <c r="DT720" s="30"/>
      <c r="DU720" s="30"/>
      <c r="DV720" s="30"/>
      <c r="DW720" s="30"/>
    </row>
    <row r="721" spans="1:127" ht="13">
      <c r="A721" s="39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  <c r="BP721" s="30"/>
      <c r="BQ721" s="30"/>
      <c r="BR721" s="30"/>
      <c r="BS721" s="30"/>
      <c r="BT721" s="30"/>
      <c r="BU721" s="30"/>
      <c r="BV721" s="30"/>
      <c r="BW721" s="30"/>
      <c r="BX721" s="30"/>
      <c r="BY721" s="30"/>
      <c r="BZ721" s="30"/>
      <c r="CA721" s="30"/>
      <c r="CB721" s="30"/>
      <c r="CC721" s="30"/>
      <c r="CD721" s="30"/>
      <c r="CE721" s="30"/>
      <c r="CF721" s="30"/>
      <c r="CG721" s="30"/>
      <c r="CH721" s="30"/>
      <c r="CI721" s="30"/>
      <c r="CJ721" s="30"/>
      <c r="CK721" s="30"/>
      <c r="CL721" s="30"/>
      <c r="CM721" s="30"/>
      <c r="CN721" s="30"/>
      <c r="CO721" s="30"/>
      <c r="CP721" s="30"/>
      <c r="CQ721" s="30"/>
      <c r="CR721" s="30"/>
      <c r="CS721" s="30"/>
      <c r="CT721" s="30"/>
      <c r="CU721" s="30"/>
      <c r="CV721" s="30"/>
      <c r="CW721" s="30"/>
      <c r="CX721" s="30"/>
      <c r="CY721" s="30"/>
      <c r="CZ721" s="30"/>
      <c r="DA721" s="30"/>
      <c r="DB721" s="30"/>
      <c r="DC721" s="30"/>
      <c r="DD721" s="30"/>
      <c r="DE721" s="30"/>
      <c r="DF721" s="30"/>
      <c r="DG721" s="30"/>
      <c r="DH721" s="30"/>
      <c r="DI721" s="30"/>
      <c r="DJ721" s="30"/>
      <c r="DK721" s="30"/>
      <c r="DL721" s="30"/>
      <c r="DM721" s="30"/>
      <c r="DN721" s="30"/>
      <c r="DO721" s="30"/>
      <c r="DP721" s="30"/>
      <c r="DQ721" s="30"/>
      <c r="DR721" s="30"/>
      <c r="DS721" s="30"/>
      <c r="DT721" s="30"/>
      <c r="DU721" s="30"/>
      <c r="DV721" s="30"/>
      <c r="DW721" s="30"/>
    </row>
    <row r="722" spans="1:127" ht="13">
      <c r="A722" s="39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  <c r="BP722" s="30"/>
      <c r="BQ722" s="30"/>
      <c r="BR722" s="30"/>
      <c r="BS722" s="30"/>
      <c r="BT722" s="30"/>
      <c r="BU722" s="30"/>
      <c r="BV722" s="30"/>
      <c r="BW722" s="30"/>
      <c r="BX722" s="30"/>
      <c r="BY722" s="30"/>
      <c r="BZ722" s="30"/>
      <c r="CA722" s="30"/>
      <c r="CB722" s="30"/>
      <c r="CC722" s="30"/>
      <c r="CD722" s="30"/>
      <c r="CE722" s="30"/>
      <c r="CF722" s="30"/>
      <c r="CG722" s="30"/>
      <c r="CH722" s="30"/>
      <c r="CI722" s="30"/>
      <c r="CJ722" s="30"/>
      <c r="CK722" s="30"/>
      <c r="CL722" s="30"/>
      <c r="CM722" s="30"/>
      <c r="CN722" s="30"/>
      <c r="CO722" s="30"/>
      <c r="CP722" s="30"/>
      <c r="CQ722" s="30"/>
      <c r="CR722" s="30"/>
      <c r="CS722" s="30"/>
      <c r="CT722" s="30"/>
      <c r="CU722" s="30"/>
      <c r="CV722" s="30"/>
      <c r="CW722" s="30"/>
      <c r="CX722" s="30"/>
      <c r="CY722" s="30"/>
      <c r="CZ722" s="30"/>
      <c r="DA722" s="30"/>
      <c r="DB722" s="30"/>
      <c r="DC722" s="30"/>
      <c r="DD722" s="30"/>
      <c r="DE722" s="30"/>
      <c r="DF722" s="30"/>
      <c r="DG722" s="30"/>
      <c r="DH722" s="30"/>
      <c r="DI722" s="30"/>
      <c r="DJ722" s="30"/>
      <c r="DK722" s="30"/>
      <c r="DL722" s="30"/>
      <c r="DM722" s="30"/>
      <c r="DN722" s="30"/>
      <c r="DO722" s="30"/>
      <c r="DP722" s="30"/>
      <c r="DQ722" s="30"/>
      <c r="DR722" s="30"/>
      <c r="DS722" s="30"/>
      <c r="DT722" s="30"/>
      <c r="DU722" s="30"/>
      <c r="DV722" s="30"/>
      <c r="DW722" s="30"/>
    </row>
    <row r="723" spans="1:127" ht="13">
      <c r="A723" s="39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  <c r="BP723" s="30"/>
      <c r="BQ723" s="30"/>
      <c r="BR723" s="30"/>
      <c r="BS723" s="30"/>
      <c r="BT723" s="30"/>
      <c r="BU723" s="30"/>
      <c r="BV723" s="30"/>
      <c r="BW723" s="30"/>
      <c r="BX723" s="30"/>
      <c r="BY723" s="30"/>
      <c r="BZ723" s="30"/>
      <c r="CA723" s="30"/>
      <c r="CB723" s="30"/>
      <c r="CC723" s="30"/>
      <c r="CD723" s="30"/>
      <c r="CE723" s="30"/>
      <c r="CF723" s="30"/>
      <c r="CG723" s="30"/>
      <c r="CH723" s="30"/>
      <c r="CI723" s="30"/>
      <c r="CJ723" s="30"/>
      <c r="CK723" s="30"/>
      <c r="CL723" s="30"/>
      <c r="CM723" s="30"/>
      <c r="CN723" s="30"/>
      <c r="CO723" s="30"/>
      <c r="CP723" s="30"/>
      <c r="CQ723" s="30"/>
      <c r="CR723" s="30"/>
      <c r="CS723" s="30"/>
      <c r="CT723" s="30"/>
      <c r="CU723" s="30"/>
      <c r="CV723" s="30"/>
      <c r="CW723" s="30"/>
      <c r="CX723" s="30"/>
      <c r="CY723" s="30"/>
      <c r="CZ723" s="30"/>
      <c r="DA723" s="30"/>
      <c r="DB723" s="30"/>
      <c r="DC723" s="30"/>
      <c r="DD723" s="30"/>
      <c r="DE723" s="30"/>
      <c r="DF723" s="30"/>
      <c r="DG723" s="30"/>
      <c r="DH723" s="30"/>
      <c r="DI723" s="30"/>
      <c r="DJ723" s="30"/>
      <c r="DK723" s="30"/>
      <c r="DL723" s="30"/>
      <c r="DM723" s="30"/>
      <c r="DN723" s="30"/>
      <c r="DO723" s="30"/>
      <c r="DP723" s="30"/>
      <c r="DQ723" s="30"/>
      <c r="DR723" s="30"/>
      <c r="DS723" s="30"/>
      <c r="DT723" s="30"/>
      <c r="DU723" s="30"/>
      <c r="DV723" s="30"/>
      <c r="DW723" s="30"/>
    </row>
    <row r="724" spans="1:127" ht="13">
      <c r="A724" s="39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  <c r="BQ724" s="30"/>
      <c r="BR724" s="30"/>
      <c r="BS724" s="30"/>
      <c r="BT724" s="30"/>
      <c r="BU724" s="30"/>
      <c r="BV724" s="30"/>
      <c r="BW724" s="30"/>
      <c r="BX724" s="30"/>
      <c r="BY724" s="30"/>
      <c r="BZ724" s="30"/>
      <c r="CA724" s="30"/>
      <c r="CB724" s="30"/>
      <c r="CC724" s="30"/>
      <c r="CD724" s="30"/>
      <c r="CE724" s="30"/>
      <c r="CF724" s="30"/>
      <c r="CG724" s="30"/>
      <c r="CH724" s="30"/>
      <c r="CI724" s="30"/>
      <c r="CJ724" s="30"/>
      <c r="CK724" s="30"/>
      <c r="CL724" s="30"/>
      <c r="CM724" s="30"/>
      <c r="CN724" s="30"/>
      <c r="CO724" s="30"/>
      <c r="CP724" s="30"/>
      <c r="CQ724" s="30"/>
      <c r="CR724" s="30"/>
      <c r="CS724" s="30"/>
      <c r="CT724" s="30"/>
      <c r="CU724" s="30"/>
      <c r="CV724" s="30"/>
      <c r="CW724" s="30"/>
      <c r="CX724" s="30"/>
      <c r="CY724" s="30"/>
      <c r="CZ724" s="30"/>
      <c r="DA724" s="30"/>
      <c r="DB724" s="30"/>
      <c r="DC724" s="30"/>
      <c r="DD724" s="30"/>
      <c r="DE724" s="30"/>
      <c r="DF724" s="30"/>
      <c r="DG724" s="30"/>
      <c r="DH724" s="30"/>
      <c r="DI724" s="30"/>
      <c r="DJ724" s="30"/>
      <c r="DK724" s="30"/>
      <c r="DL724" s="30"/>
      <c r="DM724" s="30"/>
      <c r="DN724" s="30"/>
      <c r="DO724" s="30"/>
      <c r="DP724" s="30"/>
      <c r="DQ724" s="30"/>
      <c r="DR724" s="30"/>
      <c r="DS724" s="30"/>
      <c r="DT724" s="30"/>
      <c r="DU724" s="30"/>
      <c r="DV724" s="30"/>
      <c r="DW724" s="30"/>
    </row>
    <row r="725" spans="1:127" ht="13">
      <c r="A725" s="39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  <c r="BQ725" s="30"/>
      <c r="BR725" s="30"/>
      <c r="BS725" s="30"/>
      <c r="BT725" s="30"/>
      <c r="BU725" s="30"/>
      <c r="BV725" s="30"/>
      <c r="BW725" s="30"/>
      <c r="BX725" s="30"/>
      <c r="BY725" s="30"/>
      <c r="BZ725" s="30"/>
      <c r="CA725" s="30"/>
      <c r="CB725" s="30"/>
      <c r="CC725" s="30"/>
      <c r="CD725" s="30"/>
      <c r="CE725" s="30"/>
      <c r="CF725" s="30"/>
      <c r="CG725" s="30"/>
      <c r="CH725" s="30"/>
      <c r="CI725" s="30"/>
      <c r="CJ725" s="30"/>
      <c r="CK725" s="30"/>
      <c r="CL725" s="30"/>
      <c r="CM725" s="30"/>
      <c r="CN725" s="30"/>
      <c r="CO725" s="30"/>
      <c r="CP725" s="30"/>
      <c r="CQ725" s="30"/>
      <c r="CR725" s="30"/>
      <c r="CS725" s="30"/>
      <c r="CT725" s="30"/>
      <c r="CU725" s="30"/>
      <c r="CV725" s="30"/>
      <c r="CW725" s="30"/>
      <c r="CX725" s="30"/>
      <c r="CY725" s="30"/>
      <c r="CZ725" s="30"/>
      <c r="DA725" s="30"/>
      <c r="DB725" s="30"/>
      <c r="DC725" s="30"/>
      <c r="DD725" s="30"/>
      <c r="DE725" s="30"/>
      <c r="DF725" s="30"/>
      <c r="DG725" s="30"/>
      <c r="DH725" s="30"/>
      <c r="DI725" s="30"/>
      <c r="DJ725" s="30"/>
      <c r="DK725" s="30"/>
      <c r="DL725" s="30"/>
      <c r="DM725" s="30"/>
      <c r="DN725" s="30"/>
      <c r="DO725" s="30"/>
      <c r="DP725" s="30"/>
      <c r="DQ725" s="30"/>
      <c r="DR725" s="30"/>
      <c r="DS725" s="30"/>
      <c r="DT725" s="30"/>
      <c r="DU725" s="30"/>
      <c r="DV725" s="30"/>
      <c r="DW725" s="30"/>
    </row>
    <row r="726" spans="1:127" ht="13">
      <c r="A726" s="39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  <c r="BP726" s="30"/>
      <c r="BQ726" s="30"/>
      <c r="BR726" s="30"/>
      <c r="BS726" s="30"/>
      <c r="BT726" s="30"/>
      <c r="BU726" s="30"/>
      <c r="BV726" s="30"/>
      <c r="BW726" s="30"/>
      <c r="BX726" s="30"/>
      <c r="BY726" s="30"/>
      <c r="BZ726" s="30"/>
      <c r="CA726" s="30"/>
      <c r="CB726" s="30"/>
      <c r="CC726" s="30"/>
      <c r="CD726" s="30"/>
      <c r="CE726" s="30"/>
      <c r="CF726" s="30"/>
      <c r="CG726" s="30"/>
      <c r="CH726" s="30"/>
      <c r="CI726" s="30"/>
      <c r="CJ726" s="30"/>
      <c r="CK726" s="30"/>
      <c r="CL726" s="30"/>
      <c r="CM726" s="30"/>
      <c r="CN726" s="30"/>
      <c r="CO726" s="30"/>
      <c r="CP726" s="30"/>
      <c r="CQ726" s="30"/>
      <c r="CR726" s="30"/>
      <c r="CS726" s="30"/>
      <c r="CT726" s="30"/>
      <c r="CU726" s="30"/>
      <c r="CV726" s="30"/>
      <c r="CW726" s="30"/>
      <c r="CX726" s="30"/>
      <c r="CY726" s="30"/>
      <c r="CZ726" s="30"/>
      <c r="DA726" s="30"/>
      <c r="DB726" s="30"/>
      <c r="DC726" s="30"/>
      <c r="DD726" s="30"/>
      <c r="DE726" s="30"/>
      <c r="DF726" s="30"/>
      <c r="DG726" s="30"/>
      <c r="DH726" s="30"/>
      <c r="DI726" s="30"/>
      <c r="DJ726" s="30"/>
      <c r="DK726" s="30"/>
      <c r="DL726" s="30"/>
      <c r="DM726" s="30"/>
      <c r="DN726" s="30"/>
      <c r="DO726" s="30"/>
      <c r="DP726" s="30"/>
      <c r="DQ726" s="30"/>
      <c r="DR726" s="30"/>
      <c r="DS726" s="30"/>
      <c r="DT726" s="30"/>
      <c r="DU726" s="30"/>
      <c r="DV726" s="30"/>
      <c r="DW726" s="30"/>
    </row>
    <row r="727" spans="1:127" ht="13">
      <c r="A727" s="39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  <c r="BP727" s="30"/>
      <c r="BQ727" s="30"/>
      <c r="BR727" s="30"/>
      <c r="BS727" s="30"/>
      <c r="BT727" s="30"/>
      <c r="BU727" s="30"/>
      <c r="BV727" s="30"/>
      <c r="BW727" s="30"/>
      <c r="BX727" s="30"/>
      <c r="BY727" s="30"/>
      <c r="BZ727" s="30"/>
      <c r="CA727" s="30"/>
      <c r="CB727" s="30"/>
      <c r="CC727" s="30"/>
      <c r="CD727" s="30"/>
      <c r="CE727" s="30"/>
      <c r="CF727" s="30"/>
      <c r="CG727" s="30"/>
      <c r="CH727" s="30"/>
      <c r="CI727" s="30"/>
      <c r="CJ727" s="30"/>
      <c r="CK727" s="30"/>
      <c r="CL727" s="30"/>
      <c r="CM727" s="30"/>
      <c r="CN727" s="30"/>
      <c r="CO727" s="30"/>
      <c r="CP727" s="30"/>
      <c r="CQ727" s="30"/>
      <c r="CR727" s="30"/>
      <c r="CS727" s="30"/>
      <c r="CT727" s="30"/>
      <c r="CU727" s="30"/>
      <c r="CV727" s="30"/>
      <c r="CW727" s="30"/>
      <c r="CX727" s="30"/>
      <c r="CY727" s="30"/>
      <c r="CZ727" s="30"/>
      <c r="DA727" s="30"/>
      <c r="DB727" s="30"/>
      <c r="DC727" s="30"/>
      <c r="DD727" s="30"/>
      <c r="DE727" s="30"/>
      <c r="DF727" s="30"/>
      <c r="DG727" s="30"/>
      <c r="DH727" s="30"/>
      <c r="DI727" s="30"/>
      <c r="DJ727" s="30"/>
      <c r="DK727" s="30"/>
      <c r="DL727" s="30"/>
      <c r="DM727" s="30"/>
      <c r="DN727" s="30"/>
      <c r="DO727" s="30"/>
      <c r="DP727" s="30"/>
      <c r="DQ727" s="30"/>
      <c r="DR727" s="30"/>
      <c r="DS727" s="30"/>
      <c r="DT727" s="30"/>
      <c r="DU727" s="30"/>
      <c r="DV727" s="30"/>
      <c r="DW727" s="30"/>
    </row>
    <row r="728" spans="1:127" ht="13">
      <c r="A728" s="39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30"/>
      <c r="BR728" s="30"/>
      <c r="BS728" s="30"/>
      <c r="BT728" s="30"/>
      <c r="BU728" s="30"/>
      <c r="BV728" s="30"/>
      <c r="BW728" s="30"/>
      <c r="BX728" s="30"/>
      <c r="BY728" s="30"/>
      <c r="BZ728" s="30"/>
      <c r="CA728" s="30"/>
      <c r="CB728" s="30"/>
      <c r="CC728" s="30"/>
      <c r="CD728" s="30"/>
      <c r="CE728" s="30"/>
      <c r="CF728" s="30"/>
      <c r="CG728" s="30"/>
      <c r="CH728" s="30"/>
      <c r="CI728" s="30"/>
      <c r="CJ728" s="30"/>
      <c r="CK728" s="30"/>
      <c r="CL728" s="30"/>
      <c r="CM728" s="30"/>
      <c r="CN728" s="30"/>
      <c r="CO728" s="30"/>
      <c r="CP728" s="30"/>
      <c r="CQ728" s="30"/>
      <c r="CR728" s="30"/>
      <c r="CS728" s="30"/>
      <c r="CT728" s="30"/>
      <c r="CU728" s="30"/>
      <c r="CV728" s="30"/>
      <c r="CW728" s="30"/>
      <c r="CX728" s="30"/>
      <c r="CY728" s="30"/>
      <c r="CZ728" s="30"/>
      <c r="DA728" s="30"/>
      <c r="DB728" s="30"/>
      <c r="DC728" s="30"/>
      <c r="DD728" s="30"/>
      <c r="DE728" s="30"/>
      <c r="DF728" s="30"/>
      <c r="DG728" s="30"/>
      <c r="DH728" s="30"/>
      <c r="DI728" s="30"/>
      <c r="DJ728" s="30"/>
      <c r="DK728" s="30"/>
      <c r="DL728" s="30"/>
      <c r="DM728" s="30"/>
      <c r="DN728" s="30"/>
      <c r="DO728" s="30"/>
      <c r="DP728" s="30"/>
      <c r="DQ728" s="30"/>
      <c r="DR728" s="30"/>
      <c r="DS728" s="30"/>
      <c r="DT728" s="30"/>
      <c r="DU728" s="30"/>
      <c r="DV728" s="30"/>
      <c r="DW728" s="30"/>
    </row>
    <row r="729" spans="1:127" ht="13">
      <c r="A729" s="39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  <c r="BQ729" s="30"/>
      <c r="BR729" s="30"/>
      <c r="BS729" s="30"/>
      <c r="BT729" s="30"/>
      <c r="BU729" s="30"/>
      <c r="BV729" s="30"/>
      <c r="BW729" s="30"/>
      <c r="BX729" s="30"/>
      <c r="BY729" s="30"/>
      <c r="BZ729" s="30"/>
      <c r="CA729" s="30"/>
      <c r="CB729" s="30"/>
      <c r="CC729" s="30"/>
      <c r="CD729" s="30"/>
      <c r="CE729" s="30"/>
      <c r="CF729" s="30"/>
      <c r="CG729" s="30"/>
      <c r="CH729" s="30"/>
      <c r="CI729" s="30"/>
      <c r="CJ729" s="30"/>
      <c r="CK729" s="30"/>
      <c r="CL729" s="30"/>
      <c r="CM729" s="30"/>
      <c r="CN729" s="30"/>
      <c r="CO729" s="30"/>
      <c r="CP729" s="30"/>
      <c r="CQ729" s="30"/>
      <c r="CR729" s="30"/>
      <c r="CS729" s="30"/>
      <c r="CT729" s="30"/>
      <c r="CU729" s="30"/>
      <c r="CV729" s="30"/>
      <c r="CW729" s="30"/>
      <c r="CX729" s="30"/>
      <c r="CY729" s="30"/>
      <c r="CZ729" s="30"/>
      <c r="DA729" s="30"/>
      <c r="DB729" s="30"/>
      <c r="DC729" s="30"/>
      <c r="DD729" s="30"/>
      <c r="DE729" s="30"/>
      <c r="DF729" s="30"/>
      <c r="DG729" s="30"/>
      <c r="DH729" s="30"/>
      <c r="DI729" s="30"/>
      <c r="DJ729" s="30"/>
      <c r="DK729" s="30"/>
      <c r="DL729" s="30"/>
      <c r="DM729" s="30"/>
      <c r="DN729" s="30"/>
      <c r="DO729" s="30"/>
      <c r="DP729" s="30"/>
      <c r="DQ729" s="30"/>
      <c r="DR729" s="30"/>
      <c r="DS729" s="30"/>
      <c r="DT729" s="30"/>
      <c r="DU729" s="30"/>
      <c r="DV729" s="30"/>
      <c r="DW729" s="30"/>
    </row>
    <row r="730" spans="1:127" ht="13">
      <c r="A730" s="39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  <c r="BP730" s="30"/>
      <c r="BQ730" s="30"/>
      <c r="BR730" s="30"/>
      <c r="BS730" s="30"/>
      <c r="BT730" s="30"/>
      <c r="BU730" s="30"/>
      <c r="BV730" s="30"/>
      <c r="BW730" s="30"/>
      <c r="BX730" s="30"/>
      <c r="BY730" s="30"/>
      <c r="BZ730" s="30"/>
      <c r="CA730" s="30"/>
      <c r="CB730" s="30"/>
      <c r="CC730" s="30"/>
      <c r="CD730" s="30"/>
      <c r="CE730" s="30"/>
      <c r="CF730" s="30"/>
      <c r="CG730" s="30"/>
      <c r="CH730" s="30"/>
      <c r="CI730" s="30"/>
      <c r="CJ730" s="30"/>
      <c r="CK730" s="30"/>
      <c r="CL730" s="30"/>
      <c r="CM730" s="30"/>
      <c r="CN730" s="30"/>
      <c r="CO730" s="30"/>
      <c r="CP730" s="30"/>
      <c r="CQ730" s="30"/>
      <c r="CR730" s="30"/>
      <c r="CS730" s="30"/>
      <c r="CT730" s="30"/>
      <c r="CU730" s="30"/>
      <c r="CV730" s="30"/>
      <c r="CW730" s="30"/>
      <c r="CX730" s="30"/>
      <c r="CY730" s="30"/>
      <c r="CZ730" s="30"/>
      <c r="DA730" s="30"/>
      <c r="DB730" s="30"/>
      <c r="DC730" s="30"/>
      <c r="DD730" s="30"/>
      <c r="DE730" s="30"/>
      <c r="DF730" s="30"/>
      <c r="DG730" s="30"/>
      <c r="DH730" s="30"/>
      <c r="DI730" s="30"/>
      <c r="DJ730" s="30"/>
      <c r="DK730" s="30"/>
      <c r="DL730" s="30"/>
      <c r="DM730" s="30"/>
      <c r="DN730" s="30"/>
      <c r="DO730" s="30"/>
      <c r="DP730" s="30"/>
      <c r="DQ730" s="30"/>
      <c r="DR730" s="30"/>
      <c r="DS730" s="30"/>
      <c r="DT730" s="30"/>
      <c r="DU730" s="30"/>
      <c r="DV730" s="30"/>
      <c r="DW730" s="30"/>
    </row>
    <row r="731" spans="1:127" ht="13">
      <c r="A731" s="39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/>
      <c r="BQ731" s="30"/>
      <c r="BR731" s="30"/>
      <c r="BS731" s="30"/>
      <c r="BT731" s="30"/>
      <c r="BU731" s="30"/>
      <c r="BV731" s="30"/>
      <c r="BW731" s="30"/>
      <c r="BX731" s="30"/>
      <c r="BY731" s="30"/>
      <c r="BZ731" s="30"/>
      <c r="CA731" s="30"/>
      <c r="CB731" s="30"/>
      <c r="CC731" s="30"/>
      <c r="CD731" s="30"/>
      <c r="CE731" s="30"/>
      <c r="CF731" s="30"/>
      <c r="CG731" s="30"/>
      <c r="CH731" s="30"/>
      <c r="CI731" s="30"/>
      <c r="CJ731" s="30"/>
      <c r="CK731" s="30"/>
      <c r="CL731" s="30"/>
      <c r="CM731" s="30"/>
      <c r="CN731" s="30"/>
      <c r="CO731" s="30"/>
      <c r="CP731" s="30"/>
      <c r="CQ731" s="30"/>
      <c r="CR731" s="30"/>
      <c r="CS731" s="30"/>
      <c r="CT731" s="30"/>
      <c r="CU731" s="30"/>
      <c r="CV731" s="30"/>
      <c r="CW731" s="30"/>
      <c r="CX731" s="30"/>
      <c r="CY731" s="30"/>
      <c r="CZ731" s="30"/>
      <c r="DA731" s="30"/>
      <c r="DB731" s="30"/>
      <c r="DC731" s="30"/>
      <c r="DD731" s="30"/>
      <c r="DE731" s="30"/>
      <c r="DF731" s="30"/>
      <c r="DG731" s="30"/>
      <c r="DH731" s="30"/>
      <c r="DI731" s="30"/>
      <c r="DJ731" s="30"/>
      <c r="DK731" s="30"/>
      <c r="DL731" s="30"/>
      <c r="DM731" s="30"/>
      <c r="DN731" s="30"/>
      <c r="DO731" s="30"/>
      <c r="DP731" s="30"/>
      <c r="DQ731" s="30"/>
      <c r="DR731" s="30"/>
      <c r="DS731" s="30"/>
      <c r="DT731" s="30"/>
      <c r="DU731" s="30"/>
      <c r="DV731" s="30"/>
      <c r="DW731" s="30"/>
    </row>
    <row r="732" spans="1:127" ht="13">
      <c r="A732" s="39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30"/>
      <c r="BR732" s="30"/>
      <c r="BS732" s="30"/>
      <c r="BT732" s="30"/>
      <c r="BU732" s="30"/>
      <c r="BV732" s="30"/>
      <c r="BW732" s="30"/>
      <c r="BX732" s="30"/>
      <c r="BY732" s="30"/>
      <c r="BZ732" s="30"/>
      <c r="CA732" s="30"/>
      <c r="CB732" s="30"/>
      <c r="CC732" s="30"/>
      <c r="CD732" s="30"/>
      <c r="CE732" s="30"/>
      <c r="CF732" s="30"/>
      <c r="CG732" s="30"/>
      <c r="CH732" s="30"/>
      <c r="CI732" s="30"/>
      <c r="CJ732" s="30"/>
      <c r="CK732" s="30"/>
      <c r="CL732" s="30"/>
      <c r="CM732" s="30"/>
      <c r="CN732" s="30"/>
      <c r="CO732" s="30"/>
      <c r="CP732" s="30"/>
      <c r="CQ732" s="30"/>
      <c r="CR732" s="30"/>
      <c r="CS732" s="30"/>
      <c r="CT732" s="30"/>
      <c r="CU732" s="30"/>
      <c r="CV732" s="30"/>
      <c r="CW732" s="30"/>
      <c r="CX732" s="30"/>
      <c r="CY732" s="30"/>
      <c r="CZ732" s="30"/>
      <c r="DA732" s="30"/>
      <c r="DB732" s="30"/>
      <c r="DC732" s="30"/>
      <c r="DD732" s="30"/>
      <c r="DE732" s="30"/>
      <c r="DF732" s="30"/>
      <c r="DG732" s="30"/>
      <c r="DH732" s="30"/>
      <c r="DI732" s="30"/>
      <c r="DJ732" s="30"/>
      <c r="DK732" s="30"/>
      <c r="DL732" s="30"/>
      <c r="DM732" s="30"/>
      <c r="DN732" s="30"/>
      <c r="DO732" s="30"/>
      <c r="DP732" s="30"/>
      <c r="DQ732" s="30"/>
      <c r="DR732" s="30"/>
      <c r="DS732" s="30"/>
      <c r="DT732" s="30"/>
      <c r="DU732" s="30"/>
      <c r="DV732" s="30"/>
      <c r="DW732" s="30"/>
    </row>
    <row r="733" spans="1:127" ht="13">
      <c r="A733" s="39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  <c r="BQ733" s="30"/>
      <c r="BR733" s="30"/>
      <c r="BS733" s="30"/>
      <c r="BT733" s="30"/>
      <c r="BU733" s="30"/>
      <c r="BV733" s="30"/>
      <c r="BW733" s="30"/>
      <c r="BX733" s="30"/>
      <c r="BY733" s="30"/>
      <c r="BZ733" s="30"/>
      <c r="CA733" s="30"/>
      <c r="CB733" s="30"/>
      <c r="CC733" s="30"/>
      <c r="CD733" s="30"/>
      <c r="CE733" s="30"/>
      <c r="CF733" s="30"/>
      <c r="CG733" s="30"/>
      <c r="CH733" s="30"/>
      <c r="CI733" s="30"/>
      <c r="CJ733" s="30"/>
      <c r="CK733" s="30"/>
      <c r="CL733" s="30"/>
      <c r="CM733" s="30"/>
      <c r="CN733" s="30"/>
      <c r="CO733" s="30"/>
      <c r="CP733" s="30"/>
      <c r="CQ733" s="30"/>
      <c r="CR733" s="30"/>
      <c r="CS733" s="30"/>
      <c r="CT733" s="30"/>
      <c r="CU733" s="30"/>
      <c r="CV733" s="30"/>
      <c r="CW733" s="30"/>
      <c r="CX733" s="30"/>
      <c r="CY733" s="30"/>
      <c r="CZ733" s="30"/>
      <c r="DA733" s="30"/>
      <c r="DB733" s="30"/>
      <c r="DC733" s="30"/>
      <c r="DD733" s="30"/>
      <c r="DE733" s="30"/>
      <c r="DF733" s="30"/>
      <c r="DG733" s="30"/>
      <c r="DH733" s="30"/>
      <c r="DI733" s="30"/>
      <c r="DJ733" s="30"/>
      <c r="DK733" s="30"/>
      <c r="DL733" s="30"/>
      <c r="DM733" s="30"/>
      <c r="DN733" s="30"/>
      <c r="DO733" s="30"/>
      <c r="DP733" s="30"/>
      <c r="DQ733" s="30"/>
      <c r="DR733" s="30"/>
      <c r="DS733" s="30"/>
      <c r="DT733" s="30"/>
      <c r="DU733" s="30"/>
      <c r="DV733" s="30"/>
      <c r="DW733" s="30"/>
    </row>
    <row r="734" spans="1:127" ht="13">
      <c r="A734" s="39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  <c r="BP734" s="30"/>
      <c r="BQ734" s="30"/>
      <c r="BR734" s="30"/>
      <c r="BS734" s="30"/>
      <c r="BT734" s="30"/>
      <c r="BU734" s="30"/>
      <c r="BV734" s="30"/>
      <c r="BW734" s="30"/>
      <c r="BX734" s="30"/>
      <c r="BY734" s="30"/>
      <c r="BZ734" s="30"/>
      <c r="CA734" s="30"/>
      <c r="CB734" s="30"/>
      <c r="CC734" s="30"/>
      <c r="CD734" s="30"/>
      <c r="CE734" s="30"/>
      <c r="CF734" s="30"/>
      <c r="CG734" s="30"/>
      <c r="CH734" s="30"/>
      <c r="CI734" s="30"/>
      <c r="CJ734" s="30"/>
      <c r="CK734" s="30"/>
      <c r="CL734" s="30"/>
      <c r="CM734" s="30"/>
      <c r="CN734" s="30"/>
      <c r="CO734" s="30"/>
      <c r="CP734" s="30"/>
      <c r="CQ734" s="30"/>
      <c r="CR734" s="30"/>
      <c r="CS734" s="30"/>
      <c r="CT734" s="30"/>
      <c r="CU734" s="30"/>
      <c r="CV734" s="30"/>
      <c r="CW734" s="30"/>
      <c r="CX734" s="30"/>
      <c r="CY734" s="30"/>
      <c r="CZ734" s="30"/>
      <c r="DA734" s="30"/>
      <c r="DB734" s="30"/>
      <c r="DC734" s="30"/>
      <c r="DD734" s="30"/>
      <c r="DE734" s="30"/>
      <c r="DF734" s="30"/>
      <c r="DG734" s="30"/>
      <c r="DH734" s="30"/>
      <c r="DI734" s="30"/>
      <c r="DJ734" s="30"/>
      <c r="DK734" s="30"/>
      <c r="DL734" s="30"/>
      <c r="DM734" s="30"/>
      <c r="DN734" s="30"/>
      <c r="DO734" s="30"/>
      <c r="DP734" s="30"/>
      <c r="DQ734" s="30"/>
      <c r="DR734" s="30"/>
      <c r="DS734" s="30"/>
      <c r="DT734" s="30"/>
      <c r="DU734" s="30"/>
      <c r="DV734" s="30"/>
      <c r="DW734" s="30"/>
    </row>
    <row r="735" spans="1:127" ht="13">
      <c r="A735" s="39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  <c r="BQ735" s="30"/>
      <c r="BR735" s="30"/>
      <c r="BS735" s="30"/>
      <c r="BT735" s="30"/>
      <c r="BU735" s="30"/>
      <c r="BV735" s="30"/>
      <c r="BW735" s="30"/>
      <c r="BX735" s="30"/>
      <c r="BY735" s="30"/>
      <c r="BZ735" s="30"/>
      <c r="CA735" s="30"/>
      <c r="CB735" s="30"/>
      <c r="CC735" s="30"/>
      <c r="CD735" s="30"/>
      <c r="CE735" s="30"/>
      <c r="CF735" s="30"/>
      <c r="CG735" s="30"/>
      <c r="CH735" s="30"/>
      <c r="CI735" s="30"/>
      <c r="CJ735" s="30"/>
      <c r="CK735" s="30"/>
      <c r="CL735" s="30"/>
      <c r="CM735" s="30"/>
      <c r="CN735" s="30"/>
      <c r="CO735" s="30"/>
      <c r="CP735" s="30"/>
      <c r="CQ735" s="30"/>
      <c r="CR735" s="30"/>
      <c r="CS735" s="30"/>
      <c r="CT735" s="30"/>
      <c r="CU735" s="30"/>
      <c r="CV735" s="30"/>
      <c r="CW735" s="30"/>
      <c r="CX735" s="30"/>
      <c r="CY735" s="30"/>
      <c r="CZ735" s="30"/>
      <c r="DA735" s="30"/>
      <c r="DB735" s="30"/>
      <c r="DC735" s="30"/>
      <c r="DD735" s="30"/>
      <c r="DE735" s="30"/>
      <c r="DF735" s="30"/>
      <c r="DG735" s="30"/>
      <c r="DH735" s="30"/>
      <c r="DI735" s="30"/>
      <c r="DJ735" s="30"/>
      <c r="DK735" s="30"/>
      <c r="DL735" s="30"/>
      <c r="DM735" s="30"/>
      <c r="DN735" s="30"/>
      <c r="DO735" s="30"/>
      <c r="DP735" s="30"/>
      <c r="DQ735" s="30"/>
      <c r="DR735" s="30"/>
      <c r="DS735" s="30"/>
      <c r="DT735" s="30"/>
      <c r="DU735" s="30"/>
      <c r="DV735" s="30"/>
      <c r="DW735" s="30"/>
    </row>
    <row r="736" spans="1:127" ht="13">
      <c r="A736" s="39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30"/>
      <c r="BS736" s="30"/>
      <c r="BT736" s="30"/>
      <c r="BU736" s="30"/>
      <c r="BV736" s="30"/>
      <c r="BW736" s="30"/>
      <c r="BX736" s="30"/>
      <c r="BY736" s="30"/>
      <c r="BZ736" s="30"/>
      <c r="CA736" s="30"/>
      <c r="CB736" s="30"/>
      <c r="CC736" s="30"/>
      <c r="CD736" s="30"/>
      <c r="CE736" s="30"/>
      <c r="CF736" s="30"/>
      <c r="CG736" s="30"/>
      <c r="CH736" s="30"/>
      <c r="CI736" s="30"/>
      <c r="CJ736" s="30"/>
      <c r="CK736" s="30"/>
      <c r="CL736" s="30"/>
      <c r="CM736" s="30"/>
      <c r="CN736" s="30"/>
      <c r="CO736" s="30"/>
      <c r="CP736" s="30"/>
      <c r="CQ736" s="30"/>
      <c r="CR736" s="30"/>
      <c r="CS736" s="30"/>
      <c r="CT736" s="30"/>
      <c r="CU736" s="30"/>
      <c r="CV736" s="30"/>
      <c r="CW736" s="30"/>
      <c r="CX736" s="30"/>
      <c r="CY736" s="30"/>
      <c r="CZ736" s="30"/>
      <c r="DA736" s="30"/>
      <c r="DB736" s="30"/>
      <c r="DC736" s="30"/>
      <c r="DD736" s="30"/>
      <c r="DE736" s="30"/>
      <c r="DF736" s="30"/>
      <c r="DG736" s="30"/>
      <c r="DH736" s="30"/>
      <c r="DI736" s="30"/>
      <c r="DJ736" s="30"/>
      <c r="DK736" s="30"/>
      <c r="DL736" s="30"/>
      <c r="DM736" s="30"/>
      <c r="DN736" s="30"/>
      <c r="DO736" s="30"/>
      <c r="DP736" s="30"/>
      <c r="DQ736" s="30"/>
      <c r="DR736" s="30"/>
      <c r="DS736" s="30"/>
      <c r="DT736" s="30"/>
      <c r="DU736" s="30"/>
      <c r="DV736" s="30"/>
      <c r="DW736" s="30"/>
    </row>
    <row r="737" spans="1:127" ht="13">
      <c r="A737" s="39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30"/>
      <c r="BS737" s="30"/>
      <c r="BT737" s="30"/>
      <c r="BU737" s="30"/>
      <c r="BV737" s="30"/>
      <c r="BW737" s="30"/>
      <c r="BX737" s="30"/>
      <c r="BY737" s="30"/>
      <c r="BZ737" s="30"/>
      <c r="CA737" s="30"/>
      <c r="CB737" s="30"/>
      <c r="CC737" s="30"/>
      <c r="CD737" s="30"/>
      <c r="CE737" s="30"/>
      <c r="CF737" s="30"/>
      <c r="CG737" s="30"/>
      <c r="CH737" s="30"/>
      <c r="CI737" s="30"/>
      <c r="CJ737" s="30"/>
      <c r="CK737" s="30"/>
      <c r="CL737" s="30"/>
      <c r="CM737" s="30"/>
      <c r="CN737" s="30"/>
      <c r="CO737" s="30"/>
      <c r="CP737" s="30"/>
      <c r="CQ737" s="30"/>
      <c r="CR737" s="30"/>
      <c r="CS737" s="30"/>
      <c r="CT737" s="30"/>
      <c r="CU737" s="30"/>
      <c r="CV737" s="30"/>
      <c r="CW737" s="30"/>
      <c r="CX737" s="30"/>
      <c r="CY737" s="30"/>
      <c r="CZ737" s="30"/>
      <c r="DA737" s="30"/>
      <c r="DB737" s="30"/>
      <c r="DC737" s="30"/>
      <c r="DD737" s="30"/>
      <c r="DE737" s="30"/>
      <c r="DF737" s="30"/>
      <c r="DG737" s="30"/>
      <c r="DH737" s="30"/>
      <c r="DI737" s="30"/>
      <c r="DJ737" s="30"/>
      <c r="DK737" s="30"/>
      <c r="DL737" s="30"/>
      <c r="DM737" s="30"/>
      <c r="DN737" s="30"/>
      <c r="DO737" s="30"/>
      <c r="DP737" s="30"/>
      <c r="DQ737" s="30"/>
      <c r="DR737" s="30"/>
      <c r="DS737" s="30"/>
      <c r="DT737" s="30"/>
      <c r="DU737" s="30"/>
      <c r="DV737" s="30"/>
      <c r="DW737" s="30"/>
    </row>
    <row r="738" spans="1:127" ht="13">
      <c r="A738" s="39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  <c r="BQ738" s="30"/>
      <c r="BR738" s="30"/>
      <c r="BS738" s="30"/>
      <c r="BT738" s="30"/>
      <c r="BU738" s="30"/>
      <c r="BV738" s="30"/>
      <c r="BW738" s="30"/>
      <c r="BX738" s="30"/>
      <c r="BY738" s="30"/>
      <c r="BZ738" s="30"/>
      <c r="CA738" s="30"/>
      <c r="CB738" s="30"/>
      <c r="CC738" s="30"/>
      <c r="CD738" s="30"/>
      <c r="CE738" s="30"/>
      <c r="CF738" s="30"/>
      <c r="CG738" s="30"/>
      <c r="CH738" s="30"/>
      <c r="CI738" s="30"/>
      <c r="CJ738" s="30"/>
      <c r="CK738" s="30"/>
      <c r="CL738" s="30"/>
      <c r="CM738" s="30"/>
      <c r="CN738" s="30"/>
      <c r="CO738" s="30"/>
      <c r="CP738" s="30"/>
      <c r="CQ738" s="30"/>
      <c r="CR738" s="30"/>
      <c r="CS738" s="30"/>
      <c r="CT738" s="30"/>
      <c r="CU738" s="30"/>
      <c r="CV738" s="30"/>
      <c r="CW738" s="30"/>
      <c r="CX738" s="30"/>
      <c r="CY738" s="30"/>
      <c r="CZ738" s="30"/>
      <c r="DA738" s="30"/>
      <c r="DB738" s="30"/>
      <c r="DC738" s="30"/>
      <c r="DD738" s="30"/>
      <c r="DE738" s="30"/>
      <c r="DF738" s="30"/>
      <c r="DG738" s="30"/>
      <c r="DH738" s="30"/>
      <c r="DI738" s="30"/>
      <c r="DJ738" s="30"/>
      <c r="DK738" s="30"/>
      <c r="DL738" s="30"/>
      <c r="DM738" s="30"/>
      <c r="DN738" s="30"/>
      <c r="DO738" s="30"/>
      <c r="DP738" s="30"/>
      <c r="DQ738" s="30"/>
      <c r="DR738" s="30"/>
      <c r="DS738" s="30"/>
      <c r="DT738" s="30"/>
      <c r="DU738" s="30"/>
      <c r="DV738" s="30"/>
      <c r="DW738" s="30"/>
    </row>
    <row r="739" spans="1:127" ht="13">
      <c r="A739" s="39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  <c r="BP739" s="30"/>
      <c r="BQ739" s="30"/>
      <c r="BR739" s="30"/>
      <c r="BS739" s="30"/>
      <c r="BT739" s="30"/>
      <c r="BU739" s="30"/>
      <c r="BV739" s="30"/>
      <c r="BW739" s="30"/>
      <c r="BX739" s="30"/>
      <c r="BY739" s="30"/>
      <c r="BZ739" s="30"/>
      <c r="CA739" s="30"/>
      <c r="CB739" s="30"/>
      <c r="CC739" s="30"/>
      <c r="CD739" s="30"/>
      <c r="CE739" s="30"/>
      <c r="CF739" s="30"/>
      <c r="CG739" s="30"/>
      <c r="CH739" s="30"/>
      <c r="CI739" s="30"/>
      <c r="CJ739" s="30"/>
      <c r="CK739" s="30"/>
      <c r="CL739" s="30"/>
      <c r="CM739" s="30"/>
      <c r="CN739" s="30"/>
      <c r="CO739" s="30"/>
      <c r="CP739" s="30"/>
      <c r="CQ739" s="30"/>
      <c r="CR739" s="30"/>
      <c r="CS739" s="30"/>
      <c r="CT739" s="30"/>
      <c r="CU739" s="30"/>
      <c r="CV739" s="30"/>
      <c r="CW739" s="30"/>
      <c r="CX739" s="30"/>
      <c r="CY739" s="30"/>
      <c r="CZ739" s="30"/>
      <c r="DA739" s="30"/>
      <c r="DB739" s="30"/>
      <c r="DC739" s="30"/>
      <c r="DD739" s="30"/>
      <c r="DE739" s="30"/>
      <c r="DF739" s="30"/>
      <c r="DG739" s="30"/>
      <c r="DH739" s="30"/>
      <c r="DI739" s="30"/>
      <c r="DJ739" s="30"/>
      <c r="DK739" s="30"/>
      <c r="DL739" s="30"/>
      <c r="DM739" s="30"/>
      <c r="DN739" s="30"/>
      <c r="DO739" s="30"/>
      <c r="DP739" s="30"/>
      <c r="DQ739" s="30"/>
      <c r="DR739" s="30"/>
      <c r="DS739" s="30"/>
      <c r="DT739" s="30"/>
      <c r="DU739" s="30"/>
      <c r="DV739" s="30"/>
      <c r="DW739" s="30"/>
    </row>
    <row r="740" spans="1:127" ht="13">
      <c r="A740" s="39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  <c r="BP740" s="30"/>
      <c r="BQ740" s="30"/>
      <c r="BR740" s="30"/>
      <c r="BS740" s="30"/>
      <c r="BT740" s="30"/>
      <c r="BU740" s="30"/>
      <c r="BV740" s="30"/>
      <c r="BW740" s="30"/>
      <c r="BX740" s="30"/>
      <c r="BY740" s="30"/>
      <c r="BZ740" s="30"/>
      <c r="CA740" s="30"/>
      <c r="CB740" s="30"/>
      <c r="CC740" s="30"/>
      <c r="CD740" s="30"/>
      <c r="CE740" s="30"/>
      <c r="CF740" s="30"/>
      <c r="CG740" s="30"/>
      <c r="CH740" s="30"/>
      <c r="CI740" s="30"/>
      <c r="CJ740" s="30"/>
      <c r="CK740" s="30"/>
      <c r="CL740" s="30"/>
      <c r="CM740" s="30"/>
      <c r="CN740" s="30"/>
      <c r="CO740" s="30"/>
      <c r="CP740" s="30"/>
      <c r="CQ740" s="30"/>
      <c r="CR740" s="30"/>
      <c r="CS740" s="30"/>
      <c r="CT740" s="30"/>
      <c r="CU740" s="30"/>
      <c r="CV740" s="30"/>
      <c r="CW740" s="30"/>
      <c r="CX740" s="30"/>
      <c r="CY740" s="30"/>
      <c r="CZ740" s="30"/>
      <c r="DA740" s="30"/>
      <c r="DB740" s="30"/>
      <c r="DC740" s="30"/>
      <c r="DD740" s="30"/>
      <c r="DE740" s="30"/>
      <c r="DF740" s="30"/>
      <c r="DG740" s="30"/>
      <c r="DH740" s="30"/>
      <c r="DI740" s="30"/>
      <c r="DJ740" s="30"/>
      <c r="DK740" s="30"/>
      <c r="DL740" s="30"/>
      <c r="DM740" s="30"/>
      <c r="DN740" s="30"/>
      <c r="DO740" s="30"/>
      <c r="DP740" s="30"/>
      <c r="DQ740" s="30"/>
      <c r="DR740" s="30"/>
      <c r="DS740" s="30"/>
      <c r="DT740" s="30"/>
      <c r="DU740" s="30"/>
      <c r="DV740" s="30"/>
      <c r="DW740" s="30"/>
    </row>
    <row r="741" spans="1:127" ht="13">
      <c r="A741" s="39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  <c r="BP741" s="30"/>
      <c r="BQ741" s="30"/>
      <c r="BR741" s="30"/>
      <c r="BS741" s="30"/>
      <c r="BT741" s="30"/>
      <c r="BU741" s="30"/>
      <c r="BV741" s="30"/>
      <c r="BW741" s="30"/>
      <c r="BX741" s="30"/>
      <c r="BY741" s="30"/>
      <c r="BZ741" s="30"/>
      <c r="CA741" s="30"/>
      <c r="CB741" s="30"/>
      <c r="CC741" s="30"/>
      <c r="CD741" s="30"/>
      <c r="CE741" s="30"/>
      <c r="CF741" s="30"/>
      <c r="CG741" s="30"/>
      <c r="CH741" s="30"/>
      <c r="CI741" s="30"/>
      <c r="CJ741" s="30"/>
      <c r="CK741" s="30"/>
      <c r="CL741" s="30"/>
      <c r="CM741" s="30"/>
      <c r="CN741" s="30"/>
      <c r="CO741" s="30"/>
      <c r="CP741" s="30"/>
      <c r="CQ741" s="30"/>
      <c r="CR741" s="30"/>
      <c r="CS741" s="30"/>
      <c r="CT741" s="30"/>
      <c r="CU741" s="30"/>
      <c r="CV741" s="30"/>
      <c r="CW741" s="30"/>
      <c r="CX741" s="30"/>
      <c r="CY741" s="30"/>
      <c r="CZ741" s="30"/>
      <c r="DA741" s="30"/>
      <c r="DB741" s="30"/>
      <c r="DC741" s="30"/>
      <c r="DD741" s="30"/>
      <c r="DE741" s="30"/>
      <c r="DF741" s="30"/>
      <c r="DG741" s="30"/>
      <c r="DH741" s="30"/>
      <c r="DI741" s="30"/>
      <c r="DJ741" s="30"/>
      <c r="DK741" s="30"/>
      <c r="DL741" s="30"/>
      <c r="DM741" s="30"/>
      <c r="DN741" s="30"/>
      <c r="DO741" s="30"/>
      <c r="DP741" s="30"/>
      <c r="DQ741" s="30"/>
      <c r="DR741" s="30"/>
      <c r="DS741" s="30"/>
      <c r="DT741" s="30"/>
      <c r="DU741" s="30"/>
      <c r="DV741" s="30"/>
      <c r="DW741" s="30"/>
    </row>
    <row r="742" spans="1:127" ht="13">
      <c r="A742" s="39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30"/>
      <c r="BS742" s="30"/>
      <c r="BT742" s="30"/>
      <c r="BU742" s="30"/>
      <c r="BV742" s="30"/>
      <c r="BW742" s="30"/>
      <c r="BX742" s="30"/>
      <c r="BY742" s="30"/>
      <c r="BZ742" s="30"/>
      <c r="CA742" s="30"/>
      <c r="CB742" s="30"/>
      <c r="CC742" s="30"/>
      <c r="CD742" s="30"/>
      <c r="CE742" s="30"/>
      <c r="CF742" s="30"/>
      <c r="CG742" s="30"/>
      <c r="CH742" s="30"/>
      <c r="CI742" s="30"/>
      <c r="CJ742" s="30"/>
      <c r="CK742" s="30"/>
      <c r="CL742" s="30"/>
      <c r="CM742" s="30"/>
      <c r="CN742" s="30"/>
      <c r="CO742" s="30"/>
      <c r="CP742" s="30"/>
      <c r="CQ742" s="30"/>
      <c r="CR742" s="30"/>
      <c r="CS742" s="30"/>
      <c r="CT742" s="30"/>
      <c r="CU742" s="30"/>
      <c r="CV742" s="30"/>
      <c r="CW742" s="30"/>
      <c r="CX742" s="30"/>
      <c r="CY742" s="30"/>
      <c r="CZ742" s="30"/>
      <c r="DA742" s="30"/>
      <c r="DB742" s="30"/>
      <c r="DC742" s="30"/>
      <c r="DD742" s="30"/>
      <c r="DE742" s="30"/>
      <c r="DF742" s="30"/>
      <c r="DG742" s="30"/>
      <c r="DH742" s="30"/>
      <c r="DI742" s="30"/>
      <c r="DJ742" s="30"/>
      <c r="DK742" s="30"/>
      <c r="DL742" s="30"/>
      <c r="DM742" s="30"/>
      <c r="DN742" s="30"/>
      <c r="DO742" s="30"/>
      <c r="DP742" s="30"/>
      <c r="DQ742" s="30"/>
      <c r="DR742" s="30"/>
      <c r="DS742" s="30"/>
      <c r="DT742" s="30"/>
      <c r="DU742" s="30"/>
      <c r="DV742" s="30"/>
      <c r="DW742" s="30"/>
    </row>
    <row r="743" spans="1:127" ht="13">
      <c r="A743" s="39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  <c r="BP743" s="30"/>
      <c r="BQ743" s="30"/>
      <c r="BR743" s="30"/>
      <c r="BS743" s="30"/>
      <c r="BT743" s="30"/>
      <c r="BU743" s="30"/>
      <c r="BV743" s="30"/>
      <c r="BW743" s="30"/>
      <c r="BX743" s="30"/>
      <c r="BY743" s="30"/>
      <c r="BZ743" s="30"/>
      <c r="CA743" s="30"/>
      <c r="CB743" s="30"/>
      <c r="CC743" s="30"/>
      <c r="CD743" s="30"/>
      <c r="CE743" s="30"/>
      <c r="CF743" s="30"/>
      <c r="CG743" s="30"/>
      <c r="CH743" s="30"/>
      <c r="CI743" s="30"/>
      <c r="CJ743" s="30"/>
      <c r="CK743" s="30"/>
      <c r="CL743" s="30"/>
      <c r="CM743" s="30"/>
      <c r="CN743" s="30"/>
      <c r="CO743" s="30"/>
      <c r="CP743" s="30"/>
      <c r="CQ743" s="30"/>
      <c r="CR743" s="30"/>
      <c r="CS743" s="30"/>
      <c r="CT743" s="30"/>
      <c r="CU743" s="30"/>
      <c r="CV743" s="30"/>
      <c r="CW743" s="30"/>
      <c r="CX743" s="30"/>
      <c r="CY743" s="30"/>
      <c r="CZ743" s="30"/>
      <c r="DA743" s="30"/>
      <c r="DB743" s="30"/>
      <c r="DC743" s="30"/>
      <c r="DD743" s="30"/>
      <c r="DE743" s="30"/>
      <c r="DF743" s="30"/>
      <c r="DG743" s="30"/>
      <c r="DH743" s="30"/>
      <c r="DI743" s="30"/>
      <c r="DJ743" s="30"/>
      <c r="DK743" s="30"/>
      <c r="DL743" s="30"/>
      <c r="DM743" s="30"/>
      <c r="DN743" s="30"/>
      <c r="DO743" s="30"/>
      <c r="DP743" s="30"/>
      <c r="DQ743" s="30"/>
      <c r="DR743" s="30"/>
      <c r="DS743" s="30"/>
      <c r="DT743" s="30"/>
      <c r="DU743" s="30"/>
      <c r="DV743" s="30"/>
      <c r="DW743" s="30"/>
    </row>
    <row r="744" spans="1:127" ht="13">
      <c r="A744" s="39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  <c r="BP744" s="30"/>
      <c r="BQ744" s="30"/>
      <c r="BR744" s="30"/>
      <c r="BS744" s="30"/>
      <c r="BT744" s="30"/>
      <c r="BU744" s="30"/>
      <c r="BV744" s="30"/>
      <c r="BW744" s="30"/>
      <c r="BX744" s="30"/>
      <c r="BY744" s="30"/>
      <c r="BZ744" s="30"/>
      <c r="CA744" s="30"/>
      <c r="CB744" s="30"/>
      <c r="CC744" s="30"/>
      <c r="CD744" s="30"/>
      <c r="CE744" s="30"/>
      <c r="CF744" s="30"/>
      <c r="CG744" s="30"/>
      <c r="CH744" s="30"/>
      <c r="CI744" s="30"/>
      <c r="CJ744" s="30"/>
      <c r="CK744" s="30"/>
      <c r="CL744" s="30"/>
      <c r="CM744" s="30"/>
      <c r="CN744" s="30"/>
      <c r="CO744" s="30"/>
      <c r="CP744" s="30"/>
      <c r="CQ744" s="30"/>
      <c r="CR744" s="30"/>
      <c r="CS744" s="30"/>
      <c r="CT744" s="30"/>
      <c r="CU744" s="30"/>
      <c r="CV744" s="30"/>
      <c r="CW744" s="30"/>
      <c r="CX744" s="30"/>
      <c r="CY744" s="30"/>
      <c r="CZ744" s="30"/>
      <c r="DA744" s="30"/>
      <c r="DB744" s="30"/>
      <c r="DC744" s="30"/>
      <c r="DD744" s="30"/>
      <c r="DE744" s="30"/>
      <c r="DF744" s="30"/>
      <c r="DG744" s="30"/>
      <c r="DH744" s="30"/>
      <c r="DI744" s="30"/>
      <c r="DJ744" s="30"/>
      <c r="DK744" s="30"/>
      <c r="DL744" s="30"/>
      <c r="DM744" s="30"/>
      <c r="DN744" s="30"/>
      <c r="DO744" s="30"/>
      <c r="DP744" s="30"/>
      <c r="DQ744" s="30"/>
      <c r="DR744" s="30"/>
      <c r="DS744" s="30"/>
      <c r="DT744" s="30"/>
      <c r="DU744" s="30"/>
      <c r="DV744" s="30"/>
      <c r="DW744" s="30"/>
    </row>
    <row r="745" spans="1:127" ht="13">
      <c r="A745" s="39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  <c r="BP745" s="30"/>
      <c r="BQ745" s="30"/>
      <c r="BR745" s="30"/>
      <c r="BS745" s="30"/>
      <c r="BT745" s="30"/>
      <c r="BU745" s="30"/>
      <c r="BV745" s="30"/>
      <c r="BW745" s="30"/>
      <c r="BX745" s="30"/>
      <c r="BY745" s="30"/>
      <c r="BZ745" s="30"/>
      <c r="CA745" s="30"/>
      <c r="CB745" s="30"/>
      <c r="CC745" s="30"/>
      <c r="CD745" s="30"/>
      <c r="CE745" s="30"/>
      <c r="CF745" s="30"/>
      <c r="CG745" s="30"/>
      <c r="CH745" s="30"/>
      <c r="CI745" s="30"/>
      <c r="CJ745" s="30"/>
      <c r="CK745" s="30"/>
      <c r="CL745" s="30"/>
      <c r="CM745" s="30"/>
      <c r="CN745" s="30"/>
      <c r="CO745" s="30"/>
      <c r="CP745" s="30"/>
      <c r="CQ745" s="30"/>
      <c r="CR745" s="30"/>
      <c r="CS745" s="30"/>
      <c r="CT745" s="30"/>
      <c r="CU745" s="30"/>
      <c r="CV745" s="30"/>
      <c r="CW745" s="30"/>
      <c r="CX745" s="30"/>
      <c r="CY745" s="30"/>
      <c r="CZ745" s="30"/>
      <c r="DA745" s="30"/>
      <c r="DB745" s="30"/>
      <c r="DC745" s="30"/>
      <c r="DD745" s="30"/>
      <c r="DE745" s="30"/>
      <c r="DF745" s="30"/>
      <c r="DG745" s="30"/>
      <c r="DH745" s="30"/>
      <c r="DI745" s="30"/>
      <c r="DJ745" s="30"/>
      <c r="DK745" s="30"/>
      <c r="DL745" s="30"/>
      <c r="DM745" s="30"/>
      <c r="DN745" s="30"/>
      <c r="DO745" s="30"/>
      <c r="DP745" s="30"/>
      <c r="DQ745" s="30"/>
      <c r="DR745" s="30"/>
      <c r="DS745" s="30"/>
      <c r="DT745" s="30"/>
      <c r="DU745" s="30"/>
      <c r="DV745" s="30"/>
      <c r="DW745" s="30"/>
    </row>
    <row r="746" spans="1:127" ht="13">
      <c r="A746" s="39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  <c r="BQ746" s="30"/>
      <c r="BR746" s="30"/>
      <c r="BS746" s="30"/>
      <c r="BT746" s="30"/>
      <c r="BU746" s="30"/>
      <c r="BV746" s="30"/>
      <c r="BW746" s="30"/>
      <c r="BX746" s="30"/>
      <c r="BY746" s="30"/>
      <c r="BZ746" s="30"/>
      <c r="CA746" s="30"/>
      <c r="CB746" s="30"/>
      <c r="CC746" s="30"/>
      <c r="CD746" s="30"/>
      <c r="CE746" s="30"/>
      <c r="CF746" s="30"/>
      <c r="CG746" s="30"/>
      <c r="CH746" s="30"/>
      <c r="CI746" s="30"/>
      <c r="CJ746" s="30"/>
      <c r="CK746" s="30"/>
      <c r="CL746" s="30"/>
      <c r="CM746" s="30"/>
      <c r="CN746" s="30"/>
      <c r="CO746" s="30"/>
      <c r="CP746" s="30"/>
      <c r="CQ746" s="30"/>
      <c r="CR746" s="30"/>
      <c r="CS746" s="30"/>
      <c r="CT746" s="30"/>
      <c r="CU746" s="30"/>
      <c r="CV746" s="30"/>
      <c r="CW746" s="30"/>
      <c r="CX746" s="30"/>
      <c r="CY746" s="30"/>
      <c r="CZ746" s="30"/>
      <c r="DA746" s="30"/>
      <c r="DB746" s="30"/>
      <c r="DC746" s="30"/>
      <c r="DD746" s="30"/>
      <c r="DE746" s="30"/>
      <c r="DF746" s="30"/>
      <c r="DG746" s="30"/>
      <c r="DH746" s="30"/>
      <c r="DI746" s="30"/>
      <c r="DJ746" s="30"/>
      <c r="DK746" s="30"/>
      <c r="DL746" s="30"/>
      <c r="DM746" s="30"/>
      <c r="DN746" s="30"/>
      <c r="DO746" s="30"/>
      <c r="DP746" s="30"/>
      <c r="DQ746" s="30"/>
      <c r="DR746" s="30"/>
      <c r="DS746" s="30"/>
      <c r="DT746" s="30"/>
      <c r="DU746" s="30"/>
      <c r="DV746" s="30"/>
      <c r="DW746" s="30"/>
    </row>
    <row r="747" spans="1:127" ht="13">
      <c r="A747" s="39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30"/>
      <c r="BS747" s="30"/>
      <c r="BT747" s="30"/>
      <c r="BU747" s="30"/>
      <c r="BV747" s="30"/>
      <c r="BW747" s="30"/>
      <c r="BX747" s="30"/>
      <c r="BY747" s="30"/>
      <c r="BZ747" s="30"/>
      <c r="CA747" s="30"/>
      <c r="CB747" s="30"/>
      <c r="CC747" s="30"/>
      <c r="CD747" s="30"/>
      <c r="CE747" s="30"/>
      <c r="CF747" s="30"/>
      <c r="CG747" s="30"/>
      <c r="CH747" s="30"/>
      <c r="CI747" s="30"/>
      <c r="CJ747" s="30"/>
      <c r="CK747" s="30"/>
      <c r="CL747" s="30"/>
      <c r="CM747" s="30"/>
      <c r="CN747" s="30"/>
      <c r="CO747" s="30"/>
      <c r="CP747" s="30"/>
      <c r="CQ747" s="30"/>
      <c r="CR747" s="30"/>
      <c r="CS747" s="30"/>
      <c r="CT747" s="30"/>
      <c r="CU747" s="30"/>
      <c r="CV747" s="30"/>
      <c r="CW747" s="30"/>
      <c r="CX747" s="30"/>
      <c r="CY747" s="30"/>
      <c r="CZ747" s="30"/>
      <c r="DA747" s="30"/>
      <c r="DB747" s="30"/>
      <c r="DC747" s="30"/>
      <c r="DD747" s="30"/>
      <c r="DE747" s="30"/>
      <c r="DF747" s="30"/>
      <c r="DG747" s="30"/>
      <c r="DH747" s="30"/>
      <c r="DI747" s="30"/>
      <c r="DJ747" s="30"/>
      <c r="DK747" s="30"/>
      <c r="DL747" s="30"/>
      <c r="DM747" s="30"/>
      <c r="DN747" s="30"/>
      <c r="DO747" s="30"/>
      <c r="DP747" s="30"/>
      <c r="DQ747" s="30"/>
      <c r="DR747" s="30"/>
      <c r="DS747" s="30"/>
      <c r="DT747" s="30"/>
      <c r="DU747" s="30"/>
      <c r="DV747" s="30"/>
      <c r="DW747" s="30"/>
    </row>
    <row r="748" spans="1:127" ht="13">
      <c r="A748" s="39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  <c r="BQ748" s="30"/>
      <c r="BR748" s="30"/>
      <c r="BS748" s="30"/>
      <c r="BT748" s="30"/>
      <c r="BU748" s="30"/>
      <c r="BV748" s="30"/>
      <c r="BW748" s="30"/>
      <c r="BX748" s="30"/>
      <c r="BY748" s="30"/>
      <c r="BZ748" s="30"/>
      <c r="CA748" s="30"/>
      <c r="CB748" s="30"/>
      <c r="CC748" s="30"/>
      <c r="CD748" s="30"/>
      <c r="CE748" s="30"/>
      <c r="CF748" s="30"/>
      <c r="CG748" s="30"/>
      <c r="CH748" s="30"/>
      <c r="CI748" s="30"/>
      <c r="CJ748" s="30"/>
      <c r="CK748" s="30"/>
      <c r="CL748" s="30"/>
      <c r="CM748" s="30"/>
      <c r="CN748" s="30"/>
      <c r="CO748" s="30"/>
      <c r="CP748" s="30"/>
      <c r="CQ748" s="30"/>
      <c r="CR748" s="30"/>
      <c r="CS748" s="30"/>
      <c r="CT748" s="30"/>
      <c r="CU748" s="30"/>
      <c r="CV748" s="30"/>
      <c r="CW748" s="30"/>
      <c r="CX748" s="30"/>
      <c r="CY748" s="30"/>
      <c r="CZ748" s="30"/>
      <c r="DA748" s="30"/>
      <c r="DB748" s="30"/>
      <c r="DC748" s="30"/>
      <c r="DD748" s="30"/>
      <c r="DE748" s="30"/>
      <c r="DF748" s="30"/>
      <c r="DG748" s="30"/>
      <c r="DH748" s="30"/>
      <c r="DI748" s="30"/>
      <c r="DJ748" s="30"/>
      <c r="DK748" s="30"/>
      <c r="DL748" s="30"/>
      <c r="DM748" s="30"/>
      <c r="DN748" s="30"/>
      <c r="DO748" s="30"/>
      <c r="DP748" s="30"/>
      <c r="DQ748" s="30"/>
      <c r="DR748" s="30"/>
      <c r="DS748" s="30"/>
      <c r="DT748" s="30"/>
      <c r="DU748" s="30"/>
      <c r="DV748" s="30"/>
      <c r="DW748" s="30"/>
    </row>
    <row r="749" spans="1:127" ht="13">
      <c r="A749" s="39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  <c r="BQ749" s="30"/>
      <c r="BR749" s="30"/>
      <c r="BS749" s="30"/>
      <c r="BT749" s="30"/>
      <c r="BU749" s="30"/>
      <c r="BV749" s="30"/>
      <c r="BW749" s="30"/>
      <c r="BX749" s="30"/>
      <c r="BY749" s="30"/>
      <c r="BZ749" s="30"/>
      <c r="CA749" s="30"/>
      <c r="CB749" s="30"/>
      <c r="CC749" s="30"/>
      <c r="CD749" s="30"/>
      <c r="CE749" s="30"/>
      <c r="CF749" s="30"/>
      <c r="CG749" s="30"/>
      <c r="CH749" s="30"/>
      <c r="CI749" s="30"/>
      <c r="CJ749" s="30"/>
      <c r="CK749" s="30"/>
      <c r="CL749" s="30"/>
      <c r="CM749" s="30"/>
      <c r="CN749" s="30"/>
      <c r="CO749" s="30"/>
      <c r="CP749" s="30"/>
      <c r="CQ749" s="30"/>
      <c r="CR749" s="30"/>
      <c r="CS749" s="30"/>
      <c r="CT749" s="30"/>
      <c r="CU749" s="30"/>
      <c r="CV749" s="30"/>
      <c r="CW749" s="30"/>
      <c r="CX749" s="30"/>
      <c r="CY749" s="30"/>
      <c r="CZ749" s="30"/>
      <c r="DA749" s="30"/>
      <c r="DB749" s="30"/>
      <c r="DC749" s="30"/>
      <c r="DD749" s="30"/>
      <c r="DE749" s="30"/>
      <c r="DF749" s="30"/>
      <c r="DG749" s="30"/>
      <c r="DH749" s="30"/>
      <c r="DI749" s="30"/>
      <c r="DJ749" s="30"/>
      <c r="DK749" s="30"/>
      <c r="DL749" s="30"/>
      <c r="DM749" s="30"/>
      <c r="DN749" s="30"/>
      <c r="DO749" s="30"/>
      <c r="DP749" s="30"/>
      <c r="DQ749" s="30"/>
      <c r="DR749" s="30"/>
      <c r="DS749" s="30"/>
      <c r="DT749" s="30"/>
      <c r="DU749" s="30"/>
      <c r="DV749" s="30"/>
      <c r="DW749" s="30"/>
    </row>
    <row r="750" spans="1:127" ht="13">
      <c r="A750" s="39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  <c r="BP750" s="30"/>
      <c r="BQ750" s="30"/>
      <c r="BR750" s="30"/>
      <c r="BS750" s="30"/>
      <c r="BT750" s="30"/>
      <c r="BU750" s="30"/>
      <c r="BV750" s="30"/>
      <c r="BW750" s="30"/>
      <c r="BX750" s="30"/>
      <c r="BY750" s="30"/>
      <c r="BZ750" s="30"/>
      <c r="CA750" s="30"/>
      <c r="CB750" s="30"/>
      <c r="CC750" s="30"/>
      <c r="CD750" s="30"/>
      <c r="CE750" s="30"/>
      <c r="CF750" s="30"/>
      <c r="CG750" s="30"/>
      <c r="CH750" s="30"/>
      <c r="CI750" s="30"/>
      <c r="CJ750" s="30"/>
      <c r="CK750" s="30"/>
      <c r="CL750" s="30"/>
      <c r="CM750" s="30"/>
      <c r="CN750" s="30"/>
      <c r="CO750" s="30"/>
      <c r="CP750" s="30"/>
      <c r="CQ750" s="30"/>
      <c r="CR750" s="30"/>
      <c r="CS750" s="30"/>
      <c r="CT750" s="30"/>
      <c r="CU750" s="30"/>
      <c r="CV750" s="30"/>
      <c r="CW750" s="30"/>
      <c r="CX750" s="30"/>
      <c r="CY750" s="30"/>
      <c r="CZ750" s="30"/>
      <c r="DA750" s="30"/>
      <c r="DB750" s="30"/>
      <c r="DC750" s="30"/>
      <c r="DD750" s="30"/>
      <c r="DE750" s="30"/>
      <c r="DF750" s="30"/>
      <c r="DG750" s="30"/>
      <c r="DH750" s="30"/>
      <c r="DI750" s="30"/>
      <c r="DJ750" s="30"/>
      <c r="DK750" s="30"/>
      <c r="DL750" s="30"/>
      <c r="DM750" s="30"/>
      <c r="DN750" s="30"/>
      <c r="DO750" s="30"/>
      <c r="DP750" s="30"/>
      <c r="DQ750" s="30"/>
      <c r="DR750" s="30"/>
      <c r="DS750" s="30"/>
      <c r="DT750" s="30"/>
      <c r="DU750" s="30"/>
      <c r="DV750" s="30"/>
      <c r="DW750" s="30"/>
    </row>
    <row r="751" spans="1:127" ht="13">
      <c r="A751" s="39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  <c r="BP751" s="30"/>
      <c r="BQ751" s="30"/>
      <c r="BR751" s="30"/>
      <c r="BS751" s="30"/>
      <c r="BT751" s="30"/>
      <c r="BU751" s="30"/>
      <c r="BV751" s="30"/>
      <c r="BW751" s="30"/>
      <c r="BX751" s="30"/>
      <c r="BY751" s="30"/>
      <c r="BZ751" s="30"/>
      <c r="CA751" s="30"/>
      <c r="CB751" s="30"/>
      <c r="CC751" s="30"/>
      <c r="CD751" s="30"/>
      <c r="CE751" s="30"/>
      <c r="CF751" s="30"/>
      <c r="CG751" s="30"/>
      <c r="CH751" s="30"/>
      <c r="CI751" s="30"/>
      <c r="CJ751" s="30"/>
      <c r="CK751" s="30"/>
      <c r="CL751" s="30"/>
      <c r="CM751" s="30"/>
      <c r="CN751" s="30"/>
      <c r="CO751" s="30"/>
      <c r="CP751" s="30"/>
      <c r="CQ751" s="30"/>
      <c r="CR751" s="30"/>
      <c r="CS751" s="30"/>
      <c r="CT751" s="30"/>
      <c r="CU751" s="30"/>
      <c r="CV751" s="30"/>
      <c r="CW751" s="30"/>
      <c r="CX751" s="30"/>
      <c r="CY751" s="30"/>
      <c r="CZ751" s="30"/>
      <c r="DA751" s="30"/>
      <c r="DB751" s="30"/>
      <c r="DC751" s="30"/>
      <c r="DD751" s="30"/>
      <c r="DE751" s="30"/>
      <c r="DF751" s="30"/>
      <c r="DG751" s="30"/>
      <c r="DH751" s="30"/>
      <c r="DI751" s="30"/>
      <c r="DJ751" s="30"/>
      <c r="DK751" s="30"/>
      <c r="DL751" s="30"/>
      <c r="DM751" s="30"/>
      <c r="DN751" s="30"/>
      <c r="DO751" s="30"/>
      <c r="DP751" s="30"/>
      <c r="DQ751" s="30"/>
      <c r="DR751" s="30"/>
      <c r="DS751" s="30"/>
      <c r="DT751" s="30"/>
      <c r="DU751" s="30"/>
      <c r="DV751" s="30"/>
      <c r="DW751" s="30"/>
    </row>
    <row r="752" spans="1:127" ht="13">
      <c r="A752" s="39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30"/>
      <c r="BS752" s="30"/>
      <c r="BT752" s="30"/>
      <c r="BU752" s="30"/>
      <c r="BV752" s="30"/>
      <c r="BW752" s="30"/>
      <c r="BX752" s="30"/>
      <c r="BY752" s="30"/>
      <c r="BZ752" s="30"/>
      <c r="CA752" s="30"/>
      <c r="CB752" s="30"/>
      <c r="CC752" s="30"/>
      <c r="CD752" s="30"/>
      <c r="CE752" s="30"/>
      <c r="CF752" s="30"/>
      <c r="CG752" s="30"/>
      <c r="CH752" s="30"/>
      <c r="CI752" s="30"/>
      <c r="CJ752" s="30"/>
      <c r="CK752" s="30"/>
      <c r="CL752" s="30"/>
      <c r="CM752" s="30"/>
      <c r="CN752" s="30"/>
      <c r="CO752" s="30"/>
      <c r="CP752" s="30"/>
      <c r="CQ752" s="30"/>
      <c r="CR752" s="30"/>
      <c r="CS752" s="30"/>
      <c r="CT752" s="30"/>
      <c r="CU752" s="30"/>
      <c r="CV752" s="30"/>
      <c r="CW752" s="30"/>
      <c r="CX752" s="30"/>
      <c r="CY752" s="30"/>
      <c r="CZ752" s="30"/>
      <c r="DA752" s="30"/>
      <c r="DB752" s="30"/>
      <c r="DC752" s="30"/>
      <c r="DD752" s="30"/>
      <c r="DE752" s="30"/>
      <c r="DF752" s="30"/>
      <c r="DG752" s="30"/>
      <c r="DH752" s="30"/>
      <c r="DI752" s="30"/>
      <c r="DJ752" s="30"/>
      <c r="DK752" s="30"/>
      <c r="DL752" s="30"/>
      <c r="DM752" s="30"/>
      <c r="DN752" s="30"/>
      <c r="DO752" s="30"/>
      <c r="DP752" s="30"/>
      <c r="DQ752" s="30"/>
      <c r="DR752" s="30"/>
      <c r="DS752" s="30"/>
      <c r="DT752" s="30"/>
      <c r="DU752" s="30"/>
      <c r="DV752" s="30"/>
      <c r="DW752" s="30"/>
    </row>
    <row r="753" spans="1:127" ht="13">
      <c r="A753" s="39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  <c r="BQ753" s="30"/>
      <c r="BR753" s="30"/>
      <c r="BS753" s="30"/>
      <c r="BT753" s="30"/>
      <c r="BU753" s="30"/>
      <c r="BV753" s="30"/>
      <c r="BW753" s="30"/>
      <c r="BX753" s="30"/>
      <c r="BY753" s="30"/>
      <c r="BZ753" s="30"/>
      <c r="CA753" s="30"/>
      <c r="CB753" s="30"/>
      <c r="CC753" s="30"/>
      <c r="CD753" s="30"/>
      <c r="CE753" s="30"/>
      <c r="CF753" s="30"/>
      <c r="CG753" s="30"/>
      <c r="CH753" s="30"/>
      <c r="CI753" s="30"/>
      <c r="CJ753" s="30"/>
      <c r="CK753" s="30"/>
      <c r="CL753" s="30"/>
      <c r="CM753" s="30"/>
      <c r="CN753" s="30"/>
      <c r="CO753" s="30"/>
      <c r="CP753" s="30"/>
      <c r="CQ753" s="30"/>
      <c r="CR753" s="30"/>
      <c r="CS753" s="30"/>
      <c r="CT753" s="30"/>
      <c r="CU753" s="30"/>
      <c r="CV753" s="30"/>
      <c r="CW753" s="30"/>
      <c r="CX753" s="30"/>
      <c r="CY753" s="30"/>
      <c r="CZ753" s="30"/>
      <c r="DA753" s="30"/>
      <c r="DB753" s="30"/>
      <c r="DC753" s="30"/>
      <c r="DD753" s="30"/>
      <c r="DE753" s="30"/>
      <c r="DF753" s="30"/>
      <c r="DG753" s="30"/>
      <c r="DH753" s="30"/>
      <c r="DI753" s="30"/>
      <c r="DJ753" s="30"/>
      <c r="DK753" s="30"/>
      <c r="DL753" s="30"/>
      <c r="DM753" s="30"/>
      <c r="DN753" s="30"/>
      <c r="DO753" s="30"/>
      <c r="DP753" s="30"/>
      <c r="DQ753" s="30"/>
      <c r="DR753" s="30"/>
      <c r="DS753" s="30"/>
      <c r="DT753" s="30"/>
      <c r="DU753" s="30"/>
      <c r="DV753" s="30"/>
      <c r="DW753" s="30"/>
    </row>
    <row r="754" spans="1:127" ht="13">
      <c r="A754" s="39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  <c r="BS754" s="30"/>
      <c r="BT754" s="30"/>
      <c r="BU754" s="30"/>
      <c r="BV754" s="30"/>
      <c r="BW754" s="30"/>
      <c r="BX754" s="30"/>
      <c r="BY754" s="30"/>
      <c r="BZ754" s="30"/>
      <c r="CA754" s="30"/>
      <c r="CB754" s="30"/>
      <c r="CC754" s="30"/>
      <c r="CD754" s="30"/>
      <c r="CE754" s="30"/>
      <c r="CF754" s="30"/>
      <c r="CG754" s="30"/>
      <c r="CH754" s="30"/>
      <c r="CI754" s="30"/>
      <c r="CJ754" s="30"/>
      <c r="CK754" s="30"/>
      <c r="CL754" s="30"/>
      <c r="CM754" s="30"/>
      <c r="CN754" s="30"/>
      <c r="CO754" s="30"/>
      <c r="CP754" s="30"/>
      <c r="CQ754" s="30"/>
      <c r="CR754" s="30"/>
      <c r="CS754" s="30"/>
      <c r="CT754" s="30"/>
      <c r="CU754" s="30"/>
      <c r="CV754" s="30"/>
      <c r="CW754" s="30"/>
      <c r="CX754" s="30"/>
      <c r="CY754" s="30"/>
      <c r="CZ754" s="30"/>
      <c r="DA754" s="30"/>
      <c r="DB754" s="30"/>
      <c r="DC754" s="30"/>
      <c r="DD754" s="30"/>
      <c r="DE754" s="30"/>
      <c r="DF754" s="30"/>
      <c r="DG754" s="30"/>
      <c r="DH754" s="30"/>
      <c r="DI754" s="30"/>
      <c r="DJ754" s="30"/>
      <c r="DK754" s="30"/>
      <c r="DL754" s="30"/>
      <c r="DM754" s="30"/>
      <c r="DN754" s="30"/>
      <c r="DO754" s="30"/>
      <c r="DP754" s="30"/>
      <c r="DQ754" s="30"/>
      <c r="DR754" s="30"/>
      <c r="DS754" s="30"/>
      <c r="DT754" s="30"/>
      <c r="DU754" s="30"/>
      <c r="DV754" s="30"/>
      <c r="DW754" s="30"/>
    </row>
    <row r="755" spans="1:127" ht="13">
      <c r="A755" s="39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  <c r="BQ755" s="30"/>
      <c r="BR755" s="30"/>
      <c r="BS755" s="30"/>
      <c r="BT755" s="30"/>
      <c r="BU755" s="30"/>
      <c r="BV755" s="30"/>
      <c r="BW755" s="30"/>
      <c r="BX755" s="30"/>
      <c r="BY755" s="30"/>
      <c r="BZ755" s="30"/>
      <c r="CA755" s="30"/>
      <c r="CB755" s="30"/>
      <c r="CC755" s="30"/>
      <c r="CD755" s="30"/>
      <c r="CE755" s="30"/>
      <c r="CF755" s="30"/>
      <c r="CG755" s="30"/>
      <c r="CH755" s="30"/>
      <c r="CI755" s="30"/>
      <c r="CJ755" s="30"/>
      <c r="CK755" s="30"/>
      <c r="CL755" s="30"/>
      <c r="CM755" s="30"/>
      <c r="CN755" s="30"/>
      <c r="CO755" s="30"/>
      <c r="CP755" s="30"/>
      <c r="CQ755" s="30"/>
      <c r="CR755" s="30"/>
      <c r="CS755" s="30"/>
      <c r="CT755" s="30"/>
      <c r="CU755" s="30"/>
      <c r="CV755" s="30"/>
      <c r="CW755" s="30"/>
      <c r="CX755" s="30"/>
      <c r="CY755" s="30"/>
      <c r="CZ755" s="30"/>
      <c r="DA755" s="30"/>
      <c r="DB755" s="30"/>
      <c r="DC755" s="30"/>
      <c r="DD755" s="30"/>
      <c r="DE755" s="30"/>
      <c r="DF755" s="30"/>
      <c r="DG755" s="30"/>
      <c r="DH755" s="30"/>
      <c r="DI755" s="30"/>
      <c r="DJ755" s="30"/>
      <c r="DK755" s="30"/>
      <c r="DL755" s="30"/>
      <c r="DM755" s="30"/>
      <c r="DN755" s="30"/>
      <c r="DO755" s="30"/>
      <c r="DP755" s="30"/>
      <c r="DQ755" s="30"/>
      <c r="DR755" s="30"/>
      <c r="DS755" s="30"/>
      <c r="DT755" s="30"/>
      <c r="DU755" s="30"/>
      <c r="DV755" s="30"/>
      <c r="DW755" s="30"/>
    </row>
    <row r="756" spans="1:127" ht="13">
      <c r="A756" s="39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  <c r="BQ756" s="30"/>
      <c r="BR756" s="30"/>
      <c r="BS756" s="30"/>
      <c r="BT756" s="30"/>
      <c r="BU756" s="30"/>
      <c r="BV756" s="30"/>
      <c r="BW756" s="30"/>
      <c r="BX756" s="30"/>
      <c r="BY756" s="30"/>
      <c r="BZ756" s="30"/>
      <c r="CA756" s="30"/>
      <c r="CB756" s="30"/>
      <c r="CC756" s="30"/>
      <c r="CD756" s="30"/>
      <c r="CE756" s="30"/>
      <c r="CF756" s="30"/>
      <c r="CG756" s="30"/>
      <c r="CH756" s="30"/>
      <c r="CI756" s="30"/>
      <c r="CJ756" s="30"/>
      <c r="CK756" s="30"/>
      <c r="CL756" s="30"/>
      <c r="CM756" s="30"/>
      <c r="CN756" s="30"/>
      <c r="CO756" s="30"/>
      <c r="CP756" s="30"/>
      <c r="CQ756" s="30"/>
      <c r="CR756" s="30"/>
      <c r="CS756" s="30"/>
      <c r="CT756" s="30"/>
      <c r="CU756" s="30"/>
      <c r="CV756" s="30"/>
      <c r="CW756" s="30"/>
      <c r="CX756" s="30"/>
      <c r="CY756" s="30"/>
      <c r="CZ756" s="30"/>
      <c r="DA756" s="30"/>
      <c r="DB756" s="30"/>
      <c r="DC756" s="30"/>
      <c r="DD756" s="30"/>
      <c r="DE756" s="30"/>
      <c r="DF756" s="30"/>
      <c r="DG756" s="30"/>
      <c r="DH756" s="30"/>
      <c r="DI756" s="30"/>
      <c r="DJ756" s="30"/>
      <c r="DK756" s="30"/>
      <c r="DL756" s="30"/>
      <c r="DM756" s="30"/>
      <c r="DN756" s="30"/>
      <c r="DO756" s="30"/>
      <c r="DP756" s="30"/>
      <c r="DQ756" s="30"/>
      <c r="DR756" s="30"/>
      <c r="DS756" s="30"/>
      <c r="DT756" s="30"/>
      <c r="DU756" s="30"/>
      <c r="DV756" s="30"/>
      <c r="DW756" s="30"/>
    </row>
    <row r="757" spans="1:127" ht="13">
      <c r="A757" s="39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  <c r="BP757" s="30"/>
      <c r="BQ757" s="30"/>
      <c r="BR757" s="30"/>
      <c r="BS757" s="30"/>
      <c r="BT757" s="30"/>
      <c r="BU757" s="30"/>
      <c r="BV757" s="30"/>
      <c r="BW757" s="30"/>
      <c r="BX757" s="30"/>
      <c r="BY757" s="30"/>
      <c r="BZ757" s="30"/>
      <c r="CA757" s="30"/>
      <c r="CB757" s="30"/>
      <c r="CC757" s="30"/>
      <c r="CD757" s="30"/>
      <c r="CE757" s="30"/>
      <c r="CF757" s="30"/>
      <c r="CG757" s="30"/>
      <c r="CH757" s="30"/>
      <c r="CI757" s="30"/>
      <c r="CJ757" s="30"/>
      <c r="CK757" s="30"/>
      <c r="CL757" s="30"/>
      <c r="CM757" s="30"/>
      <c r="CN757" s="30"/>
      <c r="CO757" s="30"/>
      <c r="CP757" s="30"/>
      <c r="CQ757" s="30"/>
      <c r="CR757" s="30"/>
      <c r="CS757" s="30"/>
      <c r="CT757" s="30"/>
      <c r="CU757" s="30"/>
      <c r="CV757" s="30"/>
      <c r="CW757" s="30"/>
      <c r="CX757" s="30"/>
      <c r="CY757" s="30"/>
      <c r="CZ757" s="30"/>
      <c r="DA757" s="30"/>
      <c r="DB757" s="30"/>
      <c r="DC757" s="30"/>
      <c r="DD757" s="30"/>
      <c r="DE757" s="30"/>
      <c r="DF757" s="30"/>
      <c r="DG757" s="30"/>
      <c r="DH757" s="30"/>
      <c r="DI757" s="30"/>
      <c r="DJ757" s="30"/>
      <c r="DK757" s="30"/>
      <c r="DL757" s="30"/>
      <c r="DM757" s="30"/>
      <c r="DN757" s="30"/>
      <c r="DO757" s="30"/>
      <c r="DP757" s="30"/>
      <c r="DQ757" s="30"/>
      <c r="DR757" s="30"/>
      <c r="DS757" s="30"/>
      <c r="DT757" s="30"/>
      <c r="DU757" s="30"/>
      <c r="DV757" s="30"/>
      <c r="DW757" s="30"/>
    </row>
    <row r="758" spans="1:127" ht="13">
      <c r="A758" s="39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  <c r="BQ758" s="30"/>
      <c r="BR758" s="30"/>
      <c r="BS758" s="30"/>
      <c r="BT758" s="30"/>
      <c r="BU758" s="30"/>
      <c r="BV758" s="30"/>
      <c r="BW758" s="30"/>
      <c r="BX758" s="30"/>
      <c r="BY758" s="30"/>
      <c r="BZ758" s="30"/>
      <c r="CA758" s="30"/>
      <c r="CB758" s="30"/>
      <c r="CC758" s="30"/>
      <c r="CD758" s="30"/>
      <c r="CE758" s="30"/>
      <c r="CF758" s="30"/>
      <c r="CG758" s="30"/>
      <c r="CH758" s="30"/>
      <c r="CI758" s="30"/>
      <c r="CJ758" s="30"/>
      <c r="CK758" s="30"/>
      <c r="CL758" s="30"/>
      <c r="CM758" s="30"/>
      <c r="CN758" s="30"/>
      <c r="CO758" s="30"/>
      <c r="CP758" s="30"/>
      <c r="CQ758" s="30"/>
      <c r="CR758" s="30"/>
      <c r="CS758" s="30"/>
      <c r="CT758" s="30"/>
      <c r="CU758" s="30"/>
      <c r="CV758" s="30"/>
      <c r="CW758" s="30"/>
      <c r="CX758" s="30"/>
      <c r="CY758" s="30"/>
      <c r="CZ758" s="30"/>
      <c r="DA758" s="30"/>
      <c r="DB758" s="30"/>
      <c r="DC758" s="30"/>
      <c r="DD758" s="30"/>
      <c r="DE758" s="30"/>
      <c r="DF758" s="30"/>
      <c r="DG758" s="30"/>
      <c r="DH758" s="30"/>
      <c r="DI758" s="30"/>
      <c r="DJ758" s="30"/>
      <c r="DK758" s="30"/>
      <c r="DL758" s="30"/>
      <c r="DM758" s="30"/>
      <c r="DN758" s="30"/>
      <c r="DO758" s="30"/>
      <c r="DP758" s="30"/>
      <c r="DQ758" s="30"/>
      <c r="DR758" s="30"/>
      <c r="DS758" s="30"/>
      <c r="DT758" s="30"/>
      <c r="DU758" s="30"/>
      <c r="DV758" s="30"/>
      <c r="DW758" s="30"/>
    </row>
    <row r="759" spans="1:127" ht="13">
      <c r="A759" s="39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  <c r="BS759" s="30"/>
      <c r="BT759" s="30"/>
      <c r="BU759" s="30"/>
      <c r="BV759" s="30"/>
      <c r="BW759" s="30"/>
      <c r="BX759" s="30"/>
      <c r="BY759" s="30"/>
      <c r="BZ759" s="30"/>
      <c r="CA759" s="30"/>
      <c r="CB759" s="30"/>
      <c r="CC759" s="30"/>
      <c r="CD759" s="30"/>
      <c r="CE759" s="30"/>
      <c r="CF759" s="30"/>
      <c r="CG759" s="30"/>
      <c r="CH759" s="30"/>
      <c r="CI759" s="30"/>
      <c r="CJ759" s="30"/>
      <c r="CK759" s="30"/>
      <c r="CL759" s="30"/>
      <c r="CM759" s="30"/>
      <c r="CN759" s="30"/>
      <c r="CO759" s="30"/>
      <c r="CP759" s="30"/>
      <c r="CQ759" s="30"/>
      <c r="CR759" s="30"/>
      <c r="CS759" s="30"/>
      <c r="CT759" s="30"/>
      <c r="CU759" s="30"/>
      <c r="CV759" s="30"/>
      <c r="CW759" s="30"/>
      <c r="CX759" s="30"/>
      <c r="CY759" s="30"/>
      <c r="CZ759" s="30"/>
      <c r="DA759" s="30"/>
      <c r="DB759" s="30"/>
      <c r="DC759" s="30"/>
      <c r="DD759" s="30"/>
      <c r="DE759" s="30"/>
      <c r="DF759" s="30"/>
      <c r="DG759" s="30"/>
      <c r="DH759" s="30"/>
      <c r="DI759" s="30"/>
      <c r="DJ759" s="30"/>
      <c r="DK759" s="30"/>
      <c r="DL759" s="30"/>
      <c r="DM759" s="30"/>
      <c r="DN759" s="30"/>
      <c r="DO759" s="30"/>
      <c r="DP759" s="30"/>
      <c r="DQ759" s="30"/>
      <c r="DR759" s="30"/>
      <c r="DS759" s="30"/>
      <c r="DT759" s="30"/>
      <c r="DU759" s="30"/>
      <c r="DV759" s="30"/>
      <c r="DW759" s="30"/>
    </row>
    <row r="760" spans="1:127" ht="13">
      <c r="A760" s="39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  <c r="BQ760" s="30"/>
      <c r="BR760" s="30"/>
      <c r="BS760" s="30"/>
      <c r="BT760" s="30"/>
      <c r="BU760" s="30"/>
      <c r="BV760" s="30"/>
      <c r="BW760" s="30"/>
      <c r="BX760" s="30"/>
      <c r="BY760" s="30"/>
      <c r="BZ760" s="30"/>
      <c r="CA760" s="30"/>
      <c r="CB760" s="30"/>
      <c r="CC760" s="30"/>
      <c r="CD760" s="30"/>
      <c r="CE760" s="30"/>
      <c r="CF760" s="30"/>
      <c r="CG760" s="30"/>
      <c r="CH760" s="30"/>
      <c r="CI760" s="30"/>
      <c r="CJ760" s="30"/>
      <c r="CK760" s="30"/>
      <c r="CL760" s="30"/>
      <c r="CM760" s="30"/>
      <c r="CN760" s="30"/>
      <c r="CO760" s="30"/>
      <c r="CP760" s="30"/>
      <c r="CQ760" s="30"/>
      <c r="CR760" s="30"/>
      <c r="CS760" s="30"/>
      <c r="CT760" s="30"/>
      <c r="CU760" s="30"/>
      <c r="CV760" s="30"/>
      <c r="CW760" s="30"/>
      <c r="CX760" s="30"/>
      <c r="CY760" s="30"/>
      <c r="CZ760" s="30"/>
      <c r="DA760" s="30"/>
      <c r="DB760" s="30"/>
      <c r="DC760" s="30"/>
      <c r="DD760" s="30"/>
      <c r="DE760" s="30"/>
      <c r="DF760" s="30"/>
      <c r="DG760" s="30"/>
      <c r="DH760" s="30"/>
      <c r="DI760" s="30"/>
      <c r="DJ760" s="30"/>
      <c r="DK760" s="30"/>
      <c r="DL760" s="30"/>
      <c r="DM760" s="30"/>
      <c r="DN760" s="30"/>
      <c r="DO760" s="30"/>
      <c r="DP760" s="30"/>
      <c r="DQ760" s="30"/>
      <c r="DR760" s="30"/>
      <c r="DS760" s="30"/>
      <c r="DT760" s="30"/>
      <c r="DU760" s="30"/>
      <c r="DV760" s="30"/>
      <c r="DW760" s="30"/>
    </row>
    <row r="761" spans="1:127" ht="13">
      <c r="A761" s="39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  <c r="BQ761" s="30"/>
      <c r="BR761" s="30"/>
      <c r="BS761" s="30"/>
      <c r="BT761" s="30"/>
      <c r="BU761" s="30"/>
      <c r="BV761" s="30"/>
      <c r="BW761" s="30"/>
      <c r="BX761" s="30"/>
      <c r="BY761" s="30"/>
      <c r="BZ761" s="30"/>
      <c r="CA761" s="30"/>
      <c r="CB761" s="30"/>
      <c r="CC761" s="30"/>
      <c r="CD761" s="30"/>
      <c r="CE761" s="30"/>
      <c r="CF761" s="30"/>
      <c r="CG761" s="30"/>
      <c r="CH761" s="30"/>
      <c r="CI761" s="30"/>
      <c r="CJ761" s="30"/>
      <c r="CK761" s="30"/>
      <c r="CL761" s="30"/>
      <c r="CM761" s="30"/>
      <c r="CN761" s="30"/>
      <c r="CO761" s="30"/>
      <c r="CP761" s="30"/>
      <c r="CQ761" s="30"/>
      <c r="CR761" s="30"/>
      <c r="CS761" s="30"/>
      <c r="CT761" s="30"/>
      <c r="CU761" s="30"/>
      <c r="CV761" s="30"/>
      <c r="CW761" s="30"/>
      <c r="CX761" s="30"/>
      <c r="CY761" s="30"/>
      <c r="CZ761" s="30"/>
      <c r="DA761" s="30"/>
      <c r="DB761" s="30"/>
      <c r="DC761" s="30"/>
      <c r="DD761" s="30"/>
      <c r="DE761" s="30"/>
      <c r="DF761" s="30"/>
      <c r="DG761" s="30"/>
      <c r="DH761" s="30"/>
      <c r="DI761" s="30"/>
      <c r="DJ761" s="30"/>
      <c r="DK761" s="30"/>
      <c r="DL761" s="30"/>
      <c r="DM761" s="30"/>
      <c r="DN761" s="30"/>
      <c r="DO761" s="30"/>
      <c r="DP761" s="30"/>
      <c r="DQ761" s="30"/>
      <c r="DR761" s="30"/>
      <c r="DS761" s="30"/>
      <c r="DT761" s="30"/>
      <c r="DU761" s="30"/>
      <c r="DV761" s="30"/>
      <c r="DW761" s="30"/>
    </row>
    <row r="762" spans="1:127" ht="13">
      <c r="A762" s="39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  <c r="BQ762" s="30"/>
      <c r="BR762" s="30"/>
      <c r="BS762" s="30"/>
      <c r="BT762" s="30"/>
      <c r="BU762" s="30"/>
      <c r="BV762" s="30"/>
      <c r="BW762" s="30"/>
      <c r="BX762" s="30"/>
      <c r="BY762" s="30"/>
      <c r="BZ762" s="30"/>
      <c r="CA762" s="30"/>
      <c r="CB762" s="30"/>
      <c r="CC762" s="30"/>
      <c r="CD762" s="30"/>
      <c r="CE762" s="30"/>
      <c r="CF762" s="30"/>
      <c r="CG762" s="30"/>
      <c r="CH762" s="30"/>
      <c r="CI762" s="30"/>
      <c r="CJ762" s="30"/>
      <c r="CK762" s="30"/>
      <c r="CL762" s="30"/>
      <c r="CM762" s="30"/>
      <c r="CN762" s="30"/>
      <c r="CO762" s="30"/>
      <c r="CP762" s="30"/>
      <c r="CQ762" s="30"/>
      <c r="CR762" s="30"/>
      <c r="CS762" s="30"/>
      <c r="CT762" s="30"/>
      <c r="CU762" s="30"/>
      <c r="CV762" s="30"/>
      <c r="CW762" s="30"/>
      <c r="CX762" s="30"/>
      <c r="CY762" s="30"/>
      <c r="CZ762" s="30"/>
      <c r="DA762" s="30"/>
      <c r="DB762" s="30"/>
      <c r="DC762" s="30"/>
      <c r="DD762" s="30"/>
      <c r="DE762" s="30"/>
      <c r="DF762" s="30"/>
      <c r="DG762" s="30"/>
      <c r="DH762" s="30"/>
      <c r="DI762" s="30"/>
      <c r="DJ762" s="30"/>
      <c r="DK762" s="30"/>
      <c r="DL762" s="30"/>
      <c r="DM762" s="30"/>
      <c r="DN762" s="30"/>
      <c r="DO762" s="30"/>
      <c r="DP762" s="30"/>
      <c r="DQ762" s="30"/>
      <c r="DR762" s="30"/>
      <c r="DS762" s="30"/>
      <c r="DT762" s="30"/>
      <c r="DU762" s="30"/>
      <c r="DV762" s="30"/>
      <c r="DW762" s="30"/>
    </row>
    <row r="763" spans="1:127" ht="13">
      <c r="A763" s="39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  <c r="BQ763" s="30"/>
      <c r="BR763" s="30"/>
      <c r="BS763" s="30"/>
      <c r="BT763" s="30"/>
      <c r="BU763" s="30"/>
      <c r="BV763" s="30"/>
      <c r="BW763" s="30"/>
      <c r="BX763" s="30"/>
      <c r="BY763" s="30"/>
      <c r="BZ763" s="30"/>
      <c r="CA763" s="30"/>
      <c r="CB763" s="30"/>
      <c r="CC763" s="30"/>
      <c r="CD763" s="30"/>
      <c r="CE763" s="30"/>
      <c r="CF763" s="30"/>
      <c r="CG763" s="30"/>
      <c r="CH763" s="30"/>
      <c r="CI763" s="30"/>
      <c r="CJ763" s="30"/>
      <c r="CK763" s="30"/>
      <c r="CL763" s="30"/>
      <c r="CM763" s="30"/>
      <c r="CN763" s="30"/>
      <c r="CO763" s="30"/>
      <c r="CP763" s="30"/>
      <c r="CQ763" s="30"/>
      <c r="CR763" s="30"/>
      <c r="CS763" s="30"/>
      <c r="CT763" s="30"/>
      <c r="CU763" s="30"/>
      <c r="CV763" s="30"/>
      <c r="CW763" s="30"/>
      <c r="CX763" s="30"/>
      <c r="CY763" s="30"/>
      <c r="CZ763" s="30"/>
      <c r="DA763" s="30"/>
      <c r="DB763" s="30"/>
      <c r="DC763" s="30"/>
      <c r="DD763" s="30"/>
      <c r="DE763" s="30"/>
      <c r="DF763" s="30"/>
      <c r="DG763" s="30"/>
      <c r="DH763" s="30"/>
      <c r="DI763" s="30"/>
      <c r="DJ763" s="30"/>
      <c r="DK763" s="30"/>
      <c r="DL763" s="30"/>
      <c r="DM763" s="30"/>
      <c r="DN763" s="30"/>
      <c r="DO763" s="30"/>
      <c r="DP763" s="30"/>
      <c r="DQ763" s="30"/>
      <c r="DR763" s="30"/>
      <c r="DS763" s="30"/>
      <c r="DT763" s="30"/>
      <c r="DU763" s="30"/>
      <c r="DV763" s="30"/>
      <c r="DW763" s="30"/>
    </row>
    <row r="764" spans="1:127" ht="13">
      <c r="A764" s="39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  <c r="BP764" s="30"/>
      <c r="BQ764" s="30"/>
      <c r="BR764" s="30"/>
      <c r="BS764" s="30"/>
      <c r="BT764" s="30"/>
      <c r="BU764" s="30"/>
      <c r="BV764" s="30"/>
      <c r="BW764" s="30"/>
      <c r="BX764" s="30"/>
      <c r="BY764" s="30"/>
      <c r="BZ764" s="30"/>
      <c r="CA764" s="30"/>
      <c r="CB764" s="30"/>
      <c r="CC764" s="30"/>
      <c r="CD764" s="30"/>
      <c r="CE764" s="30"/>
      <c r="CF764" s="30"/>
      <c r="CG764" s="30"/>
      <c r="CH764" s="30"/>
      <c r="CI764" s="30"/>
      <c r="CJ764" s="30"/>
      <c r="CK764" s="30"/>
      <c r="CL764" s="30"/>
      <c r="CM764" s="30"/>
      <c r="CN764" s="30"/>
      <c r="CO764" s="30"/>
      <c r="CP764" s="30"/>
      <c r="CQ764" s="30"/>
      <c r="CR764" s="30"/>
      <c r="CS764" s="30"/>
      <c r="CT764" s="30"/>
      <c r="CU764" s="30"/>
      <c r="CV764" s="30"/>
      <c r="CW764" s="30"/>
      <c r="CX764" s="30"/>
      <c r="CY764" s="30"/>
      <c r="CZ764" s="30"/>
      <c r="DA764" s="30"/>
      <c r="DB764" s="30"/>
      <c r="DC764" s="30"/>
      <c r="DD764" s="30"/>
      <c r="DE764" s="30"/>
      <c r="DF764" s="30"/>
      <c r="DG764" s="30"/>
      <c r="DH764" s="30"/>
      <c r="DI764" s="30"/>
      <c r="DJ764" s="30"/>
      <c r="DK764" s="30"/>
      <c r="DL764" s="30"/>
      <c r="DM764" s="30"/>
      <c r="DN764" s="30"/>
      <c r="DO764" s="30"/>
      <c r="DP764" s="30"/>
      <c r="DQ764" s="30"/>
      <c r="DR764" s="30"/>
      <c r="DS764" s="30"/>
      <c r="DT764" s="30"/>
      <c r="DU764" s="30"/>
      <c r="DV764" s="30"/>
      <c r="DW764" s="30"/>
    </row>
    <row r="765" spans="1:127" ht="13">
      <c r="A765" s="39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  <c r="BP765" s="30"/>
      <c r="BQ765" s="30"/>
      <c r="BR765" s="30"/>
      <c r="BS765" s="30"/>
      <c r="BT765" s="30"/>
      <c r="BU765" s="30"/>
      <c r="BV765" s="30"/>
      <c r="BW765" s="30"/>
      <c r="BX765" s="30"/>
      <c r="BY765" s="30"/>
      <c r="BZ765" s="30"/>
      <c r="CA765" s="30"/>
      <c r="CB765" s="30"/>
      <c r="CC765" s="30"/>
      <c r="CD765" s="30"/>
      <c r="CE765" s="30"/>
      <c r="CF765" s="30"/>
      <c r="CG765" s="30"/>
      <c r="CH765" s="30"/>
      <c r="CI765" s="30"/>
      <c r="CJ765" s="30"/>
      <c r="CK765" s="30"/>
      <c r="CL765" s="30"/>
      <c r="CM765" s="30"/>
      <c r="CN765" s="30"/>
      <c r="CO765" s="30"/>
      <c r="CP765" s="30"/>
      <c r="CQ765" s="30"/>
      <c r="CR765" s="30"/>
      <c r="CS765" s="30"/>
      <c r="CT765" s="30"/>
      <c r="CU765" s="30"/>
      <c r="CV765" s="30"/>
      <c r="CW765" s="30"/>
      <c r="CX765" s="30"/>
      <c r="CY765" s="30"/>
      <c r="CZ765" s="30"/>
      <c r="DA765" s="30"/>
      <c r="DB765" s="30"/>
      <c r="DC765" s="30"/>
      <c r="DD765" s="30"/>
      <c r="DE765" s="30"/>
      <c r="DF765" s="30"/>
      <c r="DG765" s="30"/>
      <c r="DH765" s="30"/>
      <c r="DI765" s="30"/>
      <c r="DJ765" s="30"/>
      <c r="DK765" s="30"/>
      <c r="DL765" s="30"/>
      <c r="DM765" s="30"/>
      <c r="DN765" s="30"/>
      <c r="DO765" s="30"/>
      <c r="DP765" s="30"/>
      <c r="DQ765" s="30"/>
      <c r="DR765" s="30"/>
      <c r="DS765" s="30"/>
      <c r="DT765" s="30"/>
      <c r="DU765" s="30"/>
      <c r="DV765" s="30"/>
      <c r="DW765" s="30"/>
    </row>
    <row r="766" spans="1:127" ht="13">
      <c r="A766" s="39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  <c r="BQ766" s="30"/>
      <c r="BR766" s="30"/>
      <c r="BS766" s="30"/>
      <c r="BT766" s="30"/>
      <c r="BU766" s="30"/>
      <c r="BV766" s="30"/>
      <c r="BW766" s="30"/>
      <c r="BX766" s="30"/>
      <c r="BY766" s="30"/>
      <c r="BZ766" s="30"/>
      <c r="CA766" s="30"/>
      <c r="CB766" s="30"/>
      <c r="CC766" s="30"/>
      <c r="CD766" s="30"/>
      <c r="CE766" s="30"/>
      <c r="CF766" s="30"/>
      <c r="CG766" s="30"/>
      <c r="CH766" s="30"/>
      <c r="CI766" s="30"/>
      <c r="CJ766" s="30"/>
      <c r="CK766" s="30"/>
      <c r="CL766" s="30"/>
      <c r="CM766" s="30"/>
      <c r="CN766" s="30"/>
      <c r="CO766" s="30"/>
      <c r="CP766" s="30"/>
      <c r="CQ766" s="30"/>
      <c r="CR766" s="30"/>
      <c r="CS766" s="30"/>
      <c r="CT766" s="30"/>
      <c r="CU766" s="30"/>
      <c r="CV766" s="30"/>
      <c r="CW766" s="30"/>
      <c r="CX766" s="30"/>
      <c r="CY766" s="30"/>
      <c r="CZ766" s="30"/>
      <c r="DA766" s="30"/>
      <c r="DB766" s="30"/>
      <c r="DC766" s="30"/>
      <c r="DD766" s="30"/>
      <c r="DE766" s="30"/>
      <c r="DF766" s="30"/>
      <c r="DG766" s="30"/>
      <c r="DH766" s="30"/>
      <c r="DI766" s="30"/>
      <c r="DJ766" s="30"/>
      <c r="DK766" s="30"/>
      <c r="DL766" s="30"/>
      <c r="DM766" s="30"/>
      <c r="DN766" s="30"/>
      <c r="DO766" s="30"/>
      <c r="DP766" s="30"/>
      <c r="DQ766" s="30"/>
      <c r="DR766" s="30"/>
      <c r="DS766" s="30"/>
      <c r="DT766" s="30"/>
      <c r="DU766" s="30"/>
      <c r="DV766" s="30"/>
      <c r="DW766" s="30"/>
    </row>
    <row r="767" spans="1:127" ht="13">
      <c r="A767" s="39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30"/>
      <c r="BP767" s="30"/>
      <c r="BQ767" s="30"/>
      <c r="BR767" s="30"/>
      <c r="BS767" s="30"/>
      <c r="BT767" s="30"/>
      <c r="BU767" s="30"/>
      <c r="BV767" s="30"/>
      <c r="BW767" s="30"/>
      <c r="BX767" s="30"/>
      <c r="BY767" s="30"/>
      <c r="BZ767" s="30"/>
      <c r="CA767" s="30"/>
      <c r="CB767" s="30"/>
      <c r="CC767" s="30"/>
      <c r="CD767" s="30"/>
      <c r="CE767" s="30"/>
      <c r="CF767" s="30"/>
      <c r="CG767" s="30"/>
      <c r="CH767" s="30"/>
      <c r="CI767" s="30"/>
      <c r="CJ767" s="30"/>
      <c r="CK767" s="30"/>
      <c r="CL767" s="30"/>
      <c r="CM767" s="30"/>
      <c r="CN767" s="30"/>
      <c r="CO767" s="30"/>
      <c r="CP767" s="30"/>
      <c r="CQ767" s="30"/>
      <c r="CR767" s="30"/>
      <c r="CS767" s="30"/>
      <c r="CT767" s="30"/>
      <c r="CU767" s="30"/>
      <c r="CV767" s="30"/>
      <c r="CW767" s="30"/>
      <c r="CX767" s="30"/>
      <c r="CY767" s="30"/>
      <c r="CZ767" s="30"/>
      <c r="DA767" s="30"/>
      <c r="DB767" s="30"/>
      <c r="DC767" s="30"/>
      <c r="DD767" s="30"/>
      <c r="DE767" s="30"/>
      <c r="DF767" s="30"/>
      <c r="DG767" s="30"/>
      <c r="DH767" s="30"/>
      <c r="DI767" s="30"/>
      <c r="DJ767" s="30"/>
      <c r="DK767" s="30"/>
      <c r="DL767" s="30"/>
      <c r="DM767" s="30"/>
      <c r="DN767" s="30"/>
      <c r="DO767" s="30"/>
      <c r="DP767" s="30"/>
      <c r="DQ767" s="30"/>
      <c r="DR767" s="30"/>
      <c r="DS767" s="30"/>
      <c r="DT767" s="30"/>
      <c r="DU767" s="30"/>
      <c r="DV767" s="30"/>
      <c r="DW767" s="30"/>
    </row>
    <row r="768" spans="1:127" ht="13">
      <c r="A768" s="39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  <c r="BP768" s="30"/>
      <c r="BQ768" s="30"/>
      <c r="BR768" s="30"/>
      <c r="BS768" s="30"/>
      <c r="BT768" s="30"/>
      <c r="BU768" s="30"/>
      <c r="BV768" s="30"/>
      <c r="BW768" s="30"/>
      <c r="BX768" s="30"/>
      <c r="BY768" s="30"/>
      <c r="BZ768" s="30"/>
      <c r="CA768" s="30"/>
      <c r="CB768" s="30"/>
      <c r="CC768" s="30"/>
      <c r="CD768" s="30"/>
      <c r="CE768" s="30"/>
      <c r="CF768" s="30"/>
      <c r="CG768" s="30"/>
      <c r="CH768" s="30"/>
      <c r="CI768" s="30"/>
      <c r="CJ768" s="30"/>
      <c r="CK768" s="30"/>
      <c r="CL768" s="30"/>
      <c r="CM768" s="30"/>
      <c r="CN768" s="30"/>
      <c r="CO768" s="30"/>
      <c r="CP768" s="30"/>
      <c r="CQ768" s="30"/>
      <c r="CR768" s="30"/>
      <c r="CS768" s="30"/>
      <c r="CT768" s="30"/>
      <c r="CU768" s="30"/>
      <c r="CV768" s="30"/>
      <c r="CW768" s="30"/>
      <c r="CX768" s="30"/>
      <c r="CY768" s="30"/>
      <c r="CZ768" s="30"/>
      <c r="DA768" s="30"/>
      <c r="DB768" s="30"/>
      <c r="DC768" s="30"/>
      <c r="DD768" s="30"/>
      <c r="DE768" s="30"/>
      <c r="DF768" s="30"/>
      <c r="DG768" s="30"/>
      <c r="DH768" s="30"/>
      <c r="DI768" s="30"/>
      <c r="DJ768" s="30"/>
      <c r="DK768" s="30"/>
      <c r="DL768" s="30"/>
      <c r="DM768" s="30"/>
      <c r="DN768" s="30"/>
      <c r="DO768" s="30"/>
      <c r="DP768" s="30"/>
      <c r="DQ768" s="30"/>
      <c r="DR768" s="30"/>
      <c r="DS768" s="30"/>
      <c r="DT768" s="30"/>
      <c r="DU768" s="30"/>
      <c r="DV768" s="30"/>
      <c r="DW768" s="30"/>
    </row>
    <row r="769" spans="1:127" ht="13">
      <c r="A769" s="39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  <c r="BP769" s="30"/>
      <c r="BQ769" s="30"/>
      <c r="BR769" s="30"/>
      <c r="BS769" s="30"/>
      <c r="BT769" s="30"/>
      <c r="BU769" s="30"/>
      <c r="BV769" s="30"/>
      <c r="BW769" s="30"/>
      <c r="BX769" s="30"/>
      <c r="BY769" s="30"/>
      <c r="BZ769" s="30"/>
      <c r="CA769" s="30"/>
      <c r="CB769" s="30"/>
      <c r="CC769" s="30"/>
      <c r="CD769" s="30"/>
      <c r="CE769" s="30"/>
      <c r="CF769" s="30"/>
      <c r="CG769" s="30"/>
      <c r="CH769" s="30"/>
      <c r="CI769" s="30"/>
      <c r="CJ769" s="30"/>
      <c r="CK769" s="30"/>
      <c r="CL769" s="30"/>
      <c r="CM769" s="30"/>
      <c r="CN769" s="30"/>
      <c r="CO769" s="30"/>
      <c r="CP769" s="30"/>
      <c r="CQ769" s="30"/>
      <c r="CR769" s="30"/>
      <c r="CS769" s="30"/>
      <c r="CT769" s="30"/>
      <c r="CU769" s="30"/>
      <c r="CV769" s="30"/>
      <c r="CW769" s="30"/>
      <c r="CX769" s="30"/>
      <c r="CY769" s="30"/>
      <c r="CZ769" s="30"/>
      <c r="DA769" s="30"/>
      <c r="DB769" s="30"/>
      <c r="DC769" s="30"/>
      <c r="DD769" s="30"/>
      <c r="DE769" s="30"/>
      <c r="DF769" s="30"/>
      <c r="DG769" s="30"/>
      <c r="DH769" s="30"/>
      <c r="DI769" s="30"/>
      <c r="DJ769" s="30"/>
      <c r="DK769" s="30"/>
      <c r="DL769" s="30"/>
      <c r="DM769" s="30"/>
      <c r="DN769" s="30"/>
      <c r="DO769" s="30"/>
      <c r="DP769" s="30"/>
      <c r="DQ769" s="30"/>
      <c r="DR769" s="30"/>
      <c r="DS769" s="30"/>
      <c r="DT769" s="30"/>
      <c r="DU769" s="30"/>
      <c r="DV769" s="30"/>
      <c r="DW769" s="30"/>
    </row>
    <row r="770" spans="1:127" ht="13">
      <c r="A770" s="39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30"/>
      <c r="BP770" s="30"/>
      <c r="BQ770" s="30"/>
      <c r="BR770" s="30"/>
      <c r="BS770" s="30"/>
      <c r="BT770" s="30"/>
      <c r="BU770" s="30"/>
      <c r="BV770" s="30"/>
      <c r="BW770" s="30"/>
      <c r="BX770" s="30"/>
      <c r="BY770" s="30"/>
      <c r="BZ770" s="30"/>
      <c r="CA770" s="30"/>
      <c r="CB770" s="30"/>
      <c r="CC770" s="30"/>
      <c r="CD770" s="30"/>
      <c r="CE770" s="30"/>
      <c r="CF770" s="30"/>
      <c r="CG770" s="30"/>
      <c r="CH770" s="30"/>
      <c r="CI770" s="30"/>
      <c r="CJ770" s="30"/>
      <c r="CK770" s="30"/>
      <c r="CL770" s="30"/>
      <c r="CM770" s="30"/>
      <c r="CN770" s="30"/>
      <c r="CO770" s="30"/>
      <c r="CP770" s="30"/>
      <c r="CQ770" s="30"/>
      <c r="CR770" s="30"/>
      <c r="CS770" s="30"/>
      <c r="CT770" s="30"/>
      <c r="CU770" s="30"/>
      <c r="CV770" s="30"/>
      <c r="CW770" s="30"/>
      <c r="CX770" s="30"/>
      <c r="CY770" s="30"/>
      <c r="CZ770" s="30"/>
      <c r="DA770" s="30"/>
      <c r="DB770" s="30"/>
      <c r="DC770" s="30"/>
      <c r="DD770" s="30"/>
      <c r="DE770" s="30"/>
      <c r="DF770" s="30"/>
      <c r="DG770" s="30"/>
      <c r="DH770" s="30"/>
      <c r="DI770" s="30"/>
      <c r="DJ770" s="30"/>
      <c r="DK770" s="30"/>
      <c r="DL770" s="30"/>
      <c r="DM770" s="30"/>
      <c r="DN770" s="30"/>
      <c r="DO770" s="30"/>
      <c r="DP770" s="30"/>
      <c r="DQ770" s="30"/>
      <c r="DR770" s="30"/>
      <c r="DS770" s="30"/>
      <c r="DT770" s="30"/>
      <c r="DU770" s="30"/>
      <c r="DV770" s="30"/>
      <c r="DW770" s="30"/>
    </row>
    <row r="771" spans="1:127" ht="13">
      <c r="A771" s="39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  <c r="BP771" s="30"/>
      <c r="BQ771" s="30"/>
      <c r="BR771" s="30"/>
      <c r="BS771" s="30"/>
      <c r="BT771" s="30"/>
      <c r="BU771" s="30"/>
      <c r="BV771" s="30"/>
      <c r="BW771" s="30"/>
      <c r="BX771" s="30"/>
      <c r="BY771" s="30"/>
      <c r="BZ771" s="30"/>
      <c r="CA771" s="30"/>
      <c r="CB771" s="30"/>
      <c r="CC771" s="30"/>
      <c r="CD771" s="30"/>
      <c r="CE771" s="30"/>
      <c r="CF771" s="30"/>
      <c r="CG771" s="30"/>
      <c r="CH771" s="30"/>
      <c r="CI771" s="30"/>
      <c r="CJ771" s="30"/>
      <c r="CK771" s="30"/>
      <c r="CL771" s="30"/>
      <c r="CM771" s="30"/>
      <c r="CN771" s="30"/>
      <c r="CO771" s="30"/>
      <c r="CP771" s="30"/>
      <c r="CQ771" s="30"/>
      <c r="CR771" s="30"/>
      <c r="CS771" s="30"/>
      <c r="CT771" s="30"/>
      <c r="CU771" s="30"/>
      <c r="CV771" s="30"/>
      <c r="CW771" s="30"/>
      <c r="CX771" s="30"/>
      <c r="CY771" s="30"/>
      <c r="CZ771" s="30"/>
      <c r="DA771" s="30"/>
      <c r="DB771" s="30"/>
      <c r="DC771" s="30"/>
      <c r="DD771" s="30"/>
      <c r="DE771" s="30"/>
      <c r="DF771" s="30"/>
      <c r="DG771" s="30"/>
      <c r="DH771" s="30"/>
      <c r="DI771" s="30"/>
      <c r="DJ771" s="30"/>
      <c r="DK771" s="30"/>
      <c r="DL771" s="30"/>
      <c r="DM771" s="30"/>
      <c r="DN771" s="30"/>
      <c r="DO771" s="30"/>
      <c r="DP771" s="30"/>
      <c r="DQ771" s="30"/>
      <c r="DR771" s="30"/>
      <c r="DS771" s="30"/>
      <c r="DT771" s="30"/>
      <c r="DU771" s="30"/>
      <c r="DV771" s="30"/>
      <c r="DW771" s="30"/>
    </row>
    <row r="772" spans="1:127" ht="13">
      <c r="A772" s="39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  <c r="BP772" s="30"/>
      <c r="BQ772" s="30"/>
      <c r="BR772" s="30"/>
      <c r="BS772" s="30"/>
      <c r="BT772" s="30"/>
      <c r="BU772" s="30"/>
      <c r="BV772" s="30"/>
      <c r="BW772" s="30"/>
      <c r="BX772" s="30"/>
      <c r="BY772" s="30"/>
      <c r="BZ772" s="30"/>
      <c r="CA772" s="30"/>
      <c r="CB772" s="30"/>
      <c r="CC772" s="30"/>
      <c r="CD772" s="30"/>
      <c r="CE772" s="30"/>
      <c r="CF772" s="30"/>
      <c r="CG772" s="30"/>
      <c r="CH772" s="30"/>
      <c r="CI772" s="30"/>
      <c r="CJ772" s="30"/>
      <c r="CK772" s="30"/>
      <c r="CL772" s="30"/>
      <c r="CM772" s="30"/>
      <c r="CN772" s="30"/>
      <c r="CO772" s="30"/>
      <c r="CP772" s="30"/>
      <c r="CQ772" s="30"/>
      <c r="CR772" s="30"/>
      <c r="CS772" s="30"/>
      <c r="CT772" s="30"/>
      <c r="CU772" s="30"/>
      <c r="CV772" s="30"/>
      <c r="CW772" s="30"/>
      <c r="CX772" s="30"/>
      <c r="CY772" s="30"/>
      <c r="CZ772" s="30"/>
      <c r="DA772" s="30"/>
      <c r="DB772" s="30"/>
      <c r="DC772" s="30"/>
      <c r="DD772" s="30"/>
      <c r="DE772" s="30"/>
      <c r="DF772" s="30"/>
      <c r="DG772" s="30"/>
      <c r="DH772" s="30"/>
      <c r="DI772" s="30"/>
      <c r="DJ772" s="30"/>
      <c r="DK772" s="30"/>
      <c r="DL772" s="30"/>
      <c r="DM772" s="30"/>
      <c r="DN772" s="30"/>
      <c r="DO772" s="30"/>
      <c r="DP772" s="30"/>
      <c r="DQ772" s="30"/>
      <c r="DR772" s="30"/>
      <c r="DS772" s="30"/>
      <c r="DT772" s="30"/>
      <c r="DU772" s="30"/>
      <c r="DV772" s="30"/>
      <c r="DW772" s="30"/>
    </row>
    <row r="773" spans="1:127" ht="13">
      <c r="A773" s="39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0"/>
      <c r="BQ773" s="30"/>
      <c r="BR773" s="30"/>
      <c r="BS773" s="30"/>
      <c r="BT773" s="30"/>
      <c r="BU773" s="30"/>
      <c r="BV773" s="30"/>
      <c r="BW773" s="30"/>
      <c r="BX773" s="30"/>
      <c r="BY773" s="30"/>
      <c r="BZ773" s="30"/>
      <c r="CA773" s="30"/>
      <c r="CB773" s="30"/>
      <c r="CC773" s="30"/>
      <c r="CD773" s="30"/>
      <c r="CE773" s="30"/>
      <c r="CF773" s="30"/>
      <c r="CG773" s="30"/>
      <c r="CH773" s="30"/>
      <c r="CI773" s="30"/>
      <c r="CJ773" s="30"/>
      <c r="CK773" s="30"/>
      <c r="CL773" s="30"/>
      <c r="CM773" s="30"/>
      <c r="CN773" s="30"/>
      <c r="CO773" s="30"/>
      <c r="CP773" s="30"/>
      <c r="CQ773" s="30"/>
      <c r="CR773" s="30"/>
      <c r="CS773" s="30"/>
      <c r="CT773" s="30"/>
      <c r="CU773" s="30"/>
      <c r="CV773" s="30"/>
      <c r="CW773" s="30"/>
      <c r="CX773" s="30"/>
      <c r="CY773" s="30"/>
      <c r="CZ773" s="30"/>
      <c r="DA773" s="30"/>
      <c r="DB773" s="30"/>
      <c r="DC773" s="30"/>
      <c r="DD773" s="30"/>
      <c r="DE773" s="30"/>
      <c r="DF773" s="30"/>
      <c r="DG773" s="30"/>
      <c r="DH773" s="30"/>
      <c r="DI773" s="30"/>
      <c r="DJ773" s="30"/>
      <c r="DK773" s="30"/>
      <c r="DL773" s="30"/>
      <c r="DM773" s="30"/>
      <c r="DN773" s="30"/>
      <c r="DO773" s="30"/>
      <c r="DP773" s="30"/>
      <c r="DQ773" s="30"/>
      <c r="DR773" s="30"/>
      <c r="DS773" s="30"/>
      <c r="DT773" s="30"/>
      <c r="DU773" s="30"/>
      <c r="DV773" s="30"/>
      <c r="DW773" s="30"/>
    </row>
    <row r="774" spans="1:127" ht="13">
      <c r="A774" s="39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  <c r="BP774" s="30"/>
      <c r="BQ774" s="30"/>
      <c r="BR774" s="30"/>
      <c r="BS774" s="30"/>
      <c r="BT774" s="30"/>
      <c r="BU774" s="30"/>
      <c r="BV774" s="30"/>
      <c r="BW774" s="30"/>
      <c r="BX774" s="30"/>
      <c r="BY774" s="30"/>
      <c r="BZ774" s="30"/>
      <c r="CA774" s="30"/>
      <c r="CB774" s="30"/>
      <c r="CC774" s="30"/>
      <c r="CD774" s="30"/>
      <c r="CE774" s="30"/>
      <c r="CF774" s="30"/>
      <c r="CG774" s="30"/>
      <c r="CH774" s="30"/>
      <c r="CI774" s="30"/>
      <c r="CJ774" s="30"/>
      <c r="CK774" s="30"/>
      <c r="CL774" s="30"/>
      <c r="CM774" s="30"/>
      <c r="CN774" s="30"/>
      <c r="CO774" s="30"/>
      <c r="CP774" s="30"/>
      <c r="CQ774" s="30"/>
      <c r="CR774" s="30"/>
      <c r="CS774" s="30"/>
      <c r="CT774" s="30"/>
      <c r="CU774" s="30"/>
      <c r="CV774" s="30"/>
      <c r="CW774" s="30"/>
      <c r="CX774" s="30"/>
      <c r="CY774" s="30"/>
      <c r="CZ774" s="30"/>
      <c r="DA774" s="30"/>
      <c r="DB774" s="30"/>
      <c r="DC774" s="30"/>
      <c r="DD774" s="30"/>
      <c r="DE774" s="30"/>
      <c r="DF774" s="30"/>
      <c r="DG774" s="30"/>
      <c r="DH774" s="30"/>
      <c r="DI774" s="30"/>
      <c r="DJ774" s="30"/>
      <c r="DK774" s="30"/>
      <c r="DL774" s="30"/>
      <c r="DM774" s="30"/>
      <c r="DN774" s="30"/>
      <c r="DO774" s="30"/>
      <c r="DP774" s="30"/>
      <c r="DQ774" s="30"/>
      <c r="DR774" s="30"/>
      <c r="DS774" s="30"/>
      <c r="DT774" s="30"/>
      <c r="DU774" s="30"/>
      <c r="DV774" s="30"/>
      <c r="DW774" s="30"/>
    </row>
    <row r="775" spans="1:127" ht="13">
      <c r="A775" s="39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  <c r="BP775" s="30"/>
      <c r="BQ775" s="30"/>
      <c r="BR775" s="30"/>
      <c r="BS775" s="30"/>
      <c r="BT775" s="30"/>
      <c r="BU775" s="30"/>
      <c r="BV775" s="30"/>
      <c r="BW775" s="30"/>
      <c r="BX775" s="30"/>
      <c r="BY775" s="30"/>
      <c r="BZ775" s="30"/>
      <c r="CA775" s="30"/>
      <c r="CB775" s="30"/>
      <c r="CC775" s="30"/>
      <c r="CD775" s="30"/>
      <c r="CE775" s="30"/>
      <c r="CF775" s="30"/>
      <c r="CG775" s="30"/>
      <c r="CH775" s="30"/>
      <c r="CI775" s="30"/>
      <c r="CJ775" s="30"/>
      <c r="CK775" s="30"/>
      <c r="CL775" s="30"/>
      <c r="CM775" s="30"/>
      <c r="CN775" s="30"/>
      <c r="CO775" s="30"/>
      <c r="CP775" s="30"/>
      <c r="CQ775" s="30"/>
      <c r="CR775" s="30"/>
      <c r="CS775" s="30"/>
      <c r="CT775" s="30"/>
      <c r="CU775" s="30"/>
      <c r="CV775" s="30"/>
      <c r="CW775" s="30"/>
      <c r="CX775" s="30"/>
      <c r="CY775" s="30"/>
      <c r="CZ775" s="30"/>
      <c r="DA775" s="30"/>
      <c r="DB775" s="30"/>
      <c r="DC775" s="30"/>
      <c r="DD775" s="30"/>
      <c r="DE775" s="30"/>
      <c r="DF775" s="30"/>
      <c r="DG775" s="30"/>
      <c r="DH775" s="30"/>
      <c r="DI775" s="30"/>
      <c r="DJ775" s="30"/>
      <c r="DK775" s="30"/>
      <c r="DL775" s="30"/>
      <c r="DM775" s="30"/>
      <c r="DN775" s="30"/>
      <c r="DO775" s="30"/>
      <c r="DP775" s="30"/>
      <c r="DQ775" s="30"/>
      <c r="DR775" s="30"/>
      <c r="DS775" s="30"/>
      <c r="DT775" s="30"/>
      <c r="DU775" s="30"/>
      <c r="DV775" s="30"/>
      <c r="DW775" s="30"/>
    </row>
    <row r="776" spans="1:127" ht="13">
      <c r="A776" s="39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30"/>
      <c r="BP776" s="30"/>
      <c r="BQ776" s="30"/>
      <c r="BR776" s="30"/>
      <c r="BS776" s="30"/>
      <c r="BT776" s="30"/>
      <c r="BU776" s="30"/>
      <c r="BV776" s="30"/>
      <c r="BW776" s="30"/>
      <c r="BX776" s="30"/>
      <c r="BY776" s="30"/>
      <c r="BZ776" s="30"/>
      <c r="CA776" s="30"/>
      <c r="CB776" s="30"/>
      <c r="CC776" s="30"/>
      <c r="CD776" s="30"/>
      <c r="CE776" s="30"/>
      <c r="CF776" s="30"/>
      <c r="CG776" s="30"/>
      <c r="CH776" s="30"/>
      <c r="CI776" s="30"/>
      <c r="CJ776" s="30"/>
      <c r="CK776" s="30"/>
      <c r="CL776" s="30"/>
      <c r="CM776" s="30"/>
      <c r="CN776" s="30"/>
      <c r="CO776" s="30"/>
      <c r="CP776" s="30"/>
      <c r="CQ776" s="30"/>
      <c r="CR776" s="30"/>
      <c r="CS776" s="30"/>
      <c r="CT776" s="30"/>
      <c r="CU776" s="30"/>
      <c r="CV776" s="30"/>
      <c r="CW776" s="30"/>
      <c r="CX776" s="30"/>
      <c r="CY776" s="30"/>
      <c r="CZ776" s="30"/>
      <c r="DA776" s="30"/>
      <c r="DB776" s="30"/>
      <c r="DC776" s="30"/>
      <c r="DD776" s="30"/>
      <c r="DE776" s="30"/>
      <c r="DF776" s="30"/>
      <c r="DG776" s="30"/>
      <c r="DH776" s="30"/>
      <c r="DI776" s="30"/>
      <c r="DJ776" s="30"/>
      <c r="DK776" s="30"/>
      <c r="DL776" s="30"/>
      <c r="DM776" s="30"/>
      <c r="DN776" s="30"/>
      <c r="DO776" s="30"/>
      <c r="DP776" s="30"/>
      <c r="DQ776" s="30"/>
      <c r="DR776" s="30"/>
      <c r="DS776" s="30"/>
      <c r="DT776" s="30"/>
      <c r="DU776" s="30"/>
      <c r="DV776" s="30"/>
      <c r="DW776" s="30"/>
    </row>
    <row r="777" spans="1:127" ht="13">
      <c r="A777" s="39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30"/>
      <c r="BP777" s="30"/>
      <c r="BQ777" s="30"/>
      <c r="BR777" s="30"/>
      <c r="BS777" s="30"/>
      <c r="BT777" s="30"/>
      <c r="BU777" s="30"/>
      <c r="BV777" s="30"/>
      <c r="BW777" s="30"/>
      <c r="BX777" s="30"/>
      <c r="BY777" s="30"/>
      <c r="BZ777" s="30"/>
      <c r="CA777" s="30"/>
      <c r="CB777" s="30"/>
      <c r="CC777" s="30"/>
      <c r="CD777" s="30"/>
      <c r="CE777" s="30"/>
      <c r="CF777" s="30"/>
      <c r="CG777" s="30"/>
      <c r="CH777" s="30"/>
      <c r="CI777" s="30"/>
      <c r="CJ777" s="30"/>
      <c r="CK777" s="30"/>
      <c r="CL777" s="30"/>
      <c r="CM777" s="30"/>
      <c r="CN777" s="30"/>
      <c r="CO777" s="30"/>
      <c r="CP777" s="30"/>
      <c r="CQ777" s="30"/>
      <c r="CR777" s="30"/>
      <c r="CS777" s="30"/>
      <c r="CT777" s="30"/>
      <c r="CU777" s="30"/>
      <c r="CV777" s="30"/>
      <c r="CW777" s="30"/>
      <c r="CX777" s="30"/>
      <c r="CY777" s="30"/>
      <c r="CZ777" s="30"/>
      <c r="DA777" s="30"/>
      <c r="DB777" s="30"/>
      <c r="DC777" s="30"/>
      <c r="DD777" s="30"/>
      <c r="DE777" s="30"/>
      <c r="DF777" s="30"/>
      <c r="DG777" s="30"/>
      <c r="DH777" s="30"/>
      <c r="DI777" s="30"/>
      <c r="DJ777" s="30"/>
      <c r="DK777" s="30"/>
      <c r="DL777" s="30"/>
      <c r="DM777" s="30"/>
      <c r="DN777" s="30"/>
      <c r="DO777" s="30"/>
      <c r="DP777" s="30"/>
      <c r="DQ777" s="30"/>
      <c r="DR777" s="30"/>
      <c r="DS777" s="30"/>
      <c r="DT777" s="30"/>
      <c r="DU777" s="30"/>
      <c r="DV777" s="30"/>
      <c r="DW777" s="30"/>
    </row>
    <row r="778" spans="1:127" ht="13">
      <c r="A778" s="39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30"/>
      <c r="BP778" s="30"/>
      <c r="BQ778" s="30"/>
      <c r="BR778" s="30"/>
      <c r="BS778" s="30"/>
      <c r="BT778" s="30"/>
      <c r="BU778" s="30"/>
      <c r="BV778" s="30"/>
      <c r="BW778" s="30"/>
      <c r="BX778" s="30"/>
      <c r="BY778" s="30"/>
      <c r="BZ778" s="30"/>
      <c r="CA778" s="30"/>
      <c r="CB778" s="30"/>
      <c r="CC778" s="30"/>
      <c r="CD778" s="30"/>
      <c r="CE778" s="30"/>
      <c r="CF778" s="30"/>
      <c r="CG778" s="30"/>
      <c r="CH778" s="30"/>
      <c r="CI778" s="30"/>
      <c r="CJ778" s="30"/>
      <c r="CK778" s="30"/>
      <c r="CL778" s="30"/>
      <c r="CM778" s="30"/>
      <c r="CN778" s="30"/>
      <c r="CO778" s="30"/>
      <c r="CP778" s="30"/>
      <c r="CQ778" s="30"/>
      <c r="CR778" s="30"/>
      <c r="CS778" s="30"/>
      <c r="CT778" s="30"/>
      <c r="CU778" s="30"/>
      <c r="CV778" s="30"/>
      <c r="CW778" s="30"/>
      <c r="CX778" s="30"/>
      <c r="CY778" s="30"/>
      <c r="CZ778" s="30"/>
      <c r="DA778" s="30"/>
      <c r="DB778" s="30"/>
      <c r="DC778" s="30"/>
      <c r="DD778" s="30"/>
      <c r="DE778" s="30"/>
      <c r="DF778" s="30"/>
      <c r="DG778" s="30"/>
      <c r="DH778" s="30"/>
      <c r="DI778" s="30"/>
      <c r="DJ778" s="30"/>
      <c r="DK778" s="30"/>
      <c r="DL778" s="30"/>
      <c r="DM778" s="30"/>
      <c r="DN778" s="30"/>
      <c r="DO778" s="30"/>
      <c r="DP778" s="30"/>
      <c r="DQ778" s="30"/>
      <c r="DR778" s="30"/>
      <c r="DS778" s="30"/>
      <c r="DT778" s="30"/>
      <c r="DU778" s="30"/>
      <c r="DV778" s="30"/>
      <c r="DW778" s="30"/>
    </row>
    <row r="779" spans="1:127" ht="13">
      <c r="A779" s="39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30"/>
      <c r="BP779" s="30"/>
      <c r="BQ779" s="30"/>
      <c r="BR779" s="30"/>
      <c r="BS779" s="30"/>
      <c r="BT779" s="30"/>
      <c r="BU779" s="30"/>
      <c r="BV779" s="30"/>
      <c r="BW779" s="30"/>
      <c r="BX779" s="30"/>
      <c r="BY779" s="30"/>
      <c r="BZ779" s="30"/>
      <c r="CA779" s="30"/>
      <c r="CB779" s="30"/>
      <c r="CC779" s="30"/>
      <c r="CD779" s="30"/>
      <c r="CE779" s="30"/>
      <c r="CF779" s="30"/>
      <c r="CG779" s="30"/>
      <c r="CH779" s="30"/>
      <c r="CI779" s="30"/>
      <c r="CJ779" s="30"/>
      <c r="CK779" s="30"/>
      <c r="CL779" s="30"/>
      <c r="CM779" s="30"/>
      <c r="CN779" s="30"/>
      <c r="CO779" s="30"/>
      <c r="CP779" s="30"/>
      <c r="CQ779" s="30"/>
      <c r="CR779" s="30"/>
      <c r="CS779" s="30"/>
      <c r="CT779" s="30"/>
      <c r="CU779" s="30"/>
      <c r="CV779" s="30"/>
      <c r="CW779" s="30"/>
      <c r="CX779" s="30"/>
      <c r="CY779" s="30"/>
      <c r="CZ779" s="30"/>
      <c r="DA779" s="30"/>
      <c r="DB779" s="30"/>
      <c r="DC779" s="30"/>
      <c r="DD779" s="30"/>
      <c r="DE779" s="30"/>
      <c r="DF779" s="30"/>
      <c r="DG779" s="30"/>
      <c r="DH779" s="30"/>
      <c r="DI779" s="30"/>
      <c r="DJ779" s="30"/>
      <c r="DK779" s="30"/>
      <c r="DL779" s="30"/>
      <c r="DM779" s="30"/>
      <c r="DN779" s="30"/>
      <c r="DO779" s="30"/>
      <c r="DP779" s="30"/>
      <c r="DQ779" s="30"/>
      <c r="DR779" s="30"/>
      <c r="DS779" s="30"/>
      <c r="DT779" s="30"/>
      <c r="DU779" s="30"/>
      <c r="DV779" s="30"/>
      <c r="DW779" s="30"/>
    </row>
    <row r="780" spans="1:127" ht="13">
      <c r="A780" s="39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  <c r="BP780" s="30"/>
      <c r="BQ780" s="30"/>
      <c r="BR780" s="30"/>
      <c r="BS780" s="30"/>
      <c r="BT780" s="30"/>
      <c r="BU780" s="30"/>
      <c r="BV780" s="30"/>
      <c r="BW780" s="30"/>
      <c r="BX780" s="30"/>
      <c r="BY780" s="30"/>
      <c r="BZ780" s="30"/>
      <c r="CA780" s="30"/>
      <c r="CB780" s="30"/>
      <c r="CC780" s="30"/>
      <c r="CD780" s="30"/>
      <c r="CE780" s="30"/>
      <c r="CF780" s="30"/>
      <c r="CG780" s="30"/>
      <c r="CH780" s="30"/>
      <c r="CI780" s="30"/>
      <c r="CJ780" s="30"/>
      <c r="CK780" s="30"/>
      <c r="CL780" s="30"/>
      <c r="CM780" s="30"/>
      <c r="CN780" s="30"/>
      <c r="CO780" s="30"/>
      <c r="CP780" s="30"/>
      <c r="CQ780" s="30"/>
      <c r="CR780" s="30"/>
      <c r="CS780" s="30"/>
      <c r="CT780" s="30"/>
      <c r="CU780" s="30"/>
      <c r="CV780" s="30"/>
      <c r="CW780" s="30"/>
      <c r="CX780" s="30"/>
      <c r="CY780" s="30"/>
      <c r="CZ780" s="30"/>
      <c r="DA780" s="30"/>
      <c r="DB780" s="30"/>
      <c r="DC780" s="30"/>
      <c r="DD780" s="30"/>
      <c r="DE780" s="30"/>
      <c r="DF780" s="30"/>
      <c r="DG780" s="30"/>
      <c r="DH780" s="30"/>
      <c r="DI780" s="30"/>
      <c r="DJ780" s="30"/>
      <c r="DK780" s="30"/>
      <c r="DL780" s="30"/>
      <c r="DM780" s="30"/>
      <c r="DN780" s="30"/>
      <c r="DO780" s="30"/>
      <c r="DP780" s="30"/>
      <c r="DQ780" s="30"/>
      <c r="DR780" s="30"/>
      <c r="DS780" s="30"/>
      <c r="DT780" s="30"/>
      <c r="DU780" s="30"/>
      <c r="DV780" s="30"/>
      <c r="DW780" s="30"/>
    </row>
    <row r="781" spans="1:127" ht="13">
      <c r="A781" s="39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30"/>
      <c r="BP781" s="30"/>
      <c r="BQ781" s="30"/>
      <c r="BR781" s="30"/>
      <c r="BS781" s="30"/>
      <c r="BT781" s="30"/>
      <c r="BU781" s="30"/>
      <c r="BV781" s="30"/>
      <c r="BW781" s="30"/>
      <c r="BX781" s="30"/>
      <c r="BY781" s="30"/>
      <c r="BZ781" s="30"/>
      <c r="CA781" s="30"/>
      <c r="CB781" s="30"/>
      <c r="CC781" s="30"/>
      <c r="CD781" s="30"/>
      <c r="CE781" s="30"/>
      <c r="CF781" s="30"/>
      <c r="CG781" s="30"/>
      <c r="CH781" s="30"/>
      <c r="CI781" s="30"/>
      <c r="CJ781" s="30"/>
      <c r="CK781" s="30"/>
      <c r="CL781" s="30"/>
      <c r="CM781" s="30"/>
      <c r="CN781" s="30"/>
      <c r="CO781" s="30"/>
      <c r="CP781" s="30"/>
      <c r="CQ781" s="30"/>
      <c r="CR781" s="30"/>
      <c r="CS781" s="30"/>
      <c r="CT781" s="30"/>
      <c r="CU781" s="30"/>
      <c r="CV781" s="30"/>
      <c r="CW781" s="30"/>
      <c r="CX781" s="30"/>
      <c r="CY781" s="30"/>
      <c r="CZ781" s="30"/>
      <c r="DA781" s="30"/>
      <c r="DB781" s="30"/>
      <c r="DC781" s="30"/>
      <c r="DD781" s="30"/>
      <c r="DE781" s="30"/>
      <c r="DF781" s="30"/>
      <c r="DG781" s="30"/>
      <c r="DH781" s="30"/>
      <c r="DI781" s="30"/>
      <c r="DJ781" s="30"/>
      <c r="DK781" s="30"/>
      <c r="DL781" s="30"/>
      <c r="DM781" s="30"/>
      <c r="DN781" s="30"/>
      <c r="DO781" s="30"/>
      <c r="DP781" s="30"/>
      <c r="DQ781" s="30"/>
      <c r="DR781" s="30"/>
      <c r="DS781" s="30"/>
      <c r="DT781" s="30"/>
      <c r="DU781" s="30"/>
      <c r="DV781" s="30"/>
      <c r="DW781" s="30"/>
    </row>
    <row r="782" spans="1:127" ht="13">
      <c r="A782" s="39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  <c r="BP782" s="30"/>
      <c r="BQ782" s="30"/>
      <c r="BR782" s="30"/>
      <c r="BS782" s="30"/>
      <c r="BT782" s="30"/>
      <c r="BU782" s="30"/>
      <c r="BV782" s="30"/>
      <c r="BW782" s="30"/>
      <c r="BX782" s="30"/>
      <c r="BY782" s="30"/>
      <c r="BZ782" s="30"/>
      <c r="CA782" s="30"/>
      <c r="CB782" s="30"/>
      <c r="CC782" s="30"/>
      <c r="CD782" s="30"/>
      <c r="CE782" s="30"/>
      <c r="CF782" s="30"/>
      <c r="CG782" s="30"/>
      <c r="CH782" s="30"/>
      <c r="CI782" s="30"/>
      <c r="CJ782" s="30"/>
      <c r="CK782" s="30"/>
      <c r="CL782" s="30"/>
      <c r="CM782" s="30"/>
      <c r="CN782" s="30"/>
      <c r="CO782" s="30"/>
      <c r="CP782" s="30"/>
      <c r="CQ782" s="30"/>
      <c r="CR782" s="30"/>
      <c r="CS782" s="30"/>
      <c r="CT782" s="30"/>
      <c r="CU782" s="30"/>
      <c r="CV782" s="30"/>
      <c r="CW782" s="30"/>
      <c r="CX782" s="30"/>
      <c r="CY782" s="30"/>
      <c r="CZ782" s="30"/>
      <c r="DA782" s="30"/>
      <c r="DB782" s="30"/>
      <c r="DC782" s="30"/>
      <c r="DD782" s="30"/>
      <c r="DE782" s="30"/>
      <c r="DF782" s="30"/>
      <c r="DG782" s="30"/>
      <c r="DH782" s="30"/>
      <c r="DI782" s="30"/>
      <c r="DJ782" s="30"/>
      <c r="DK782" s="30"/>
      <c r="DL782" s="30"/>
      <c r="DM782" s="30"/>
      <c r="DN782" s="30"/>
      <c r="DO782" s="30"/>
      <c r="DP782" s="30"/>
      <c r="DQ782" s="30"/>
      <c r="DR782" s="30"/>
      <c r="DS782" s="30"/>
      <c r="DT782" s="30"/>
      <c r="DU782" s="30"/>
      <c r="DV782" s="30"/>
      <c r="DW782" s="30"/>
    </row>
    <row r="783" spans="1:127" ht="13">
      <c r="A783" s="39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30"/>
      <c r="BP783" s="30"/>
      <c r="BQ783" s="30"/>
      <c r="BR783" s="30"/>
      <c r="BS783" s="30"/>
      <c r="BT783" s="30"/>
      <c r="BU783" s="30"/>
      <c r="BV783" s="30"/>
      <c r="BW783" s="30"/>
      <c r="BX783" s="30"/>
      <c r="BY783" s="30"/>
      <c r="BZ783" s="30"/>
      <c r="CA783" s="30"/>
      <c r="CB783" s="30"/>
      <c r="CC783" s="30"/>
      <c r="CD783" s="30"/>
      <c r="CE783" s="30"/>
      <c r="CF783" s="30"/>
      <c r="CG783" s="30"/>
      <c r="CH783" s="30"/>
      <c r="CI783" s="30"/>
      <c r="CJ783" s="30"/>
      <c r="CK783" s="30"/>
      <c r="CL783" s="30"/>
      <c r="CM783" s="30"/>
      <c r="CN783" s="30"/>
      <c r="CO783" s="30"/>
      <c r="CP783" s="30"/>
      <c r="CQ783" s="30"/>
      <c r="CR783" s="30"/>
      <c r="CS783" s="30"/>
      <c r="CT783" s="30"/>
      <c r="CU783" s="30"/>
      <c r="CV783" s="30"/>
      <c r="CW783" s="30"/>
      <c r="CX783" s="30"/>
      <c r="CY783" s="30"/>
      <c r="CZ783" s="30"/>
      <c r="DA783" s="30"/>
      <c r="DB783" s="30"/>
      <c r="DC783" s="30"/>
      <c r="DD783" s="30"/>
      <c r="DE783" s="30"/>
      <c r="DF783" s="30"/>
      <c r="DG783" s="30"/>
      <c r="DH783" s="30"/>
      <c r="DI783" s="30"/>
      <c r="DJ783" s="30"/>
      <c r="DK783" s="30"/>
      <c r="DL783" s="30"/>
      <c r="DM783" s="30"/>
      <c r="DN783" s="30"/>
      <c r="DO783" s="30"/>
      <c r="DP783" s="30"/>
      <c r="DQ783" s="30"/>
      <c r="DR783" s="30"/>
      <c r="DS783" s="30"/>
      <c r="DT783" s="30"/>
      <c r="DU783" s="30"/>
      <c r="DV783" s="30"/>
      <c r="DW783" s="30"/>
    </row>
    <row r="784" spans="1:127" ht="13">
      <c r="A784" s="39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30"/>
      <c r="BP784" s="30"/>
      <c r="BQ784" s="30"/>
      <c r="BR784" s="30"/>
      <c r="BS784" s="30"/>
      <c r="BT784" s="30"/>
      <c r="BU784" s="30"/>
      <c r="BV784" s="30"/>
      <c r="BW784" s="30"/>
      <c r="BX784" s="30"/>
      <c r="BY784" s="30"/>
      <c r="BZ784" s="30"/>
      <c r="CA784" s="30"/>
      <c r="CB784" s="30"/>
      <c r="CC784" s="30"/>
      <c r="CD784" s="30"/>
      <c r="CE784" s="30"/>
      <c r="CF784" s="30"/>
      <c r="CG784" s="30"/>
      <c r="CH784" s="30"/>
      <c r="CI784" s="30"/>
      <c r="CJ784" s="30"/>
      <c r="CK784" s="30"/>
      <c r="CL784" s="30"/>
      <c r="CM784" s="30"/>
      <c r="CN784" s="30"/>
      <c r="CO784" s="30"/>
      <c r="CP784" s="30"/>
      <c r="CQ784" s="30"/>
      <c r="CR784" s="30"/>
      <c r="CS784" s="30"/>
      <c r="CT784" s="30"/>
      <c r="CU784" s="30"/>
      <c r="CV784" s="30"/>
      <c r="CW784" s="30"/>
      <c r="CX784" s="30"/>
      <c r="CY784" s="30"/>
      <c r="CZ784" s="30"/>
      <c r="DA784" s="30"/>
      <c r="DB784" s="30"/>
      <c r="DC784" s="30"/>
      <c r="DD784" s="30"/>
      <c r="DE784" s="30"/>
      <c r="DF784" s="30"/>
      <c r="DG784" s="30"/>
      <c r="DH784" s="30"/>
      <c r="DI784" s="30"/>
      <c r="DJ784" s="30"/>
      <c r="DK784" s="30"/>
      <c r="DL784" s="30"/>
      <c r="DM784" s="30"/>
      <c r="DN784" s="30"/>
      <c r="DO784" s="30"/>
      <c r="DP784" s="30"/>
      <c r="DQ784" s="30"/>
      <c r="DR784" s="30"/>
      <c r="DS784" s="30"/>
      <c r="DT784" s="30"/>
      <c r="DU784" s="30"/>
      <c r="DV784" s="30"/>
      <c r="DW784" s="30"/>
    </row>
    <row r="785" spans="1:127" ht="13">
      <c r="A785" s="39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30"/>
      <c r="BP785" s="30"/>
      <c r="BQ785" s="30"/>
      <c r="BR785" s="30"/>
      <c r="BS785" s="30"/>
      <c r="BT785" s="30"/>
      <c r="BU785" s="30"/>
      <c r="BV785" s="30"/>
      <c r="BW785" s="30"/>
      <c r="BX785" s="30"/>
      <c r="BY785" s="30"/>
      <c r="BZ785" s="30"/>
      <c r="CA785" s="30"/>
      <c r="CB785" s="30"/>
      <c r="CC785" s="30"/>
      <c r="CD785" s="30"/>
      <c r="CE785" s="30"/>
      <c r="CF785" s="30"/>
      <c r="CG785" s="30"/>
      <c r="CH785" s="30"/>
      <c r="CI785" s="30"/>
      <c r="CJ785" s="30"/>
      <c r="CK785" s="30"/>
      <c r="CL785" s="30"/>
      <c r="CM785" s="30"/>
      <c r="CN785" s="30"/>
      <c r="CO785" s="30"/>
      <c r="CP785" s="30"/>
      <c r="CQ785" s="30"/>
      <c r="CR785" s="30"/>
      <c r="CS785" s="30"/>
      <c r="CT785" s="30"/>
      <c r="CU785" s="30"/>
      <c r="CV785" s="30"/>
      <c r="CW785" s="30"/>
      <c r="CX785" s="30"/>
      <c r="CY785" s="30"/>
      <c r="CZ785" s="30"/>
      <c r="DA785" s="30"/>
      <c r="DB785" s="30"/>
      <c r="DC785" s="30"/>
      <c r="DD785" s="30"/>
      <c r="DE785" s="30"/>
      <c r="DF785" s="30"/>
      <c r="DG785" s="30"/>
      <c r="DH785" s="30"/>
      <c r="DI785" s="30"/>
      <c r="DJ785" s="30"/>
      <c r="DK785" s="30"/>
      <c r="DL785" s="30"/>
      <c r="DM785" s="30"/>
      <c r="DN785" s="30"/>
      <c r="DO785" s="30"/>
      <c r="DP785" s="30"/>
      <c r="DQ785" s="30"/>
      <c r="DR785" s="30"/>
      <c r="DS785" s="30"/>
      <c r="DT785" s="30"/>
      <c r="DU785" s="30"/>
      <c r="DV785" s="30"/>
      <c r="DW785" s="30"/>
    </row>
    <row r="786" spans="1:127" ht="13">
      <c r="A786" s="39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30"/>
      <c r="BP786" s="30"/>
      <c r="BQ786" s="30"/>
      <c r="BR786" s="30"/>
      <c r="BS786" s="30"/>
      <c r="BT786" s="30"/>
      <c r="BU786" s="30"/>
      <c r="BV786" s="30"/>
      <c r="BW786" s="30"/>
      <c r="BX786" s="30"/>
      <c r="BY786" s="30"/>
      <c r="BZ786" s="30"/>
      <c r="CA786" s="30"/>
      <c r="CB786" s="30"/>
      <c r="CC786" s="30"/>
      <c r="CD786" s="30"/>
      <c r="CE786" s="30"/>
      <c r="CF786" s="30"/>
      <c r="CG786" s="30"/>
      <c r="CH786" s="30"/>
      <c r="CI786" s="30"/>
      <c r="CJ786" s="30"/>
      <c r="CK786" s="30"/>
      <c r="CL786" s="30"/>
      <c r="CM786" s="30"/>
      <c r="CN786" s="30"/>
      <c r="CO786" s="30"/>
      <c r="CP786" s="30"/>
      <c r="CQ786" s="30"/>
      <c r="CR786" s="30"/>
      <c r="CS786" s="30"/>
      <c r="CT786" s="30"/>
      <c r="CU786" s="30"/>
      <c r="CV786" s="30"/>
      <c r="CW786" s="30"/>
      <c r="CX786" s="30"/>
      <c r="CY786" s="30"/>
      <c r="CZ786" s="30"/>
      <c r="DA786" s="30"/>
      <c r="DB786" s="30"/>
      <c r="DC786" s="30"/>
      <c r="DD786" s="30"/>
      <c r="DE786" s="30"/>
      <c r="DF786" s="30"/>
      <c r="DG786" s="30"/>
      <c r="DH786" s="30"/>
      <c r="DI786" s="30"/>
      <c r="DJ786" s="30"/>
      <c r="DK786" s="30"/>
      <c r="DL786" s="30"/>
      <c r="DM786" s="30"/>
      <c r="DN786" s="30"/>
      <c r="DO786" s="30"/>
      <c r="DP786" s="30"/>
      <c r="DQ786" s="30"/>
      <c r="DR786" s="30"/>
      <c r="DS786" s="30"/>
      <c r="DT786" s="30"/>
      <c r="DU786" s="30"/>
      <c r="DV786" s="30"/>
      <c r="DW786" s="30"/>
    </row>
    <row r="787" spans="1:127" ht="13">
      <c r="A787" s="39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30"/>
      <c r="BP787" s="30"/>
      <c r="BQ787" s="30"/>
      <c r="BR787" s="30"/>
      <c r="BS787" s="30"/>
      <c r="BT787" s="30"/>
      <c r="BU787" s="30"/>
      <c r="BV787" s="30"/>
      <c r="BW787" s="30"/>
      <c r="BX787" s="30"/>
      <c r="BY787" s="30"/>
      <c r="BZ787" s="30"/>
      <c r="CA787" s="30"/>
      <c r="CB787" s="30"/>
      <c r="CC787" s="30"/>
      <c r="CD787" s="30"/>
      <c r="CE787" s="30"/>
      <c r="CF787" s="30"/>
      <c r="CG787" s="30"/>
      <c r="CH787" s="30"/>
      <c r="CI787" s="30"/>
      <c r="CJ787" s="30"/>
      <c r="CK787" s="30"/>
      <c r="CL787" s="30"/>
      <c r="CM787" s="30"/>
      <c r="CN787" s="30"/>
      <c r="CO787" s="30"/>
      <c r="CP787" s="30"/>
      <c r="CQ787" s="30"/>
      <c r="CR787" s="30"/>
      <c r="CS787" s="30"/>
      <c r="CT787" s="30"/>
      <c r="CU787" s="30"/>
      <c r="CV787" s="30"/>
      <c r="CW787" s="30"/>
      <c r="CX787" s="30"/>
      <c r="CY787" s="30"/>
      <c r="CZ787" s="30"/>
      <c r="DA787" s="30"/>
      <c r="DB787" s="30"/>
      <c r="DC787" s="30"/>
      <c r="DD787" s="30"/>
      <c r="DE787" s="30"/>
      <c r="DF787" s="30"/>
      <c r="DG787" s="30"/>
      <c r="DH787" s="30"/>
      <c r="DI787" s="30"/>
      <c r="DJ787" s="30"/>
      <c r="DK787" s="30"/>
      <c r="DL787" s="30"/>
      <c r="DM787" s="30"/>
      <c r="DN787" s="30"/>
      <c r="DO787" s="30"/>
      <c r="DP787" s="30"/>
      <c r="DQ787" s="30"/>
      <c r="DR787" s="30"/>
      <c r="DS787" s="30"/>
      <c r="DT787" s="30"/>
      <c r="DU787" s="30"/>
      <c r="DV787" s="30"/>
      <c r="DW787" s="30"/>
    </row>
    <row r="788" spans="1:127" ht="13">
      <c r="A788" s="39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30"/>
      <c r="BP788" s="30"/>
      <c r="BQ788" s="30"/>
      <c r="BR788" s="30"/>
      <c r="BS788" s="30"/>
      <c r="BT788" s="30"/>
      <c r="BU788" s="30"/>
      <c r="BV788" s="30"/>
      <c r="BW788" s="30"/>
      <c r="BX788" s="30"/>
      <c r="BY788" s="30"/>
      <c r="BZ788" s="30"/>
      <c r="CA788" s="30"/>
      <c r="CB788" s="30"/>
      <c r="CC788" s="30"/>
      <c r="CD788" s="30"/>
      <c r="CE788" s="30"/>
      <c r="CF788" s="30"/>
      <c r="CG788" s="30"/>
      <c r="CH788" s="30"/>
      <c r="CI788" s="30"/>
      <c r="CJ788" s="30"/>
      <c r="CK788" s="30"/>
      <c r="CL788" s="30"/>
      <c r="CM788" s="30"/>
      <c r="CN788" s="30"/>
      <c r="CO788" s="30"/>
      <c r="CP788" s="30"/>
      <c r="CQ788" s="30"/>
      <c r="CR788" s="30"/>
      <c r="CS788" s="30"/>
      <c r="CT788" s="30"/>
      <c r="CU788" s="30"/>
      <c r="CV788" s="30"/>
      <c r="CW788" s="30"/>
      <c r="CX788" s="30"/>
      <c r="CY788" s="30"/>
      <c r="CZ788" s="30"/>
      <c r="DA788" s="30"/>
      <c r="DB788" s="30"/>
      <c r="DC788" s="30"/>
      <c r="DD788" s="30"/>
      <c r="DE788" s="30"/>
      <c r="DF788" s="30"/>
      <c r="DG788" s="30"/>
      <c r="DH788" s="30"/>
      <c r="DI788" s="30"/>
      <c r="DJ788" s="30"/>
      <c r="DK788" s="30"/>
      <c r="DL788" s="30"/>
      <c r="DM788" s="30"/>
      <c r="DN788" s="30"/>
      <c r="DO788" s="30"/>
      <c r="DP788" s="30"/>
      <c r="DQ788" s="30"/>
      <c r="DR788" s="30"/>
      <c r="DS788" s="30"/>
      <c r="DT788" s="30"/>
      <c r="DU788" s="30"/>
      <c r="DV788" s="30"/>
      <c r="DW788" s="30"/>
    </row>
    <row r="789" spans="1:127" ht="13">
      <c r="A789" s="39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0"/>
      <c r="BQ789" s="30"/>
      <c r="BR789" s="30"/>
      <c r="BS789" s="30"/>
      <c r="BT789" s="30"/>
      <c r="BU789" s="30"/>
      <c r="BV789" s="30"/>
      <c r="BW789" s="30"/>
      <c r="BX789" s="30"/>
      <c r="BY789" s="30"/>
      <c r="BZ789" s="30"/>
      <c r="CA789" s="30"/>
      <c r="CB789" s="30"/>
      <c r="CC789" s="30"/>
      <c r="CD789" s="30"/>
      <c r="CE789" s="30"/>
      <c r="CF789" s="30"/>
      <c r="CG789" s="30"/>
      <c r="CH789" s="30"/>
      <c r="CI789" s="30"/>
      <c r="CJ789" s="30"/>
      <c r="CK789" s="30"/>
      <c r="CL789" s="30"/>
      <c r="CM789" s="30"/>
      <c r="CN789" s="30"/>
      <c r="CO789" s="30"/>
      <c r="CP789" s="30"/>
      <c r="CQ789" s="30"/>
      <c r="CR789" s="30"/>
      <c r="CS789" s="30"/>
      <c r="CT789" s="30"/>
      <c r="CU789" s="30"/>
      <c r="CV789" s="30"/>
      <c r="CW789" s="30"/>
      <c r="CX789" s="30"/>
      <c r="CY789" s="30"/>
      <c r="CZ789" s="30"/>
      <c r="DA789" s="30"/>
      <c r="DB789" s="30"/>
      <c r="DC789" s="30"/>
      <c r="DD789" s="30"/>
      <c r="DE789" s="30"/>
      <c r="DF789" s="30"/>
      <c r="DG789" s="30"/>
      <c r="DH789" s="30"/>
      <c r="DI789" s="30"/>
      <c r="DJ789" s="30"/>
      <c r="DK789" s="30"/>
      <c r="DL789" s="30"/>
      <c r="DM789" s="30"/>
      <c r="DN789" s="30"/>
      <c r="DO789" s="30"/>
      <c r="DP789" s="30"/>
      <c r="DQ789" s="30"/>
      <c r="DR789" s="30"/>
      <c r="DS789" s="30"/>
      <c r="DT789" s="30"/>
      <c r="DU789" s="30"/>
      <c r="DV789" s="30"/>
      <c r="DW789" s="30"/>
    </row>
    <row r="790" spans="1:127" ht="13">
      <c r="A790" s="39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30"/>
      <c r="BP790" s="30"/>
      <c r="BQ790" s="30"/>
      <c r="BR790" s="30"/>
      <c r="BS790" s="30"/>
      <c r="BT790" s="30"/>
      <c r="BU790" s="30"/>
      <c r="BV790" s="30"/>
      <c r="BW790" s="30"/>
      <c r="BX790" s="30"/>
      <c r="BY790" s="30"/>
      <c r="BZ790" s="30"/>
      <c r="CA790" s="30"/>
      <c r="CB790" s="30"/>
      <c r="CC790" s="30"/>
      <c r="CD790" s="30"/>
      <c r="CE790" s="30"/>
      <c r="CF790" s="30"/>
      <c r="CG790" s="30"/>
      <c r="CH790" s="30"/>
      <c r="CI790" s="30"/>
      <c r="CJ790" s="30"/>
      <c r="CK790" s="30"/>
      <c r="CL790" s="30"/>
      <c r="CM790" s="30"/>
      <c r="CN790" s="30"/>
      <c r="CO790" s="30"/>
      <c r="CP790" s="30"/>
      <c r="CQ790" s="30"/>
      <c r="CR790" s="30"/>
      <c r="CS790" s="30"/>
      <c r="CT790" s="30"/>
      <c r="CU790" s="30"/>
      <c r="CV790" s="30"/>
      <c r="CW790" s="30"/>
      <c r="CX790" s="30"/>
      <c r="CY790" s="30"/>
      <c r="CZ790" s="30"/>
      <c r="DA790" s="30"/>
      <c r="DB790" s="30"/>
      <c r="DC790" s="30"/>
      <c r="DD790" s="30"/>
      <c r="DE790" s="30"/>
      <c r="DF790" s="30"/>
      <c r="DG790" s="30"/>
      <c r="DH790" s="30"/>
      <c r="DI790" s="30"/>
      <c r="DJ790" s="30"/>
      <c r="DK790" s="30"/>
      <c r="DL790" s="30"/>
      <c r="DM790" s="30"/>
      <c r="DN790" s="30"/>
      <c r="DO790" s="30"/>
      <c r="DP790" s="30"/>
      <c r="DQ790" s="30"/>
      <c r="DR790" s="30"/>
      <c r="DS790" s="30"/>
      <c r="DT790" s="30"/>
      <c r="DU790" s="30"/>
      <c r="DV790" s="30"/>
      <c r="DW790" s="30"/>
    </row>
    <row r="791" spans="1:127" ht="13">
      <c r="A791" s="39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  <c r="BP791" s="30"/>
      <c r="BQ791" s="30"/>
      <c r="BR791" s="30"/>
      <c r="BS791" s="30"/>
      <c r="BT791" s="30"/>
      <c r="BU791" s="30"/>
      <c r="BV791" s="30"/>
      <c r="BW791" s="30"/>
      <c r="BX791" s="30"/>
      <c r="BY791" s="30"/>
      <c r="BZ791" s="30"/>
      <c r="CA791" s="30"/>
      <c r="CB791" s="30"/>
      <c r="CC791" s="30"/>
      <c r="CD791" s="30"/>
      <c r="CE791" s="30"/>
      <c r="CF791" s="30"/>
      <c r="CG791" s="30"/>
      <c r="CH791" s="30"/>
      <c r="CI791" s="30"/>
      <c r="CJ791" s="30"/>
      <c r="CK791" s="30"/>
      <c r="CL791" s="30"/>
      <c r="CM791" s="30"/>
      <c r="CN791" s="30"/>
      <c r="CO791" s="30"/>
      <c r="CP791" s="30"/>
      <c r="CQ791" s="30"/>
      <c r="CR791" s="30"/>
      <c r="CS791" s="30"/>
      <c r="CT791" s="30"/>
      <c r="CU791" s="30"/>
      <c r="CV791" s="30"/>
      <c r="CW791" s="30"/>
      <c r="CX791" s="30"/>
      <c r="CY791" s="30"/>
      <c r="CZ791" s="30"/>
      <c r="DA791" s="30"/>
      <c r="DB791" s="30"/>
      <c r="DC791" s="30"/>
      <c r="DD791" s="30"/>
      <c r="DE791" s="30"/>
      <c r="DF791" s="30"/>
      <c r="DG791" s="30"/>
      <c r="DH791" s="30"/>
      <c r="DI791" s="30"/>
      <c r="DJ791" s="30"/>
      <c r="DK791" s="30"/>
      <c r="DL791" s="30"/>
      <c r="DM791" s="30"/>
      <c r="DN791" s="30"/>
      <c r="DO791" s="30"/>
      <c r="DP791" s="30"/>
      <c r="DQ791" s="30"/>
      <c r="DR791" s="30"/>
      <c r="DS791" s="30"/>
      <c r="DT791" s="30"/>
      <c r="DU791" s="30"/>
      <c r="DV791" s="30"/>
      <c r="DW791" s="30"/>
    </row>
    <row r="792" spans="1:127" ht="13">
      <c r="A792" s="39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30"/>
      <c r="BP792" s="30"/>
      <c r="BQ792" s="30"/>
      <c r="BR792" s="30"/>
      <c r="BS792" s="30"/>
      <c r="BT792" s="30"/>
      <c r="BU792" s="30"/>
      <c r="BV792" s="30"/>
      <c r="BW792" s="30"/>
      <c r="BX792" s="30"/>
      <c r="BY792" s="30"/>
      <c r="BZ792" s="30"/>
      <c r="CA792" s="30"/>
      <c r="CB792" s="30"/>
      <c r="CC792" s="30"/>
      <c r="CD792" s="30"/>
      <c r="CE792" s="30"/>
      <c r="CF792" s="30"/>
      <c r="CG792" s="30"/>
      <c r="CH792" s="30"/>
      <c r="CI792" s="30"/>
      <c r="CJ792" s="30"/>
      <c r="CK792" s="30"/>
      <c r="CL792" s="30"/>
      <c r="CM792" s="30"/>
      <c r="CN792" s="30"/>
      <c r="CO792" s="30"/>
      <c r="CP792" s="30"/>
      <c r="CQ792" s="30"/>
      <c r="CR792" s="30"/>
      <c r="CS792" s="30"/>
      <c r="CT792" s="30"/>
      <c r="CU792" s="30"/>
      <c r="CV792" s="30"/>
      <c r="CW792" s="30"/>
      <c r="CX792" s="30"/>
      <c r="CY792" s="30"/>
      <c r="CZ792" s="30"/>
      <c r="DA792" s="30"/>
      <c r="DB792" s="30"/>
      <c r="DC792" s="30"/>
      <c r="DD792" s="30"/>
      <c r="DE792" s="30"/>
      <c r="DF792" s="30"/>
      <c r="DG792" s="30"/>
      <c r="DH792" s="30"/>
      <c r="DI792" s="30"/>
      <c r="DJ792" s="30"/>
      <c r="DK792" s="30"/>
      <c r="DL792" s="30"/>
      <c r="DM792" s="30"/>
      <c r="DN792" s="30"/>
      <c r="DO792" s="30"/>
      <c r="DP792" s="30"/>
      <c r="DQ792" s="30"/>
      <c r="DR792" s="30"/>
      <c r="DS792" s="30"/>
      <c r="DT792" s="30"/>
      <c r="DU792" s="30"/>
      <c r="DV792" s="30"/>
      <c r="DW792" s="30"/>
    </row>
    <row r="793" spans="1:127" ht="13">
      <c r="A793" s="39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30"/>
      <c r="BP793" s="30"/>
      <c r="BQ793" s="30"/>
      <c r="BR793" s="30"/>
      <c r="BS793" s="30"/>
      <c r="BT793" s="30"/>
      <c r="BU793" s="30"/>
      <c r="BV793" s="30"/>
      <c r="BW793" s="30"/>
      <c r="BX793" s="30"/>
      <c r="BY793" s="30"/>
      <c r="BZ793" s="30"/>
      <c r="CA793" s="30"/>
      <c r="CB793" s="30"/>
      <c r="CC793" s="30"/>
      <c r="CD793" s="30"/>
      <c r="CE793" s="30"/>
      <c r="CF793" s="30"/>
      <c r="CG793" s="30"/>
      <c r="CH793" s="30"/>
      <c r="CI793" s="30"/>
      <c r="CJ793" s="30"/>
      <c r="CK793" s="30"/>
      <c r="CL793" s="30"/>
      <c r="CM793" s="30"/>
      <c r="CN793" s="30"/>
      <c r="CO793" s="30"/>
      <c r="CP793" s="30"/>
      <c r="CQ793" s="30"/>
      <c r="CR793" s="30"/>
      <c r="CS793" s="30"/>
      <c r="CT793" s="30"/>
      <c r="CU793" s="30"/>
      <c r="CV793" s="30"/>
      <c r="CW793" s="30"/>
      <c r="CX793" s="30"/>
      <c r="CY793" s="30"/>
      <c r="CZ793" s="30"/>
      <c r="DA793" s="30"/>
      <c r="DB793" s="30"/>
      <c r="DC793" s="30"/>
      <c r="DD793" s="30"/>
      <c r="DE793" s="30"/>
      <c r="DF793" s="30"/>
      <c r="DG793" s="30"/>
      <c r="DH793" s="30"/>
      <c r="DI793" s="30"/>
      <c r="DJ793" s="30"/>
      <c r="DK793" s="30"/>
      <c r="DL793" s="30"/>
      <c r="DM793" s="30"/>
      <c r="DN793" s="30"/>
      <c r="DO793" s="30"/>
      <c r="DP793" s="30"/>
      <c r="DQ793" s="30"/>
      <c r="DR793" s="30"/>
      <c r="DS793" s="30"/>
      <c r="DT793" s="30"/>
      <c r="DU793" s="30"/>
      <c r="DV793" s="30"/>
      <c r="DW793" s="30"/>
    </row>
    <row r="794" spans="1:127" ht="13">
      <c r="A794" s="39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30"/>
      <c r="BP794" s="30"/>
      <c r="BQ794" s="30"/>
      <c r="BR794" s="30"/>
      <c r="BS794" s="30"/>
      <c r="BT794" s="30"/>
      <c r="BU794" s="30"/>
      <c r="BV794" s="30"/>
      <c r="BW794" s="30"/>
      <c r="BX794" s="30"/>
      <c r="BY794" s="30"/>
      <c r="BZ794" s="30"/>
      <c r="CA794" s="30"/>
      <c r="CB794" s="30"/>
      <c r="CC794" s="30"/>
      <c r="CD794" s="30"/>
      <c r="CE794" s="30"/>
      <c r="CF794" s="30"/>
      <c r="CG794" s="30"/>
      <c r="CH794" s="30"/>
      <c r="CI794" s="30"/>
      <c r="CJ794" s="30"/>
      <c r="CK794" s="30"/>
      <c r="CL794" s="30"/>
      <c r="CM794" s="30"/>
      <c r="CN794" s="30"/>
      <c r="CO794" s="30"/>
      <c r="CP794" s="30"/>
      <c r="CQ794" s="30"/>
      <c r="CR794" s="30"/>
      <c r="CS794" s="30"/>
      <c r="CT794" s="30"/>
      <c r="CU794" s="30"/>
      <c r="CV794" s="30"/>
      <c r="CW794" s="30"/>
      <c r="CX794" s="30"/>
      <c r="CY794" s="30"/>
      <c r="CZ794" s="30"/>
      <c r="DA794" s="30"/>
      <c r="DB794" s="30"/>
      <c r="DC794" s="30"/>
      <c r="DD794" s="30"/>
      <c r="DE794" s="30"/>
      <c r="DF794" s="30"/>
      <c r="DG794" s="30"/>
      <c r="DH794" s="30"/>
      <c r="DI794" s="30"/>
      <c r="DJ794" s="30"/>
      <c r="DK794" s="30"/>
      <c r="DL794" s="30"/>
      <c r="DM794" s="30"/>
      <c r="DN794" s="30"/>
      <c r="DO794" s="30"/>
      <c r="DP794" s="30"/>
      <c r="DQ794" s="30"/>
      <c r="DR794" s="30"/>
      <c r="DS794" s="30"/>
      <c r="DT794" s="30"/>
      <c r="DU794" s="30"/>
      <c r="DV794" s="30"/>
      <c r="DW794" s="30"/>
    </row>
    <row r="795" spans="1:127" ht="13">
      <c r="A795" s="39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  <c r="BN795" s="30"/>
      <c r="BO795" s="30"/>
      <c r="BP795" s="30"/>
      <c r="BQ795" s="30"/>
      <c r="BR795" s="30"/>
      <c r="BS795" s="30"/>
      <c r="BT795" s="30"/>
      <c r="BU795" s="30"/>
      <c r="BV795" s="30"/>
      <c r="BW795" s="30"/>
      <c r="BX795" s="30"/>
      <c r="BY795" s="30"/>
      <c r="BZ795" s="30"/>
      <c r="CA795" s="30"/>
      <c r="CB795" s="30"/>
      <c r="CC795" s="30"/>
      <c r="CD795" s="30"/>
      <c r="CE795" s="30"/>
      <c r="CF795" s="30"/>
      <c r="CG795" s="30"/>
      <c r="CH795" s="30"/>
      <c r="CI795" s="30"/>
      <c r="CJ795" s="30"/>
      <c r="CK795" s="30"/>
      <c r="CL795" s="30"/>
      <c r="CM795" s="30"/>
      <c r="CN795" s="30"/>
      <c r="CO795" s="30"/>
      <c r="CP795" s="30"/>
      <c r="CQ795" s="30"/>
      <c r="CR795" s="30"/>
      <c r="CS795" s="30"/>
      <c r="CT795" s="30"/>
      <c r="CU795" s="30"/>
      <c r="CV795" s="30"/>
      <c r="CW795" s="30"/>
      <c r="CX795" s="30"/>
      <c r="CY795" s="30"/>
      <c r="CZ795" s="30"/>
      <c r="DA795" s="30"/>
      <c r="DB795" s="30"/>
      <c r="DC795" s="30"/>
      <c r="DD795" s="30"/>
      <c r="DE795" s="30"/>
      <c r="DF795" s="30"/>
      <c r="DG795" s="30"/>
      <c r="DH795" s="30"/>
      <c r="DI795" s="30"/>
      <c r="DJ795" s="30"/>
      <c r="DK795" s="30"/>
      <c r="DL795" s="30"/>
      <c r="DM795" s="30"/>
      <c r="DN795" s="30"/>
      <c r="DO795" s="30"/>
      <c r="DP795" s="30"/>
      <c r="DQ795" s="30"/>
      <c r="DR795" s="30"/>
      <c r="DS795" s="30"/>
      <c r="DT795" s="30"/>
      <c r="DU795" s="30"/>
      <c r="DV795" s="30"/>
      <c r="DW795" s="30"/>
    </row>
    <row r="796" spans="1:127" ht="13">
      <c r="A796" s="39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30"/>
      <c r="BP796" s="30"/>
      <c r="BQ796" s="30"/>
      <c r="BR796" s="30"/>
      <c r="BS796" s="30"/>
      <c r="BT796" s="30"/>
      <c r="BU796" s="30"/>
      <c r="BV796" s="30"/>
      <c r="BW796" s="30"/>
      <c r="BX796" s="30"/>
      <c r="BY796" s="30"/>
      <c r="BZ796" s="30"/>
      <c r="CA796" s="30"/>
      <c r="CB796" s="30"/>
      <c r="CC796" s="30"/>
      <c r="CD796" s="30"/>
      <c r="CE796" s="30"/>
      <c r="CF796" s="30"/>
      <c r="CG796" s="30"/>
      <c r="CH796" s="30"/>
      <c r="CI796" s="30"/>
      <c r="CJ796" s="30"/>
      <c r="CK796" s="30"/>
      <c r="CL796" s="30"/>
      <c r="CM796" s="30"/>
      <c r="CN796" s="30"/>
      <c r="CO796" s="30"/>
      <c r="CP796" s="30"/>
      <c r="CQ796" s="30"/>
      <c r="CR796" s="30"/>
      <c r="CS796" s="30"/>
      <c r="CT796" s="30"/>
      <c r="CU796" s="30"/>
      <c r="CV796" s="30"/>
      <c r="CW796" s="30"/>
      <c r="CX796" s="30"/>
      <c r="CY796" s="30"/>
      <c r="CZ796" s="30"/>
      <c r="DA796" s="30"/>
      <c r="DB796" s="30"/>
      <c r="DC796" s="30"/>
      <c r="DD796" s="30"/>
      <c r="DE796" s="30"/>
      <c r="DF796" s="30"/>
      <c r="DG796" s="30"/>
      <c r="DH796" s="30"/>
      <c r="DI796" s="30"/>
      <c r="DJ796" s="30"/>
      <c r="DK796" s="30"/>
      <c r="DL796" s="30"/>
      <c r="DM796" s="30"/>
      <c r="DN796" s="30"/>
      <c r="DO796" s="30"/>
      <c r="DP796" s="30"/>
      <c r="DQ796" s="30"/>
      <c r="DR796" s="30"/>
      <c r="DS796" s="30"/>
      <c r="DT796" s="30"/>
      <c r="DU796" s="30"/>
      <c r="DV796" s="30"/>
      <c r="DW796" s="30"/>
    </row>
    <row r="797" spans="1:127" ht="13">
      <c r="A797" s="39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30"/>
      <c r="BP797" s="30"/>
      <c r="BQ797" s="30"/>
      <c r="BR797" s="30"/>
      <c r="BS797" s="30"/>
      <c r="BT797" s="30"/>
      <c r="BU797" s="30"/>
      <c r="BV797" s="30"/>
      <c r="BW797" s="30"/>
      <c r="BX797" s="30"/>
      <c r="BY797" s="30"/>
      <c r="BZ797" s="30"/>
      <c r="CA797" s="30"/>
      <c r="CB797" s="30"/>
      <c r="CC797" s="30"/>
      <c r="CD797" s="30"/>
      <c r="CE797" s="30"/>
      <c r="CF797" s="30"/>
      <c r="CG797" s="30"/>
      <c r="CH797" s="30"/>
      <c r="CI797" s="30"/>
      <c r="CJ797" s="30"/>
      <c r="CK797" s="30"/>
      <c r="CL797" s="30"/>
      <c r="CM797" s="30"/>
      <c r="CN797" s="30"/>
      <c r="CO797" s="30"/>
      <c r="CP797" s="30"/>
      <c r="CQ797" s="30"/>
      <c r="CR797" s="30"/>
      <c r="CS797" s="30"/>
      <c r="CT797" s="30"/>
      <c r="CU797" s="30"/>
      <c r="CV797" s="30"/>
      <c r="CW797" s="30"/>
      <c r="CX797" s="30"/>
      <c r="CY797" s="30"/>
      <c r="CZ797" s="30"/>
      <c r="DA797" s="30"/>
      <c r="DB797" s="30"/>
      <c r="DC797" s="30"/>
      <c r="DD797" s="30"/>
      <c r="DE797" s="30"/>
      <c r="DF797" s="30"/>
      <c r="DG797" s="30"/>
      <c r="DH797" s="30"/>
      <c r="DI797" s="30"/>
      <c r="DJ797" s="30"/>
      <c r="DK797" s="30"/>
      <c r="DL797" s="30"/>
      <c r="DM797" s="30"/>
      <c r="DN797" s="30"/>
      <c r="DO797" s="30"/>
      <c r="DP797" s="30"/>
      <c r="DQ797" s="30"/>
      <c r="DR797" s="30"/>
      <c r="DS797" s="30"/>
      <c r="DT797" s="30"/>
      <c r="DU797" s="30"/>
      <c r="DV797" s="30"/>
      <c r="DW797" s="30"/>
    </row>
    <row r="798" spans="1:127" ht="13">
      <c r="A798" s="39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30"/>
      <c r="BP798" s="30"/>
      <c r="BQ798" s="30"/>
      <c r="BR798" s="30"/>
      <c r="BS798" s="30"/>
      <c r="BT798" s="30"/>
      <c r="BU798" s="30"/>
      <c r="BV798" s="30"/>
      <c r="BW798" s="30"/>
      <c r="BX798" s="30"/>
      <c r="BY798" s="30"/>
      <c r="BZ798" s="30"/>
      <c r="CA798" s="30"/>
      <c r="CB798" s="30"/>
      <c r="CC798" s="30"/>
      <c r="CD798" s="30"/>
      <c r="CE798" s="30"/>
      <c r="CF798" s="30"/>
      <c r="CG798" s="30"/>
      <c r="CH798" s="30"/>
      <c r="CI798" s="30"/>
      <c r="CJ798" s="30"/>
      <c r="CK798" s="30"/>
      <c r="CL798" s="30"/>
      <c r="CM798" s="30"/>
      <c r="CN798" s="30"/>
      <c r="CO798" s="30"/>
      <c r="CP798" s="30"/>
      <c r="CQ798" s="30"/>
      <c r="CR798" s="30"/>
      <c r="CS798" s="30"/>
      <c r="CT798" s="30"/>
      <c r="CU798" s="30"/>
      <c r="CV798" s="30"/>
      <c r="CW798" s="30"/>
      <c r="CX798" s="30"/>
      <c r="CY798" s="30"/>
      <c r="CZ798" s="30"/>
      <c r="DA798" s="30"/>
      <c r="DB798" s="30"/>
      <c r="DC798" s="30"/>
      <c r="DD798" s="30"/>
      <c r="DE798" s="30"/>
      <c r="DF798" s="30"/>
      <c r="DG798" s="30"/>
      <c r="DH798" s="30"/>
      <c r="DI798" s="30"/>
      <c r="DJ798" s="30"/>
      <c r="DK798" s="30"/>
      <c r="DL798" s="30"/>
      <c r="DM798" s="30"/>
      <c r="DN798" s="30"/>
      <c r="DO798" s="30"/>
      <c r="DP798" s="30"/>
      <c r="DQ798" s="30"/>
      <c r="DR798" s="30"/>
      <c r="DS798" s="30"/>
      <c r="DT798" s="30"/>
      <c r="DU798" s="30"/>
      <c r="DV798" s="30"/>
      <c r="DW798" s="30"/>
    </row>
    <row r="799" spans="1:127" ht="13">
      <c r="A799" s="39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  <c r="BP799" s="30"/>
      <c r="BQ799" s="30"/>
      <c r="BR799" s="30"/>
      <c r="BS799" s="30"/>
      <c r="BT799" s="30"/>
      <c r="BU799" s="30"/>
      <c r="BV799" s="30"/>
      <c r="BW799" s="30"/>
      <c r="BX799" s="30"/>
      <c r="BY799" s="30"/>
      <c r="BZ799" s="30"/>
      <c r="CA799" s="30"/>
      <c r="CB799" s="30"/>
      <c r="CC799" s="30"/>
      <c r="CD799" s="30"/>
      <c r="CE799" s="30"/>
      <c r="CF799" s="30"/>
      <c r="CG799" s="30"/>
      <c r="CH799" s="30"/>
      <c r="CI799" s="30"/>
      <c r="CJ799" s="30"/>
      <c r="CK799" s="30"/>
      <c r="CL799" s="30"/>
      <c r="CM799" s="30"/>
      <c r="CN799" s="30"/>
      <c r="CO799" s="30"/>
      <c r="CP799" s="30"/>
      <c r="CQ799" s="30"/>
      <c r="CR799" s="30"/>
      <c r="CS799" s="30"/>
      <c r="CT799" s="30"/>
      <c r="CU799" s="30"/>
      <c r="CV799" s="30"/>
      <c r="CW799" s="30"/>
      <c r="CX799" s="30"/>
      <c r="CY799" s="30"/>
      <c r="CZ799" s="30"/>
      <c r="DA799" s="30"/>
      <c r="DB799" s="30"/>
      <c r="DC799" s="30"/>
      <c r="DD799" s="30"/>
      <c r="DE799" s="30"/>
      <c r="DF799" s="30"/>
      <c r="DG799" s="30"/>
      <c r="DH799" s="30"/>
      <c r="DI799" s="30"/>
      <c r="DJ799" s="30"/>
      <c r="DK799" s="30"/>
      <c r="DL799" s="30"/>
      <c r="DM799" s="30"/>
      <c r="DN799" s="30"/>
      <c r="DO799" s="30"/>
      <c r="DP799" s="30"/>
      <c r="DQ799" s="30"/>
      <c r="DR799" s="30"/>
      <c r="DS799" s="30"/>
      <c r="DT799" s="30"/>
      <c r="DU799" s="30"/>
      <c r="DV799" s="30"/>
      <c r="DW799" s="30"/>
    </row>
    <row r="800" spans="1:127" ht="13">
      <c r="A800" s="39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30"/>
      <c r="BP800" s="30"/>
      <c r="BQ800" s="30"/>
      <c r="BR800" s="30"/>
      <c r="BS800" s="30"/>
      <c r="BT800" s="30"/>
      <c r="BU800" s="30"/>
      <c r="BV800" s="30"/>
      <c r="BW800" s="30"/>
      <c r="BX800" s="30"/>
      <c r="BY800" s="30"/>
      <c r="BZ800" s="30"/>
      <c r="CA800" s="30"/>
      <c r="CB800" s="30"/>
      <c r="CC800" s="30"/>
      <c r="CD800" s="30"/>
      <c r="CE800" s="30"/>
      <c r="CF800" s="30"/>
      <c r="CG800" s="30"/>
      <c r="CH800" s="30"/>
      <c r="CI800" s="30"/>
      <c r="CJ800" s="30"/>
      <c r="CK800" s="30"/>
      <c r="CL800" s="30"/>
      <c r="CM800" s="30"/>
      <c r="CN800" s="30"/>
      <c r="CO800" s="30"/>
      <c r="CP800" s="30"/>
      <c r="CQ800" s="30"/>
      <c r="CR800" s="30"/>
      <c r="CS800" s="30"/>
      <c r="CT800" s="30"/>
      <c r="CU800" s="30"/>
      <c r="CV800" s="30"/>
      <c r="CW800" s="30"/>
      <c r="CX800" s="30"/>
      <c r="CY800" s="30"/>
      <c r="CZ800" s="30"/>
      <c r="DA800" s="30"/>
      <c r="DB800" s="30"/>
      <c r="DC800" s="30"/>
      <c r="DD800" s="30"/>
      <c r="DE800" s="30"/>
      <c r="DF800" s="30"/>
      <c r="DG800" s="30"/>
      <c r="DH800" s="30"/>
      <c r="DI800" s="30"/>
      <c r="DJ800" s="30"/>
      <c r="DK800" s="30"/>
      <c r="DL800" s="30"/>
      <c r="DM800" s="30"/>
      <c r="DN800" s="30"/>
      <c r="DO800" s="30"/>
      <c r="DP800" s="30"/>
      <c r="DQ800" s="30"/>
      <c r="DR800" s="30"/>
      <c r="DS800" s="30"/>
      <c r="DT800" s="30"/>
      <c r="DU800" s="30"/>
      <c r="DV800" s="30"/>
      <c r="DW800" s="30"/>
    </row>
    <row r="801" spans="1:127" ht="13">
      <c r="A801" s="39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30"/>
      <c r="BP801" s="30"/>
      <c r="BQ801" s="30"/>
      <c r="BR801" s="30"/>
      <c r="BS801" s="30"/>
      <c r="BT801" s="30"/>
      <c r="BU801" s="30"/>
      <c r="BV801" s="30"/>
      <c r="BW801" s="30"/>
      <c r="BX801" s="30"/>
      <c r="BY801" s="30"/>
      <c r="BZ801" s="30"/>
      <c r="CA801" s="30"/>
      <c r="CB801" s="30"/>
      <c r="CC801" s="30"/>
      <c r="CD801" s="30"/>
      <c r="CE801" s="30"/>
      <c r="CF801" s="30"/>
      <c r="CG801" s="30"/>
      <c r="CH801" s="30"/>
      <c r="CI801" s="30"/>
      <c r="CJ801" s="30"/>
      <c r="CK801" s="30"/>
      <c r="CL801" s="30"/>
      <c r="CM801" s="30"/>
      <c r="CN801" s="30"/>
      <c r="CO801" s="30"/>
      <c r="CP801" s="30"/>
      <c r="CQ801" s="30"/>
      <c r="CR801" s="30"/>
      <c r="CS801" s="30"/>
      <c r="CT801" s="30"/>
      <c r="CU801" s="30"/>
      <c r="CV801" s="30"/>
      <c r="CW801" s="30"/>
      <c r="CX801" s="30"/>
      <c r="CY801" s="30"/>
      <c r="CZ801" s="30"/>
      <c r="DA801" s="30"/>
      <c r="DB801" s="30"/>
      <c r="DC801" s="30"/>
      <c r="DD801" s="30"/>
      <c r="DE801" s="30"/>
      <c r="DF801" s="30"/>
      <c r="DG801" s="30"/>
      <c r="DH801" s="30"/>
      <c r="DI801" s="30"/>
      <c r="DJ801" s="30"/>
      <c r="DK801" s="30"/>
      <c r="DL801" s="30"/>
      <c r="DM801" s="30"/>
      <c r="DN801" s="30"/>
      <c r="DO801" s="30"/>
      <c r="DP801" s="30"/>
      <c r="DQ801" s="30"/>
      <c r="DR801" s="30"/>
      <c r="DS801" s="30"/>
      <c r="DT801" s="30"/>
      <c r="DU801" s="30"/>
      <c r="DV801" s="30"/>
      <c r="DW801" s="30"/>
    </row>
    <row r="802" spans="1:127" ht="13">
      <c r="A802" s="39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30"/>
      <c r="BP802" s="30"/>
      <c r="BQ802" s="30"/>
      <c r="BR802" s="30"/>
      <c r="BS802" s="30"/>
      <c r="BT802" s="30"/>
      <c r="BU802" s="30"/>
      <c r="BV802" s="30"/>
      <c r="BW802" s="30"/>
      <c r="BX802" s="30"/>
      <c r="BY802" s="30"/>
      <c r="BZ802" s="30"/>
      <c r="CA802" s="30"/>
      <c r="CB802" s="30"/>
      <c r="CC802" s="30"/>
      <c r="CD802" s="30"/>
      <c r="CE802" s="30"/>
      <c r="CF802" s="30"/>
      <c r="CG802" s="30"/>
      <c r="CH802" s="30"/>
      <c r="CI802" s="30"/>
      <c r="CJ802" s="30"/>
      <c r="CK802" s="30"/>
      <c r="CL802" s="30"/>
      <c r="CM802" s="30"/>
      <c r="CN802" s="30"/>
      <c r="CO802" s="30"/>
      <c r="CP802" s="30"/>
      <c r="CQ802" s="30"/>
      <c r="CR802" s="30"/>
      <c r="CS802" s="30"/>
      <c r="CT802" s="30"/>
      <c r="CU802" s="30"/>
      <c r="CV802" s="30"/>
      <c r="CW802" s="30"/>
      <c r="CX802" s="30"/>
      <c r="CY802" s="30"/>
      <c r="CZ802" s="30"/>
      <c r="DA802" s="30"/>
      <c r="DB802" s="30"/>
      <c r="DC802" s="30"/>
      <c r="DD802" s="30"/>
      <c r="DE802" s="30"/>
      <c r="DF802" s="30"/>
      <c r="DG802" s="30"/>
      <c r="DH802" s="30"/>
      <c r="DI802" s="30"/>
      <c r="DJ802" s="30"/>
      <c r="DK802" s="30"/>
      <c r="DL802" s="30"/>
      <c r="DM802" s="30"/>
      <c r="DN802" s="30"/>
      <c r="DO802" s="30"/>
      <c r="DP802" s="30"/>
      <c r="DQ802" s="30"/>
      <c r="DR802" s="30"/>
      <c r="DS802" s="30"/>
      <c r="DT802" s="30"/>
      <c r="DU802" s="30"/>
      <c r="DV802" s="30"/>
      <c r="DW802" s="30"/>
    </row>
    <row r="803" spans="1:127" ht="13">
      <c r="A803" s="39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30"/>
      <c r="BP803" s="30"/>
      <c r="BQ803" s="30"/>
      <c r="BR803" s="30"/>
      <c r="BS803" s="30"/>
      <c r="BT803" s="30"/>
      <c r="BU803" s="30"/>
      <c r="BV803" s="30"/>
      <c r="BW803" s="30"/>
      <c r="BX803" s="30"/>
      <c r="BY803" s="30"/>
      <c r="BZ803" s="30"/>
      <c r="CA803" s="30"/>
      <c r="CB803" s="30"/>
      <c r="CC803" s="30"/>
      <c r="CD803" s="30"/>
      <c r="CE803" s="30"/>
      <c r="CF803" s="30"/>
      <c r="CG803" s="30"/>
      <c r="CH803" s="30"/>
      <c r="CI803" s="30"/>
      <c r="CJ803" s="30"/>
      <c r="CK803" s="30"/>
      <c r="CL803" s="30"/>
      <c r="CM803" s="30"/>
      <c r="CN803" s="30"/>
      <c r="CO803" s="30"/>
      <c r="CP803" s="30"/>
      <c r="CQ803" s="30"/>
      <c r="CR803" s="30"/>
      <c r="CS803" s="30"/>
      <c r="CT803" s="30"/>
      <c r="CU803" s="30"/>
      <c r="CV803" s="30"/>
      <c r="CW803" s="30"/>
      <c r="CX803" s="30"/>
      <c r="CY803" s="30"/>
      <c r="CZ803" s="30"/>
      <c r="DA803" s="30"/>
      <c r="DB803" s="30"/>
      <c r="DC803" s="30"/>
      <c r="DD803" s="30"/>
      <c r="DE803" s="30"/>
      <c r="DF803" s="30"/>
      <c r="DG803" s="30"/>
      <c r="DH803" s="30"/>
      <c r="DI803" s="30"/>
      <c r="DJ803" s="30"/>
      <c r="DK803" s="30"/>
      <c r="DL803" s="30"/>
      <c r="DM803" s="30"/>
      <c r="DN803" s="30"/>
      <c r="DO803" s="30"/>
      <c r="DP803" s="30"/>
      <c r="DQ803" s="30"/>
      <c r="DR803" s="30"/>
      <c r="DS803" s="30"/>
      <c r="DT803" s="30"/>
      <c r="DU803" s="30"/>
      <c r="DV803" s="30"/>
      <c r="DW803" s="30"/>
    </row>
    <row r="804" spans="1:127" ht="13">
      <c r="A804" s="39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30"/>
      <c r="BP804" s="30"/>
      <c r="BQ804" s="30"/>
      <c r="BR804" s="30"/>
      <c r="BS804" s="30"/>
      <c r="BT804" s="30"/>
      <c r="BU804" s="30"/>
      <c r="BV804" s="30"/>
      <c r="BW804" s="30"/>
      <c r="BX804" s="30"/>
      <c r="BY804" s="30"/>
      <c r="BZ804" s="30"/>
      <c r="CA804" s="30"/>
      <c r="CB804" s="30"/>
      <c r="CC804" s="30"/>
      <c r="CD804" s="30"/>
      <c r="CE804" s="30"/>
      <c r="CF804" s="30"/>
      <c r="CG804" s="30"/>
      <c r="CH804" s="30"/>
      <c r="CI804" s="30"/>
      <c r="CJ804" s="30"/>
      <c r="CK804" s="30"/>
      <c r="CL804" s="30"/>
      <c r="CM804" s="30"/>
      <c r="CN804" s="30"/>
      <c r="CO804" s="30"/>
      <c r="CP804" s="30"/>
      <c r="CQ804" s="30"/>
      <c r="CR804" s="30"/>
      <c r="CS804" s="30"/>
      <c r="CT804" s="30"/>
      <c r="CU804" s="30"/>
      <c r="CV804" s="30"/>
      <c r="CW804" s="30"/>
      <c r="CX804" s="30"/>
      <c r="CY804" s="30"/>
      <c r="CZ804" s="30"/>
      <c r="DA804" s="30"/>
      <c r="DB804" s="30"/>
      <c r="DC804" s="30"/>
      <c r="DD804" s="30"/>
      <c r="DE804" s="30"/>
      <c r="DF804" s="30"/>
      <c r="DG804" s="30"/>
      <c r="DH804" s="30"/>
      <c r="DI804" s="30"/>
      <c r="DJ804" s="30"/>
      <c r="DK804" s="30"/>
      <c r="DL804" s="30"/>
      <c r="DM804" s="30"/>
      <c r="DN804" s="30"/>
      <c r="DO804" s="30"/>
      <c r="DP804" s="30"/>
      <c r="DQ804" s="30"/>
      <c r="DR804" s="30"/>
      <c r="DS804" s="30"/>
      <c r="DT804" s="30"/>
      <c r="DU804" s="30"/>
      <c r="DV804" s="30"/>
      <c r="DW804" s="30"/>
    </row>
    <row r="805" spans="1:127" ht="13">
      <c r="A805" s="39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30"/>
      <c r="BP805" s="30"/>
      <c r="BQ805" s="30"/>
      <c r="BR805" s="30"/>
      <c r="BS805" s="30"/>
      <c r="BT805" s="30"/>
      <c r="BU805" s="30"/>
      <c r="BV805" s="30"/>
      <c r="BW805" s="30"/>
      <c r="BX805" s="30"/>
      <c r="BY805" s="30"/>
      <c r="BZ805" s="30"/>
      <c r="CA805" s="30"/>
      <c r="CB805" s="30"/>
      <c r="CC805" s="30"/>
      <c r="CD805" s="30"/>
      <c r="CE805" s="30"/>
      <c r="CF805" s="30"/>
      <c r="CG805" s="30"/>
      <c r="CH805" s="30"/>
      <c r="CI805" s="30"/>
      <c r="CJ805" s="30"/>
      <c r="CK805" s="30"/>
      <c r="CL805" s="30"/>
      <c r="CM805" s="30"/>
      <c r="CN805" s="30"/>
      <c r="CO805" s="30"/>
      <c r="CP805" s="30"/>
      <c r="CQ805" s="30"/>
      <c r="CR805" s="30"/>
      <c r="CS805" s="30"/>
      <c r="CT805" s="30"/>
      <c r="CU805" s="30"/>
      <c r="CV805" s="30"/>
      <c r="CW805" s="30"/>
      <c r="CX805" s="30"/>
      <c r="CY805" s="30"/>
      <c r="CZ805" s="30"/>
      <c r="DA805" s="30"/>
      <c r="DB805" s="30"/>
      <c r="DC805" s="30"/>
      <c r="DD805" s="30"/>
      <c r="DE805" s="30"/>
      <c r="DF805" s="30"/>
      <c r="DG805" s="30"/>
      <c r="DH805" s="30"/>
      <c r="DI805" s="30"/>
      <c r="DJ805" s="30"/>
      <c r="DK805" s="30"/>
      <c r="DL805" s="30"/>
      <c r="DM805" s="30"/>
      <c r="DN805" s="30"/>
      <c r="DO805" s="30"/>
      <c r="DP805" s="30"/>
      <c r="DQ805" s="30"/>
      <c r="DR805" s="30"/>
      <c r="DS805" s="30"/>
      <c r="DT805" s="30"/>
      <c r="DU805" s="30"/>
      <c r="DV805" s="30"/>
      <c r="DW805" s="30"/>
    </row>
    <row r="806" spans="1:127" ht="13">
      <c r="A806" s="39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30"/>
      <c r="BP806" s="30"/>
      <c r="BQ806" s="30"/>
      <c r="BR806" s="30"/>
      <c r="BS806" s="30"/>
      <c r="BT806" s="30"/>
      <c r="BU806" s="30"/>
      <c r="BV806" s="30"/>
      <c r="BW806" s="30"/>
      <c r="BX806" s="30"/>
      <c r="BY806" s="30"/>
      <c r="BZ806" s="30"/>
      <c r="CA806" s="30"/>
      <c r="CB806" s="30"/>
      <c r="CC806" s="30"/>
      <c r="CD806" s="30"/>
      <c r="CE806" s="30"/>
      <c r="CF806" s="30"/>
      <c r="CG806" s="30"/>
      <c r="CH806" s="30"/>
      <c r="CI806" s="30"/>
      <c r="CJ806" s="30"/>
      <c r="CK806" s="30"/>
      <c r="CL806" s="30"/>
      <c r="CM806" s="30"/>
      <c r="CN806" s="30"/>
      <c r="CO806" s="30"/>
      <c r="CP806" s="30"/>
      <c r="CQ806" s="30"/>
      <c r="CR806" s="30"/>
      <c r="CS806" s="30"/>
      <c r="CT806" s="30"/>
      <c r="CU806" s="30"/>
      <c r="CV806" s="30"/>
      <c r="CW806" s="30"/>
      <c r="CX806" s="30"/>
      <c r="CY806" s="30"/>
      <c r="CZ806" s="30"/>
      <c r="DA806" s="30"/>
      <c r="DB806" s="30"/>
      <c r="DC806" s="30"/>
      <c r="DD806" s="30"/>
      <c r="DE806" s="30"/>
      <c r="DF806" s="30"/>
      <c r="DG806" s="30"/>
      <c r="DH806" s="30"/>
      <c r="DI806" s="30"/>
      <c r="DJ806" s="30"/>
      <c r="DK806" s="30"/>
      <c r="DL806" s="30"/>
      <c r="DM806" s="30"/>
      <c r="DN806" s="30"/>
      <c r="DO806" s="30"/>
      <c r="DP806" s="30"/>
      <c r="DQ806" s="30"/>
      <c r="DR806" s="30"/>
      <c r="DS806" s="30"/>
      <c r="DT806" s="30"/>
      <c r="DU806" s="30"/>
      <c r="DV806" s="30"/>
      <c r="DW806" s="30"/>
    </row>
    <row r="807" spans="1:127" ht="13">
      <c r="A807" s="39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30"/>
      <c r="BP807" s="30"/>
      <c r="BQ807" s="30"/>
      <c r="BR807" s="30"/>
      <c r="BS807" s="30"/>
      <c r="BT807" s="30"/>
      <c r="BU807" s="30"/>
      <c r="BV807" s="30"/>
      <c r="BW807" s="30"/>
      <c r="BX807" s="30"/>
      <c r="BY807" s="30"/>
      <c r="BZ807" s="30"/>
      <c r="CA807" s="30"/>
      <c r="CB807" s="30"/>
      <c r="CC807" s="30"/>
      <c r="CD807" s="30"/>
      <c r="CE807" s="30"/>
      <c r="CF807" s="30"/>
      <c r="CG807" s="30"/>
      <c r="CH807" s="30"/>
      <c r="CI807" s="30"/>
      <c r="CJ807" s="30"/>
      <c r="CK807" s="30"/>
      <c r="CL807" s="30"/>
      <c r="CM807" s="30"/>
      <c r="CN807" s="30"/>
      <c r="CO807" s="30"/>
      <c r="CP807" s="30"/>
      <c r="CQ807" s="30"/>
      <c r="CR807" s="30"/>
      <c r="CS807" s="30"/>
      <c r="CT807" s="30"/>
      <c r="CU807" s="30"/>
      <c r="CV807" s="30"/>
      <c r="CW807" s="30"/>
      <c r="CX807" s="30"/>
      <c r="CY807" s="30"/>
      <c r="CZ807" s="30"/>
      <c r="DA807" s="30"/>
      <c r="DB807" s="30"/>
      <c r="DC807" s="30"/>
      <c r="DD807" s="30"/>
      <c r="DE807" s="30"/>
      <c r="DF807" s="30"/>
      <c r="DG807" s="30"/>
      <c r="DH807" s="30"/>
      <c r="DI807" s="30"/>
      <c r="DJ807" s="30"/>
      <c r="DK807" s="30"/>
      <c r="DL807" s="30"/>
      <c r="DM807" s="30"/>
      <c r="DN807" s="30"/>
      <c r="DO807" s="30"/>
      <c r="DP807" s="30"/>
      <c r="DQ807" s="30"/>
      <c r="DR807" s="30"/>
      <c r="DS807" s="30"/>
      <c r="DT807" s="30"/>
      <c r="DU807" s="30"/>
      <c r="DV807" s="30"/>
      <c r="DW807" s="30"/>
    </row>
    <row r="808" spans="1:127" ht="13">
      <c r="A808" s="39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30"/>
      <c r="BP808" s="30"/>
      <c r="BQ808" s="30"/>
      <c r="BR808" s="30"/>
      <c r="BS808" s="30"/>
      <c r="BT808" s="30"/>
      <c r="BU808" s="30"/>
      <c r="BV808" s="30"/>
      <c r="BW808" s="30"/>
      <c r="BX808" s="30"/>
      <c r="BY808" s="30"/>
      <c r="BZ808" s="30"/>
      <c r="CA808" s="30"/>
      <c r="CB808" s="30"/>
      <c r="CC808" s="30"/>
      <c r="CD808" s="30"/>
      <c r="CE808" s="30"/>
      <c r="CF808" s="30"/>
      <c r="CG808" s="30"/>
      <c r="CH808" s="30"/>
      <c r="CI808" s="30"/>
      <c r="CJ808" s="30"/>
      <c r="CK808" s="30"/>
      <c r="CL808" s="30"/>
      <c r="CM808" s="30"/>
      <c r="CN808" s="30"/>
      <c r="CO808" s="30"/>
      <c r="CP808" s="30"/>
      <c r="CQ808" s="30"/>
      <c r="CR808" s="30"/>
      <c r="CS808" s="30"/>
      <c r="CT808" s="30"/>
      <c r="CU808" s="30"/>
      <c r="CV808" s="30"/>
      <c r="CW808" s="30"/>
      <c r="CX808" s="30"/>
      <c r="CY808" s="30"/>
      <c r="CZ808" s="30"/>
      <c r="DA808" s="30"/>
      <c r="DB808" s="30"/>
      <c r="DC808" s="30"/>
      <c r="DD808" s="30"/>
      <c r="DE808" s="30"/>
      <c r="DF808" s="30"/>
      <c r="DG808" s="30"/>
      <c r="DH808" s="30"/>
      <c r="DI808" s="30"/>
      <c r="DJ808" s="30"/>
      <c r="DK808" s="30"/>
      <c r="DL808" s="30"/>
      <c r="DM808" s="30"/>
      <c r="DN808" s="30"/>
      <c r="DO808" s="30"/>
      <c r="DP808" s="30"/>
      <c r="DQ808" s="30"/>
      <c r="DR808" s="30"/>
      <c r="DS808" s="30"/>
      <c r="DT808" s="30"/>
      <c r="DU808" s="30"/>
      <c r="DV808" s="30"/>
      <c r="DW808" s="30"/>
    </row>
    <row r="809" spans="1:127" ht="13">
      <c r="A809" s="39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30"/>
      <c r="BP809" s="30"/>
      <c r="BQ809" s="30"/>
      <c r="BR809" s="30"/>
      <c r="BS809" s="30"/>
      <c r="BT809" s="30"/>
      <c r="BU809" s="30"/>
      <c r="BV809" s="30"/>
      <c r="BW809" s="30"/>
      <c r="BX809" s="30"/>
      <c r="BY809" s="30"/>
      <c r="BZ809" s="30"/>
      <c r="CA809" s="30"/>
      <c r="CB809" s="30"/>
      <c r="CC809" s="30"/>
      <c r="CD809" s="30"/>
      <c r="CE809" s="30"/>
      <c r="CF809" s="30"/>
      <c r="CG809" s="30"/>
      <c r="CH809" s="30"/>
      <c r="CI809" s="30"/>
      <c r="CJ809" s="30"/>
      <c r="CK809" s="30"/>
      <c r="CL809" s="30"/>
      <c r="CM809" s="30"/>
      <c r="CN809" s="30"/>
      <c r="CO809" s="30"/>
      <c r="CP809" s="30"/>
      <c r="CQ809" s="30"/>
      <c r="CR809" s="30"/>
      <c r="CS809" s="30"/>
      <c r="CT809" s="30"/>
      <c r="CU809" s="30"/>
      <c r="CV809" s="30"/>
      <c r="CW809" s="30"/>
      <c r="CX809" s="30"/>
      <c r="CY809" s="30"/>
      <c r="CZ809" s="30"/>
      <c r="DA809" s="30"/>
      <c r="DB809" s="30"/>
      <c r="DC809" s="30"/>
      <c r="DD809" s="30"/>
      <c r="DE809" s="30"/>
      <c r="DF809" s="30"/>
      <c r="DG809" s="30"/>
      <c r="DH809" s="30"/>
      <c r="DI809" s="30"/>
      <c r="DJ809" s="30"/>
      <c r="DK809" s="30"/>
      <c r="DL809" s="30"/>
      <c r="DM809" s="30"/>
      <c r="DN809" s="30"/>
      <c r="DO809" s="30"/>
      <c r="DP809" s="30"/>
      <c r="DQ809" s="30"/>
      <c r="DR809" s="30"/>
      <c r="DS809" s="30"/>
      <c r="DT809" s="30"/>
      <c r="DU809" s="30"/>
      <c r="DV809" s="30"/>
      <c r="DW809" s="30"/>
    </row>
    <row r="810" spans="1:127" ht="13">
      <c r="A810" s="39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30"/>
      <c r="BP810" s="30"/>
      <c r="BQ810" s="30"/>
      <c r="BR810" s="30"/>
      <c r="BS810" s="30"/>
      <c r="BT810" s="30"/>
      <c r="BU810" s="30"/>
      <c r="BV810" s="30"/>
      <c r="BW810" s="30"/>
      <c r="BX810" s="30"/>
      <c r="BY810" s="30"/>
      <c r="BZ810" s="30"/>
      <c r="CA810" s="30"/>
      <c r="CB810" s="30"/>
      <c r="CC810" s="30"/>
      <c r="CD810" s="30"/>
      <c r="CE810" s="30"/>
      <c r="CF810" s="30"/>
      <c r="CG810" s="30"/>
      <c r="CH810" s="30"/>
      <c r="CI810" s="30"/>
      <c r="CJ810" s="30"/>
      <c r="CK810" s="30"/>
      <c r="CL810" s="30"/>
      <c r="CM810" s="30"/>
      <c r="CN810" s="30"/>
      <c r="CO810" s="30"/>
      <c r="CP810" s="30"/>
      <c r="CQ810" s="30"/>
      <c r="CR810" s="30"/>
      <c r="CS810" s="30"/>
      <c r="CT810" s="30"/>
      <c r="CU810" s="30"/>
      <c r="CV810" s="30"/>
      <c r="CW810" s="30"/>
      <c r="CX810" s="30"/>
      <c r="CY810" s="30"/>
      <c r="CZ810" s="30"/>
      <c r="DA810" s="30"/>
      <c r="DB810" s="30"/>
      <c r="DC810" s="30"/>
      <c r="DD810" s="30"/>
      <c r="DE810" s="30"/>
      <c r="DF810" s="30"/>
      <c r="DG810" s="30"/>
      <c r="DH810" s="30"/>
      <c r="DI810" s="30"/>
      <c r="DJ810" s="30"/>
      <c r="DK810" s="30"/>
      <c r="DL810" s="30"/>
      <c r="DM810" s="30"/>
      <c r="DN810" s="30"/>
      <c r="DO810" s="30"/>
      <c r="DP810" s="30"/>
      <c r="DQ810" s="30"/>
      <c r="DR810" s="30"/>
      <c r="DS810" s="30"/>
      <c r="DT810" s="30"/>
      <c r="DU810" s="30"/>
      <c r="DV810" s="30"/>
      <c r="DW810" s="30"/>
    </row>
    <row r="811" spans="1:127" ht="13">
      <c r="A811" s="39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30"/>
      <c r="BP811" s="30"/>
      <c r="BQ811" s="30"/>
      <c r="BR811" s="30"/>
      <c r="BS811" s="30"/>
      <c r="BT811" s="30"/>
      <c r="BU811" s="30"/>
      <c r="BV811" s="30"/>
      <c r="BW811" s="30"/>
      <c r="BX811" s="30"/>
      <c r="BY811" s="30"/>
      <c r="BZ811" s="30"/>
      <c r="CA811" s="30"/>
      <c r="CB811" s="30"/>
      <c r="CC811" s="30"/>
      <c r="CD811" s="30"/>
      <c r="CE811" s="30"/>
      <c r="CF811" s="30"/>
      <c r="CG811" s="30"/>
      <c r="CH811" s="30"/>
      <c r="CI811" s="30"/>
      <c r="CJ811" s="30"/>
      <c r="CK811" s="30"/>
      <c r="CL811" s="30"/>
      <c r="CM811" s="30"/>
      <c r="CN811" s="30"/>
      <c r="CO811" s="30"/>
      <c r="CP811" s="30"/>
      <c r="CQ811" s="30"/>
      <c r="CR811" s="30"/>
      <c r="CS811" s="30"/>
      <c r="CT811" s="30"/>
      <c r="CU811" s="30"/>
      <c r="CV811" s="30"/>
      <c r="CW811" s="30"/>
      <c r="CX811" s="30"/>
      <c r="CY811" s="30"/>
      <c r="CZ811" s="30"/>
      <c r="DA811" s="30"/>
      <c r="DB811" s="30"/>
      <c r="DC811" s="30"/>
      <c r="DD811" s="30"/>
      <c r="DE811" s="30"/>
      <c r="DF811" s="30"/>
      <c r="DG811" s="30"/>
      <c r="DH811" s="30"/>
      <c r="DI811" s="30"/>
      <c r="DJ811" s="30"/>
      <c r="DK811" s="30"/>
      <c r="DL811" s="30"/>
      <c r="DM811" s="30"/>
      <c r="DN811" s="30"/>
      <c r="DO811" s="30"/>
      <c r="DP811" s="30"/>
      <c r="DQ811" s="30"/>
      <c r="DR811" s="30"/>
      <c r="DS811" s="30"/>
      <c r="DT811" s="30"/>
      <c r="DU811" s="30"/>
      <c r="DV811" s="30"/>
      <c r="DW811" s="30"/>
    </row>
    <row r="812" spans="1:127" ht="13">
      <c r="A812" s="39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30"/>
      <c r="BP812" s="30"/>
      <c r="BQ812" s="30"/>
      <c r="BR812" s="30"/>
      <c r="BS812" s="30"/>
      <c r="BT812" s="30"/>
      <c r="BU812" s="30"/>
      <c r="BV812" s="30"/>
      <c r="BW812" s="30"/>
      <c r="BX812" s="30"/>
      <c r="BY812" s="30"/>
      <c r="BZ812" s="30"/>
      <c r="CA812" s="30"/>
      <c r="CB812" s="30"/>
      <c r="CC812" s="30"/>
      <c r="CD812" s="30"/>
      <c r="CE812" s="30"/>
      <c r="CF812" s="30"/>
      <c r="CG812" s="30"/>
      <c r="CH812" s="30"/>
      <c r="CI812" s="30"/>
      <c r="CJ812" s="30"/>
      <c r="CK812" s="30"/>
      <c r="CL812" s="30"/>
      <c r="CM812" s="30"/>
      <c r="CN812" s="30"/>
      <c r="CO812" s="30"/>
      <c r="CP812" s="30"/>
      <c r="CQ812" s="30"/>
      <c r="CR812" s="30"/>
      <c r="CS812" s="30"/>
      <c r="CT812" s="30"/>
      <c r="CU812" s="30"/>
      <c r="CV812" s="30"/>
      <c r="CW812" s="30"/>
      <c r="CX812" s="30"/>
      <c r="CY812" s="30"/>
      <c r="CZ812" s="30"/>
      <c r="DA812" s="30"/>
      <c r="DB812" s="30"/>
      <c r="DC812" s="30"/>
      <c r="DD812" s="30"/>
      <c r="DE812" s="30"/>
      <c r="DF812" s="30"/>
      <c r="DG812" s="30"/>
      <c r="DH812" s="30"/>
      <c r="DI812" s="30"/>
      <c r="DJ812" s="30"/>
      <c r="DK812" s="30"/>
      <c r="DL812" s="30"/>
      <c r="DM812" s="30"/>
      <c r="DN812" s="30"/>
      <c r="DO812" s="30"/>
      <c r="DP812" s="30"/>
      <c r="DQ812" s="30"/>
      <c r="DR812" s="30"/>
      <c r="DS812" s="30"/>
      <c r="DT812" s="30"/>
      <c r="DU812" s="30"/>
      <c r="DV812" s="30"/>
      <c r="DW812" s="30"/>
    </row>
    <row r="813" spans="1:127" ht="13">
      <c r="A813" s="39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  <c r="BP813" s="30"/>
      <c r="BQ813" s="30"/>
      <c r="BR813" s="30"/>
      <c r="BS813" s="30"/>
      <c r="BT813" s="30"/>
      <c r="BU813" s="30"/>
      <c r="BV813" s="30"/>
      <c r="BW813" s="30"/>
      <c r="BX813" s="30"/>
      <c r="BY813" s="30"/>
      <c r="BZ813" s="30"/>
      <c r="CA813" s="30"/>
      <c r="CB813" s="30"/>
      <c r="CC813" s="30"/>
      <c r="CD813" s="30"/>
      <c r="CE813" s="30"/>
      <c r="CF813" s="30"/>
      <c r="CG813" s="30"/>
      <c r="CH813" s="30"/>
      <c r="CI813" s="30"/>
      <c r="CJ813" s="30"/>
      <c r="CK813" s="30"/>
      <c r="CL813" s="30"/>
      <c r="CM813" s="30"/>
      <c r="CN813" s="30"/>
      <c r="CO813" s="30"/>
      <c r="CP813" s="30"/>
      <c r="CQ813" s="30"/>
      <c r="CR813" s="30"/>
      <c r="CS813" s="30"/>
      <c r="CT813" s="30"/>
      <c r="CU813" s="30"/>
      <c r="CV813" s="30"/>
      <c r="CW813" s="30"/>
      <c r="CX813" s="30"/>
      <c r="CY813" s="30"/>
      <c r="CZ813" s="30"/>
      <c r="DA813" s="30"/>
      <c r="DB813" s="30"/>
      <c r="DC813" s="30"/>
      <c r="DD813" s="30"/>
      <c r="DE813" s="30"/>
      <c r="DF813" s="30"/>
      <c r="DG813" s="30"/>
      <c r="DH813" s="30"/>
      <c r="DI813" s="30"/>
      <c r="DJ813" s="30"/>
      <c r="DK813" s="30"/>
      <c r="DL813" s="30"/>
      <c r="DM813" s="30"/>
      <c r="DN813" s="30"/>
      <c r="DO813" s="30"/>
      <c r="DP813" s="30"/>
      <c r="DQ813" s="30"/>
      <c r="DR813" s="30"/>
      <c r="DS813" s="30"/>
      <c r="DT813" s="30"/>
      <c r="DU813" s="30"/>
      <c r="DV813" s="30"/>
      <c r="DW813" s="30"/>
    </row>
    <row r="814" spans="1:127" ht="13">
      <c r="A814" s="39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30"/>
      <c r="BP814" s="30"/>
      <c r="BQ814" s="30"/>
      <c r="BR814" s="30"/>
      <c r="BS814" s="30"/>
      <c r="BT814" s="30"/>
      <c r="BU814" s="30"/>
      <c r="BV814" s="30"/>
      <c r="BW814" s="30"/>
      <c r="BX814" s="30"/>
      <c r="BY814" s="30"/>
      <c r="BZ814" s="30"/>
      <c r="CA814" s="30"/>
      <c r="CB814" s="30"/>
      <c r="CC814" s="30"/>
      <c r="CD814" s="30"/>
      <c r="CE814" s="30"/>
      <c r="CF814" s="30"/>
      <c r="CG814" s="30"/>
      <c r="CH814" s="30"/>
      <c r="CI814" s="30"/>
      <c r="CJ814" s="30"/>
      <c r="CK814" s="30"/>
      <c r="CL814" s="30"/>
      <c r="CM814" s="30"/>
      <c r="CN814" s="30"/>
      <c r="CO814" s="30"/>
      <c r="CP814" s="30"/>
      <c r="CQ814" s="30"/>
      <c r="CR814" s="30"/>
      <c r="CS814" s="30"/>
      <c r="CT814" s="30"/>
      <c r="CU814" s="30"/>
      <c r="CV814" s="30"/>
      <c r="CW814" s="30"/>
      <c r="CX814" s="30"/>
      <c r="CY814" s="30"/>
      <c r="CZ814" s="30"/>
      <c r="DA814" s="30"/>
      <c r="DB814" s="30"/>
      <c r="DC814" s="30"/>
      <c r="DD814" s="30"/>
      <c r="DE814" s="30"/>
      <c r="DF814" s="30"/>
      <c r="DG814" s="30"/>
      <c r="DH814" s="30"/>
      <c r="DI814" s="30"/>
      <c r="DJ814" s="30"/>
      <c r="DK814" s="30"/>
      <c r="DL814" s="30"/>
      <c r="DM814" s="30"/>
      <c r="DN814" s="30"/>
      <c r="DO814" s="30"/>
      <c r="DP814" s="30"/>
      <c r="DQ814" s="30"/>
      <c r="DR814" s="30"/>
      <c r="DS814" s="30"/>
      <c r="DT814" s="30"/>
      <c r="DU814" s="30"/>
      <c r="DV814" s="30"/>
      <c r="DW814" s="30"/>
    </row>
    <row r="815" spans="1:127" ht="13">
      <c r="A815" s="39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30"/>
      <c r="BP815" s="30"/>
      <c r="BQ815" s="30"/>
      <c r="BR815" s="30"/>
      <c r="BS815" s="30"/>
      <c r="BT815" s="30"/>
      <c r="BU815" s="30"/>
      <c r="BV815" s="30"/>
      <c r="BW815" s="30"/>
      <c r="BX815" s="30"/>
      <c r="BY815" s="30"/>
      <c r="BZ815" s="30"/>
      <c r="CA815" s="30"/>
      <c r="CB815" s="30"/>
      <c r="CC815" s="30"/>
      <c r="CD815" s="30"/>
      <c r="CE815" s="30"/>
      <c r="CF815" s="30"/>
      <c r="CG815" s="30"/>
      <c r="CH815" s="30"/>
      <c r="CI815" s="30"/>
      <c r="CJ815" s="30"/>
      <c r="CK815" s="30"/>
      <c r="CL815" s="30"/>
      <c r="CM815" s="30"/>
      <c r="CN815" s="30"/>
      <c r="CO815" s="30"/>
      <c r="CP815" s="30"/>
      <c r="CQ815" s="30"/>
      <c r="CR815" s="30"/>
      <c r="CS815" s="30"/>
      <c r="CT815" s="30"/>
      <c r="CU815" s="30"/>
      <c r="CV815" s="30"/>
      <c r="CW815" s="30"/>
      <c r="CX815" s="30"/>
      <c r="CY815" s="30"/>
      <c r="CZ815" s="30"/>
      <c r="DA815" s="30"/>
      <c r="DB815" s="30"/>
      <c r="DC815" s="30"/>
      <c r="DD815" s="30"/>
      <c r="DE815" s="30"/>
      <c r="DF815" s="30"/>
      <c r="DG815" s="30"/>
      <c r="DH815" s="30"/>
      <c r="DI815" s="30"/>
      <c r="DJ815" s="30"/>
      <c r="DK815" s="30"/>
      <c r="DL815" s="30"/>
      <c r="DM815" s="30"/>
      <c r="DN815" s="30"/>
      <c r="DO815" s="30"/>
      <c r="DP815" s="30"/>
      <c r="DQ815" s="30"/>
      <c r="DR815" s="30"/>
      <c r="DS815" s="30"/>
      <c r="DT815" s="30"/>
      <c r="DU815" s="30"/>
      <c r="DV815" s="30"/>
      <c r="DW815" s="30"/>
    </row>
    <row r="816" spans="1:127" ht="13">
      <c r="A816" s="39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  <c r="BP816" s="30"/>
      <c r="BQ816" s="30"/>
      <c r="BR816" s="30"/>
      <c r="BS816" s="30"/>
      <c r="BT816" s="30"/>
      <c r="BU816" s="30"/>
      <c r="BV816" s="30"/>
      <c r="BW816" s="30"/>
      <c r="BX816" s="30"/>
      <c r="BY816" s="30"/>
      <c r="BZ816" s="30"/>
      <c r="CA816" s="30"/>
      <c r="CB816" s="30"/>
      <c r="CC816" s="30"/>
      <c r="CD816" s="30"/>
      <c r="CE816" s="30"/>
      <c r="CF816" s="30"/>
      <c r="CG816" s="30"/>
      <c r="CH816" s="30"/>
      <c r="CI816" s="30"/>
      <c r="CJ816" s="30"/>
      <c r="CK816" s="30"/>
      <c r="CL816" s="30"/>
      <c r="CM816" s="30"/>
      <c r="CN816" s="30"/>
      <c r="CO816" s="30"/>
      <c r="CP816" s="30"/>
      <c r="CQ816" s="30"/>
      <c r="CR816" s="30"/>
      <c r="CS816" s="30"/>
      <c r="CT816" s="30"/>
      <c r="CU816" s="30"/>
      <c r="CV816" s="30"/>
      <c r="CW816" s="30"/>
      <c r="CX816" s="30"/>
      <c r="CY816" s="30"/>
      <c r="CZ816" s="30"/>
      <c r="DA816" s="30"/>
      <c r="DB816" s="30"/>
      <c r="DC816" s="30"/>
      <c r="DD816" s="30"/>
      <c r="DE816" s="30"/>
      <c r="DF816" s="30"/>
      <c r="DG816" s="30"/>
      <c r="DH816" s="30"/>
      <c r="DI816" s="30"/>
      <c r="DJ816" s="30"/>
      <c r="DK816" s="30"/>
      <c r="DL816" s="30"/>
      <c r="DM816" s="30"/>
      <c r="DN816" s="30"/>
      <c r="DO816" s="30"/>
      <c r="DP816" s="30"/>
      <c r="DQ816" s="30"/>
      <c r="DR816" s="30"/>
      <c r="DS816" s="30"/>
      <c r="DT816" s="30"/>
      <c r="DU816" s="30"/>
      <c r="DV816" s="30"/>
      <c r="DW816" s="30"/>
    </row>
    <row r="817" spans="1:127" ht="13">
      <c r="A817" s="39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30"/>
      <c r="BP817" s="30"/>
      <c r="BQ817" s="30"/>
      <c r="BR817" s="30"/>
      <c r="BS817" s="30"/>
      <c r="BT817" s="30"/>
      <c r="BU817" s="30"/>
      <c r="BV817" s="30"/>
      <c r="BW817" s="30"/>
      <c r="BX817" s="30"/>
      <c r="BY817" s="30"/>
      <c r="BZ817" s="30"/>
      <c r="CA817" s="30"/>
      <c r="CB817" s="30"/>
      <c r="CC817" s="30"/>
      <c r="CD817" s="30"/>
      <c r="CE817" s="30"/>
      <c r="CF817" s="30"/>
      <c r="CG817" s="30"/>
      <c r="CH817" s="30"/>
      <c r="CI817" s="30"/>
      <c r="CJ817" s="30"/>
      <c r="CK817" s="30"/>
      <c r="CL817" s="30"/>
      <c r="CM817" s="30"/>
      <c r="CN817" s="30"/>
      <c r="CO817" s="30"/>
      <c r="CP817" s="30"/>
      <c r="CQ817" s="30"/>
      <c r="CR817" s="30"/>
      <c r="CS817" s="30"/>
      <c r="CT817" s="30"/>
      <c r="CU817" s="30"/>
      <c r="CV817" s="30"/>
      <c r="CW817" s="30"/>
      <c r="CX817" s="30"/>
      <c r="CY817" s="30"/>
      <c r="CZ817" s="30"/>
      <c r="DA817" s="30"/>
      <c r="DB817" s="30"/>
      <c r="DC817" s="30"/>
      <c r="DD817" s="30"/>
      <c r="DE817" s="30"/>
      <c r="DF817" s="30"/>
      <c r="DG817" s="30"/>
      <c r="DH817" s="30"/>
      <c r="DI817" s="30"/>
      <c r="DJ817" s="30"/>
      <c r="DK817" s="30"/>
      <c r="DL817" s="30"/>
      <c r="DM817" s="30"/>
      <c r="DN817" s="30"/>
      <c r="DO817" s="30"/>
      <c r="DP817" s="30"/>
      <c r="DQ817" s="30"/>
      <c r="DR817" s="30"/>
      <c r="DS817" s="30"/>
      <c r="DT817" s="30"/>
      <c r="DU817" s="30"/>
      <c r="DV817" s="30"/>
      <c r="DW817" s="30"/>
    </row>
    <row r="818" spans="1:127" ht="13">
      <c r="A818" s="39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  <c r="BP818" s="30"/>
      <c r="BQ818" s="30"/>
      <c r="BR818" s="30"/>
      <c r="BS818" s="30"/>
      <c r="BT818" s="30"/>
      <c r="BU818" s="30"/>
      <c r="BV818" s="30"/>
      <c r="BW818" s="30"/>
      <c r="BX818" s="30"/>
      <c r="BY818" s="30"/>
      <c r="BZ818" s="30"/>
      <c r="CA818" s="30"/>
      <c r="CB818" s="30"/>
      <c r="CC818" s="30"/>
      <c r="CD818" s="30"/>
      <c r="CE818" s="30"/>
      <c r="CF818" s="30"/>
      <c r="CG818" s="30"/>
      <c r="CH818" s="30"/>
      <c r="CI818" s="30"/>
      <c r="CJ818" s="30"/>
      <c r="CK818" s="30"/>
      <c r="CL818" s="30"/>
      <c r="CM818" s="30"/>
      <c r="CN818" s="30"/>
      <c r="CO818" s="30"/>
      <c r="CP818" s="30"/>
      <c r="CQ818" s="30"/>
      <c r="CR818" s="30"/>
      <c r="CS818" s="30"/>
      <c r="CT818" s="30"/>
      <c r="CU818" s="30"/>
      <c r="CV818" s="30"/>
      <c r="CW818" s="30"/>
      <c r="CX818" s="30"/>
      <c r="CY818" s="30"/>
      <c r="CZ818" s="30"/>
      <c r="DA818" s="30"/>
      <c r="DB818" s="30"/>
      <c r="DC818" s="30"/>
      <c r="DD818" s="30"/>
      <c r="DE818" s="30"/>
      <c r="DF818" s="30"/>
      <c r="DG818" s="30"/>
      <c r="DH818" s="30"/>
      <c r="DI818" s="30"/>
      <c r="DJ818" s="30"/>
      <c r="DK818" s="30"/>
      <c r="DL818" s="30"/>
      <c r="DM818" s="30"/>
      <c r="DN818" s="30"/>
      <c r="DO818" s="30"/>
      <c r="DP818" s="30"/>
      <c r="DQ818" s="30"/>
      <c r="DR818" s="30"/>
      <c r="DS818" s="30"/>
      <c r="DT818" s="30"/>
      <c r="DU818" s="30"/>
      <c r="DV818" s="30"/>
      <c r="DW818" s="30"/>
    </row>
    <row r="819" spans="1:127" ht="13">
      <c r="A819" s="39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  <c r="BP819" s="30"/>
      <c r="BQ819" s="30"/>
      <c r="BR819" s="30"/>
      <c r="BS819" s="30"/>
      <c r="BT819" s="30"/>
      <c r="BU819" s="30"/>
      <c r="BV819" s="30"/>
      <c r="BW819" s="30"/>
      <c r="BX819" s="30"/>
      <c r="BY819" s="30"/>
      <c r="BZ819" s="30"/>
      <c r="CA819" s="30"/>
      <c r="CB819" s="30"/>
      <c r="CC819" s="30"/>
      <c r="CD819" s="30"/>
      <c r="CE819" s="30"/>
      <c r="CF819" s="30"/>
      <c r="CG819" s="30"/>
      <c r="CH819" s="30"/>
      <c r="CI819" s="30"/>
      <c r="CJ819" s="30"/>
      <c r="CK819" s="30"/>
      <c r="CL819" s="30"/>
      <c r="CM819" s="30"/>
      <c r="CN819" s="30"/>
      <c r="CO819" s="30"/>
      <c r="CP819" s="30"/>
      <c r="CQ819" s="30"/>
      <c r="CR819" s="30"/>
      <c r="CS819" s="30"/>
      <c r="CT819" s="30"/>
      <c r="CU819" s="30"/>
      <c r="CV819" s="30"/>
      <c r="CW819" s="30"/>
      <c r="CX819" s="30"/>
      <c r="CY819" s="30"/>
      <c r="CZ819" s="30"/>
      <c r="DA819" s="30"/>
      <c r="DB819" s="30"/>
      <c r="DC819" s="30"/>
      <c r="DD819" s="30"/>
      <c r="DE819" s="30"/>
      <c r="DF819" s="30"/>
      <c r="DG819" s="30"/>
      <c r="DH819" s="30"/>
      <c r="DI819" s="30"/>
      <c r="DJ819" s="30"/>
      <c r="DK819" s="30"/>
      <c r="DL819" s="30"/>
      <c r="DM819" s="30"/>
      <c r="DN819" s="30"/>
      <c r="DO819" s="30"/>
      <c r="DP819" s="30"/>
      <c r="DQ819" s="30"/>
      <c r="DR819" s="30"/>
      <c r="DS819" s="30"/>
      <c r="DT819" s="30"/>
      <c r="DU819" s="30"/>
      <c r="DV819" s="30"/>
      <c r="DW819" s="30"/>
    </row>
    <row r="820" spans="1:127" ht="13">
      <c r="A820" s="39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30"/>
      <c r="BP820" s="30"/>
      <c r="BQ820" s="30"/>
      <c r="BR820" s="30"/>
      <c r="BS820" s="30"/>
      <c r="BT820" s="30"/>
      <c r="BU820" s="30"/>
      <c r="BV820" s="30"/>
      <c r="BW820" s="30"/>
      <c r="BX820" s="30"/>
      <c r="BY820" s="30"/>
      <c r="BZ820" s="30"/>
      <c r="CA820" s="30"/>
      <c r="CB820" s="30"/>
      <c r="CC820" s="30"/>
      <c r="CD820" s="30"/>
      <c r="CE820" s="30"/>
      <c r="CF820" s="30"/>
      <c r="CG820" s="30"/>
      <c r="CH820" s="30"/>
      <c r="CI820" s="30"/>
      <c r="CJ820" s="30"/>
      <c r="CK820" s="30"/>
      <c r="CL820" s="30"/>
      <c r="CM820" s="30"/>
      <c r="CN820" s="30"/>
      <c r="CO820" s="30"/>
      <c r="CP820" s="30"/>
      <c r="CQ820" s="30"/>
      <c r="CR820" s="30"/>
      <c r="CS820" s="30"/>
      <c r="CT820" s="30"/>
      <c r="CU820" s="30"/>
      <c r="CV820" s="30"/>
      <c r="CW820" s="30"/>
      <c r="CX820" s="30"/>
      <c r="CY820" s="30"/>
      <c r="CZ820" s="30"/>
      <c r="DA820" s="30"/>
      <c r="DB820" s="30"/>
      <c r="DC820" s="30"/>
      <c r="DD820" s="30"/>
      <c r="DE820" s="30"/>
      <c r="DF820" s="30"/>
      <c r="DG820" s="30"/>
      <c r="DH820" s="30"/>
      <c r="DI820" s="30"/>
      <c r="DJ820" s="30"/>
      <c r="DK820" s="30"/>
      <c r="DL820" s="30"/>
      <c r="DM820" s="30"/>
      <c r="DN820" s="30"/>
      <c r="DO820" s="30"/>
      <c r="DP820" s="30"/>
      <c r="DQ820" s="30"/>
      <c r="DR820" s="30"/>
      <c r="DS820" s="30"/>
      <c r="DT820" s="30"/>
      <c r="DU820" s="30"/>
      <c r="DV820" s="30"/>
      <c r="DW820" s="30"/>
    </row>
    <row r="821" spans="1:127" ht="13">
      <c r="A821" s="39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  <c r="BP821" s="30"/>
      <c r="BQ821" s="30"/>
      <c r="BR821" s="30"/>
      <c r="BS821" s="30"/>
      <c r="BT821" s="30"/>
      <c r="BU821" s="30"/>
      <c r="BV821" s="30"/>
      <c r="BW821" s="30"/>
      <c r="BX821" s="30"/>
      <c r="BY821" s="30"/>
      <c r="BZ821" s="30"/>
      <c r="CA821" s="30"/>
      <c r="CB821" s="30"/>
      <c r="CC821" s="30"/>
      <c r="CD821" s="30"/>
      <c r="CE821" s="30"/>
      <c r="CF821" s="30"/>
      <c r="CG821" s="30"/>
      <c r="CH821" s="30"/>
      <c r="CI821" s="30"/>
      <c r="CJ821" s="30"/>
      <c r="CK821" s="30"/>
      <c r="CL821" s="30"/>
      <c r="CM821" s="30"/>
      <c r="CN821" s="30"/>
      <c r="CO821" s="30"/>
      <c r="CP821" s="30"/>
      <c r="CQ821" s="30"/>
      <c r="CR821" s="30"/>
      <c r="CS821" s="30"/>
      <c r="CT821" s="30"/>
      <c r="CU821" s="30"/>
      <c r="CV821" s="30"/>
      <c r="CW821" s="30"/>
      <c r="CX821" s="30"/>
      <c r="CY821" s="30"/>
      <c r="CZ821" s="30"/>
      <c r="DA821" s="30"/>
      <c r="DB821" s="30"/>
      <c r="DC821" s="30"/>
      <c r="DD821" s="30"/>
      <c r="DE821" s="30"/>
      <c r="DF821" s="30"/>
      <c r="DG821" s="30"/>
      <c r="DH821" s="30"/>
      <c r="DI821" s="30"/>
      <c r="DJ821" s="30"/>
      <c r="DK821" s="30"/>
      <c r="DL821" s="30"/>
      <c r="DM821" s="30"/>
      <c r="DN821" s="30"/>
      <c r="DO821" s="30"/>
      <c r="DP821" s="30"/>
      <c r="DQ821" s="30"/>
      <c r="DR821" s="30"/>
      <c r="DS821" s="30"/>
      <c r="DT821" s="30"/>
      <c r="DU821" s="30"/>
      <c r="DV821" s="30"/>
      <c r="DW821" s="30"/>
    </row>
    <row r="822" spans="1:127" ht="13">
      <c r="A822" s="39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  <c r="BQ822" s="30"/>
      <c r="BR822" s="30"/>
      <c r="BS822" s="30"/>
      <c r="BT822" s="30"/>
      <c r="BU822" s="30"/>
      <c r="BV822" s="30"/>
      <c r="BW822" s="30"/>
      <c r="BX822" s="30"/>
      <c r="BY822" s="30"/>
      <c r="BZ822" s="30"/>
      <c r="CA822" s="30"/>
      <c r="CB822" s="30"/>
      <c r="CC822" s="30"/>
      <c r="CD822" s="30"/>
      <c r="CE822" s="30"/>
      <c r="CF822" s="30"/>
      <c r="CG822" s="30"/>
      <c r="CH822" s="30"/>
      <c r="CI822" s="30"/>
      <c r="CJ822" s="30"/>
      <c r="CK822" s="30"/>
      <c r="CL822" s="30"/>
      <c r="CM822" s="30"/>
      <c r="CN822" s="30"/>
      <c r="CO822" s="30"/>
      <c r="CP822" s="30"/>
      <c r="CQ822" s="30"/>
      <c r="CR822" s="30"/>
      <c r="CS822" s="30"/>
      <c r="CT822" s="30"/>
      <c r="CU822" s="30"/>
      <c r="CV822" s="30"/>
      <c r="CW822" s="30"/>
      <c r="CX822" s="30"/>
      <c r="CY822" s="30"/>
      <c r="CZ822" s="30"/>
      <c r="DA822" s="30"/>
      <c r="DB822" s="30"/>
      <c r="DC822" s="30"/>
      <c r="DD822" s="30"/>
      <c r="DE822" s="30"/>
      <c r="DF822" s="30"/>
      <c r="DG822" s="30"/>
      <c r="DH822" s="30"/>
      <c r="DI822" s="30"/>
      <c r="DJ822" s="30"/>
      <c r="DK822" s="30"/>
      <c r="DL822" s="30"/>
      <c r="DM822" s="30"/>
      <c r="DN822" s="30"/>
      <c r="DO822" s="30"/>
      <c r="DP822" s="30"/>
      <c r="DQ822" s="30"/>
      <c r="DR822" s="30"/>
      <c r="DS822" s="30"/>
      <c r="DT822" s="30"/>
      <c r="DU822" s="30"/>
      <c r="DV822" s="30"/>
      <c r="DW822" s="30"/>
    </row>
    <row r="823" spans="1:127" ht="13">
      <c r="A823" s="39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30"/>
      <c r="BP823" s="30"/>
      <c r="BQ823" s="30"/>
      <c r="BR823" s="30"/>
      <c r="BS823" s="30"/>
      <c r="BT823" s="30"/>
      <c r="BU823" s="30"/>
      <c r="BV823" s="30"/>
      <c r="BW823" s="30"/>
      <c r="BX823" s="30"/>
      <c r="BY823" s="30"/>
      <c r="BZ823" s="30"/>
      <c r="CA823" s="30"/>
      <c r="CB823" s="30"/>
      <c r="CC823" s="30"/>
      <c r="CD823" s="30"/>
      <c r="CE823" s="30"/>
      <c r="CF823" s="30"/>
      <c r="CG823" s="30"/>
      <c r="CH823" s="30"/>
      <c r="CI823" s="30"/>
      <c r="CJ823" s="30"/>
      <c r="CK823" s="30"/>
      <c r="CL823" s="30"/>
      <c r="CM823" s="30"/>
      <c r="CN823" s="30"/>
      <c r="CO823" s="30"/>
      <c r="CP823" s="30"/>
      <c r="CQ823" s="30"/>
      <c r="CR823" s="30"/>
      <c r="CS823" s="30"/>
      <c r="CT823" s="30"/>
      <c r="CU823" s="30"/>
      <c r="CV823" s="30"/>
      <c r="CW823" s="30"/>
      <c r="CX823" s="30"/>
      <c r="CY823" s="30"/>
      <c r="CZ823" s="30"/>
      <c r="DA823" s="30"/>
      <c r="DB823" s="30"/>
      <c r="DC823" s="30"/>
      <c r="DD823" s="30"/>
      <c r="DE823" s="30"/>
      <c r="DF823" s="30"/>
      <c r="DG823" s="30"/>
      <c r="DH823" s="30"/>
      <c r="DI823" s="30"/>
      <c r="DJ823" s="30"/>
      <c r="DK823" s="30"/>
      <c r="DL823" s="30"/>
      <c r="DM823" s="30"/>
      <c r="DN823" s="30"/>
      <c r="DO823" s="30"/>
      <c r="DP823" s="30"/>
      <c r="DQ823" s="30"/>
      <c r="DR823" s="30"/>
      <c r="DS823" s="30"/>
      <c r="DT823" s="30"/>
      <c r="DU823" s="30"/>
      <c r="DV823" s="30"/>
      <c r="DW823" s="30"/>
    </row>
    <row r="824" spans="1:127" ht="13">
      <c r="A824" s="39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30"/>
      <c r="BP824" s="30"/>
      <c r="BQ824" s="30"/>
      <c r="BR824" s="30"/>
      <c r="BS824" s="30"/>
      <c r="BT824" s="30"/>
      <c r="BU824" s="30"/>
      <c r="BV824" s="30"/>
      <c r="BW824" s="30"/>
      <c r="BX824" s="30"/>
      <c r="BY824" s="30"/>
      <c r="BZ824" s="30"/>
      <c r="CA824" s="30"/>
      <c r="CB824" s="30"/>
      <c r="CC824" s="30"/>
      <c r="CD824" s="30"/>
      <c r="CE824" s="30"/>
      <c r="CF824" s="30"/>
      <c r="CG824" s="30"/>
      <c r="CH824" s="30"/>
      <c r="CI824" s="30"/>
      <c r="CJ824" s="30"/>
      <c r="CK824" s="30"/>
      <c r="CL824" s="30"/>
      <c r="CM824" s="30"/>
      <c r="CN824" s="30"/>
      <c r="CO824" s="30"/>
      <c r="CP824" s="30"/>
      <c r="CQ824" s="30"/>
      <c r="CR824" s="30"/>
      <c r="CS824" s="30"/>
      <c r="CT824" s="30"/>
      <c r="CU824" s="30"/>
      <c r="CV824" s="30"/>
      <c r="CW824" s="30"/>
      <c r="CX824" s="30"/>
      <c r="CY824" s="30"/>
      <c r="CZ824" s="30"/>
      <c r="DA824" s="30"/>
      <c r="DB824" s="30"/>
      <c r="DC824" s="30"/>
      <c r="DD824" s="30"/>
      <c r="DE824" s="30"/>
      <c r="DF824" s="30"/>
      <c r="DG824" s="30"/>
      <c r="DH824" s="30"/>
      <c r="DI824" s="30"/>
      <c r="DJ824" s="30"/>
      <c r="DK824" s="30"/>
      <c r="DL824" s="30"/>
      <c r="DM824" s="30"/>
      <c r="DN824" s="30"/>
      <c r="DO824" s="30"/>
      <c r="DP824" s="30"/>
      <c r="DQ824" s="30"/>
      <c r="DR824" s="30"/>
      <c r="DS824" s="30"/>
      <c r="DT824" s="30"/>
      <c r="DU824" s="30"/>
      <c r="DV824" s="30"/>
      <c r="DW824" s="30"/>
    </row>
    <row r="825" spans="1:127" ht="13">
      <c r="A825" s="39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  <c r="BN825" s="30"/>
      <c r="BO825" s="30"/>
      <c r="BP825" s="30"/>
      <c r="BQ825" s="30"/>
      <c r="BR825" s="30"/>
      <c r="BS825" s="30"/>
      <c r="BT825" s="30"/>
      <c r="BU825" s="30"/>
      <c r="BV825" s="30"/>
      <c r="BW825" s="30"/>
      <c r="BX825" s="30"/>
      <c r="BY825" s="30"/>
      <c r="BZ825" s="30"/>
      <c r="CA825" s="30"/>
      <c r="CB825" s="30"/>
      <c r="CC825" s="30"/>
      <c r="CD825" s="30"/>
      <c r="CE825" s="30"/>
      <c r="CF825" s="30"/>
      <c r="CG825" s="30"/>
      <c r="CH825" s="30"/>
      <c r="CI825" s="30"/>
      <c r="CJ825" s="30"/>
      <c r="CK825" s="30"/>
      <c r="CL825" s="30"/>
      <c r="CM825" s="30"/>
      <c r="CN825" s="30"/>
      <c r="CO825" s="30"/>
      <c r="CP825" s="30"/>
      <c r="CQ825" s="30"/>
      <c r="CR825" s="30"/>
      <c r="CS825" s="30"/>
      <c r="CT825" s="30"/>
      <c r="CU825" s="30"/>
      <c r="CV825" s="30"/>
      <c r="CW825" s="30"/>
      <c r="CX825" s="30"/>
      <c r="CY825" s="30"/>
      <c r="CZ825" s="30"/>
      <c r="DA825" s="30"/>
      <c r="DB825" s="30"/>
      <c r="DC825" s="30"/>
      <c r="DD825" s="30"/>
      <c r="DE825" s="30"/>
      <c r="DF825" s="30"/>
      <c r="DG825" s="30"/>
      <c r="DH825" s="30"/>
      <c r="DI825" s="30"/>
      <c r="DJ825" s="30"/>
      <c r="DK825" s="30"/>
      <c r="DL825" s="30"/>
      <c r="DM825" s="30"/>
      <c r="DN825" s="30"/>
      <c r="DO825" s="30"/>
      <c r="DP825" s="30"/>
      <c r="DQ825" s="30"/>
      <c r="DR825" s="30"/>
      <c r="DS825" s="30"/>
      <c r="DT825" s="30"/>
      <c r="DU825" s="30"/>
      <c r="DV825" s="30"/>
      <c r="DW825" s="30"/>
    </row>
    <row r="826" spans="1:127" ht="13">
      <c r="A826" s="39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  <c r="BP826" s="30"/>
      <c r="BQ826" s="30"/>
      <c r="BR826" s="30"/>
      <c r="BS826" s="30"/>
      <c r="BT826" s="30"/>
      <c r="BU826" s="30"/>
      <c r="BV826" s="30"/>
      <c r="BW826" s="30"/>
      <c r="BX826" s="30"/>
      <c r="BY826" s="30"/>
      <c r="BZ826" s="30"/>
      <c r="CA826" s="30"/>
      <c r="CB826" s="30"/>
      <c r="CC826" s="30"/>
      <c r="CD826" s="30"/>
      <c r="CE826" s="30"/>
      <c r="CF826" s="30"/>
      <c r="CG826" s="30"/>
      <c r="CH826" s="30"/>
      <c r="CI826" s="30"/>
      <c r="CJ826" s="30"/>
      <c r="CK826" s="30"/>
      <c r="CL826" s="30"/>
      <c r="CM826" s="30"/>
      <c r="CN826" s="30"/>
      <c r="CO826" s="30"/>
      <c r="CP826" s="30"/>
      <c r="CQ826" s="30"/>
      <c r="CR826" s="30"/>
      <c r="CS826" s="30"/>
      <c r="CT826" s="30"/>
      <c r="CU826" s="30"/>
      <c r="CV826" s="30"/>
      <c r="CW826" s="30"/>
      <c r="CX826" s="30"/>
      <c r="CY826" s="30"/>
      <c r="CZ826" s="30"/>
      <c r="DA826" s="30"/>
      <c r="DB826" s="30"/>
      <c r="DC826" s="30"/>
      <c r="DD826" s="30"/>
      <c r="DE826" s="30"/>
      <c r="DF826" s="30"/>
      <c r="DG826" s="30"/>
      <c r="DH826" s="30"/>
      <c r="DI826" s="30"/>
      <c r="DJ826" s="30"/>
      <c r="DK826" s="30"/>
      <c r="DL826" s="30"/>
      <c r="DM826" s="30"/>
      <c r="DN826" s="30"/>
      <c r="DO826" s="30"/>
      <c r="DP826" s="30"/>
      <c r="DQ826" s="30"/>
      <c r="DR826" s="30"/>
      <c r="DS826" s="30"/>
      <c r="DT826" s="30"/>
      <c r="DU826" s="30"/>
      <c r="DV826" s="30"/>
      <c r="DW826" s="30"/>
    </row>
    <row r="827" spans="1:127" ht="13">
      <c r="A827" s="39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30"/>
      <c r="BP827" s="30"/>
      <c r="BQ827" s="30"/>
      <c r="BR827" s="30"/>
      <c r="BS827" s="30"/>
      <c r="BT827" s="30"/>
      <c r="BU827" s="30"/>
      <c r="BV827" s="30"/>
      <c r="BW827" s="30"/>
      <c r="BX827" s="30"/>
      <c r="BY827" s="30"/>
      <c r="BZ827" s="30"/>
      <c r="CA827" s="30"/>
      <c r="CB827" s="30"/>
      <c r="CC827" s="30"/>
      <c r="CD827" s="30"/>
      <c r="CE827" s="30"/>
      <c r="CF827" s="30"/>
      <c r="CG827" s="30"/>
      <c r="CH827" s="30"/>
      <c r="CI827" s="30"/>
      <c r="CJ827" s="30"/>
      <c r="CK827" s="30"/>
      <c r="CL827" s="30"/>
      <c r="CM827" s="30"/>
      <c r="CN827" s="30"/>
      <c r="CO827" s="30"/>
      <c r="CP827" s="30"/>
      <c r="CQ827" s="30"/>
      <c r="CR827" s="30"/>
      <c r="CS827" s="30"/>
      <c r="CT827" s="30"/>
      <c r="CU827" s="30"/>
      <c r="CV827" s="30"/>
      <c r="CW827" s="30"/>
      <c r="CX827" s="30"/>
      <c r="CY827" s="30"/>
      <c r="CZ827" s="30"/>
      <c r="DA827" s="30"/>
      <c r="DB827" s="30"/>
      <c r="DC827" s="30"/>
      <c r="DD827" s="30"/>
      <c r="DE827" s="30"/>
      <c r="DF827" s="30"/>
      <c r="DG827" s="30"/>
      <c r="DH827" s="30"/>
      <c r="DI827" s="30"/>
      <c r="DJ827" s="30"/>
      <c r="DK827" s="30"/>
      <c r="DL827" s="30"/>
      <c r="DM827" s="30"/>
      <c r="DN827" s="30"/>
      <c r="DO827" s="30"/>
      <c r="DP827" s="30"/>
      <c r="DQ827" s="30"/>
      <c r="DR827" s="30"/>
      <c r="DS827" s="30"/>
      <c r="DT827" s="30"/>
      <c r="DU827" s="30"/>
      <c r="DV827" s="30"/>
      <c r="DW827" s="30"/>
    </row>
    <row r="828" spans="1:127" ht="13">
      <c r="A828" s="39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30"/>
      <c r="BP828" s="30"/>
      <c r="BQ828" s="30"/>
      <c r="BR828" s="30"/>
      <c r="BS828" s="30"/>
      <c r="BT828" s="30"/>
      <c r="BU828" s="30"/>
      <c r="BV828" s="30"/>
      <c r="BW828" s="30"/>
      <c r="BX828" s="30"/>
      <c r="BY828" s="30"/>
      <c r="BZ828" s="30"/>
      <c r="CA828" s="30"/>
      <c r="CB828" s="30"/>
      <c r="CC828" s="30"/>
      <c r="CD828" s="30"/>
      <c r="CE828" s="30"/>
      <c r="CF828" s="30"/>
      <c r="CG828" s="30"/>
      <c r="CH828" s="30"/>
      <c r="CI828" s="30"/>
      <c r="CJ828" s="30"/>
      <c r="CK828" s="30"/>
      <c r="CL828" s="30"/>
      <c r="CM828" s="30"/>
      <c r="CN828" s="30"/>
      <c r="CO828" s="30"/>
      <c r="CP828" s="30"/>
      <c r="CQ828" s="30"/>
      <c r="CR828" s="30"/>
      <c r="CS828" s="30"/>
      <c r="CT828" s="30"/>
      <c r="CU828" s="30"/>
      <c r="CV828" s="30"/>
      <c r="CW828" s="30"/>
      <c r="CX828" s="30"/>
      <c r="CY828" s="30"/>
      <c r="CZ828" s="30"/>
      <c r="DA828" s="30"/>
      <c r="DB828" s="30"/>
      <c r="DC828" s="30"/>
      <c r="DD828" s="30"/>
      <c r="DE828" s="30"/>
      <c r="DF828" s="30"/>
      <c r="DG828" s="30"/>
      <c r="DH828" s="30"/>
      <c r="DI828" s="30"/>
      <c r="DJ828" s="30"/>
      <c r="DK828" s="30"/>
      <c r="DL828" s="30"/>
      <c r="DM828" s="30"/>
      <c r="DN828" s="30"/>
      <c r="DO828" s="30"/>
      <c r="DP828" s="30"/>
      <c r="DQ828" s="30"/>
      <c r="DR828" s="30"/>
      <c r="DS828" s="30"/>
      <c r="DT828" s="30"/>
      <c r="DU828" s="30"/>
      <c r="DV828" s="30"/>
      <c r="DW828" s="30"/>
    </row>
    <row r="829" spans="1:127" ht="13">
      <c r="A829" s="39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  <c r="BP829" s="30"/>
      <c r="BQ829" s="30"/>
      <c r="BR829" s="30"/>
      <c r="BS829" s="30"/>
      <c r="BT829" s="30"/>
      <c r="BU829" s="30"/>
      <c r="BV829" s="30"/>
      <c r="BW829" s="30"/>
      <c r="BX829" s="30"/>
      <c r="BY829" s="30"/>
      <c r="BZ829" s="30"/>
      <c r="CA829" s="30"/>
      <c r="CB829" s="30"/>
      <c r="CC829" s="30"/>
      <c r="CD829" s="30"/>
      <c r="CE829" s="30"/>
      <c r="CF829" s="30"/>
      <c r="CG829" s="30"/>
      <c r="CH829" s="30"/>
      <c r="CI829" s="30"/>
      <c r="CJ829" s="30"/>
      <c r="CK829" s="30"/>
      <c r="CL829" s="30"/>
      <c r="CM829" s="30"/>
      <c r="CN829" s="30"/>
      <c r="CO829" s="30"/>
      <c r="CP829" s="30"/>
      <c r="CQ829" s="30"/>
      <c r="CR829" s="30"/>
      <c r="CS829" s="30"/>
      <c r="CT829" s="30"/>
      <c r="CU829" s="30"/>
      <c r="CV829" s="30"/>
      <c r="CW829" s="30"/>
      <c r="CX829" s="30"/>
      <c r="CY829" s="30"/>
      <c r="CZ829" s="30"/>
      <c r="DA829" s="30"/>
      <c r="DB829" s="30"/>
      <c r="DC829" s="30"/>
      <c r="DD829" s="30"/>
      <c r="DE829" s="30"/>
      <c r="DF829" s="30"/>
      <c r="DG829" s="30"/>
      <c r="DH829" s="30"/>
      <c r="DI829" s="30"/>
      <c r="DJ829" s="30"/>
      <c r="DK829" s="30"/>
      <c r="DL829" s="30"/>
      <c r="DM829" s="30"/>
      <c r="DN829" s="30"/>
      <c r="DO829" s="30"/>
      <c r="DP829" s="30"/>
      <c r="DQ829" s="30"/>
      <c r="DR829" s="30"/>
      <c r="DS829" s="30"/>
      <c r="DT829" s="30"/>
      <c r="DU829" s="30"/>
      <c r="DV829" s="30"/>
      <c r="DW829" s="30"/>
    </row>
    <row r="830" spans="1:127" ht="13">
      <c r="A830" s="39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30"/>
      <c r="BP830" s="30"/>
      <c r="BQ830" s="30"/>
      <c r="BR830" s="30"/>
      <c r="BS830" s="30"/>
      <c r="BT830" s="30"/>
      <c r="BU830" s="30"/>
      <c r="BV830" s="30"/>
      <c r="BW830" s="30"/>
      <c r="BX830" s="30"/>
      <c r="BY830" s="30"/>
      <c r="BZ830" s="30"/>
      <c r="CA830" s="30"/>
      <c r="CB830" s="30"/>
      <c r="CC830" s="30"/>
      <c r="CD830" s="30"/>
      <c r="CE830" s="30"/>
      <c r="CF830" s="30"/>
      <c r="CG830" s="30"/>
      <c r="CH830" s="30"/>
      <c r="CI830" s="30"/>
      <c r="CJ830" s="30"/>
      <c r="CK830" s="30"/>
      <c r="CL830" s="30"/>
      <c r="CM830" s="30"/>
      <c r="CN830" s="30"/>
      <c r="CO830" s="30"/>
      <c r="CP830" s="30"/>
      <c r="CQ830" s="30"/>
      <c r="CR830" s="30"/>
      <c r="CS830" s="30"/>
      <c r="CT830" s="30"/>
      <c r="CU830" s="30"/>
      <c r="CV830" s="30"/>
      <c r="CW830" s="30"/>
      <c r="CX830" s="30"/>
      <c r="CY830" s="30"/>
      <c r="CZ830" s="30"/>
      <c r="DA830" s="30"/>
      <c r="DB830" s="30"/>
      <c r="DC830" s="30"/>
      <c r="DD830" s="30"/>
      <c r="DE830" s="30"/>
      <c r="DF830" s="30"/>
      <c r="DG830" s="30"/>
      <c r="DH830" s="30"/>
      <c r="DI830" s="30"/>
      <c r="DJ830" s="30"/>
      <c r="DK830" s="30"/>
      <c r="DL830" s="30"/>
      <c r="DM830" s="30"/>
      <c r="DN830" s="30"/>
      <c r="DO830" s="30"/>
      <c r="DP830" s="30"/>
      <c r="DQ830" s="30"/>
      <c r="DR830" s="30"/>
      <c r="DS830" s="30"/>
      <c r="DT830" s="30"/>
      <c r="DU830" s="30"/>
      <c r="DV830" s="30"/>
      <c r="DW830" s="30"/>
    </row>
    <row r="831" spans="1:127" ht="13">
      <c r="A831" s="39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30"/>
      <c r="BP831" s="30"/>
      <c r="BQ831" s="30"/>
      <c r="BR831" s="30"/>
      <c r="BS831" s="30"/>
      <c r="BT831" s="30"/>
      <c r="BU831" s="30"/>
      <c r="BV831" s="30"/>
      <c r="BW831" s="30"/>
      <c r="BX831" s="30"/>
      <c r="BY831" s="30"/>
      <c r="BZ831" s="30"/>
      <c r="CA831" s="30"/>
      <c r="CB831" s="30"/>
      <c r="CC831" s="30"/>
      <c r="CD831" s="30"/>
      <c r="CE831" s="30"/>
      <c r="CF831" s="30"/>
      <c r="CG831" s="30"/>
      <c r="CH831" s="30"/>
      <c r="CI831" s="30"/>
      <c r="CJ831" s="30"/>
      <c r="CK831" s="30"/>
      <c r="CL831" s="30"/>
      <c r="CM831" s="30"/>
      <c r="CN831" s="30"/>
      <c r="CO831" s="30"/>
      <c r="CP831" s="30"/>
      <c r="CQ831" s="30"/>
      <c r="CR831" s="30"/>
      <c r="CS831" s="30"/>
      <c r="CT831" s="30"/>
      <c r="CU831" s="30"/>
      <c r="CV831" s="30"/>
      <c r="CW831" s="30"/>
      <c r="CX831" s="30"/>
      <c r="CY831" s="30"/>
      <c r="CZ831" s="30"/>
      <c r="DA831" s="30"/>
      <c r="DB831" s="30"/>
      <c r="DC831" s="30"/>
      <c r="DD831" s="30"/>
      <c r="DE831" s="30"/>
      <c r="DF831" s="30"/>
      <c r="DG831" s="30"/>
      <c r="DH831" s="30"/>
      <c r="DI831" s="30"/>
      <c r="DJ831" s="30"/>
      <c r="DK831" s="30"/>
      <c r="DL831" s="30"/>
      <c r="DM831" s="30"/>
      <c r="DN831" s="30"/>
      <c r="DO831" s="30"/>
      <c r="DP831" s="30"/>
      <c r="DQ831" s="30"/>
      <c r="DR831" s="30"/>
      <c r="DS831" s="30"/>
      <c r="DT831" s="30"/>
      <c r="DU831" s="30"/>
      <c r="DV831" s="30"/>
      <c r="DW831" s="30"/>
    </row>
    <row r="832" spans="1:127" ht="13">
      <c r="A832" s="39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  <c r="BQ832" s="30"/>
      <c r="BR832" s="30"/>
      <c r="BS832" s="30"/>
      <c r="BT832" s="30"/>
      <c r="BU832" s="30"/>
      <c r="BV832" s="30"/>
      <c r="BW832" s="30"/>
      <c r="BX832" s="30"/>
      <c r="BY832" s="30"/>
      <c r="BZ832" s="30"/>
      <c r="CA832" s="30"/>
      <c r="CB832" s="30"/>
      <c r="CC832" s="30"/>
      <c r="CD832" s="30"/>
      <c r="CE832" s="30"/>
      <c r="CF832" s="30"/>
      <c r="CG832" s="30"/>
      <c r="CH832" s="30"/>
      <c r="CI832" s="30"/>
      <c r="CJ832" s="30"/>
      <c r="CK832" s="30"/>
      <c r="CL832" s="30"/>
      <c r="CM832" s="30"/>
      <c r="CN832" s="30"/>
      <c r="CO832" s="30"/>
      <c r="CP832" s="30"/>
      <c r="CQ832" s="30"/>
      <c r="CR832" s="30"/>
      <c r="CS832" s="30"/>
      <c r="CT832" s="30"/>
      <c r="CU832" s="30"/>
      <c r="CV832" s="30"/>
      <c r="CW832" s="30"/>
      <c r="CX832" s="30"/>
      <c r="CY832" s="30"/>
      <c r="CZ832" s="30"/>
      <c r="DA832" s="30"/>
      <c r="DB832" s="30"/>
      <c r="DC832" s="30"/>
      <c r="DD832" s="30"/>
      <c r="DE832" s="30"/>
      <c r="DF832" s="30"/>
      <c r="DG832" s="30"/>
      <c r="DH832" s="30"/>
      <c r="DI832" s="30"/>
      <c r="DJ832" s="30"/>
      <c r="DK832" s="30"/>
      <c r="DL832" s="30"/>
      <c r="DM832" s="30"/>
      <c r="DN832" s="30"/>
      <c r="DO832" s="30"/>
      <c r="DP832" s="30"/>
      <c r="DQ832" s="30"/>
      <c r="DR832" s="30"/>
      <c r="DS832" s="30"/>
      <c r="DT832" s="30"/>
      <c r="DU832" s="30"/>
      <c r="DV832" s="30"/>
      <c r="DW832" s="30"/>
    </row>
    <row r="833" spans="1:127" ht="13">
      <c r="A833" s="39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  <c r="BP833" s="30"/>
      <c r="BQ833" s="30"/>
      <c r="BR833" s="30"/>
      <c r="BS833" s="30"/>
      <c r="BT833" s="30"/>
      <c r="BU833" s="30"/>
      <c r="BV833" s="30"/>
      <c r="BW833" s="30"/>
      <c r="BX833" s="30"/>
      <c r="BY833" s="30"/>
      <c r="BZ833" s="30"/>
      <c r="CA833" s="30"/>
      <c r="CB833" s="30"/>
      <c r="CC833" s="30"/>
      <c r="CD833" s="30"/>
      <c r="CE833" s="30"/>
      <c r="CF833" s="30"/>
      <c r="CG833" s="30"/>
      <c r="CH833" s="30"/>
      <c r="CI833" s="30"/>
      <c r="CJ833" s="30"/>
      <c r="CK833" s="30"/>
      <c r="CL833" s="30"/>
      <c r="CM833" s="30"/>
      <c r="CN833" s="30"/>
      <c r="CO833" s="30"/>
      <c r="CP833" s="30"/>
      <c r="CQ833" s="30"/>
      <c r="CR833" s="30"/>
      <c r="CS833" s="30"/>
      <c r="CT833" s="30"/>
      <c r="CU833" s="30"/>
      <c r="CV833" s="30"/>
      <c r="CW833" s="30"/>
      <c r="CX833" s="30"/>
      <c r="CY833" s="30"/>
      <c r="CZ833" s="30"/>
      <c r="DA833" s="30"/>
      <c r="DB833" s="30"/>
      <c r="DC833" s="30"/>
      <c r="DD833" s="30"/>
      <c r="DE833" s="30"/>
      <c r="DF833" s="30"/>
      <c r="DG833" s="30"/>
      <c r="DH833" s="30"/>
      <c r="DI833" s="30"/>
      <c r="DJ833" s="30"/>
      <c r="DK833" s="30"/>
      <c r="DL833" s="30"/>
      <c r="DM833" s="30"/>
      <c r="DN833" s="30"/>
      <c r="DO833" s="30"/>
      <c r="DP833" s="30"/>
      <c r="DQ833" s="30"/>
      <c r="DR833" s="30"/>
      <c r="DS833" s="30"/>
      <c r="DT833" s="30"/>
      <c r="DU833" s="30"/>
      <c r="DV833" s="30"/>
      <c r="DW833" s="30"/>
    </row>
    <row r="834" spans="1:127" ht="13">
      <c r="A834" s="39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30"/>
      <c r="BP834" s="30"/>
      <c r="BQ834" s="30"/>
      <c r="BR834" s="30"/>
      <c r="BS834" s="30"/>
      <c r="BT834" s="30"/>
      <c r="BU834" s="30"/>
      <c r="BV834" s="30"/>
      <c r="BW834" s="30"/>
      <c r="BX834" s="30"/>
      <c r="BY834" s="30"/>
      <c r="BZ834" s="30"/>
      <c r="CA834" s="30"/>
      <c r="CB834" s="30"/>
      <c r="CC834" s="30"/>
      <c r="CD834" s="30"/>
      <c r="CE834" s="30"/>
      <c r="CF834" s="30"/>
      <c r="CG834" s="30"/>
      <c r="CH834" s="30"/>
      <c r="CI834" s="30"/>
      <c r="CJ834" s="30"/>
      <c r="CK834" s="30"/>
      <c r="CL834" s="30"/>
      <c r="CM834" s="30"/>
      <c r="CN834" s="30"/>
      <c r="CO834" s="30"/>
      <c r="CP834" s="30"/>
      <c r="CQ834" s="30"/>
      <c r="CR834" s="30"/>
      <c r="CS834" s="30"/>
      <c r="CT834" s="30"/>
      <c r="CU834" s="30"/>
      <c r="CV834" s="30"/>
      <c r="CW834" s="30"/>
      <c r="CX834" s="30"/>
      <c r="CY834" s="30"/>
      <c r="CZ834" s="30"/>
      <c r="DA834" s="30"/>
      <c r="DB834" s="30"/>
      <c r="DC834" s="30"/>
      <c r="DD834" s="30"/>
      <c r="DE834" s="30"/>
      <c r="DF834" s="30"/>
      <c r="DG834" s="30"/>
      <c r="DH834" s="30"/>
      <c r="DI834" s="30"/>
      <c r="DJ834" s="30"/>
      <c r="DK834" s="30"/>
      <c r="DL834" s="30"/>
      <c r="DM834" s="30"/>
      <c r="DN834" s="30"/>
      <c r="DO834" s="30"/>
      <c r="DP834" s="30"/>
      <c r="DQ834" s="30"/>
      <c r="DR834" s="30"/>
      <c r="DS834" s="30"/>
      <c r="DT834" s="30"/>
      <c r="DU834" s="30"/>
      <c r="DV834" s="30"/>
      <c r="DW834" s="30"/>
    </row>
    <row r="835" spans="1:127" ht="13">
      <c r="A835" s="39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  <c r="BS835" s="30"/>
      <c r="BT835" s="30"/>
      <c r="BU835" s="30"/>
      <c r="BV835" s="30"/>
      <c r="BW835" s="30"/>
      <c r="BX835" s="30"/>
      <c r="BY835" s="30"/>
      <c r="BZ835" s="30"/>
      <c r="CA835" s="30"/>
      <c r="CB835" s="30"/>
      <c r="CC835" s="30"/>
      <c r="CD835" s="30"/>
      <c r="CE835" s="30"/>
      <c r="CF835" s="30"/>
      <c r="CG835" s="30"/>
      <c r="CH835" s="30"/>
      <c r="CI835" s="30"/>
      <c r="CJ835" s="30"/>
      <c r="CK835" s="30"/>
      <c r="CL835" s="30"/>
      <c r="CM835" s="30"/>
      <c r="CN835" s="30"/>
      <c r="CO835" s="30"/>
      <c r="CP835" s="30"/>
      <c r="CQ835" s="30"/>
      <c r="CR835" s="30"/>
      <c r="CS835" s="30"/>
      <c r="CT835" s="30"/>
      <c r="CU835" s="30"/>
      <c r="CV835" s="30"/>
      <c r="CW835" s="30"/>
      <c r="CX835" s="30"/>
      <c r="CY835" s="30"/>
      <c r="CZ835" s="30"/>
      <c r="DA835" s="30"/>
      <c r="DB835" s="30"/>
      <c r="DC835" s="30"/>
      <c r="DD835" s="30"/>
      <c r="DE835" s="30"/>
      <c r="DF835" s="30"/>
      <c r="DG835" s="30"/>
      <c r="DH835" s="30"/>
      <c r="DI835" s="30"/>
      <c r="DJ835" s="30"/>
      <c r="DK835" s="30"/>
      <c r="DL835" s="30"/>
      <c r="DM835" s="30"/>
      <c r="DN835" s="30"/>
      <c r="DO835" s="30"/>
      <c r="DP835" s="30"/>
      <c r="DQ835" s="30"/>
      <c r="DR835" s="30"/>
      <c r="DS835" s="30"/>
      <c r="DT835" s="30"/>
      <c r="DU835" s="30"/>
      <c r="DV835" s="30"/>
      <c r="DW835" s="30"/>
    </row>
    <row r="836" spans="1:127" ht="13">
      <c r="A836" s="39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  <c r="BP836" s="30"/>
      <c r="BQ836" s="30"/>
      <c r="BR836" s="30"/>
      <c r="BS836" s="30"/>
      <c r="BT836" s="30"/>
      <c r="BU836" s="30"/>
      <c r="BV836" s="30"/>
      <c r="BW836" s="30"/>
      <c r="BX836" s="30"/>
      <c r="BY836" s="30"/>
      <c r="BZ836" s="30"/>
      <c r="CA836" s="30"/>
      <c r="CB836" s="30"/>
      <c r="CC836" s="30"/>
      <c r="CD836" s="30"/>
      <c r="CE836" s="30"/>
      <c r="CF836" s="30"/>
      <c r="CG836" s="30"/>
      <c r="CH836" s="30"/>
      <c r="CI836" s="30"/>
      <c r="CJ836" s="30"/>
      <c r="CK836" s="30"/>
      <c r="CL836" s="30"/>
      <c r="CM836" s="30"/>
      <c r="CN836" s="30"/>
      <c r="CO836" s="30"/>
      <c r="CP836" s="30"/>
      <c r="CQ836" s="30"/>
      <c r="CR836" s="30"/>
      <c r="CS836" s="30"/>
      <c r="CT836" s="30"/>
      <c r="CU836" s="30"/>
      <c r="CV836" s="30"/>
      <c r="CW836" s="30"/>
      <c r="CX836" s="30"/>
      <c r="CY836" s="30"/>
      <c r="CZ836" s="30"/>
      <c r="DA836" s="30"/>
      <c r="DB836" s="30"/>
      <c r="DC836" s="30"/>
      <c r="DD836" s="30"/>
      <c r="DE836" s="30"/>
      <c r="DF836" s="30"/>
      <c r="DG836" s="30"/>
      <c r="DH836" s="30"/>
      <c r="DI836" s="30"/>
      <c r="DJ836" s="30"/>
      <c r="DK836" s="30"/>
      <c r="DL836" s="30"/>
      <c r="DM836" s="30"/>
      <c r="DN836" s="30"/>
      <c r="DO836" s="30"/>
      <c r="DP836" s="30"/>
      <c r="DQ836" s="30"/>
      <c r="DR836" s="30"/>
      <c r="DS836" s="30"/>
      <c r="DT836" s="30"/>
      <c r="DU836" s="30"/>
      <c r="DV836" s="30"/>
      <c r="DW836" s="30"/>
    </row>
    <row r="837" spans="1:127" ht="13">
      <c r="A837" s="39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  <c r="BP837" s="30"/>
      <c r="BQ837" s="30"/>
      <c r="BR837" s="30"/>
      <c r="BS837" s="30"/>
      <c r="BT837" s="30"/>
      <c r="BU837" s="30"/>
      <c r="BV837" s="30"/>
      <c r="BW837" s="30"/>
      <c r="BX837" s="30"/>
      <c r="BY837" s="30"/>
      <c r="BZ837" s="30"/>
      <c r="CA837" s="30"/>
      <c r="CB837" s="30"/>
      <c r="CC837" s="30"/>
      <c r="CD837" s="30"/>
      <c r="CE837" s="30"/>
      <c r="CF837" s="30"/>
      <c r="CG837" s="30"/>
      <c r="CH837" s="30"/>
      <c r="CI837" s="30"/>
      <c r="CJ837" s="30"/>
      <c r="CK837" s="30"/>
      <c r="CL837" s="30"/>
      <c r="CM837" s="30"/>
      <c r="CN837" s="30"/>
      <c r="CO837" s="30"/>
      <c r="CP837" s="30"/>
      <c r="CQ837" s="30"/>
      <c r="CR837" s="30"/>
      <c r="CS837" s="30"/>
      <c r="CT837" s="30"/>
      <c r="CU837" s="30"/>
      <c r="CV837" s="30"/>
      <c r="CW837" s="30"/>
      <c r="CX837" s="30"/>
      <c r="CY837" s="30"/>
      <c r="CZ837" s="30"/>
      <c r="DA837" s="30"/>
      <c r="DB837" s="30"/>
      <c r="DC837" s="30"/>
      <c r="DD837" s="30"/>
      <c r="DE837" s="30"/>
      <c r="DF837" s="30"/>
      <c r="DG837" s="30"/>
      <c r="DH837" s="30"/>
      <c r="DI837" s="30"/>
      <c r="DJ837" s="30"/>
      <c r="DK837" s="30"/>
      <c r="DL837" s="30"/>
      <c r="DM837" s="30"/>
      <c r="DN837" s="30"/>
      <c r="DO837" s="30"/>
      <c r="DP837" s="30"/>
      <c r="DQ837" s="30"/>
      <c r="DR837" s="30"/>
      <c r="DS837" s="30"/>
      <c r="DT837" s="30"/>
      <c r="DU837" s="30"/>
      <c r="DV837" s="30"/>
      <c r="DW837" s="30"/>
    </row>
    <row r="838" spans="1:127" ht="13">
      <c r="A838" s="39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  <c r="BP838" s="30"/>
      <c r="BQ838" s="30"/>
      <c r="BR838" s="30"/>
      <c r="BS838" s="30"/>
      <c r="BT838" s="30"/>
      <c r="BU838" s="30"/>
      <c r="BV838" s="30"/>
      <c r="BW838" s="30"/>
      <c r="BX838" s="30"/>
      <c r="BY838" s="30"/>
      <c r="BZ838" s="30"/>
      <c r="CA838" s="30"/>
      <c r="CB838" s="30"/>
      <c r="CC838" s="30"/>
      <c r="CD838" s="30"/>
      <c r="CE838" s="30"/>
      <c r="CF838" s="30"/>
      <c r="CG838" s="30"/>
      <c r="CH838" s="30"/>
      <c r="CI838" s="30"/>
      <c r="CJ838" s="30"/>
      <c r="CK838" s="30"/>
      <c r="CL838" s="30"/>
      <c r="CM838" s="30"/>
      <c r="CN838" s="30"/>
      <c r="CO838" s="30"/>
      <c r="CP838" s="30"/>
      <c r="CQ838" s="30"/>
      <c r="CR838" s="30"/>
      <c r="CS838" s="30"/>
      <c r="CT838" s="30"/>
      <c r="CU838" s="30"/>
      <c r="CV838" s="30"/>
      <c r="CW838" s="30"/>
      <c r="CX838" s="30"/>
      <c r="CY838" s="30"/>
      <c r="CZ838" s="30"/>
      <c r="DA838" s="30"/>
      <c r="DB838" s="30"/>
      <c r="DC838" s="30"/>
      <c r="DD838" s="30"/>
      <c r="DE838" s="30"/>
      <c r="DF838" s="30"/>
      <c r="DG838" s="30"/>
      <c r="DH838" s="30"/>
      <c r="DI838" s="30"/>
      <c r="DJ838" s="30"/>
      <c r="DK838" s="30"/>
      <c r="DL838" s="30"/>
      <c r="DM838" s="30"/>
      <c r="DN838" s="30"/>
      <c r="DO838" s="30"/>
      <c r="DP838" s="30"/>
      <c r="DQ838" s="30"/>
      <c r="DR838" s="30"/>
      <c r="DS838" s="30"/>
      <c r="DT838" s="30"/>
      <c r="DU838" s="30"/>
      <c r="DV838" s="30"/>
      <c r="DW838" s="30"/>
    </row>
    <row r="839" spans="1:127" ht="13">
      <c r="A839" s="39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30"/>
      <c r="BP839" s="30"/>
      <c r="BQ839" s="30"/>
      <c r="BR839" s="30"/>
      <c r="BS839" s="30"/>
      <c r="BT839" s="30"/>
      <c r="BU839" s="30"/>
      <c r="BV839" s="30"/>
      <c r="BW839" s="30"/>
      <c r="BX839" s="30"/>
      <c r="BY839" s="30"/>
      <c r="BZ839" s="30"/>
      <c r="CA839" s="30"/>
      <c r="CB839" s="30"/>
      <c r="CC839" s="30"/>
      <c r="CD839" s="30"/>
      <c r="CE839" s="30"/>
      <c r="CF839" s="30"/>
      <c r="CG839" s="30"/>
      <c r="CH839" s="30"/>
      <c r="CI839" s="30"/>
      <c r="CJ839" s="30"/>
      <c r="CK839" s="30"/>
      <c r="CL839" s="30"/>
      <c r="CM839" s="30"/>
      <c r="CN839" s="30"/>
      <c r="CO839" s="30"/>
      <c r="CP839" s="30"/>
      <c r="CQ839" s="30"/>
      <c r="CR839" s="30"/>
      <c r="CS839" s="30"/>
      <c r="CT839" s="30"/>
      <c r="CU839" s="30"/>
      <c r="CV839" s="30"/>
      <c r="CW839" s="30"/>
      <c r="CX839" s="30"/>
      <c r="CY839" s="30"/>
      <c r="CZ839" s="30"/>
      <c r="DA839" s="30"/>
      <c r="DB839" s="30"/>
      <c r="DC839" s="30"/>
      <c r="DD839" s="30"/>
      <c r="DE839" s="30"/>
      <c r="DF839" s="30"/>
      <c r="DG839" s="30"/>
      <c r="DH839" s="30"/>
      <c r="DI839" s="30"/>
      <c r="DJ839" s="30"/>
      <c r="DK839" s="30"/>
      <c r="DL839" s="30"/>
      <c r="DM839" s="30"/>
      <c r="DN839" s="30"/>
      <c r="DO839" s="30"/>
      <c r="DP839" s="30"/>
      <c r="DQ839" s="30"/>
      <c r="DR839" s="30"/>
      <c r="DS839" s="30"/>
      <c r="DT839" s="30"/>
      <c r="DU839" s="30"/>
      <c r="DV839" s="30"/>
      <c r="DW839" s="30"/>
    </row>
    <row r="840" spans="1:127" ht="13">
      <c r="A840" s="39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30"/>
      <c r="BP840" s="30"/>
      <c r="BQ840" s="30"/>
      <c r="BR840" s="30"/>
      <c r="BS840" s="30"/>
      <c r="BT840" s="30"/>
      <c r="BU840" s="30"/>
      <c r="BV840" s="30"/>
      <c r="BW840" s="30"/>
      <c r="BX840" s="30"/>
      <c r="BY840" s="30"/>
      <c r="BZ840" s="30"/>
      <c r="CA840" s="30"/>
      <c r="CB840" s="30"/>
      <c r="CC840" s="30"/>
      <c r="CD840" s="30"/>
      <c r="CE840" s="30"/>
      <c r="CF840" s="30"/>
      <c r="CG840" s="30"/>
      <c r="CH840" s="30"/>
      <c r="CI840" s="30"/>
      <c r="CJ840" s="30"/>
      <c r="CK840" s="30"/>
      <c r="CL840" s="30"/>
      <c r="CM840" s="30"/>
      <c r="CN840" s="30"/>
      <c r="CO840" s="30"/>
      <c r="CP840" s="30"/>
      <c r="CQ840" s="30"/>
      <c r="CR840" s="30"/>
      <c r="CS840" s="30"/>
      <c r="CT840" s="30"/>
      <c r="CU840" s="30"/>
      <c r="CV840" s="30"/>
      <c r="CW840" s="30"/>
      <c r="CX840" s="30"/>
      <c r="CY840" s="30"/>
      <c r="CZ840" s="30"/>
      <c r="DA840" s="30"/>
      <c r="DB840" s="30"/>
      <c r="DC840" s="30"/>
      <c r="DD840" s="30"/>
      <c r="DE840" s="30"/>
      <c r="DF840" s="30"/>
      <c r="DG840" s="30"/>
      <c r="DH840" s="30"/>
      <c r="DI840" s="30"/>
      <c r="DJ840" s="30"/>
      <c r="DK840" s="30"/>
      <c r="DL840" s="30"/>
      <c r="DM840" s="30"/>
      <c r="DN840" s="30"/>
      <c r="DO840" s="30"/>
      <c r="DP840" s="30"/>
      <c r="DQ840" s="30"/>
      <c r="DR840" s="30"/>
      <c r="DS840" s="30"/>
      <c r="DT840" s="30"/>
      <c r="DU840" s="30"/>
      <c r="DV840" s="30"/>
      <c r="DW840" s="30"/>
    </row>
    <row r="841" spans="1:127" ht="13">
      <c r="A841" s="39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  <c r="BP841" s="30"/>
      <c r="BQ841" s="30"/>
      <c r="BR841" s="30"/>
      <c r="BS841" s="30"/>
      <c r="BT841" s="30"/>
      <c r="BU841" s="30"/>
      <c r="BV841" s="30"/>
      <c r="BW841" s="30"/>
      <c r="BX841" s="30"/>
      <c r="BY841" s="30"/>
      <c r="BZ841" s="30"/>
      <c r="CA841" s="30"/>
      <c r="CB841" s="30"/>
      <c r="CC841" s="30"/>
      <c r="CD841" s="30"/>
      <c r="CE841" s="30"/>
      <c r="CF841" s="30"/>
      <c r="CG841" s="30"/>
      <c r="CH841" s="30"/>
      <c r="CI841" s="30"/>
      <c r="CJ841" s="30"/>
      <c r="CK841" s="30"/>
      <c r="CL841" s="30"/>
      <c r="CM841" s="30"/>
      <c r="CN841" s="30"/>
      <c r="CO841" s="30"/>
      <c r="CP841" s="30"/>
      <c r="CQ841" s="30"/>
      <c r="CR841" s="30"/>
      <c r="CS841" s="30"/>
      <c r="CT841" s="30"/>
      <c r="CU841" s="30"/>
      <c r="CV841" s="30"/>
      <c r="CW841" s="30"/>
      <c r="CX841" s="30"/>
      <c r="CY841" s="30"/>
      <c r="CZ841" s="30"/>
      <c r="DA841" s="30"/>
      <c r="DB841" s="30"/>
      <c r="DC841" s="30"/>
      <c r="DD841" s="30"/>
      <c r="DE841" s="30"/>
      <c r="DF841" s="30"/>
      <c r="DG841" s="30"/>
      <c r="DH841" s="30"/>
      <c r="DI841" s="30"/>
      <c r="DJ841" s="30"/>
      <c r="DK841" s="30"/>
      <c r="DL841" s="30"/>
      <c r="DM841" s="30"/>
      <c r="DN841" s="30"/>
      <c r="DO841" s="30"/>
      <c r="DP841" s="30"/>
      <c r="DQ841" s="30"/>
      <c r="DR841" s="30"/>
      <c r="DS841" s="30"/>
      <c r="DT841" s="30"/>
      <c r="DU841" s="30"/>
      <c r="DV841" s="30"/>
      <c r="DW841" s="30"/>
    </row>
    <row r="842" spans="1:127" ht="13">
      <c r="A842" s="39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30"/>
      <c r="BP842" s="30"/>
      <c r="BQ842" s="30"/>
      <c r="BR842" s="30"/>
      <c r="BS842" s="30"/>
      <c r="BT842" s="30"/>
      <c r="BU842" s="30"/>
      <c r="BV842" s="30"/>
      <c r="BW842" s="30"/>
      <c r="BX842" s="30"/>
      <c r="BY842" s="30"/>
      <c r="BZ842" s="30"/>
      <c r="CA842" s="30"/>
      <c r="CB842" s="30"/>
      <c r="CC842" s="30"/>
      <c r="CD842" s="30"/>
      <c r="CE842" s="30"/>
      <c r="CF842" s="30"/>
      <c r="CG842" s="30"/>
      <c r="CH842" s="30"/>
      <c r="CI842" s="30"/>
      <c r="CJ842" s="30"/>
      <c r="CK842" s="30"/>
      <c r="CL842" s="30"/>
      <c r="CM842" s="30"/>
      <c r="CN842" s="30"/>
      <c r="CO842" s="30"/>
      <c r="CP842" s="30"/>
      <c r="CQ842" s="30"/>
      <c r="CR842" s="30"/>
      <c r="CS842" s="30"/>
      <c r="CT842" s="30"/>
      <c r="CU842" s="30"/>
      <c r="CV842" s="30"/>
      <c r="CW842" s="30"/>
      <c r="CX842" s="30"/>
      <c r="CY842" s="30"/>
      <c r="CZ842" s="30"/>
      <c r="DA842" s="30"/>
      <c r="DB842" s="30"/>
      <c r="DC842" s="30"/>
      <c r="DD842" s="30"/>
      <c r="DE842" s="30"/>
      <c r="DF842" s="30"/>
      <c r="DG842" s="30"/>
      <c r="DH842" s="30"/>
      <c r="DI842" s="30"/>
      <c r="DJ842" s="30"/>
      <c r="DK842" s="30"/>
      <c r="DL842" s="30"/>
      <c r="DM842" s="30"/>
      <c r="DN842" s="30"/>
      <c r="DO842" s="30"/>
      <c r="DP842" s="30"/>
      <c r="DQ842" s="30"/>
      <c r="DR842" s="30"/>
      <c r="DS842" s="30"/>
      <c r="DT842" s="30"/>
      <c r="DU842" s="30"/>
      <c r="DV842" s="30"/>
      <c r="DW842" s="30"/>
    </row>
    <row r="843" spans="1:127" ht="13">
      <c r="A843" s="39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30"/>
      <c r="BP843" s="30"/>
      <c r="BQ843" s="30"/>
      <c r="BR843" s="30"/>
      <c r="BS843" s="30"/>
      <c r="BT843" s="30"/>
      <c r="BU843" s="30"/>
      <c r="BV843" s="30"/>
      <c r="BW843" s="30"/>
      <c r="BX843" s="30"/>
      <c r="BY843" s="30"/>
      <c r="BZ843" s="30"/>
      <c r="CA843" s="30"/>
      <c r="CB843" s="30"/>
      <c r="CC843" s="30"/>
      <c r="CD843" s="30"/>
      <c r="CE843" s="30"/>
      <c r="CF843" s="30"/>
      <c r="CG843" s="30"/>
      <c r="CH843" s="30"/>
      <c r="CI843" s="30"/>
      <c r="CJ843" s="30"/>
      <c r="CK843" s="30"/>
      <c r="CL843" s="30"/>
      <c r="CM843" s="30"/>
      <c r="CN843" s="30"/>
      <c r="CO843" s="30"/>
      <c r="CP843" s="30"/>
      <c r="CQ843" s="30"/>
      <c r="CR843" s="30"/>
      <c r="CS843" s="30"/>
      <c r="CT843" s="30"/>
      <c r="CU843" s="30"/>
      <c r="CV843" s="30"/>
      <c r="CW843" s="30"/>
      <c r="CX843" s="30"/>
      <c r="CY843" s="30"/>
      <c r="CZ843" s="30"/>
      <c r="DA843" s="30"/>
      <c r="DB843" s="30"/>
      <c r="DC843" s="30"/>
      <c r="DD843" s="30"/>
      <c r="DE843" s="30"/>
      <c r="DF843" s="30"/>
      <c r="DG843" s="30"/>
      <c r="DH843" s="30"/>
      <c r="DI843" s="30"/>
      <c r="DJ843" s="30"/>
      <c r="DK843" s="30"/>
      <c r="DL843" s="30"/>
      <c r="DM843" s="30"/>
      <c r="DN843" s="30"/>
      <c r="DO843" s="30"/>
      <c r="DP843" s="30"/>
      <c r="DQ843" s="30"/>
      <c r="DR843" s="30"/>
      <c r="DS843" s="30"/>
      <c r="DT843" s="30"/>
      <c r="DU843" s="30"/>
      <c r="DV843" s="30"/>
      <c r="DW843" s="30"/>
    </row>
    <row r="844" spans="1:127" ht="13">
      <c r="A844" s="39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  <c r="BP844" s="30"/>
      <c r="BQ844" s="30"/>
      <c r="BR844" s="30"/>
      <c r="BS844" s="30"/>
      <c r="BT844" s="30"/>
      <c r="BU844" s="30"/>
      <c r="BV844" s="30"/>
      <c r="BW844" s="30"/>
      <c r="BX844" s="30"/>
      <c r="BY844" s="30"/>
      <c r="BZ844" s="30"/>
      <c r="CA844" s="30"/>
      <c r="CB844" s="30"/>
      <c r="CC844" s="30"/>
      <c r="CD844" s="30"/>
      <c r="CE844" s="30"/>
      <c r="CF844" s="30"/>
      <c r="CG844" s="30"/>
      <c r="CH844" s="30"/>
      <c r="CI844" s="30"/>
      <c r="CJ844" s="30"/>
      <c r="CK844" s="30"/>
      <c r="CL844" s="30"/>
      <c r="CM844" s="30"/>
      <c r="CN844" s="30"/>
      <c r="CO844" s="30"/>
      <c r="CP844" s="30"/>
      <c r="CQ844" s="30"/>
      <c r="CR844" s="30"/>
      <c r="CS844" s="30"/>
      <c r="CT844" s="30"/>
      <c r="CU844" s="30"/>
      <c r="CV844" s="30"/>
      <c r="CW844" s="30"/>
      <c r="CX844" s="30"/>
      <c r="CY844" s="30"/>
      <c r="CZ844" s="30"/>
      <c r="DA844" s="30"/>
      <c r="DB844" s="30"/>
      <c r="DC844" s="30"/>
      <c r="DD844" s="30"/>
      <c r="DE844" s="30"/>
      <c r="DF844" s="30"/>
      <c r="DG844" s="30"/>
      <c r="DH844" s="30"/>
      <c r="DI844" s="30"/>
      <c r="DJ844" s="30"/>
      <c r="DK844" s="30"/>
      <c r="DL844" s="30"/>
      <c r="DM844" s="30"/>
      <c r="DN844" s="30"/>
      <c r="DO844" s="30"/>
      <c r="DP844" s="30"/>
      <c r="DQ844" s="30"/>
      <c r="DR844" s="30"/>
      <c r="DS844" s="30"/>
      <c r="DT844" s="30"/>
      <c r="DU844" s="30"/>
      <c r="DV844" s="30"/>
      <c r="DW844" s="30"/>
    </row>
    <row r="845" spans="1:127" ht="13">
      <c r="A845" s="39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30"/>
      <c r="BP845" s="30"/>
      <c r="BQ845" s="30"/>
      <c r="BR845" s="30"/>
      <c r="BS845" s="30"/>
      <c r="BT845" s="30"/>
      <c r="BU845" s="30"/>
      <c r="BV845" s="30"/>
      <c r="BW845" s="30"/>
      <c r="BX845" s="30"/>
      <c r="BY845" s="30"/>
      <c r="BZ845" s="30"/>
      <c r="CA845" s="30"/>
      <c r="CB845" s="30"/>
      <c r="CC845" s="30"/>
      <c r="CD845" s="30"/>
      <c r="CE845" s="30"/>
      <c r="CF845" s="30"/>
      <c r="CG845" s="30"/>
      <c r="CH845" s="30"/>
      <c r="CI845" s="30"/>
      <c r="CJ845" s="30"/>
      <c r="CK845" s="30"/>
      <c r="CL845" s="30"/>
      <c r="CM845" s="30"/>
      <c r="CN845" s="30"/>
      <c r="CO845" s="30"/>
      <c r="CP845" s="30"/>
      <c r="CQ845" s="30"/>
      <c r="CR845" s="30"/>
      <c r="CS845" s="30"/>
      <c r="CT845" s="30"/>
      <c r="CU845" s="30"/>
      <c r="CV845" s="30"/>
      <c r="CW845" s="30"/>
      <c r="CX845" s="30"/>
      <c r="CY845" s="30"/>
      <c r="CZ845" s="30"/>
      <c r="DA845" s="30"/>
      <c r="DB845" s="30"/>
      <c r="DC845" s="30"/>
      <c r="DD845" s="30"/>
      <c r="DE845" s="30"/>
      <c r="DF845" s="30"/>
      <c r="DG845" s="30"/>
      <c r="DH845" s="30"/>
      <c r="DI845" s="30"/>
      <c r="DJ845" s="30"/>
      <c r="DK845" s="30"/>
      <c r="DL845" s="30"/>
      <c r="DM845" s="30"/>
      <c r="DN845" s="30"/>
      <c r="DO845" s="30"/>
      <c r="DP845" s="30"/>
      <c r="DQ845" s="30"/>
      <c r="DR845" s="30"/>
      <c r="DS845" s="30"/>
      <c r="DT845" s="30"/>
      <c r="DU845" s="30"/>
      <c r="DV845" s="30"/>
      <c r="DW845" s="30"/>
    </row>
    <row r="846" spans="1:127" ht="13">
      <c r="A846" s="39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  <c r="BP846" s="30"/>
      <c r="BQ846" s="30"/>
      <c r="BR846" s="30"/>
      <c r="BS846" s="30"/>
      <c r="BT846" s="30"/>
      <c r="BU846" s="30"/>
      <c r="BV846" s="30"/>
      <c r="BW846" s="30"/>
      <c r="BX846" s="30"/>
      <c r="BY846" s="30"/>
      <c r="BZ846" s="30"/>
      <c r="CA846" s="30"/>
      <c r="CB846" s="30"/>
      <c r="CC846" s="30"/>
      <c r="CD846" s="30"/>
      <c r="CE846" s="30"/>
      <c r="CF846" s="30"/>
      <c r="CG846" s="30"/>
      <c r="CH846" s="30"/>
      <c r="CI846" s="30"/>
      <c r="CJ846" s="30"/>
      <c r="CK846" s="30"/>
      <c r="CL846" s="30"/>
      <c r="CM846" s="30"/>
      <c r="CN846" s="30"/>
      <c r="CO846" s="30"/>
      <c r="CP846" s="30"/>
      <c r="CQ846" s="30"/>
      <c r="CR846" s="30"/>
      <c r="CS846" s="30"/>
      <c r="CT846" s="30"/>
      <c r="CU846" s="30"/>
      <c r="CV846" s="30"/>
      <c r="CW846" s="30"/>
      <c r="CX846" s="30"/>
      <c r="CY846" s="30"/>
      <c r="CZ846" s="30"/>
      <c r="DA846" s="30"/>
      <c r="DB846" s="30"/>
      <c r="DC846" s="30"/>
      <c r="DD846" s="30"/>
      <c r="DE846" s="30"/>
      <c r="DF846" s="30"/>
      <c r="DG846" s="30"/>
      <c r="DH846" s="30"/>
      <c r="DI846" s="30"/>
      <c r="DJ846" s="30"/>
      <c r="DK846" s="30"/>
      <c r="DL846" s="30"/>
      <c r="DM846" s="30"/>
      <c r="DN846" s="30"/>
      <c r="DO846" s="30"/>
      <c r="DP846" s="30"/>
      <c r="DQ846" s="30"/>
      <c r="DR846" s="30"/>
      <c r="DS846" s="30"/>
      <c r="DT846" s="30"/>
      <c r="DU846" s="30"/>
      <c r="DV846" s="30"/>
      <c r="DW846" s="30"/>
    </row>
    <row r="847" spans="1:127" ht="13">
      <c r="A847" s="39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  <c r="BN847" s="30"/>
      <c r="BO847" s="30"/>
      <c r="BP847" s="30"/>
      <c r="BQ847" s="30"/>
      <c r="BR847" s="30"/>
      <c r="BS847" s="30"/>
      <c r="BT847" s="30"/>
      <c r="BU847" s="30"/>
      <c r="BV847" s="30"/>
      <c r="BW847" s="30"/>
      <c r="BX847" s="30"/>
      <c r="BY847" s="30"/>
      <c r="BZ847" s="30"/>
      <c r="CA847" s="30"/>
      <c r="CB847" s="30"/>
      <c r="CC847" s="30"/>
      <c r="CD847" s="30"/>
      <c r="CE847" s="30"/>
      <c r="CF847" s="30"/>
      <c r="CG847" s="30"/>
      <c r="CH847" s="30"/>
      <c r="CI847" s="30"/>
      <c r="CJ847" s="30"/>
      <c r="CK847" s="30"/>
      <c r="CL847" s="30"/>
      <c r="CM847" s="30"/>
      <c r="CN847" s="30"/>
      <c r="CO847" s="30"/>
      <c r="CP847" s="30"/>
      <c r="CQ847" s="30"/>
      <c r="CR847" s="30"/>
      <c r="CS847" s="30"/>
      <c r="CT847" s="30"/>
      <c r="CU847" s="30"/>
      <c r="CV847" s="30"/>
      <c r="CW847" s="30"/>
      <c r="CX847" s="30"/>
      <c r="CY847" s="30"/>
      <c r="CZ847" s="30"/>
      <c r="DA847" s="30"/>
      <c r="DB847" s="30"/>
      <c r="DC847" s="30"/>
      <c r="DD847" s="30"/>
      <c r="DE847" s="30"/>
      <c r="DF847" s="30"/>
      <c r="DG847" s="30"/>
      <c r="DH847" s="30"/>
      <c r="DI847" s="30"/>
      <c r="DJ847" s="30"/>
      <c r="DK847" s="30"/>
      <c r="DL847" s="30"/>
      <c r="DM847" s="30"/>
      <c r="DN847" s="30"/>
      <c r="DO847" s="30"/>
      <c r="DP847" s="30"/>
      <c r="DQ847" s="30"/>
      <c r="DR847" s="30"/>
      <c r="DS847" s="30"/>
      <c r="DT847" s="30"/>
      <c r="DU847" s="30"/>
      <c r="DV847" s="30"/>
      <c r="DW847" s="30"/>
    </row>
    <row r="848" spans="1:127" ht="13">
      <c r="A848" s="39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  <c r="BN848" s="30"/>
      <c r="BO848" s="30"/>
      <c r="BP848" s="30"/>
      <c r="BQ848" s="30"/>
      <c r="BR848" s="30"/>
      <c r="BS848" s="30"/>
      <c r="BT848" s="30"/>
      <c r="BU848" s="30"/>
      <c r="BV848" s="30"/>
      <c r="BW848" s="30"/>
      <c r="BX848" s="30"/>
      <c r="BY848" s="30"/>
      <c r="BZ848" s="30"/>
      <c r="CA848" s="30"/>
      <c r="CB848" s="30"/>
      <c r="CC848" s="30"/>
      <c r="CD848" s="30"/>
      <c r="CE848" s="30"/>
      <c r="CF848" s="30"/>
      <c r="CG848" s="30"/>
      <c r="CH848" s="30"/>
      <c r="CI848" s="30"/>
      <c r="CJ848" s="30"/>
      <c r="CK848" s="30"/>
      <c r="CL848" s="30"/>
      <c r="CM848" s="30"/>
      <c r="CN848" s="30"/>
      <c r="CO848" s="30"/>
      <c r="CP848" s="30"/>
      <c r="CQ848" s="30"/>
      <c r="CR848" s="30"/>
      <c r="CS848" s="30"/>
      <c r="CT848" s="30"/>
      <c r="CU848" s="30"/>
      <c r="CV848" s="30"/>
      <c r="CW848" s="30"/>
      <c r="CX848" s="30"/>
      <c r="CY848" s="30"/>
      <c r="CZ848" s="30"/>
      <c r="DA848" s="30"/>
      <c r="DB848" s="30"/>
      <c r="DC848" s="30"/>
      <c r="DD848" s="30"/>
      <c r="DE848" s="30"/>
      <c r="DF848" s="30"/>
      <c r="DG848" s="30"/>
      <c r="DH848" s="30"/>
      <c r="DI848" s="30"/>
      <c r="DJ848" s="30"/>
      <c r="DK848" s="30"/>
      <c r="DL848" s="30"/>
      <c r="DM848" s="30"/>
      <c r="DN848" s="30"/>
      <c r="DO848" s="30"/>
      <c r="DP848" s="30"/>
      <c r="DQ848" s="30"/>
      <c r="DR848" s="30"/>
      <c r="DS848" s="30"/>
      <c r="DT848" s="30"/>
      <c r="DU848" s="30"/>
      <c r="DV848" s="30"/>
      <c r="DW848" s="30"/>
    </row>
    <row r="849" spans="1:127" ht="13">
      <c r="A849" s="39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  <c r="BN849" s="30"/>
      <c r="BO849" s="30"/>
      <c r="BP849" s="30"/>
      <c r="BQ849" s="30"/>
      <c r="BR849" s="30"/>
      <c r="BS849" s="30"/>
      <c r="BT849" s="30"/>
      <c r="BU849" s="30"/>
      <c r="BV849" s="30"/>
      <c r="BW849" s="30"/>
      <c r="BX849" s="30"/>
      <c r="BY849" s="30"/>
      <c r="BZ849" s="30"/>
      <c r="CA849" s="30"/>
      <c r="CB849" s="30"/>
      <c r="CC849" s="30"/>
      <c r="CD849" s="30"/>
      <c r="CE849" s="30"/>
      <c r="CF849" s="30"/>
      <c r="CG849" s="30"/>
      <c r="CH849" s="30"/>
      <c r="CI849" s="30"/>
      <c r="CJ849" s="30"/>
      <c r="CK849" s="30"/>
      <c r="CL849" s="30"/>
      <c r="CM849" s="30"/>
      <c r="CN849" s="30"/>
      <c r="CO849" s="30"/>
      <c r="CP849" s="30"/>
      <c r="CQ849" s="30"/>
      <c r="CR849" s="30"/>
      <c r="CS849" s="30"/>
      <c r="CT849" s="30"/>
      <c r="CU849" s="30"/>
      <c r="CV849" s="30"/>
      <c r="CW849" s="30"/>
      <c r="CX849" s="30"/>
      <c r="CY849" s="30"/>
      <c r="CZ849" s="30"/>
      <c r="DA849" s="30"/>
      <c r="DB849" s="30"/>
      <c r="DC849" s="30"/>
      <c r="DD849" s="30"/>
      <c r="DE849" s="30"/>
      <c r="DF849" s="30"/>
      <c r="DG849" s="30"/>
      <c r="DH849" s="30"/>
      <c r="DI849" s="30"/>
      <c r="DJ849" s="30"/>
      <c r="DK849" s="30"/>
      <c r="DL849" s="30"/>
      <c r="DM849" s="30"/>
      <c r="DN849" s="30"/>
      <c r="DO849" s="30"/>
      <c r="DP849" s="30"/>
      <c r="DQ849" s="30"/>
      <c r="DR849" s="30"/>
      <c r="DS849" s="30"/>
      <c r="DT849" s="30"/>
      <c r="DU849" s="30"/>
      <c r="DV849" s="30"/>
      <c r="DW849" s="30"/>
    </row>
    <row r="850" spans="1:127" ht="13">
      <c r="A850" s="39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  <c r="BO850" s="30"/>
      <c r="BP850" s="30"/>
      <c r="BQ850" s="30"/>
      <c r="BR850" s="30"/>
      <c r="BS850" s="30"/>
      <c r="BT850" s="30"/>
      <c r="BU850" s="30"/>
      <c r="BV850" s="30"/>
      <c r="BW850" s="30"/>
      <c r="BX850" s="30"/>
      <c r="BY850" s="30"/>
      <c r="BZ850" s="30"/>
      <c r="CA850" s="30"/>
      <c r="CB850" s="30"/>
      <c r="CC850" s="30"/>
      <c r="CD850" s="30"/>
      <c r="CE850" s="30"/>
      <c r="CF850" s="30"/>
      <c r="CG850" s="30"/>
      <c r="CH850" s="30"/>
      <c r="CI850" s="30"/>
      <c r="CJ850" s="30"/>
      <c r="CK850" s="30"/>
      <c r="CL850" s="30"/>
      <c r="CM850" s="30"/>
      <c r="CN850" s="30"/>
      <c r="CO850" s="30"/>
      <c r="CP850" s="30"/>
      <c r="CQ850" s="30"/>
      <c r="CR850" s="30"/>
      <c r="CS850" s="30"/>
      <c r="CT850" s="30"/>
      <c r="CU850" s="30"/>
      <c r="CV850" s="30"/>
      <c r="CW850" s="30"/>
      <c r="CX850" s="30"/>
      <c r="CY850" s="30"/>
      <c r="CZ850" s="30"/>
      <c r="DA850" s="30"/>
      <c r="DB850" s="30"/>
      <c r="DC850" s="30"/>
      <c r="DD850" s="30"/>
      <c r="DE850" s="30"/>
      <c r="DF850" s="30"/>
      <c r="DG850" s="30"/>
      <c r="DH850" s="30"/>
      <c r="DI850" s="30"/>
      <c r="DJ850" s="30"/>
      <c r="DK850" s="30"/>
      <c r="DL850" s="30"/>
      <c r="DM850" s="30"/>
      <c r="DN850" s="30"/>
      <c r="DO850" s="30"/>
      <c r="DP850" s="30"/>
      <c r="DQ850" s="30"/>
      <c r="DR850" s="30"/>
      <c r="DS850" s="30"/>
      <c r="DT850" s="30"/>
      <c r="DU850" s="30"/>
      <c r="DV850" s="30"/>
      <c r="DW850" s="30"/>
    </row>
    <row r="851" spans="1:127" ht="13">
      <c r="A851" s="39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  <c r="BP851" s="30"/>
      <c r="BQ851" s="30"/>
      <c r="BR851" s="30"/>
      <c r="BS851" s="30"/>
      <c r="BT851" s="30"/>
      <c r="BU851" s="30"/>
      <c r="BV851" s="30"/>
      <c r="BW851" s="30"/>
      <c r="BX851" s="30"/>
      <c r="BY851" s="30"/>
      <c r="BZ851" s="30"/>
      <c r="CA851" s="30"/>
      <c r="CB851" s="30"/>
      <c r="CC851" s="30"/>
      <c r="CD851" s="30"/>
      <c r="CE851" s="30"/>
      <c r="CF851" s="30"/>
      <c r="CG851" s="30"/>
      <c r="CH851" s="30"/>
      <c r="CI851" s="30"/>
      <c r="CJ851" s="30"/>
      <c r="CK851" s="30"/>
      <c r="CL851" s="30"/>
      <c r="CM851" s="30"/>
      <c r="CN851" s="30"/>
      <c r="CO851" s="30"/>
      <c r="CP851" s="30"/>
      <c r="CQ851" s="30"/>
      <c r="CR851" s="30"/>
      <c r="CS851" s="30"/>
      <c r="CT851" s="30"/>
      <c r="CU851" s="30"/>
      <c r="CV851" s="30"/>
      <c r="CW851" s="30"/>
      <c r="CX851" s="30"/>
      <c r="CY851" s="30"/>
      <c r="CZ851" s="30"/>
      <c r="DA851" s="30"/>
      <c r="DB851" s="30"/>
      <c r="DC851" s="30"/>
      <c r="DD851" s="30"/>
      <c r="DE851" s="30"/>
      <c r="DF851" s="30"/>
      <c r="DG851" s="30"/>
      <c r="DH851" s="30"/>
      <c r="DI851" s="30"/>
      <c r="DJ851" s="30"/>
      <c r="DK851" s="30"/>
      <c r="DL851" s="30"/>
      <c r="DM851" s="30"/>
      <c r="DN851" s="30"/>
      <c r="DO851" s="30"/>
      <c r="DP851" s="30"/>
      <c r="DQ851" s="30"/>
      <c r="DR851" s="30"/>
      <c r="DS851" s="30"/>
      <c r="DT851" s="30"/>
      <c r="DU851" s="30"/>
      <c r="DV851" s="30"/>
      <c r="DW851" s="30"/>
    </row>
    <row r="852" spans="1:127" ht="13">
      <c r="A852" s="39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  <c r="BN852" s="30"/>
      <c r="BO852" s="30"/>
      <c r="BP852" s="30"/>
      <c r="BQ852" s="30"/>
      <c r="BR852" s="30"/>
      <c r="BS852" s="30"/>
      <c r="BT852" s="30"/>
      <c r="BU852" s="30"/>
      <c r="BV852" s="30"/>
      <c r="BW852" s="30"/>
      <c r="BX852" s="30"/>
      <c r="BY852" s="30"/>
      <c r="BZ852" s="30"/>
      <c r="CA852" s="30"/>
      <c r="CB852" s="30"/>
      <c r="CC852" s="30"/>
      <c r="CD852" s="30"/>
      <c r="CE852" s="30"/>
      <c r="CF852" s="30"/>
      <c r="CG852" s="30"/>
      <c r="CH852" s="30"/>
      <c r="CI852" s="30"/>
      <c r="CJ852" s="30"/>
      <c r="CK852" s="30"/>
      <c r="CL852" s="30"/>
      <c r="CM852" s="30"/>
      <c r="CN852" s="30"/>
      <c r="CO852" s="30"/>
      <c r="CP852" s="30"/>
      <c r="CQ852" s="30"/>
      <c r="CR852" s="30"/>
      <c r="CS852" s="30"/>
      <c r="CT852" s="30"/>
      <c r="CU852" s="30"/>
      <c r="CV852" s="30"/>
      <c r="CW852" s="30"/>
      <c r="CX852" s="30"/>
      <c r="CY852" s="30"/>
      <c r="CZ852" s="30"/>
      <c r="DA852" s="30"/>
      <c r="DB852" s="30"/>
      <c r="DC852" s="30"/>
      <c r="DD852" s="30"/>
      <c r="DE852" s="30"/>
      <c r="DF852" s="30"/>
      <c r="DG852" s="30"/>
      <c r="DH852" s="30"/>
      <c r="DI852" s="30"/>
      <c r="DJ852" s="30"/>
      <c r="DK852" s="30"/>
      <c r="DL852" s="30"/>
      <c r="DM852" s="30"/>
      <c r="DN852" s="30"/>
      <c r="DO852" s="30"/>
      <c r="DP852" s="30"/>
      <c r="DQ852" s="30"/>
      <c r="DR852" s="30"/>
      <c r="DS852" s="30"/>
      <c r="DT852" s="30"/>
      <c r="DU852" s="30"/>
      <c r="DV852" s="30"/>
      <c r="DW852" s="30"/>
    </row>
    <row r="853" spans="1:127" ht="13">
      <c r="A853" s="39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  <c r="BN853" s="30"/>
      <c r="BO853" s="30"/>
      <c r="BP853" s="30"/>
      <c r="BQ853" s="30"/>
      <c r="BR853" s="30"/>
      <c r="BS853" s="30"/>
      <c r="BT853" s="30"/>
      <c r="BU853" s="30"/>
      <c r="BV853" s="30"/>
      <c r="BW853" s="30"/>
      <c r="BX853" s="30"/>
      <c r="BY853" s="30"/>
      <c r="BZ853" s="30"/>
      <c r="CA853" s="30"/>
      <c r="CB853" s="30"/>
      <c r="CC853" s="30"/>
      <c r="CD853" s="30"/>
      <c r="CE853" s="30"/>
      <c r="CF853" s="30"/>
      <c r="CG853" s="30"/>
      <c r="CH853" s="30"/>
      <c r="CI853" s="30"/>
      <c r="CJ853" s="30"/>
      <c r="CK853" s="30"/>
      <c r="CL853" s="30"/>
      <c r="CM853" s="30"/>
      <c r="CN853" s="30"/>
      <c r="CO853" s="30"/>
      <c r="CP853" s="30"/>
      <c r="CQ853" s="30"/>
      <c r="CR853" s="30"/>
      <c r="CS853" s="30"/>
      <c r="CT853" s="30"/>
      <c r="CU853" s="30"/>
      <c r="CV853" s="30"/>
      <c r="CW853" s="30"/>
      <c r="CX853" s="30"/>
      <c r="CY853" s="30"/>
      <c r="CZ853" s="30"/>
      <c r="DA853" s="30"/>
      <c r="DB853" s="30"/>
      <c r="DC853" s="30"/>
      <c r="DD853" s="30"/>
      <c r="DE853" s="30"/>
      <c r="DF853" s="30"/>
      <c r="DG853" s="30"/>
      <c r="DH853" s="30"/>
      <c r="DI853" s="30"/>
      <c r="DJ853" s="30"/>
      <c r="DK853" s="30"/>
      <c r="DL853" s="30"/>
      <c r="DM853" s="30"/>
      <c r="DN853" s="30"/>
      <c r="DO853" s="30"/>
      <c r="DP853" s="30"/>
      <c r="DQ853" s="30"/>
      <c r="DR853" s="30"/>
      <c r="DS853" s="30"/>
      <c r="DT853" s="30"/>
      <c r="DU853" s="30"/>
      <c r="DV853" s="30"/>
      <c r="DW853" s="30"/>
    </row>
    <row r="854" spans="1:127" ht="13">
      <c r="A854" s="39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  <c r="BP854" s="30"/>
      <c r="BQ854" s="30"/>
      <c r="BR854" s="30"/>
      <c r="BS854" s="30"/>
      <c r="BT854" s="30"/>
      <c r="BU854" s="30"/>
      <c r="BV854" s="30"/>
      <c r="BW854" s="30"/>
      <c r="BX854" s="30"/>
      <c r="BY854" s="30"/>
      <c r="BZ854" s="30"/>
      <c r="CA854" s="30"/>
      <c r="CB854" s="30"/>
      <c r="CC854" s="30"/>
      <c r="CD854" s="30"/>
      <c r="CE854" s="30"/>
      <c r="CF854" s="30"/>
      <c r="CG854" s="30"/>
      <c r="CH854" s="30"/>
      <c r="CI854" s="30"/>
      <c r="CJ854" s="30"/>
      <c r="CK854" s="30"/>
      <c r="CL854" s="30"/>
      <c r="CM854" s="30"/>
      <c r="CN854" s="30"/>
      <c r="CO854" s="30"/>
      <c r="CP854" s="30"/>
      <c r="CQ854" s="30"/>
      <c r="CR854" s="30"/>
      <c r="CS854" s="30"/>
      <c r="CT854" s="30"/>
      <c r="CU854" s="30"/>
      <c r="CV854" s="30"/>
      <c r="CW854" s="30"/>
      <c r="CX854" s="30"/>
      <c r="CY854" s="30"/>
      <c r="CZ854" s="30"/>
      <c r="DA854" s="30"/>
      <c r="DB854" s="30"/>
      <c r="DC854" s="30"/>
      <c r="DD854" s="30"/>
      <c r="DE854" s="30"/>
      <c r="DF854" s="30"/>
      <c r="DG854" s="30"/>
      <c r="DH854" s="30"/>
      <c r="DI854" s="30"/>
      <c r="DJ854" s="30"/>
      <c r="DK854" s="30"/>
      <c r="DL854" s="30"/>
      <c r="DM854" s="30"/>
      <c r="DN854" s="30"/>
      <c r="DO854" s="30"/>
      <c r="DP854" s="30"/>
      <c r="DQ854" s="30"/>
      <c r="DR854" s="30"/>
      <c r="DS854" s="30"/>
      <c r="DT854" s="30"/>
      <c r="DU854" s="30"/>
      <c r="DV854" s="30"/>
      <c r="DW854" s="30"/>
    </row>
    <row r="855" spans="1:127" ht="13">
      <c r="A855" s="39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  <c r="BN855" s="30"/>
      <c r="BO855" s="30"/>
      <c r="BP855" s="30"/>
      <c r="BQ855" s="30"/>
      <c r="BR855" s="30"/>
      <c r="BS855" s="30"/>
      <c r="BT855" s="30"/>
      <c r="BU855" s="30"/>
      <c r="BV855" s="30"/>
      <c r="BW855" s="30"/>
      <c r="BX855" s="30"/>
      <c r="BY855" s="30"/>
      <c r="BZ855" s="30"/>
      <c r="CA855" s="30"/>
      <c r="CB855" s="30"/>
      <c r="CC855" s="30"/>
      <c r="CD855" s="30"/>
      <c r="CE855" s="30"/>
      <c r="CF855" s="30"/>
      <c r="CG855" s="30"/>
      <c r="CH855" s="30"/>
      <c r="CI855" s="30"/>
      <c r="CJ855" s="30"/>
      <c r="CK855" s="30"/>
      <c r="CL855" s="30"/>
      <c r="CM855" s="30"/>
      <c r="CN855" s="30"/>
      <c r="CO855" s="30"/>
      <c r="CP855" s="30"/>
      <c r="CQ855" s="30"/>
      <c r="CR855" s="30"/>
      <c r="CS855" s="30"/>
      <c r="CT855" s="30"/>
      <c r="CU855" s="30"/>
      <c r="CV855" s="30"/>
      <c r="CW855" s="30"/>
      <c r="CX855" s="30"/>
      <c r="CY855" s="30"/>
      <c r="CZ855" s="30"/>
      <c r="DA855" s="30"/>
      <c r="DB855" s="30"/>
      <c r="DC855" s="30"/>
      <c r="DD855" s="30"/>
      <c r="DE855" s="30"/>
      <c r="DF855" s="30"/>
      <c r="DG855" s="30"/>
      <c r="DH855" s="30"/>
      <c r="DI855" s="30"/>
      <c r="DJ855" s="30"/>
      <c r="DK855" s="30"/>
      <c r="DL855" s="30"/>
      <c r="DM855" s="30"/>
      <c r="DN855" s="30"/>
      <c r="DO855" s="30"/>
      <c r="DP855" s="30"/>
      <c r="DQ855" s="30"/>
      <c r="DR855" s="30"/>
      <c r="DS855" s="30"/>
      <c r="DT855" s="30"/>
      <c r="DU855" s="30"/>
      <c r="DV855" s="30"/>
      <c r="DW855" s="30"/>
    </row>
    <row r="856" spans="1:127" ht="13">
      <c r="A856" s="39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  <c r="BN856" s="30"/>
      <c r="BO856" s="30"/>
      <c r="BP856" s="30"/>
      <c r="BQ856" s="30"/>
      <c r="BR856" s="30"/>
      <c r="BS856" s="30"/>
      <c r="BT856" s="30"/>
      <c r="BU856" s="30"/>
      <c r="BV856" s="30"/>
      <c r="BW856" s="30"/>
      <c r="BX856" s="30"/>
      <c r="BY856" s="30"/>
      <c r="BZ856" s="30"/>
      <c r="CA856" s="30"/>
      <c r="CB856" s="30"/>
      <c r="CC856" s="30"/>
      <c r="CD856" s="30"/>
      <c r="CE856" s="30"/>
      <c r="CF856" s="30"/>
      <c r="CG856" s="30"/>
      <c r="CH856" s="30"/>
      <c r="CI856" s="30"/>
      <c r="CJ856" s="30"/>
      <c r="CK856" s="30"/>
      <c r="CL856" s="30"/>
      <c r="CM856" s="30"/>
      <c r="CN856" s="30"/>
      <c r="CO856" s="30"/>
      <c r="CP856" s="30"/>
      <c r="CQ856" s="30"/>
      <c r="CR856" s="30"/>
      <c r="CS856" s="30"/>
      <c r="CT856" s="30"/>
      <c r="CU856" s="30"/>
      <c r="CV856" s="30"/>
      <c r="CW856" s="30"/>
      <c r="CX856" s="30"/>
      <c r="CY856" s="30"/>
      <c r="CZ856" s="30"/>
      <c r="DA856" s="30"/>
      <c r="DB856" s="30"/>
      <c r="DC856" s="30"/>
      <c r="DD856" s="30"/>
      <c r="DE856" s="30"/>
      <c r="DF856" s="30"/>
      <c r="DG856" s="30"/>
      <c r="DH856" s="30"/>
      <c r="DI856" s="30"/>
      <c r="DJ856" s="30"/>
      <c r="DK856" s="30"/>
      <c r="DL856" s="30"/>
      <c r="DM856" s="30"/>
      <c r="DN856" s="30"/>
      <c r="DO856" s="30"/>
      <c r="DP856" s="30"/>
      <c r="DQ856" s="30"/>
      <c r="DR856" s="30"/>
      <c r="DS856" s="30"/>
      <c r="DT856" s="30"/>
      <c r="DU856" s="30"/>
      <c r="DV856" s="30"/>
      <c r="DW856" s="30"/>
    </row>
    <row r="857" spans="1:127" ht="13">
      <c r="A857" s="39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  <c r="BP857" s="30"/>
      <c r="BQ857" s="30"/>
      <c r="BR857" s="30"/>
      <c r="BS857" s="30"/>
      <c r="BT857" s="30"/>
      <c r="BU857" s="30"/>
      <c r="BV857" s="30"/>
      <c r="BW857" s="30"/>
      <c r="BX857" s="30"/>
      <c r="BY857" s="30"/>
      <c r="BZ857" s="30"/>
      <c r="CA857" s="30"/>
      <c r="CB857" s="30"/>
      <c r="CC857" s="30"/>
      <c r="CD857" s="30"/>
      <c r="CE857" s="30"/>
      <c r="CF857" s="30"/>
      <c r="CG857" s="30"/>
      <c r="CH857" s="30"/>
      <c r="CI857" s="30"/>
      <c r="CJ857" s="30"/>
      <c r="CK857" s="30"/>
      <c r="CL857" s="30"/>
      <c r="CM857" s="30"/>
      <c r="CN857" s="30"/>
      <c r="CO857" s="30"/>
      <c r="CP857" s="30"/>
      <c r="CQ857" s="30"/>
      <c r="CR857" s="30"/>
      <c r="CS857" s="30"/>
      <c r="CT857" s="30"/>
      <c r="CU857" s="30"/>
      <c r="CV857" s="30"/>
      <c r="CW857" s="30"/>
      <c r="CX857" s="30"/>
      <c r="CY857" s="30"/>
      <c r="CZ857" s="30"/>
      <c r="DA857" s="30"/>
      <c r="DB857" s="30"/>
      <c r="DC857" s="30"/>
      <c r="DD857" s="30"/>
      <c r="DE857" s="30"/>
      <c r="DF857" s="30"/>
      <c r="DG857" s="30"/>
      <c r="DH857" s="30"/>
      <c r="DI857" s="30"/>
      <c r="DJ857" s="30"/>
      <c r="DK857" s="30"/>
      <c r="DL857" s="30"/>
      <c r="DM857" s="30"/>
      <c r="DN857" s="30"/>
      <c r="DO857" s="30"/>
      <c r="DP857" s="30"/>
      <c r="DQ857" s="30"/>
      <c r="DR857" s="30"/>
      <c r="DS857" s="30"/>
      <c r="DT857" s="30"/>
      <c r="DU857" s="30"/>
      <c r="DV857" s="30"/>
      <c r="DW857" s="30"/>
    </row>
    <row r="858" spans="1:127" ht="13">
      <c r="A858" s="39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  <c r="BN858" s="30"/>
      <c r="BO858" s="30"/>
      <c r="BP858" s="30"/>
      <c r="BQ858" s="30"/>
      <c r="BR858" s="30"/>
      <c r="BS858" s="30"/>
      <c r="BT858" s="30"/>
      <c r="BU858" s="30"/>
      <c r="BV858" s="30"/>
      <c r="BW858" s="30"/>
      <c r="BX858" s="30"/>
      <c r="BY858" s="30"/>
      <c r="BZ858" s="30"/>
      <c r="CA858" s="30"/>
      <c r="CB858" s="30"/>
      <c r="CC858" s="30"/>
      <c r="CD858" s="30"/>
      <c r="CE858" s="30"/>
      <c r="CF858" s="30"/>
      <c r="CG858" s="30"/>
      <c r="CH858" s="30"/>
      <c r="CI858" s="30"/>
      <c r="CJ858" s="30"/>
      <c r="CK858" s="30"/>
      <c r="CL858" s="30"/>
      <c r="CM858" s="30"/>
      <c r="CN858" s="30"/>
      <c r="CO858" s="30"/>
      <c r="CP858" s="30"/>
      <c r="CQ858" s="30"/>
      <c r="CR858" s="30"/>
      <c r="CS858" s="30"/>
      <c r="CT858" s="30"/>
      <c r="CU858" s="30"/>
      <c r="CV858" s="30"/>
      <c r="CW858" s="30"/>
      <c r="CX858" s="30"/>
      <c r="CY858" s="30"/>
      <c r="CZ858" s="30"/>
      <c r="DA858" s="30"/>
      <c r="DB858" s="30"/>
      <c r="DC858" s="30"/>
      <c r="DD858" s="30"/>
      <c r="DE858" s="30"/>
      <c r="DF858" s="30"/>
      <c r="DG858" s="30"/>
      <c r="DH858" s="30"/>
      <c r="DI858" s="30"/>
      <c r="DJ858" s="30"/>
      <c r="DK858" s="30"/>
      <c r="DL858" s="30"/>
      <c r="DM858" s="30"/>
      <c r="DN858" s="30"/>
      <c r="DO858" s="30"/>
      <c r="DP858" s="30"/>
      <c r="DQ858" s="30"/>
      <c r="DR858" s="30"/>
      <c r="DS858" s="30"/>
      <c r="DT858" s="30"/>
      <c r="DU858" s="30"/>
      <c r="DV858" s="30"/>
      <c r="DW858" s="30"/>
    </row>
    <row r="859" spans="1:127" ht="13">
      <c r="A859" s="39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  <c r="BN859" s="30"/>
      <c r="BO859" s="30"/>
      <c r="BP859" s="30"/>
      <c r="BQ859" s="30"/>
      <c r="BR859" s="30"/>
      <c r="BS859" s="30"/>
      <c r="BT859" s="30"/>
      <c r="BU859" s="30"/>
      <c r="BV859" s="30"/>
      <c r="BW859" s="30"/>
      <c r="BX859" s="30"/>
      <c r="BY859" s="30"/>
      <c r="BZ859" s="30"/>
      <c r="CA859" s="30"/>
      <c r="CB859" s="30"/>
      <c r="CC859" s="30"/>
      <c r="CD859" s="30"/>
      <c r="CE859" s="30"/>
      <c r="CF859" s="30"/>
      <c r="CG859" s="30"/>
      <c r="CH859" s="30"/>
      <c r="CI859" s="30"/>
      <c r="CJ859" s="30"/>
      <c r="CK859" s="30"/>
      <c r="CL859" s="30"/>
      <c r="CM859" s="30"/>
      <c r="CN859" s="30"/>
      <c r="CO859" s="30"/>
      <c r="CP859" s="30"/>
      <c r="CQ859" s="30"/>
      <c r="CR859" s="30"/>
      <c r="CS859" s="30"/>
      <c r="CT859" s="30"/>
      <c r="CU859" s="30"/>
      <c r="CV859" s="30"/>
      <c r="CW859" s="30"/>
      <c r="CX859" s="30"/>
      <c r="CY859" s="30"/>
      <c r="CZ859" s="30"/>
      <c r="DA859" s="30"/>
      <c r="DB859" s="30"/>
      <c r="DC859" s="30"/>
      <c r="DD859" s="30"/>
      <c r="DE859" s="30"/>
      <c r="DF859" s="30"/>
      <c r="DG859" s="30"/>
      <c r="DH859" s="30"/>
      <c r="DI859" s="30"/>
      <c r="DJ859" s="30"/>
      <c r="DK859" s="30"/>
      <c r="DL859" s="30"/>
      <c r="DM859" s="30"/>
      <c r="DN859" s="30"/>
      <c r="DO859" s="30"/>
      <c r="DP859" s="30"/>
      <c r="DQ859" s="30"/>
      <c r="DR859" s="30"/>
      <c r="DS859" s="30"/>
      <c r="DT859" s="30"/>
      <c r="DU859" s="30"/>
      <c r="DV859" s="30"/>
      <c r="DW859" s="30"/>
    </row>
    <row r="860" spans="1:127" ht="13">
      <c r="A860" s="39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  <c r="BP860" s="30"/>
      <c r="BQ860" s="30"/>
      <c r="BR860" s="30"/>
      <c r="BS860" s="30"/>
      <c r="BT860" s="30"/>
      <c r="BU860" s="30"/>
      <c r="BV860" s="30"/>
      <c r="BW860" s="30"/>
      <c r="BX860" s="30"/>
      <c r="BY860" s="30"/>
      <c r="BZ860" s="30"/>
      <c r="CA860" s="30"/>
      <c r="CB860" s="30"/>
      <c r="CC860" s="30"/>
      <c r="CD860" s="30"/>
      <c r="CE860" s="30"/>
      <c r="CF860" s="30"/>
      <c r="CG860" s="30"/>
      <c r="CH860" s="30"/>
      <c r="CI860" s="30"/>
      <c r="CJ860" s="30"/>
      <c r="CK860" s="30"/>
      <c r="CL860" s="30"/>
      <c r="CM860" s="30"/>
      <c r="CN860" s="30"/>
      <c r="CO860" s="30"/>
      <c r="CP860" s="30"/>
      <c r="CQ860" s="30"/>
      <c r="CR860" s="30"/>
      <c r="CS860" s="30"/>
      <c r="CT860" s="30"/>
      <c r="CU860" s="30"/>
      <c r="CV860" s="30"/>
      <c r="CW860" s="30"/>
      <c r="CX860" s="30"/>
      <c r="CY860" s="30"/>
      <c r="CZ860" s="30"/>
      <c r="DA860" s="30"/>
      <c r="DB860" s="30"/>
      <c r="DC860" s="30"/>
      <c r="DD860" s="30"/>
      <c r="DE860" s="30"/>
      <c r="DF860" s="30"/>
      <c r="DG860" s="30"/>
      <c r="DH860" s="30"/>
      <c r="DI860" s="30"/>
      <c r="DJ860" s="30"/>
      <c r="DK860" s="30"/>
      <c r="DL860" s="30"/>
      <c r="DM860" s="30"/>
      <c r="DN860" s="30"/>
      <c r="DO860" s="30"/>
      <c r="DP860" s="30"/>
      <c r="DQ860" s="30"/>
      <c r="DR860" s="30"/>
      <c r="DS860" s="30"/>
      <c r="DT860" s="30"/>
      <c r="DU860" s="30"/>
      <c r="DV860" s="30"/>
      <c r="DW860" s="30"/>
    </row>
    <row r="861" spans="1:127" ht="13">
      <c r="A861" s="39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  <c r="BN861" s="30"/>
      <c r="BO861" s="30"/>
      <c r="BP861" s="30"/>
      <c r="BQ861" s="30"/>
      <c r="BR861" s="30"/>
      <c r="BS861" s="30"/>
      <c r="BT861" s="30"/>
      <c r="BU861" s="30"/>
      <c r="BV861" s="30"/>
      <c r="BW861" s="30"/>
      <c r="BX861" s="30"/>
      <c r="BY861" s="30"/>
      <c r="BZ861" s="30"/>
      <c r="CA861" s="30"/>
      <c r="CB861" s="30"/>
      <c r="CC861" s="30"/>
      <c r="CD861" s="30"/>
      <c r="CE861" s="30"/>
      <c r="CF861" s="30"/>
      <c r="CG861" s="30"/>
      <c r="CH861" s="30"/>
      <c r="CI861" s="30"/>
      <c r="CJ861" s="30"/>
      <c r="CK861" s="30"/>
      <c r="CL861" s="30"/>
      <c r="CM861" s="30"/>
      <c r="CN861" s="30"/>
      <c r="CO861" s="30"/>
      <c r="CP861" s="30"/>
      <c r="CQ861" s="30"/>
      <c r="CR861" s="30"/>
      <c r="CS861" s="30"/>
      <c r="CT861" s="30"/>
      <c r="CU861" s="30"/>
      <c r="CV861" s="30"/>
      <c r="CW861" s="30"/>
      <c r="CX861" s="30"/>
      <c r="CY861" s="30"/>
      <c r="CZ861" s="30"/>
      <c r="DA861" s="30"/>
      <c r="DB861" s="30"/>
      <c r="DC861" s="30"/>
      <c r="DD861" s="30"/>
      <c r="DE861" s="30"/>
      <c r="DF861" s="30"/>
      <c r="DG861" s="30"/>
      <c r="DH861" s="30"/>
      <c r="DI861" s="30"/>
      <c r="DJ861" s="30"/>
      <c r="DK861" s="30"/>
      <c r="DL861" s="30"/>
      <c r="DM861" s="30"/>
      <c r="DN861" s="30"/>
      <c r="DO861" s="30"/>
      <c r="DP861" s="30"/>
      <c r="DQ861" s="30"/>
      <c r="DR861" s="30"/>
      <c r="DS861" s="30"/>
      <c r="DT861" s="30"/>
      <c r="DU861" s="30"/>
      <c r="DV861" s="30"/>
      <c r="DW861" s="30"/>
    </row>
    <row r="862" spans="1:127" ht="13">
      <c r="A862" s="39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30"/>
      <c r="BN862" s="30"/>
      <c r="BO862" s="30"/>
      <c r="BP862" s="30"/>
      <c r="BQ862" s="30"/>
      <c r="BR862" s="30"/>
      <c r="BS862" s="30"/>
      <c r="BT862" s="30"/>
      <c r="BU862" s="30"/>
      <c r="BV862" s="30"/>
      <c r="BW862" s="30"/>
      <c r="BX862" s="30"/>
      <c r="BY862" s="30"/>
      <c r="BZ862" s="30"/>
      <c r="CA862" s="30"/>
      <c r="CB862" s="30"/>
      <c r="CC862" s="30"/>
      <c r="CD862" s="30"/>
      <c r="CE862" s="30"/>
      <c r="CF862" s="30"/>
      <c r="CG862" s="30"/>
      <c r="CH862" s="30"/>
      <c r="CI862" s="30"/>
      <c r="CJ862" s="30"/>
      <c r="CK862" s="30"/>
      <c r="CL862" s="30"/>
      <c r="CM862" s="30"/>
      <c r="CN862" s="30"/>
      <c r="CO862" s="30"/>
      <c r="CP862" s="30"/>
      <c r="CQ862" s="30"/>
      <c r="CR862" s="30"/>
      <c r="CS862" s="30"/>
      <c r="CT862" s="30"/>
      <c r="CU862" s="30"/>
      <c r="CV862" s="30"/>
      <c r="CW862" s="30"/>
      <c r="CX862" s="30"/>
      <c r="CY862" s="30"/>
      <c r="CZ862" s="30"/>
      <c r="DA862" s="30"/>
      <c r="DB862" s="30"/>
      <c r="DC862" s="30"/>
      <c r="DD862" s="30"/>
      <c r="DE862" s="30"/>
      <c r="DF862" s="30"/>
      <c r="DG862" s="30"/>
      <c r="DH862" s="30"/>
      <c r="DI862" s="30"/>
      <c r="DJ862" s="30"/>
      <c r="DK862" s="30"/>
      <c r="DL862" s="30"/>
      <c r="DM862" s="30"/>
      <c r="DN862" s="30"/>
      <c r="DO862" s="30"/>
      <c r="DP862" s="30"/>
      <c r="DQ862" s="30"/>
      <c r="DR862" s="30"/>
      <c r="DS862" s="30"/>
      <c r="DT862" s="30"/>
      <c r="DU862" s="30"/>
      <c r="DV862" s="30"/>
      <c r="DW862" s="30"/>
    </row>
    <row r="863" spans="1:127" ht="13">
      <c r="A863" s="39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  <c r="BN863" s="30"/>
      <c r="BO863" s="30"/>
      <c r="BP863" s="30"/>
      <c r="BQ863" s="30"/>
      <c r="BR863" s="30"/>
      <c r="BS863" s="30"/>
      <c r="BT863" s="30"/>
      <c r="BU863" s="30"/>
      <c r="BV863" s="30"/>
      <c r="BW863" s="30"/>
      <c r="BX863" s="30"/>
      <c r="BY863" s="30"/>
      <c r="BZ863" s="30"/>
      <c r="CA863" s="30"/>
      <c r="CB863" s="30"/>
      <c r="CC863" s="30"/>
      <c r="CD863" s="30"/>
      <c r="CE863" s="30"/>
      <c r="CF863" s="30"/>
      <c r="CG863" s="30"/>
      <c r="CH863" s="30"/>
      <c r="CI863" s="30"/>
      <c r="CJ863" s="30"/>
      <c r="CK863" s="30"/>
      <c r="CL863" s="30"/>
      <c r="CM863" s="30"/>
      <c r="CN863" s="30"/>
      <c r="CO863" s="30"/>
      <c r="CP863" s="30"/>
      <c r="CQ863" s="30"/>
      <c r="CR863" s="30"/>
      <c r="CS863" s="30"/>
      <c r="CT863" s="30"/>
      <c r="CU863" s="30"/>
      <c r="CV863" s="30"/>
      <c r="CW863" s="30"/>
      <c r="CX863" s="30"/>
      <c r="CY863" s="30"/>
      <c r="CZ863" s="30"/>
      <c r="DA863" s="30"/>
      <c r="DB863" s="30"/>
      <c r="DC863" s="30"/>
      <c r="DD863" s="30"/>
      <c r="DE863" s="30"/>
      <c r="DF863" s="30"/>
      <c r="DG863" s="30"/>
      <c r="DH863" s="30"/>
      <c r="DI863" s="30"/>
      <c r="DJ863" s="30"/>
      <c r="DK863" s="30"/>
      <c r="DL863" s="30"/>
      <c r="DM863" s="30"/>
      <c r="DN863" s="30"/>
      <c r="DO863" s="30"/>
      <c r="DP863" s="30"/>
      <c r="DQ863" s="30"/>
      <c r="DR863" s="30"/>
      <c r="DS863" s="30"/>
      <c r="DT863" s="30"/>
      <c r="DU863" s="30"/>
      <c r="DV863" s="30"/>
      <c r="DW863" s="30"/>
    </row>
    <row r="864" spans="1:127" ht="13">
      <c r="A864" s="39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  <c r="BN864" s="30"/>
      <c r="BO864" s="30"/>
      <c r="BP864" s="30"/>
      <c r="BQ864" s="30"/>
      <c r="BR864" s="30"/>
      <c r="BS864" s="30"/>
      <c r="BT864" s="30"/>
      <c r="BU864" s="30"/>
      <c r="BV864" s="30"/>
      <c r="BW864" s="30"/>
      <c r="BX864" s="30"/>
      <c r="BY864" s="30"/>
      <c r="BZ864" s="30"/>
      <c r="CA864" s="30"/>
      <c r="CB864" s="30"/>
      <c r="CC864" s="30"/>
      <c r="CD864" s="30"/>
      <c r="CE864" s="30"/>
      <c r="CF864" s="30"/>
      <c r="CG864" s="30"/>
      <c r="CH864" s="30"/>
      <c r="CI864" s="30"/>
      <c r="CJ864" s="30"/>
      <c r="CK864" s="30"/>
      <c r="CL864" s="30"/>
      <c r="CM864" s="30"/>
      <c r="CN864" s="30"/>
      <c r="CO864" s="30"/>
      <c r="CP864" s="30"/>
      <c r="CQ864" s="30"/>
      <c r="CR864" s="30"/>
      <c r="CS864" s="30"/>
      <c r="CT864" s="30"/>
      <c r="CU864" s="30"/>
      <c r="CV864" s="30"/>
      <c r="CW864" s="30"/>
      <c r="CX864" s="30"/>
      <c r="CY864" s="30"/>
      <c r="CZ864" s="30"/>
      <c r="DA864" s="30"/>
      <c r="DB864" s="30"/>
      <c r="DC864" s="30"/>
      <c r="DD864" s="30"/>
      <c r="DE864" s="30"/>
      <c r="DF864" s="30"/>
      <c r="DG864" s="30"/>
      <c r="DH864" s="30"/>
      <c r="DI864" s="30"/>
      <c r="DJ864" s="30"/>
      <c r="DK864" s="30"/>
      <c r="DL864" s="30"/>
      <c r="DM864" s="30"/>
      <c r="DN864" s="30"/>
      <c r="DO864" s="30"/>
      <c r="DP864" s="30"/>
      <c r="DQ864" s="30"/>
      <c r="DR864" s="30"/>
      <c r="DS864" s="30"/>
      <c r="DT864" s="30"/>
      <c r="DU864" s="30"/>
      <c r="DV864" s="30"/>
      <c r="DW864" s="30"/>
    </row>
    <row r="865" spans="1:127" ht="13">
      <c r="A865" s="39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  <c r="BP865" s="30"/>
      <c r="BQ865" s="30"/>
      <c r="BR865" s="30"/>
      <c r="BS865" s="30"/>
      <c r="BT865" s="30"/>
      <c r="BU865" s="30"/>
      <c r="BV865" s="30"/>
      <c r="BW865" s="30"/>
      <c r="BX865" s="30"/>
      <c r="BY865" s="30"/>
      <c r="BZ865" s="30"/>
      <c r="CA865" s="30"/>
      <c r="CB865" s="30"/>
      <c r="CC865" s="30"/>
      <c r="CD865" s="30"/>
      <c r="CE865" s="30"/>
      <c r="CF865" s="30"/>
      <c r="CG865" s="30"/>
      <c r="CH865" s="30"/>
      <c r="CI865" s="30"/>
      <c r="CJ865" s="30"/>
      <c r="CK865" s="30"/>
      <c r="CL865" s="30"/>
      <c r="CM865" s="30"/>
      <c r="CN865" s="30"/>
      <c r="CO865" s="30"/>
      <c r="CP865" s="30"/>
      <c r="CQ865" s="30"/>
      <c r="CR865" s="30"/>
      <c r="CS865" s="30"/>
      <c r="CT865" s="30"/>
      <c r="CU865" s="30"/>
      <c r="CV865" s="30"/>
      <c r="CW865" s="30"/>
      <c r="CX865" s="30"/>
      <c r="CY865" s="30"/>
      <c r="CZ865" s="30"/>
      <c r="DA865" s="30"/>
      <c r="DB865" s="30"/>
      <c r="DC865" s="30"/>
      <c r="DD865" s="30"/>
      <c r="DE865" s="30"/>
      <c r="DF865" s="30"/>
      <c r="DG865" s="30"/>
      <c r="DH865" s="30"/>
      <c r="DI865" s="30"/>
      <c r="DJ865" s="30"/>
      <c r="DK865" s="30"/>
      <c r="DL865" s="30"/>
      <c r="DM865" s="30"/>
      <c r="DN865" s="30"/>
      <c r="DO865" s="30"/>
      <c r="DP865" s="30"/>
      <c r="DQ865" s="30"/>
      <c r="DR865" s="30"/>
      <c r="DS865" s="30"/>
      <c r="DT865" s="30"/>
      <c r="DU865" s="30"/>
      <c r="DV865" s="30"/>
      <c r="DW865" s="30"/>
    </row>
    <row r="866" spans="1:127" ht="13">
      <c r="A866" s="39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  <c r="BN866" s="30"/>
      <c r="BO866" s="30"/>
      <c r="BP866" s="30"/>
      <c r="BQ866" s="30"/>
      <c r="BR866" s="30"/>
      <c r="BS866" s="30"/>
      <c r="BT866" s="30"/>
      <c r="BU866" s="30"/>
      <c r="BV866" s="30"/>
      <c r="BW866" s="30"/>
      <c r="BX866" s="30"/>
      <c r="BY866" s="30"/>
      <c r="BZ866" s="30"/>
      <c r="CA866" s="30"/>
      <c r="CB866" s="30"/>
      <c r="CC866" s="30"/>
      <c r="CD866" s="30"/>
      <c r="CE866" s="30"/>
      <c r="CF866" s="30"/>
      <c r="CG866" s="30"/>
      <c r="CH866" s="30"/>
      <c r="CI866" s="30"/>
      <c r="CJ866" s="30"/>
      <c r="CK866" s="30"/>
      <c r="CL866" s="30"/>
      <c r="CM866" s="30"/>
      <c r="CN866" s="30"/>
      <c r="CO866" s="30"/>
      <c r="CP866" s="30"/>
      <c r="CQ866" s="30"/>
      <c r="CR866" s="30"/>
      <c r="CS866" s="30"/>
      <c r="CT866" s="30"/>
      <c r="CU866" s="30"/>
      <c r="CV866" s="30"/>
      <c r="CW866" s="30"/>
      <c r="CX866" s="30"/>
      <c r="CY866" s="30"/>
      <c r="CZ866" s="30"/>
      <c r="DA866" s="30"/>
      <c r="DB866" s="30"/>
      <c r="DC866" s="30"/>
      <c r="DD866" s="30"/>
      <c r="DE866" s="30"/>
      <c r="DF866" s="30"/>
      <c r="DG866" s="30"/>
      <c r="DH866" s="30"/>
      <c r="DI866" s="30"/>
      <c r="DJ866" s="30"/>
      <c r="DK866" s="30"/>
      <c r="DL866" s="30"/>
      <c r="DM866" s="30"/>
      <c r="DN866" s="30"/>
      <c r="DO866" s="30"/>
      <c r="DP866" s="30"/>
      <c r="DQ866" s="30"/>
      <c r="DR866" s="30"/>
      <c r="DS866" s="30"/>
      <c r="DT866" s="30"/>
      <c r="DU866" s="30"/>
      <c r="DV866" s="30"/>
      <c r="DW866" s="30"/>
    </row>
    <row r="867" spans="1:127" ht="13">
      <c r="A867" s="39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  <c r="BN867" s="30"/>
      <c r="BO867" s="30"/>
      <c r="BP867" s="30"/>
      <c r="BQ867" s="30"/>
      <c r="BR867" s="30"/>
      <c r="BS867" s="30"/>
      <c r="BT867" s="30"/>
      <c r="BU867" s="30"/>
      <c r="BV867" s="30"/>
      <c r="BW867" s="30"/>
      <c r="BX867" s="30"/>
      <c r="BY867" s="30"/>
      <c r="BZ867" s="30"/>
      <c r="CA867" s="30"/>
      <c r="CB867" s="30"/>
      <c r="CC867" s="30"/>
      <c r="CD867" s="30"/>
      <c r="CE867" s="30"/>
      <c r="CF867" s="30"/>
      <c r="CG867" s="30"/>
      <c r="CH867" s="30"/>
      <c r="CI867" s="30"/>
      <c r="CJ867" s="30"/>
      <c r="CK867" s="30"/>
      <c r="CL867" s="30"/>
      <c r="CM867" s="30"/>
      <c r="CN867" s="30"/>
      <c r="CO867" s="30"/>
      <c r="CP867" s="30"/>
      <c r="CQ867" s="30"/>
      <c r="CR867" s="30"/>
      <c r="CS867" s="30"/>
      <c r="CT867" s="30"/>
      <c r="CU867" s="30"/>
      <c r="CV867" s="30"/>
      <c r="CW867" s="30"/>
      <c r="CX867" s="30"/>
      <c r="CY867" s="30"/>
      <c r="CZ867" s="30"/>
      <c r="DA867" s="30"/>
      <c r="DB867" s="30"/>
      <c r="DC867" s="30"/>
      <c r="DD867" s="30"/>
      <c r="DE867" s="30"/>
      <c r="DF867" s="30"/>
      <c r="DG867" s="30"/>
      <c r="DH867" s="30"/>
      <c r="DI867" s="30"/>
      <c r="DJ867" s="30"/>
      <c r="DK867" s="30"/>
      <c r="DL867" s="30"/>
      <c r="DM867" s="30"/>
      <c r="DN867" s="30"/>
      <c r="DO867" s="30"/>
      <c r="DP867" s="30"/>
      <c r="DQ867" s="30"/>
      <c r="DR867" s="30"/>
      <c r="DS867" s="30"/>
      <c r="DT867" s="30"/>
      <c r="DU867" s="30"/>
      <c r="DV867" s="30"/>
      <c r="DW867" s="30"/>
    </row>
    <row r="868" spans="1:127" ht="13">
      <c r="A868" s="39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  <c r="BN868" s="30"/>
      <c r="BO868" s="30"/>
      <c r="BP868" s="30"/>
      <c r="BQ868" s="30"/>
      <c r="BR868" s="30"/>
      <c r="BS868" s="30"/>
      <c r="BT868" s="30"/>
      <c r="BU868" s="30"/>
      <c r="BV868" s="30"/>
      <c r="BW868" s="30"/>
      <c r="BX868" s="30"/>
      <c r="BY868" s="30"/>
      <c r="BZ868" s="30"/>
      <c r="CA868" s="30"/>
      <c r="CB868" s="30"/>
      <c r="CC868" s="30"/>
      <c r="CD868" s="30"/>
      <c r="CE868" s="30"/>
      <c r="CF868" s="30"/>
      <c r="CG868" s="30"/>
      <c r="CH868" s="30"/>
      <c r="CI868" s="30"/>
      <c r="CJ868" s="30"/>
      <c r="CK868" s="30"/>
      <c r="CL868" s="30"/>
      <c r="CM868" s="30"/>
      <c r="CN868" s="30"/>
      <c r="CO868" s="30"/>
      <c r="CP868" s="30"/>
      <c r="CQ868" s="30"/>
      <c r="CR868" s="30"/>
      <c r="CS868" s="30"/>
      <c r="CT868" s="30"/>
      <c r="CU868" s="30"/>
      <c r="CV868" s="30"/>
      <c r="CW868" s="30"/>
      <c r="CX868" s="30"/>
      <c r="CY868" s="30"/>
      <c r="CZ868" s="30"/>
      <c r="DA868" s="30"/>
      <c r="DB868" s="30"/>
      <c r="DC868" s="30"/>
      <c r="DD868" s="30"/>
      <c r="DE868" s="30"/>
      <c r="DF868" s="30"/>
      <c r="DG868" s="30"/>
      <c r="DH868" s="30"/>
      <c r="DI868" s="30"/>
      <c r="DJ868" s="30"/>
      <c r="DK868" s="30"/>
      <c r="DL868" s="30"/>
      <c r="DM868" s="30"/>
      <c r="DN868" s="30"/>
      <c r="DO868" s="30"/>
      <c r="DP868" s="30"/>
      <c r="DQ868" s="30"/>
      <c r="DR868" s="30"/>
      <c r="DS868" s="30"/>
      <c r="DT868" s="30"/>
      <c r="DU868" s="30"/>
      <c r="DV868" s="30"/>
      <c r="DW868" s="30"/>
    </row>
    <row r="869" spans="1:127" ht="13">
      <c r="A869" s="39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30"/>
      <c r="BP869" s="30"/>
      <c r="BQ869" s="30"/>
      <c r="BR869" s="30"/>
      <c r="BS869" s="30"/>
      <c r="BT869" s="30"/>
      <c r="BU869" s="30"/>
      <c r="BV869" s="30"/>
      <c r="BW869" s="30"/>
      <c r="BX869" s="30"/>
      <c r="BY869" s="30"/>
      <c r="BZ869" s="30"/>
      <c r="CA869" s="30"/>
      <c r="CB869" s="30"/>
      <c r="CC869" s="30"/>
      <c r="CD869" s="30"/>
      <c r="CE869" s="30"/>
      <c r="CF869" s="30"/>
      <c r="CG869" s="30"/>
      <c r="CH869" s="30"/>
      <c r="CI869" s="30"/>
      <c r="CJ869" s="30"/>
      <c r="CK869" s="30"/>
      <c r="CL869" s="30"/>
      <c r="CM869" s="30"/>
      <c r="CN869" s="30"/>
      <c r="CO869" s="30"/>
      <c r="CP869" s="30"/>
      <c r="CQ869" s="30"/>
      <c r="CR869" s="30"/>
      <c r="CS869" s="30"/>
      <c r="CT869" s="30"/>
      <c r="CU869" s="30"/>
      <c r="CV869" s="30"/>
      <c r="CW869" s="30"/>
      <c r="CX869" s="30"/>
      <c r="CY869" s="30"/>
      <c r="CZ869" s="30"/>
      <c r="DA869" s="30"/>
      <c r="DB869" s="30"/>
      <c r="DC869" s="30"/>
      <c r="DD869" s="30"/>
      <c r="DE869" s="30"/>
      <c r="DF869" s="30"/>
      <c r="DG869" s="30"/>
      <c r="DH869" s="30"/>
      <c r="DI869" s="30"/>
      <c r="DJ869" s="30"/>
      <c r="DK869" s="30"/>
      <c r="DL869" s="30"/>
      <c r="DM869" s="30"/>
      <c r="DN869" s="30"/>
      <c r="DO869" s="30"/>
      <c r="DP869" s="30"/>
      <c r="DQ869" s="30"/>
      <c r="DR869" s="30"/>
      <c r="DS869" s="30"/>
      <c r="DT869" s="30"/>
      <c r="DU869" s="30"/>
      <c r="DV869" s="30"/>
      <c r="DW869" s="30"/>
    </row>
    <row r="870" spans="1:127" ht="13">
      <c r="A870" s="39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  <c r="BP870" s="30"/>
      <c r="BQ870" s="30"/>
      <c r="BR870" s="30"/>
      <c r="BS870" s="30"/>
      <c r="BT870" s="30"/>
      <c r="BU870" s="30"/>
      <c r="BV870" s="30"/>
      <c r="BW870" s="30"/>
      <c r="BX870" s="30"/>
      <c r="BY870" s="30"/>
      <c r="BZ870" s="30"/>
      <c r="CA870" s="30"/>
      <c r="CB870" s="30"/>
      <c r="CC870" s="30"/>
      <c r="CD870" s="30"/>
      <c r="CE870" s="30"/>
      <c r="CF870" s="30"/>
      <c r="CG870" s="30"/>
      <c r="CH870" s="30"/>
      <c r="CI870" s="30"/>
      <c r="CJ870" s="30"/>
      <c r="CK870" s="30"/>
      <c r="CL870" s="30"/>
      <c r="CM870" s="30"/>
      <c r="CN870" s="30"/>
      <c r="CO870" s="30"/>
      <c r="CP870" s="30"/>
      <c r="CQ870" s="30"/>
      <c r="CR870" s="30"/>
      <c r="CS870" s="30"/>
      <c r="CT870" s="30"/>
      <c r="CU870" s="30"/>
      <c r="CV870" s="30"/>
      <c r="CW870" s="30"/>
      <c r="CX870" s="30"/>
      <c r="CY870" s="30"/>
      <c r="CZ870" s="30"/>
      <c r="DA870" s="30"/>
      <c r="DB870" s="30"/>
      <c r="DC870" s="30"/>
      <c r="DD870" s="30"/>
      <c r="DE870" s="30"/>
      <c r="DF870" s="30"/>
      <c r="DG870" s="30"/>
      <c r="DH870" s="30"/>
      <c r="DI870" s="30"/>
      <c r="DJ870" s="30"/>
      <c r="DK870" s="30"/>
      <c r="DL870" s="30"/>
      <c r="DM870" s="30"/>
      <c r="DN870" s="30"/>
      <c r="DO870" s="30"/>
      <c r="DP870" s="30"/>
      <c r="DQ870" s="30"/>
      <c r="DR870" s="30"/>
      <c r="DS870" s="30"/>
      <c r="DT870" s="30"/>
      <c r="DU870" s="30"/>
      <c r="DV870" s="30"/>
      <c r="DW870" s="30"/>
    </row>
    <row r="871" spans="1:127" ht="13">
      <c r="A871" s="39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  <c r="BN871" s="30"/>
      <c r="BO871" s="30"/>
      <c r="BP871" s="30"/>
      <c r="BQ871" s="30"/>
      <c r="BR871" s="30"/>
      <c r="BS871" s="30"/>
      <c r="BT871" s="30"/>
      <c r="BU871" s="30"/>
      <c r="BV871" s="30"/>
      <c r="BW871" s="30"/>
      <c r="BX871" s="30"/>
      <c r="BY871" s="30"/>
      <c r="BZ871" s="30"/>
      <c r="CA871" s="30"/>
      <c r="CB871" s="30"/>
      <c r="CC871" s="30"/>
      <c r="CD871" s="30"/>
      <c r="CE871" s="30"/>
      <c r="CF871" s="30"/>
      <c r="CG871" s="30"/>
      <c r="CH871" s="30"/>
      <c r="CI871" s="30"/>
      <c r="CJ871" s="30"/>
      <c r="CK871" s="30"/>
      <c r="CL871" s="30"/>
      <c r="CM871" s="30"/>
      <c r="CN871" s="30"/>
      <c r="CO871" s="30"/>
      <c r="CP871" s="30"/>
      <c r="CQ871" s="30"/>
      <c r="CR871" s="30"/>
      <c r="CS871" s="30"/>
      <c r="CT871" s="30"/>
      <c r="CU871" s="30"/>
      <c r="CV871" s="30"/>
      <c r="CW871" s="30"/>
      <c r="CX871" s="30"/>
      <c r="CY871" s="30"/>
      <c r="CZ871" s="30"/>
      <c r="DA871" s="30"/>
      <c r="DB871" s="30"/>
      <c r="DC871" s="30"/>
      <c r="DD871" s="30"/>
      <c r="DE871" s="30"/>
      <c r="DF871" s="30"/>
      <c r="DG871" s="30"/>
      <c r="DH871" s="30"/>
      <c r="DI871" s="30"/>
      <c r="DJ871" s="30"/>
      <c r="DK871" s="30"/>
      <c r="DL871" s="30"/>
      <c r="DM871" s="30"/>
      <c r="DN871" s="30"/>
      <c r="DO871" s="30"/>
      <c r="DP871" s="30"/>
      <c r="DQ871" s="30"/>
      <c r="DR871" s="30"/>
      <c r="DS871" s="30"/>
      <c r="DT871" s="30"/>
      <c r="DU871" s="30"/>
      <c r="DV871" s="30"/>
      <c r="DW871" s="30"/>
    </row>
    <row r="872" spans="1:127" ht="13">
      <c r="A872" s="39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  <c r="BN872" s="30"/>
      <c r="BO872" s="30"/>
      <c r="BP872" s="30"/>
      <c r="BQ872" s="30"/>
      <c r="BR872" s="30"/>
      <c r="BS872" s="30"/>
      <c r="BT872" s="30"/>
      <c r="BU872" s="30"/>
      <c r="BV872" s="30"/>
      <c r="BW872" s="30"/>
      <c r="BX872" s="30"/>
      <c r="BY872" s="30"/>
      <c r="BZ872" s="30"/>
      <c r="CA872" s="30"/>
      <c r="CB872" s="30"/>
      <c r="CC872" s="30"/>
      <c r="CD872" s="30"/>
      <c r="CE872" s="30"/>
      <c r="CF872" s="30"/>
      <c r="CG872" s="30"/>
      <c r="CH872" s="30"/>
      <c r="CI872" s="30"/>
      <c r="CJ872" s="30"/>
      <c r="CK872" s="30"/>
      <c r="CL872" s="30"/>
      <c r="CM872" s="30"/>
      <c r="CN872" s="30"/>
      <c r="CO872" s="30"/>
      <c r="CP872" s="30"/>
      <c r="CQ872" s="30"/>
      <c r="CR872" s="30"/>
      <c r="CS872" s="30"/>
      <c r="CT872" s="30"/>
      <c r="CU872" s="30"/>
      <c r="CV872" s="30"/>
      <c r="CW872" s="30"/>
      <c r="CX872" s="30"/>
      <c r="CY872" s="30"/>
      <c r="CZ872" s="30"/>
      <c r="DA872" s="30"/>
      <c r="DB872" s="30"/>
      <c r="DC872" s="30"/>
      <c r="DD872" s="30"/>
      <c r="DE872" s="30"/>
      <c r="DF872" s="30"/>
      <c r="DG872" s="30"/>
      <c r="DH872" s="30"/>
      <c r="DI872" s="30"/>
      <c r="DJ872" s="30"/>
      <c r="DK872" s="30"/>
      <c r="DL872" s="30"/>
      <c r="DM872" s="30"/>
      <c r="DN872" s="30"/>
      <c r="DO872" s="30"/>
      <c r="DP872" s="30"/>
      <c r="DQ872" s="30"/>
      <c r="DR872" s="30"/>
      <c r="DS872" s="30"/>
      <c r="DT872" s="30"/>
      <c r="DU872" s="30"/>
      <c r="DV872" s="30"/>
      <c r="DW872" s="30"/>
    </row>
    <row r="873" spans="1:127" ht="13">
      <c r="A873" s="39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  <c r="BN873" s="30"/>
      <c r="BO873" s="30"/>
      <c r="BP873" s="30"/>
      <c r="BQ873" s="30"/>
      <c r="BR873" s="30"/>
      <c r="BS873" s="30"/>
      <c r="BT873" s="30"/>
      <c r="BU873" s="30"/>
      <c r="BV873" s="30"/>
      <c r="BW873" s="30"/>
      <c r="BX873" s="30"/>
      <c r="BY873" s="30"/>
      <c r="BZ873" s="30"/>
      <c r="CA873" s="30"/>
      <c r="CB873" s="30"/>
      <c r="CC873" s="30"/>
      <c r="CD873" s="30"/>
      <c r="CE873" s="30"/>
      <c r="CF873" s="30"/>
      <c r="CG873" s="30"/>
      <c r="CH873" s="30"/>
      <c r="CI873" s="30"/>
      <c r="CJ873" s="30"/>
      <c r="CK873" s="30"/>
      <c r="CL873" s="30"/>
      <c r="CM873" s="30"/>
      <c r="CN873" s="30"/>
      <c r="CO873" s="30"/>
      <c r="CP873" s="30"/>
      <c r="CQ873" s="30"/>
      <c r="CR873" s="30"/>
      <c r="CS873" s="30"/>
      <c r="CT873" s="30"/>
      <c r="CU873" s="30"/>
      <c r="CV873" s="30"/>
      <c r="CW873" s="30"/>
      <c r="CX873" s="30"/>
      <c r="CY873" s="30"/>
      <c r="CZ873" s="30"/>
      <c r="DA873" s="30"/>
      <c r="DB873" s="30"/>
      <c r="DC873" s="30"/>
      <c r="DD873" s="30"/>
      <c r="DE873" s="30"/>
      <c r="DF873" s="30"/>
      <c r="DG873" s="30"/>
      <c r="DH873" s="30"/>
      <c r="DI873" s="30"/>
      <c r="DJ873" s="30"/>
      <c r="DK873" s="30"/>
      <c r="DL873" s="30"/>
      <c r="DM873" s="30"/>
      <c r="DN873" s="30"/>
      <c r="DO873" s="30"/>
      <c r="DP873" s="30"/>
      <c r="DQ873" s="30"/>
      <c r="DR873" s="30"/>
      <c r="DS873" s="30"/>
      <c r="DT873" s="30"/>
      <c r="DU873" s="30"/>
      <c r="DV873" s="30"/>
      <c r="DW873" s="30"/>
    </row>
    <row r="874" spans="1:127" ht="13">
      <c r="A874" s="39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  <c r="BP874" s="30"/>
      <c r="BQ874" s="30"/>
      <c r="BR874" s="30"/>
      <c r="BS874" s="30"/>
      <c r="BT874" s="30"/>
      <c r="BU874" s="30"/>
      <c r="BV874" s="30"/>
      <c r="BW874" s="30"/>
      <c r="BX874" s="30"/>
      <c r="BY874" s="30"/>
      <c r="BZ874" s="30"/>
      <c r="CA874" s="30"/>
      <c r="CB874" s="30"/>
      <c r="CC874" s="30"/>
      <c r="CD874" s="30"/>
      <c r="CE874" s="30"/>
      <c r="CF874" s="30"/>
      <c r="CG874" s="30"/>
      <c r="CH874" s="30"/>
      <c r="CI874" s="30"/>
      <c r="CJ874" s="30"/>
      <c r="CK874" s="30"/>
      <c r="CL874" s="30"/>
      <c r="CM874" s="30"/>
      <c r="CN874" s="30"/>
      <c r="CO874" s="30"/>
      <c r="CP874" s="30"/>
      <c r="CQ874" s="30"/>
      <c r="CR874" s="30"/>
      <c r="CS874" s="30"/>
      <c r="CT874" s="30"/>
      <c r="CU874" s="30"/>
      <c r="CV874" s="30"/>
      <c r="CW874" s="30"/>
      <c r="CX874" s="30"/>
      <c r="CY874" s="30"/>
      <c r="CZ874" s="30"/>
      <c r="DA874" s="30"/>
      <c r="DB874" s="30"/>
      <c r="DC874" s="30"/>
      <c r="DD874" s="30"/>
      <c r="DE874" s="30"/>
      <c r="DF874" s="30"/>
      <c r="DG874" s="30"/>
      <c r="DH874" s="30"/>
      <c r="DI874" s="30"/>
      <c r="DJ874" s="30"/>
      <c r="DK874" s="30"/>
      <c r="DL874" s="30"/>
      <c r="DM874" s="30"/>
      <c r="DN874" s="30"/>
      <c r="DO874" s="30"/>
      <c r="DP874" s="30"/>
      <c r="DQ874" s="30"/>
      <c r="DR874" s="30"/>
      <c r="DS874" s="30"/>
      <c r="DT874" s="30"/>
      <c r="DU874" s="30"/>
      <c r="DV874" s="30"/>
      <c r="DW874" s="30"/>
    </row>
    <row r="875" spans="1:127" ht="13">
      <c r="A875" s="39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  <c r="BN875" s="30"/>
      <c r="BO875" s="30"/>
      <c r="BP875" s="30"/>
      <c r="BQ875" s="30"/>
      <c r="BR875" s="30"/>
      <c r="BS875" s="30"/>
      <c r="BT875" s="30"/>
      <c r="BU875" s="30"/>
      <c r="BV875" s="30"/>
      <c r="BW875" s="30"/>
      <c r="BX875" s="30"/>
      <c r="BY875" s="30"/>
      <c r="BZ875" s="30"/>
      <c r="CA875" s="30"/>
      <c r="CB875" s="30"/>
      <c r="CC875" s="30"/>
      <c r="CD875" s="30"/>
      <c r="CE875" s="30"/>
      <c r="CF875" s="30"/>
      <c r="CG875" s="30"/>
      <c r="CH875" s="30"/>
      <c r="CI875" s="30"/>
      <c r="CJ875" s="30"/>
      <c r="CK875" s="30"/>
      <c r="CL875" s="30"/>
      <c r="CM875" s="30"/>
      <c r="CN875" s="30"/>
      <c r="CO875" s="30"/>
      <c r="CP875" s="30"/>
      <c r="CQ875" s="30"/>
      <c r="CR875" s="30"/>
      <c r="CS875" s="30"/>
      <c r="CT875" s="30"/>
      <c r="CU875" s="30"/>
      <c r="CV875" s="30"/>
      <c r="CW875" s="30"/>
      <c r="CX875" s="30"/>
      <c r="CY875" s="30"/>
      <c r="CZ875" s="30"/>
      <c r="DA875" s="30"/>
      <c r="DB875" s="30"/>
      <c r="DC875" s="30"/>
      <c r="DD875" s="30"/>
      <c r="DE875" s="30"/>
      <c r="DF875" s="30"/>
      <c r="DG875" s="30"/>
      <c r="DH875" s="30"/>
      <c r="DI875" s="30"/>
      <c r="DJ875" s="30"/>
      <c r="DK875" s="30"/>
      <c r="DL875" s="30"/>
      <c r="DM875" s="30"/>
      <c r="DN875" s="30"/>
      <c r="DO875" s="30"/>
      <c r="DP875" s="30"/>
      <c r="DQ875" s="30"/>
      <c r="DR875" s="30"/>
      <c r="DS875" s="30"/>
      <c r="DT875" s="30"/>
      <c r="DU875" s="30"/>
      <c r="DV875" s="30"/>
      <c r="DW875" s="30"/>
    </row>
    <row r="876" spans="1:127" ht="13">
      <c r="A876" s="39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  <c r="BN876" s="30"/>
      <c r="BO876" s="30"/>
      <c r="BP876" s="30"/>
      <c r="BQ876" s="30"/>
      <c r="BR876" s="30"/>
      <c r="BS876" s="30"/>
      <c r="BT876" s="30"/>
      <c r="BU876" s="30"/>
      <c r="BV876" s="30"/>
      <c r="BW876" s="30"/>
      <c r="BX876" s="30"/>
      <c r="BY876" s="30"/>
      <c r="BZ876" s="30"/>
      <c r="CA876" s="30"/>
      <c r="CB876" s="30"/>
      <c r="CC876" s="30"/>
      <c r="CD876" s="30"/>
      <c r="CE876" s="30"/>
      <c r="CF876" s="30"/>
      <c r="CG876" s="30"/>
      <c r="CH876" s="30"/>
      <c r="CI876" s="30"/>
      <c r="CJ876" s="30"/>
      <c r="CK876" s="30"/>
      <c r="CL876" s="30"/>
      <c r="CM876" s="30"/>
      <c r="CN876" s="30"/>
      <c r="CO876" s="30"/>
      <c r="CP876" s="30"/>
      <c r="CQ876" s="30"/>
      <c r="CR876" s="30"/>
      <c r="CS876" s="30"/>
      <c r="CT876" s="30"/>
      <c r="CU876" s="30"/>
      <c r="CV876" s="30"/>
      <c r="CW876" s="30"/>
      <c r="CX876" s="30"/>
      <c r="CY876" s="30"/>
      <c r="CZ876" s="30"/>
      <c r="DA876" s="30"/>
      <c r="DB876" s="30"/>
      <c r="DC876" s="30"/>
      <c r="DD876" s="30"/>
      <c r="DE876" s="30"/>
      <c r="DF876" s="30"/>
      <c r="DG876" s="30"/>
      <c r="DH876" s="30"/>
      <c r="DI876" s="30"/>
      <c r="DJ876" s="30"/>
      <c r="DK876" s="30"/>
      <c r="DL876" s="30"/>
      <c r="DM876" s="30"/>
      <c r="DN876" s="30"/>
      <c r="DO876" s="30"/>
      <c r="DP876" s="30"/>
      <c r="DQ876" s="30"/>
      <c r="DR876" s="30"/>
      <c r="DS876" s="30"/>
      <c r="DT876" s="30"/>
      <c r="DU876" s="30"/>
      <c r="DV876" s="30"/>
      <c r="DW876" s="30"/>
    </row>
    <row r="877" spans="1:127" ht="13">
      <c r="A877" s="39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  <c r="BP877" s="30"/>
      <c r="BQ877" s="30"/>
      <c r="BR877" s="30"/>
      <c r="BS877" s="30"/>
      <c r="BT877" s="30"/>
      <c r="BU877" s="30"/>
      <c r="BV877" s="30"/>
      <c r="BW877" s="30"/>
      <c r="BX877" s="30"/>
      <c r="BY877" s="30"/>
      <c r="BZ877" s="30"/>
      <c r="CA877" s="30"/>
      <c r="CB877" s="30"/>
      <c r="CC877" s="30"/>
      <c r="CD877" s="30"/>
      <c r="CE877" s="30"/>
      <c r="CF877" s="30"/>
      <c r="CG877" s="30"/>
      <c r="CH877" s="30"/>
      <c r="CI877" s="30"/>
      <c r="CJ877" s="30"/>
      <c r="CK877" s="30"/>
      <c r="CL877" s="30"/>
      <c r="CM877" s="30"/>
      <c r="CN877" s="30"/>
      <c r="CO877" s="30"/>
      <c r="CP877" s="30"/>
      <c r="CQ877" s="30"/>
      <c r="CR877" s="30"/>
      <c r="CS877" s="30"/>
      <c r="CT877" s="30"/>
      <c r="CU877" s="30"/>
      <c r="CV877" s="30"/>
      <c r="CW877" s="30"/>
      <c r="CX877" s="30"/>
      <c r="CY877" s="30"/>
      <c r="CZ877" s="30"/>
      <c r="DA877" s="30"/>
      <c r="DB877" s="30"/>
      <c r="DC877" s="30"/>
      <c r="DD877" s="30"/>
      <c r="DE877" s="30"/>
      <c r="DF877" s="30"/>
      <c r="DG877" s="30"/>
      <c r="DH877" s="30"/>
      <c r="DI877" s="30"/>
      <c r="DJ877" s="30"/>
      <c r="DK877" s="30"/>
      <c r="DL877" s="30"/>
      <c r="DM877" s="30"/>
      <c r="DN877" s="30"/>
      <c r="DO877" s="30"/>
      <c r="DP877" s="30"/>
      <c r="DQ877" s="30"/>
      <c r="DR877" s="30"/>
      <c r="DS877" s="30"/>
      <c r="DT877" s="30"/>
      <c r="DU877" s="30"/>
      <c r="DV877" s="30"/>
      <c r="DW877" s="30"/>
    </row>
    <row r="878" spans="1:127" ht="13">
      <c r="A878" s="39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  <c r="BN878" s="30"/>
      <c r="BO878" s="30"/>
      <c r="BP878" s="30"/>
      <c r="BQ878" s="30"/>
      <c r="BR878" s="30"/>
      <c r="BS878" s="30"/>
      <c r="BT878" s="30"/>
      <c r="BU878" s="30"/>
      <c r="BV878" s="30"/>
      <c r="BW878" s="30"/>
      <c r="BX878" s="30"/>
      <c r="BY878" s="30"/>
      <c r="BZ878" s="30"/>
      <c r="CA878" s="30"/>
      <c r="CB878" s="30"/>
      <c r="CC878" s="30"/>
      <c r="CD878" s="30"/>
      <c r="CE878" s="30"/>
      <c r="CF878" s="30"/>
      <c r="CG878" s="30"/>
      <c r="CH878" s="30"/>
      <c r="CI878" s="30"/>
      <c r="CJ878" s="30"/>
      <c r="CK878" s="30"/>
      <c r="CL878" s="30"/>
      <c r="CM878" s="30"/>
      <c r="CN878" s="30"/>
      <c r="CO878" s="30"/>
      <c r="CP878" s="30"/>
      <c r="CQ878" s="30"/>
      <c r="CR878" s="30"/>
      <c r="CS878" s="30"/>
      <c r="CT878" s="30"/>
      <c r="CU878" s="30"/>
      <c r="CV878" s="30"/>
      <c r="CW878" s="30"/>
      <c r="CX878" s="30"/>
      <c r="CY878" s="30"/>
      <c r="CZ878" s="30"/>
      <c r="DA878" s="30"/>
      <c r="DB878" s="30"/>
      <c r="DC878" s="30"/>
      <c r="DD878" s="30"/>
      <c r="DE878" s="30"/>
      <c r="DF878" s="30"/>
      <c r="DG878" s="30"/>
      <c r="DH878" s="30"/>
      <c r="DI878" s="30"/>
      <c r="DJ878" s="30"/>
      <c r="DK878" s="30"/>
      <c r="DL878" s="30"/>
      <c r="DM878" s="30"/>
      <c r="DN878" s="30"/>
      <c r="DO878" s="30"/>
      <c r="DP878" s="30"/>
      <c r="DQ878" s="30"/>
      <c r="DR878" s="30"/>
      <c r="DS878" s="30"/>
      <c r="DT878" s="30"/>
      <c r="DU878" s="30"/>
      <c r="DV878" s="30"/>
      <c r="DW878" s="30"/>
    </row>
    <row r="879" spans="1:127" ht="13">
      <c r="A879" s="39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  <c r="BN879" s="30"/>
      <c r="BO879" s="30"/>
      <c r="BP879" s="30"/>
      <c r="BQ879" s="30"/>
      <c r="BR879" s="30"/>
      <c r="BS879" s="30"/>
      <c r="BT879" s="30"/>
      <c r="BU879" s="30"/>
      <c r="BV879" s="30"/>
      <c r="BW879" s="30"/>
      <c r="BX879" s="30"/>
      <c r="BY879" s="30"/>
      <c r="BZ879" s="30"/>
      <c r="CA879" s="30"/>
      <c r="CB879" s="30"/>
      <c r="CC879" s="30"/>
      <c r="CD879" s="30"/>
      <c r="CE879" s="30"/>
      <c r="CF879" s="30"/>
      <c r="CG879" s="30"/>
      <c r="CH879" s="30"/>
      <c r="CI879" s="30"/>
      <c r="CJ879" s="30"/>
      <c r="CK879" s="30"/>
      <c r="CL879" s="30"/>
      <c r="CM879" s="30"/>
      <c r="CN879" s="30"/>
      <c r="CO879" s="30"/>
      <c r="CP879" s="30"/>
      <c r="CQ879" s="30"/>
      <c r="CR879" s="30"/>
      <c r="CS879" s="30"/>
      <c r="CT879" s="30"/>
      <c r="CU879" s="30"/>
      <c r="CV879" s="30"/>
      <c r="CW879" s="30"/>
      <c r="CX879" s="30"/>
      <c r="CY879" s="30"/>
      <c r="CZ879" s="30"/>
      <c r="DA879" s="30"/>
      <c r="DB879" s="30"/>
      <c r="DC879" s="30"/>
      <c r="DD879" s="30"/>
      <c r="DE879" s="30"/>
      <c r="DF879" s="30"/>
      <c r="DG879" s="30"/>
      <c r="DH879" s="30"/>
      <c r="DI879" s="30"/>
      <c r="DJ879" s="30"/>
      <c r="DK879" s="30"/>
      <c r="DL879" s="30"/>
      <c r="DM879" s="30"/>
      <c r="DN879" s="30"/>
      <c r="DO879" s="30"/>
      <c r="DP879" s="30"/>
      <c r="DQ879" s="30"/>
      <c r="DR879" s="30"/>
      <c r="DS879" s="30"/>
      <c r="DT879" s="30"/>
      <c r="DU879" s="30"/>
      <c r="DV879" s="30"/>
      <c r="DW879" s="30"/>
    </row>
    <row r="880" spans="1:127" ht="13">
      <c r="A880" s="39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  <c r="BP880" s="30"/>
      <c r="BQ880" s="30"/>
      <c r="BR880" s="30"/>
      <c r="BS880" s="30"/>
      <c r="BT880" s="30"/>
      <c r="BU880" s="30"/>
      <c r="BV880" s="30"/>
      <c r="BW880" s="30"/>
      <c r="BX880" s="30"/>
      <c r="BY880" s="30"/>
      <c r="BZ880" s="30"/>
      <c r="CA880" s="30"/>
      <c r="CB880" s="30"/>
      <c r="CC880" s="30"/>
      <c r="CD880" s="30"/>
      <c r="CE880" s="30"/>
      <c r="CF880" s="30"/>
      <c r="CG880" s="30"/>
      <c r="CH880" s="30"/>
      <c r="CI880" s="30"/>
      <c r="CJ880" s="30"/>
      <c r="CK880" s="30"/>
      <c r="CL880" s="30"/>
      <c r="CM880" s="30"/>
      <c r="CN880" s="30"/>
      <c r="CO880" s="30"/>
      <c r="CP880" s="30"/>
      <c r="CQ880" s="30"/>
      <c r="CR880" s="30"/>
      <c r="CS880" s="30"/>
      <c r="CT880" s="30"/>
      <c r="CU880" s="30"/>
      <c r="CV880" s="30"/>
      <c r="CW880" s="30"/>
      <c r="CX880" s="30"/>
      <c r="CY880" s="30"/>
      <c r="CZ880" s="30"/>
      <c r="DA880" s="30"/>
      <c r="DB880" s="30"/>
      <c r="DC880" s="30"/>
      <c r="DD880" s="30"/>
      <c r="DE880" s="30"/>
      <c r="DF880" s="30"/>
      <c r="DG880" s="30"/>
      <c r="DH880" s="30"/>
      <c r="DI880" s="30"/>
      <c r="DJ880" s="30"/>
      <c r="DK880" s="30"/>
      <c r="DL880" s="30"/>
      <c r="DM880" s="30"/>
      <c r="DN880" s="30"/>
      <c r="DO880" s="30"/>
      <c r="DP880" s="30"/>
      <c r="DQ880" s="30"/>
      <c r="DR880" s="30"/>
      <c r="DS880" s="30"/>
      <c r="DT880" s="30"/>
      <c r="DU880" s="30"/>
      <c r="DV880" s="30"/>
      <c r="DW880" s="30"/>
    </row>
    <row r="881" spans="1:127" ht="13">
      <c r="A881" s="39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  <c r="BN881" s="30"/>
      <c r="BO881" s="30"/>
      <c r="BP881" s="30"/>
      <c r="BQ881" s="30"/>
      <c r="BR881" s="30"/>
      <c r="BS881" s="30"/>
      <c r="BT881" s="30"/>
      <c r="BU881" s="30"/>
      <c r="BV881" s="30"/>
      <c r="BW881" s="30"/>
      <c r="BX881" s="30"/>
      <c r="BY881" s="30"/>
      <c r="BZ881" s="30"/>
      <c r="CA881" s="30"/>
      <c r="CB881" s="30"/>
      <c r="CC881" s="30"/>
      <c r="CD881" s="30"/>
      <c r="CE881" s="30"/>
      <c r="CF881" s="30"/>
      <c r="CG881" s="30"/>
      <c r="CH881" s="30"/>
      <c r="CI881" s="30"/>
      <c r="CJ881" s="30"/>
      <c r="CK881" s="30"/>
      <c r="CL881" s="30"/>
      <c r="CM881" s="30"/>
      <c r="CN881" s="30"/>
      <c r="CO881" s="30"/>
      <c r="CP881" s="30"/>
      <c r="CQ881" s="30"/>
      <c r="CR881" s="30"/>
      <c r="CS881" s="30"/>
      <c r="CT881" s="30"/>
      <c r="CU881" s="30"/>
      <c r="CV881" s="30"/>
      <c r="CW881" s="30"/>
      <c r="CX881" s="30"/>
      <c r="CY881" s="30"/>
      <c r="CZ881" s="30"/>
      <c r="DA881" s="30"/>
      <c r="DB881" s="30"/>
      <c r="DC881" s="30"/>
      <c r="DD881" s="30"/>
      <c r="DE881" s="30"/>
      <c r="DF881" s="30"/>
      <c r="DG881" s="30"/>
      <c r="DH881" s="30"/>
      <c r="DI881" s="30"/>
      <c r="DJ881" s="30"/>
      <c r="DK881" s="30"/>
      <c r="DL881" s="30"/>
      <c r="DM881" s="30"/>
      <c r="DN881" s="30"/>
      <c r="DO881" s="30"/>
      <c r="DP881" s="30"/>
      <c r="DQ881" s="30"/>
      <c r="DR881" s="30"/>
      <c r="DS881" s="30"/>
      <c r="DT881" s="30"/>
      <c r="DU881" s="30"/>
      <c r="DV881" s="30"/>
      <c r="DW881" s="30"/>
    </row>
    <row r="882" spans="1:127" ht="13">
      <c r="A882" s="39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30"/>
      <c r="BP882" s="30"/>
      <c r="BQ882" s="30"/>
      <c r="BR882" s="30"/>
      <c r="BS882" s="30"/>
      <c r="BT882" s="30"/>
      <c r="BU882" s="30"/>
      <c r="BV882" s="30"/>
      <c r="BW882" s="30"/>
      <c r="BX882" s="30"/>
      <c r="BY882" s="30"/>
      <c r="BZ882" s="30"/>
      <c r="CA882" s="30"/>
      <c r="CB882" s="30"/>
      <c r="CC882" s="30"/>
      <c r="CD882" s="30"/>
      <c r="CE882" s="30"/>
      <c r="CF882" s="30"/>
      <c r="CG882" s="30"/>
      <c r="CH882" s="30"/>
      <c r="CI882" s="30"/>
      <c r="CJ882" s="30"/>
      <c r="CK882" s="30"/>
      <c r="CL882" s="30"/>
      <c r="CM882" s="30"/>
      <c r="CN882" s="30"/>
      <c r="CO882" s="30"/>
      <c r="CP882" s="30"/>
      <c r="CQ882" s="30"/>
      <c r="CR882" s="30"/>
      <c r="CS882" s="30"/>
      <c r="CT882" s="30"/>
      <c r="CU882" s="30"/>
      <c r="CV882" s="30"/>
      <c r="CW882" s="30"/>
      <c r="CX882" s="30"/>
      <c r="CY882" s="30"/>
      <c r="CZ882" s="30"/>
      <c r="DA882" s="30"/>
      <c r="DB882" s="30"/>
      <c r="DC882" s="30"/>
      <c r="DD882" s="30"/>
      <c r="DE882" s="30"/>
      <c r="DF882" s="30"/>
      <c r="DG882" s="30"/>
      <c r="DH882" s="30"/>
      <c r="DI882" s="30"/>
      <c r="DJ882" s="30"/>
      <c r="DK882" s="30"/>
      <c r="DL882" s="30"/>
      <c r="DM882" s="30"/>
      <c r="DN882" s="30"/>
      <c r="DO882" s="30"/>
      <c r="DP882" s="30"/>
      <c r="DQ882" s="30"/>
      <c r="DR882" s="30"/>
      <c r="DS882" s="30"/>
      <c r="DT882" s="30"/>
      <c r="DU882" s="30"/>
      <c r="DV882" s="30"/>
      <c r="DW882" s="30"/>
    </row>
    <row r="883" spans="1:127" ht="13">
      <c r="A883" s="39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  <c r="BP883" s="30"/>
      <c r="BQ883" s="30"/>
      <c r="BR883" s="30"/>
      <c r="BS883" s="30"/>
      <c r="BT883" s="30"/>
      <c r="BU883" s="30"/>
      <c r="BV883" s="30"/>
      <c r="BW883" s="30"/>
      <c r="BX883" s="30"/>
      <c r="BY883" s="30"/>
      <c r="BZ883" s="30"/>
      <c r="CA883" s="30"/>
      <c r="CB883" s="30"/>
      <c r="CC883" s="30"/>
      <c r="CD883" s="30"/>
      <c r="CE883" s="30"/>
      <c r="CF883" s="30"/>
      <c r="CG883" s="30"/>
      <c r="CH883" s="30"/>
      <c r="CI883" s="30"/>
      <c r="CJ883" s="30"/>
      <c r="CK883" s="30"/>
      <c r="CL883" s="30"/>
      <c r="CM883" s="30"/>
      <c r="CN883" s="30"/>
      <c r="CO883" s="30"/>
      <c r="CP883" s="30"/>
      <c r="CQ883" s="30"/>
      <c r="CR883" s="30"/>
      <c r="CS883" s="30"/>
      <c r="CT883" s="30"/>
      <c r="CU883" s="30"/>
      <c r="CV883" s="30"/>
      <c r="CW883" s="30"/>
      <c r="CX883" s="30"/>
      <c r="CY883" s="30"/>
      <c r="CZ883" s="30"/>
      <c r="DA883" s="30"/>
      <c r="DB883" s="30"/>
      <c r="DC883" s="30"/>
      <c r="DD883" s="30"/>
      <c r="DE883" s="30"/>
      <c r="DF883" s="30"/>
      <c r="DG883" s="30"/>
      <c r="DH883" s="30"/>
      <c r="DI883" s="30"/>
      <c r="DJ883" s="30"/>
      <c r="DK883" s="30"/>
      <c r="DL883" s="30"/>
      <c r="DM883" s="30"/>
      <c r="DN883" s="30"/>
      <c r="DO883" s="30"/>
      <c r="DP883" s="30"/>
      <c r="DQ883" s="30"/>
      <c r="DR883" s="30"/>
      <c r="DS883" s="30"/>
      <c r="DT883" s="30"/>
      <c r="DU883" s="30"/>
      <c r="DV883" s="30"/>
      <c r="DW883" s="30"/>
    </row>
    <row r="884" spans="1:127" ht="13">
      <c r="A884" s="39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  <c r="BN884" s="30"/>
      <c r="BO884" s="30"/>
      <c r="BP884" s="30"/>
      <c r="BQ884" s="30"/>
      <c r="BR884" s="30"/>
      <c r="BS884" s="30"/>
      <c r="BT884" s="30"/>
      <c r="BU884" s="30"/>
      <c r="BV884" s="30"/>
      <c r="BW884" s="30"/>
      <c r="BX884" s="30"/>
      <c r="BY884" s="30"/>
      <c r="BZ884" s="30"/>
      <c r="CA884" s="30"/>
      <c r="CB884" s="30"/>
      <c r="CC884" s="30"/>
      <c r="CD884" s="30"/>
      <c r="CE884" s="30"/>
      <c r="CF884" s="30"/>
      <c r="CG884" s="30"/>
      <c r="CH884" s="30"/>
      <c r="CI884" s="30"/>
      <c r="CJ884" s="30"/>
      <c r="CK884" s="30"/>
      <c r="CL884" s="30"/>
      <c r="CM884" s="30"/>
      <c r="CN884" s="30"/>
      <c r="CO884" s="30"/>
      <c r="CP884" s="30"/>
      <c r="CQ884" s="30"/>
      <c r="CR884" s="30"/>
      <c r="CS884" s="30"/>
      <c r="CT884" s="30"/>
      <c r="CU884" s="30"/>
      <c r="CV884" s="30"/>
      <c r="CW884" s="30"/>
      <c r="CX884" s="30"/>
      <c r="CY884" s="30"/>
      <c r="CZ884" s="30"/>
      <c r="DA884" s="30"/>
      <c r="DB884" s="30"/>
      <c r="DC884" s="30"/>
      <c r="DD884" s="30"/>
      <c r="DE884" s="30"/>
      <c r="DF884" s="30"/>
      <c r="DG884" s="30"/>
      <c r="DH884" s="30"/>
      <c r="DI884" s="30"/>
      <c r="DJ884" s="30"/>
      <c r="DK884" s="30"/>
      <c r="DL884" s="30"/>
      <c r="DM884" s="30"/>
      <c r="DN884" s="30"/>
      <c r="DO884" s="30"/>
      <c r="DP884" s="30"/>
      <c r="DQ884" s="30"/>
      <c r="DR884" s="30"/>
      <c r="DS884" s="30"/>
      <c r="DT884" s="30"/>
      <c r="DU884" s="30"/>
      <c r="DV884" s="30"/>
      <c r="DW884" s="30"/>
    </row>
    <row r="885" spans="1:127" ht="13">
      <c r="A885" s="39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  <c r="BN885" s="30"/>
      <c r="BO885" s="30"/>
      <c r="BP885" s="30"/>
      <c r="BQ885" s="30"/>
      <c r="BR885" s="30"/>
      <c r="BS885" s="30"/>
      <c r="BT885" s="30"/>
      <c r="BU885" s="30"/>
      <c r="BV885" s="30"/>
      <c r="BW885" s="30"/>
      <c r="BX885" s="30"/>
      <c r="BY885" s="30"/>
      <c r="BZ885" s="30"/>
      <c r="CA885" s="30"/>
      <c r="CB885" s="30"/>
      <c r="CC885" s="30"/>
      <c r="CD885" s="30"/>
      <c r="CE885" s="30"/>
      <c r="CF885" s="30"/>
      <c r="CG885" s="30"/>
      <c r="CH885" s="30"/>
      <c r="CI885" s="30"/>
      <c r="CJ885" s="30"/>
      <c r="CK885" s="30"/>
      <c r="CL885" s="30"/>
      <c r="CM885" s="30"/>
      <c r="CN885" s="30"/>
      <c r="CO885" s="30"/>
      <c r="CP885" s="30"/>
      <c r="CQ885" s="30"/>
      <c r="CR885" s="30"/>
      <c r="CS885" s="30"/>
      <c r="CT885" s="30"/>
      <c r="CU885" s="30"/>
      <c r="CV885" s="30"/>
      <c r="CW885" s="30"/>
      <c r="CX885" s="30"/>
      <c r="CY885" s="30"/>
      <c r="CZ885" s="30"/>
      <c r="DA885" s="30"/>
      <c r="DB885" s="30"/>
      <c r="DC885" s="30"/>
      <c r="DD885" s="30"/>
      <c r="DE885" s="30"/>
      <c r="DF885" s="30"/>
      <c r="DG885" s="30"/>
      <c r="DH885" s="30"/>
      <c r="DI885" s="30"/>
      <c r="DJ885" s="30"/>
      <c r="DK885" s="30"/>
      <c r="DL885" s="30"/>
      <c r="DM885" s="30"/>
      <c r="DN885" s="30"/>
      <c r="DO885" s="30"/>
      <c r="DP885" s="30"/>
      <c r="DQ885" s="30"/>
      <c r="DR885" s="30"/>
      <c r="DS885" s="30"/>
      <c r="DT885" s="30"/>
      <c r="DU885" s="30"/>
      <c r="DV885" s="30"/>
      <c r="DW885" s="30"/>
    </row>
    <row r="886" spans="1:127" ht="13">
      <c r="A886" s="39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  <c r="BP886" s="30"/>
      <c r="BQ886" s="30"/>
      <c r="BR886" s="30"/>
      <c r="BS886" s="30"/>
      <c r="BT886" s="30"/>
      <c r="BU886" s="30"/>
      <c r="BV886" s="30"/>
      <c r="BW886" s="30"/>
      <c r="BX886" s="30"/>
      <c r="BY886" s="30"/>
      <c r="BZ886" s="30"/>
      <c r="CA886" s="30"/>
      <c r="CB886" s="30"/>
      <c r="CC886" s="30"/>
      <c r="CD886" s="30"/>
      <c r="CE886" s="30"/>
      <c r="CF886" s="30"/>
      <c r="CG886" s="30"/>
      <c r="CH886" s="30"/>
      <c r="CI886" s="30"/>
      <c r="CJ886" s="30"/>
      <c r="CK886" s="30"/>
      <c r="CL886" s="30"/>
      <c r="CM886" s="30"/>
      <c r="CN886" s="30"/>
      <c r="CO886" s="30"/>
      <c r="CP886" s="30"/>
      <c r="CQ886" s="30"/>
      <c r="CR886" s="30"/>
      <c r="CS886" s="30"/>
      <c r="CT886" s="30"/>
      <c r="CU886" s="30"/>
      <c r="CV886" s="30"/>
      <c r="CW886" s="30"/>
      <c r="CX886" s="30"/>
      <c r="CY886" s="30"/>
      <c r="CZ886" s="30"/>
      <c r="DA886" s="30"/>
      <c r="DB886" s="30"/>
      <c r="DC886" s="30"/>
      <c r="DD886" s="30"/>
      <c r="DE886" s="30"/>
      <c r="DF886" s="30"/>
      <c r="DG886" s="30"/>
      <c r="DH886" s="30"/>
      <c r="DI886" s="30"/>
      <c r="DJ886" s="30"/>
      <c r="DK886" s="30"/>
      <c r="DL886" s="30"/>
      <c r="DM886" s="30"/>
      <c r="DN886" s="30"/>
      <c r="DO886" s="30"/>
      <c r="DP886" s="30"/>
      <c r="DQ886" s="30"/>
      <c r="DR886" s="30"/>
      <c r="DS886" s="30"/>
      <c r="DT886" s="30"/>
      <c r="DU886" s="30"/>
      <c r="DV886" s="30"/>
      <c r="DW886" s="30"/>
    </row>
    <row r="887" spans="1:127" ht="13">
      <c r="A887" s="39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  <c r="BN887" s="30"/>
      <c r="BO887" s="30"/>
      <c r="BP887" s="30"/>
      <c r="BQ887" s="30"/>
      <c r="BR887" s="30"/>
      <c r="BS887" s="30"/>
      <c r="BT887" s="30"/>
      <c r="BU887" s="30"/>
      <c r="BV887" s="30"/>
      <c r="BW887" s="30"/>
      <c r="BX887" s="30"/>
      <c r="BY887" s="30"/>
      <c r="BZ887" s="30"/>
      <c r="CA887" s="30"/>
      <c r="CB887" s="30"/>
      <c r="CC887" s="30"/>
      <c r="CD887" s="30"/>
      <c r="CE887" s="30"/>
      <c r="CF887" s="30"/>
      <c r="CG887" s="30"/>
      <c r="CH887" s="30"/>
      <c r="CI887" s="30"/>
      <c r="CJ887" s="30"/>
      <c r="CK887" s="30"/>
      <c r="CL887" s="30"/>
      <c r="CM887" s="30"/>
      <c r="CN887" s="30"/>
      <c r="CO887" s="30"/>
      <c r="CP887" s="30"/>
      <c r="CQ887" s="30"/>
      <c r="CR887" s="30"/>
      <c r="CS887" s="30"/>
      <c r="CT887" s="30"/>
      <c r="CU887" s="30"/>
      <c r="CV887" s="30"/>
      <c r="CW887" s="30"/>
      <c r="CX887" s="30"/>
      <c r="CY887" s="30"/>
      <c r="CZ887" s="30"/>
      <c r="DA887" s="30"/>
      <c r="DB887" s="30"/>
      <c r="DC887" s="30"/>
      <c r="DD887" s="30"/>
      <c r="DE887" s="30"/>
      <c r="DF887" s="30"/>
      <c r="DG887" s="30"/>
      <c r="DH887" s="30"/>
      <c r="DI887" s="30"/>
      <c r="DJ887" s="30"/>
      <c r="DK887" s="30"/>
      <c r="DL887" s="30"/>
      <c r="DM887" s="30"/>
      <c r="DN887" s="30"/>
      <c r="DO887" s="30"/>
      <c r="DP887" s="30"/>
      <c r="DQ887" s="30"/>
      <c r="DR887" s="30"/>
      <c r="DS887" s="30"/>
      <c r="DT887" s="30"/>
      <c r="DU887" s="30"/>
      <c r="DV887" s="30"/>
      <c r="DW887" s="30"/>
    </row>
    <row r="888" spans="1:127" ht="13">
      <c r="A888" s="39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  <c r="BN888" s="30"/>
      <c r="BO888" s="30"/>
      <c r="BP888" s="30"/>
      <c r="BQ888" s="30"/>
      <c r="BR888" s="30"/>
      <c r="BS888" s="30"/>
      <c r="BT888" s="30"/>
      <c r="BU888" s="30"/>
      <c r="BV888" s="30"/>
      <c r="BW888" s="30"/>
      <c r="BX888" s="30"/>
      <c r="BY888" s="30"/>
      <c r="BZ888" s="30"/>
      <c r="CA888" s="30"/>
      <c r="CB888" s="30"/>
      <c r="CC888" s="30"/>
      <c r="CD888" s="30"/>
      <c r="CE888" s="30"/>
      <c r="CF888" s="30"/>
      <c r="CG888" s="30"/>
      <c r="CH888" s="30"/>
      <c r="CI888" s="30"/>
      <c r="CJ888" s="30"/>
      <c r="CK888" s="30"/>
      <c r="CL888" s="30"/>
      <c r="CM888" s="30"/>
      <c r="CN888" s="30"/>
      <c r="CO888" s="30"/>
      <c r="CP888" s="30"/>
      <c r="CQ888" s="30"/>
      <c r="CR888" s="30"/>
      <c r="CS888" s="30"/>
      <c r="CT888" s="30"/>
      <c r="CU888" s="30"/>
      <c r="CV888" s="30"/>
      <c r="CW888" s="30"/>
      <c r="CX888" s="30"/>
      <c r="CY888" s="30"/>
      <c r="CZ888" s="30"/>
      <c r="DA888" s="30"/>
      <c r="DB888" s="30"/>
      <c r="DC888" s="30"/>
      <c r="DD888" s="30"/>
      <c r="DE888" s="30"/>
      <c r="DF888" s="30"/>
      <c r="DG888" s="30"/>
      <c r="DH888" s="30"/>
      <c r="DI888" s="30"/>
      <c r="DJ888" s="30"/>
      <c r="DK888" s="30"/>
      <c r="DL888" s="30"/>
      <c r="DM888" s="30"/>
      <c r="DN888" s="30"/>
      <c r="DO888" s="30"/>
      <c r="DP888" s="30"/>
      <c r="DQ888" s="30"/>
      <c r="DR888" s="30"/>
      <c r="DS888" s="30"/>
      <c r="DT888" s="30"/>
      <c r="DU888" s="30"/>
      <c r="DV888" s="30"/>
      <c r="DW888" s="30"/>
    </row>
    <row r="889" spans="1:127" ht="13">
      <c r="A889" s="39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  <c r="BP889" s="30"/>
      <c r="BQ889" s="30"/>
      <c r="BR889" s="30"/>
      <c r="BS889" s="30"/>
      <c r="BT889" s="30"/>
      <c r="BU889" s="30"/>
      <c r="BV889" s="30"/>
      <c r="BW889" s="30"/>
      <c r="BX889" s="30"/>
      <c r="BY889" s="30"/>
      <c r="BZ889" s="30"/>
      <c r="CA889" s="30"/>
      <c r="CB889" s="30"/>
      <c r="CC889" s="30"/>
      <c r="CD889" s="30"/>
      <c r="CE889" s="30"/>
      <c r="CF889" s="30"/>
      <c r="CG889" s="30"/>
      <c r="CH889" s="30"/>
      <c r="CI889" s="30"/>
      <c r="CJ889" s="30"/>
      <c r="CK889" s="30"/>
      <c r="CL889" s="30"/>
      <c r="CM889" s="30"/>
      <c r="CN889" s="30"/>
      <c r="CO889" s="30"/>
      <c r="CP889" s="30"/>
      <c r="CQ889" s="30"/>
      <c r="CR889" s="30"/>
      <c r="CS889" s="30"/>
      <c r="CT889" s="30"/>
      <c r="CU889" s="30"/>
      <c r="CV889" s="30"/>
      <c r="CW889" s="30"/>
      <c r="CX889" s="30"/>
      <c r="CY889" s="30"/>
      <c r="CZ889" s="30"/>
      <c r="DA889" s="30"/>
      <c r="DB889" s="30"/>
      <c r="DC889" s="30"/>
      <c r="DD889" s="30"/>
      <c r="DE889" s="30"/>
      <c r="DF889" s="30"/>
      <c r="DG889" s="30"/>
      <c r="DH889" s="30"/>
      <c r="DI889" s="30"/>
      <c r="DJ889" s="30"/>
      <c r="DK889" s="30"/>
      <c r="DL889" s="30"/>
      <c r="DM889" s="30"/>
      <c r="DN889" s="30"/>
      <c r="DO889" s="30"/>
      <c r="DP889" s="30"/>
      <c r="DQ889" s="30"/>
      <c r="DR889" s="30"/>
      <c r="DS889" s="30"/>
      <c r="DT889" s="30"/>
      <c r="DU889" s="30"/>
      <c r="DV889" s="30"/>
      <c r="DW889" s="30"/>
    </row>
    <row r="890" spans="1:127" ht="13">
      <c r="A890" s="39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  <c r="BN890" s="30"/>
      <c r="BO890" s="30"/>
      <c r="BP890" s="30"/>
      <c r="BQ890" s="30"/>
      <c r="BR890" s="30"/>
      <c r="BS890" s="30"/>
      <c r="BT890" s="30"/>
      <c r="BU890" s="30"/>
      <c r="BV890" s="30"/>
      <c r="BW890" s="30"/>
      <c r="BX890" s="30"/>
      <c r="BY890" s="30"/>
      <c r="BZ890" s="30"/>
      <c r="CA890" s="30"/>
      <c r="CB890" s="30"/>
      <c r="CC890" s="30"/>
      <c r="CD890" s="30"/>
      <c r="CE890" s="30"/>
      <c r="CF890" s="30"/>
      <c r="CG890" s="30"/>
      <c r="CH890" s="30"/>
      <c r="CI890" s="30"/>
      <c r="CJ890" s="30"/>
      <c r="CK890" s="30"/>
      <c r="CL890" s="30"/>
      <c r="CM890" s="30"/>
      <c r="CN890" s="30"/>
      <c r="CO890" s="30"/>
      <c r="CP890" s="30"/>
      <c r="CQ890" s="30"/>
      <c r="CR890" s="30"/>
      <c r="CS890" s="30"/>
      <c r="CT890" s="30"/>
      <c r="CU890" s="30"/>
      <c r="CV890" s="30"/>
      <c r="CW890" s="30"/>
      <c r="CX890" s="30"/>
      <c r="CY890" s="30"/>
      <c r="CZ890" s="30"/>
      <c r="DA890" s="30"/>
      <c r="DB890" s="30"/>
      <c r="DC890" s="30"/>
      <c r="DD890" s="30"/>
      <c r="DE890" s="30"/>
      <c r="DF890" s="30"/>
      <c r="DG890" s="30"/>
      <c r="DH890" s="30"/>
      <c r="DI890" s="30"/>
      <c r="DJ890" s="30"/>
      <c r="DK890" s="30"/>
      <c r="DL890" s="30"/>
      <c r="DM890" s="30"/>
      <c r="DN890" s="30"/>
      <c r="DO890" s="30"/>
      <c r="DP890" s="30"/>
      <c r="DQ890" s="30"/>
      <c r="DR890" s="30"/>
      <c r="DS890" s="30"/>
      <c r="DT890" s="30"/>
      <c r="DU890" s="30"/>
      <c r="DV890" s="30"/>
      <c r="DW890" s="30"/>
    </row>
    <row r="891" spans="1:127" ht="13">
      <c r="A891" s="39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  <c r="BN891" s="30"/>
      <c r="BO891" s="30"/>
      <c r="BP891" s="30"/>
      <c r="BQ891" s="30"/>
      <c r="BR891" s="30"/>
      <c r="BS891" s="30"/>
      <c r="BT891" s="30"/>
      <c r="BU891" s="30"/>
      <c r="BV891" s="30"/>
      <c r="BW891" s="30"/>
      <c r="BX891" s="30"/>
      <c r="BY891" s="30"/>
      <c r="BZ891" s="30"/>
      <c r="CA891" s="30"/>
      <c r="CB891" s="30"/>
      <c r="CC891" s="30"/>
      <c r="CD891" s="30"/>
      <c r="CE891" s="30"/>
      <c r="CF891" s="30"/>
      <c r="CG891" s="30"/>
      <c r="CH891" s="30"/>
      <c r="CI891" s="30"/>
      <c r="CJ891" s="30"/>
      <c r="CK891" s="30"/>
      <c r="CL891" s="30"/>
      <c r="CM891" s="30"/>
      <c r="CN891" s="30"/>
      <c r="CO891" s="30"/>
      <c r="CP891" s="30"/>
      <c r="CQ891" s="30"/>
      <c r="CR891" s="30"/>
      <c r="CS891" s="30"/>
      <c r="CT891" s="30"/>
      <c r="CU891" s="30"/>
      <c r="CV891" s="30"/>
      <c r="CW891" s="30"/>
      <c r="CX891" s="30"/>
      <c r="CY891" s="30"/>
      <c r="CZ891" s="30"/>
      <c r="DA891" s="30"/>
      <c r="DB891" s="30"/>
      <c r="DC891" s="30"/>
      <c r="DD891" s="30"/>
      <c r="DE891" s="30"/>
      <c r="DF891" s="30"/>
      <c r="DG891" s="30"/>
      <c r="DH891" s="30"/>
      <c r="DI891" s="30"/>
      <c r="DJ891" s="30"/>
      <c r="DK891" s="30"/>
      <c r="DL891" s="30"/>
      <c r="DM891" s="30"/>
      <c r="DN891" s="30"/>
      <c r="DO891" s="30"/>
      <c r="DP891" s="30"/>
      <c r="DQ891" s="30"/>
      <c r="DR891" s="30"/>
      <c r="DS891" s="30"/>
      <c r="DT891" s="30"/>
      <c r="DU891" s="30"/>
      <c r="DV891" s="30"/>
      <c r="DW891" s="30"/>
    </row>
    <row r="892" spans="1:127" ht="13">
      <c r="A892" s="39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  <c r="BN892" s="30"/>
      <c r="BO892" s="30"/>
      <c r="BP892" s="30"/>
      <c r="BQ892" s="30"/>
      <c r="BR892" s="30"/>
      <c r="BS892" s="30"/>
      <c r="BT892" s="30"/>
      <c r="BU892" s="30"/>
      <c r="BV892" s="30"/>
      <c r="BW892" s="30"/>
      <c r="BX892" s="30"/>
      <c r="BY892" s="30"/>
      <c r="BZ892" s="30"/>
      <c r="CA892" s="30"/>
      <c r="CB892" s="30"/>
      <c r="CC892" s="30"/>
      <c r="CD892" s="30"/>
      <c r="CE892" s="30"/>
      <c r="CF892" s="30"/>
      <c r="CG892" s="30"/>
      <c r="CH892" s="30"/>
      <c r="CI892" s="30"/>
      <c r="CJ892" s="30"/>
      <c r="CK892" s="30"/>
      <c r="CL892" s="30"/>
      <c r="CM892" s="30"/>
      <c r="CN892" s="30"/>
      <c r="CO892" s="30"/>
      <c r="CP892" s="30"/>
      <c r="CQ892" s="30"/>
      <c r="CR892" s="30"/>
      <c r="CS892" s="30"/>
      <c r="CT892" s="30"/>
      <c r="CU892" s="30"/>
      <c r="CV892" s="30"/>
      <c r="CW892" s="30"/>
      <c r="CX892" s="30"/>
      <c r="CY892" s="30"/>
      <c r="CZ892" s="30"/>
      <c r="DA892" s="30"/>
      <c r="DB892" s="30"/>
      <c r="DC892" s="30"/>
      <c r="DD892" s="30"/>
      <c r="DE892" s="30"/>
      <c r="DF892" s="30"/>
      <c r="DG892" s="30"/>
      <c r="DH892" s="30"/>
      <c r="DI892" s="30"/>
      <c r="DJ892" s="30"/>
      <c r="DK892" s="30"/>
      <c r="DL892" s="30"/>
      <c r="DM892" s="30"/>
      <c r="DN892" s="30"/>
      <c r="DO892" s="30"/>
      <c r="DP892" s="30"/>
      <c r="DQ892" s="30"/>
      <c r="DR892" s="30"/>
      <c r="DS892" s="30"/>
      <c r="DT892" s="30"/>
      <c r="DU892" s="30"/>
      <c r="DV892" s="30"/>
      <c r="DW892" s="30"/>
    </row>
    <row r="893" spans="1:127" ht="13">
      <c r="A893" s="39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  <c r="BQ893" s="30"/>
      <c r="BR893" s="30"/>
      <c r="BS893" s="30"/>
      <c r="BT893" s="30"/>
      <c r="BU893" s="30"/>
      <c r="BV893" s="30"/>
      <c r="BW893" s="30"/>
      <c r="BX893" s="30"/>
      <c r="BY893" s="30"/>
      <c r="BZ893" s="30"/>
      <c r="CA893" s="30"/>
      <c r="CB893" s="30"/>
      <c r="CC893" s="30"/>
      <c r="CD893" s="30"/>
      <c r="CE893" s="30"/>
      <c r="CF893" s="30"/>
      <c r="CG893" s="30"/>
      <c r="CH893" s="30"/>
      <c r="CI893" s="30"/>
      <c r="CJ893" s="30"/>
      <c r="CK893" s="30"/>
      <c r="CL893" s="30"/>
      <c r="CM893" s="30"/>
      <c r="CN893" s="30"/>
      <c r="CO893" s="30"/>
      <c r="CP893" s="30"/>
      <c r="CQ893" s="30"/>
      <c r="CR893" s="30"/>
      <c r="CS893" s="30"/>
      <c r="CT893" s="30"/>
      <c r="CU893" s="30"/>
      <c r="CV893" s="30"/>
      <c r="CW893" s="30"/>
      <c r="CX893" s="30"/>
      <c r="CY893" s="30"/>
      <c r="CZ893" s="30"/>
      <c r="DA893" s="30"/>
      <c r="DB893" s="30"/>
      <c r="DC893" s="30"/>
      <c r="DD893" s="30"/>
      <c r="DE893" s="30"/>
      <c r="DF893" s="30"/>
      <c r="DG893" s="30"/>
      <c r="DH893" s="30"/>
      <c r="DI893" s="30"/>
      <c r="DJ893" s="30"/>
      <c r="DK893" s="30"/>
      <c r="DL893" s="30"/>
      <c r="DM893" s="30"/>
      <c r="DN893" s="30"/>
      <c r="DO893" s="30"/>
      <c r="DP893" s="30"/>
      <c r="DQ893" s="30"/>
      <c r="DR893" s="30"/>
      <c r="DS893" s="30"/>
      <c r="DT893" s="30"/>
      <c r="DU893" s="30"/>
      <c r="DV893" s="30"/>
      <c r="DW893" s="30"/>
    </row>
    <row r="894" spans="1:127" ht="13">
      <c r="A894" s="39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0"/>
      <c r="BO894" s="30"/>
      <c r="BP894" s="30"/>
      <c r="BQ894" s="30"/>
      <c r="BR894" s="30"/>
      <c r="BS894" s="30"/>
      <c r="BT894" s="30"/>
      <c r="BU894" s="30"/>
      <c r="BV894" s="30"/>
      <c r="BW894" s="30"/>
      <c r="BX894" s="30"/>
      <c r="BY894" s="30"/>
      <c r="BZ894" s="30"/>
      <c r="CA894" s="30"/>
      <c r="CB894" s="30"/>
      <c r="CC894" s="30"/>
      <c r="CD894" s="30"/>
      <c r="CE894" s="30"/>
      <c r="CF894" s="30"/>
      <c r="CG894" s="30"/>
      <c r="CH894" s="30"/>
      <c r="CI894" s="30"/>
      <c r="CJ894" s="30"/>
      <c r="CK894" s="30"/>
      <c r="CL894" s="30"/>
      <c r="CM894" s="30"/>
      <c r="CN894" s="30"/>
      <c r="CO894" s="30"/>
      <c r="CP894" s="30"/>
      <c r="CQ894" s="30"/>
      <c r="CR894" s="30"/>
      <c r="CS894" s="30"/>
      <c r="CT894" s="30"/>
      <c r="CU894" s="30"/>
      <c r="CV894" s="30"/>
      <c r="CW894" s="30"/>
      <c r="CX894" s="30"/>
      <c r="CY894" s="30"/>
      <c r="CZ894" s="30"/>
      <c r="DA894" s="30"/>
      <c r="DB894" s="30"/>
      <c r="DC894" s="30"/>
      <c r="DD894" s="30"/>
      <c r="DE894" s="30"/>
      <c r="DF894" s="30"/>
      <c r="DG894" s="30"/>
      <c r="DH894" s="30"/>
      <c r="DI894" s="30"/>
      <c r="DJ894" s="30"/>
      <c r="DK894" s="30"/>
      <c r="DL894" s="30"/>
      <c r="DM894" s="30"/>
      <c r="DN894" s="30"/>
      <c r="DO894" s="30"/>
      <c r="DP894" s="30"/>
      <c r="DQ894" s="30"/>
      <c r="DR894" s="30"/>
      <c r="DS894" s="30"/>
      <c r="DT894" s="30"/>
      <c r="DU894" s="30"/>
      <c r="DV894" s="30"/>
      <c r="DW894" s="30"/>
    </row>
    <row r="895" spans="1:127" ht="13">
      <c r="A895" s="39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0"/>
      <c r="BO895" s="30"/>
      <c r="BP895" s="30"/>
      <c r="BQ895" s="30"/>
      <c r="BR895" s="30"/>
      <c r="BS895" s="30"/>
      <c r="BT895" s="30"/>
      <c r="BU895" s="30"/>
      <c r="BV895" s="30"/>
      <c r="BW895" s="30"/>
      <c r="BX895" s="30"/>
      <c r="BY895" s="30"/>
      <c r="BZ895" s="30"/>
      <c r="CA895" s="30"/>
      <c r="CB895" s="30"/>
      <c r="CC895" s="30"/>
      <c r="CD895" s="30"/>
      <c r="CE895" s="30"/>
      <c r="CF895" s="30"/>
      <c r="CG895" s="30"/>
      <c r="CH895" s="30"/>
      <c r="CI895" s="30"/>
      <c r="CJ895" s="30"/>
      <c r="CK895" s="30"/>
      <c r="CL895" s="30"/>
      <c r="CM895" s="30"/>
      <c r="CN895" s="30"/>
      <c r="CO895" s="30"/>
      <c r="CP895" s="30"/>
      <c r="CQ895" s="30"/>
      <c r="CR895" s="30"/>
      <c r="CS895" s="30"/>
      <c r="CT895" s="30"/>
      <c r="CU895" s="30"/>
      <c r="CV895" s="30"/>
      <c r="CW895" s="30"/>
      <c r="CX895" s="30"/>
      <c r="CY895" s="30"/>
      <c r="CZ895" s="30"/>
      <c r="DA895" s="30"/>
      <c r="DB895" s="30"/>
      <c r="DC895" s="30"/>
      <c r="DD895" s="30"/>
      <c r="DE895" s="30"/>
      <c r="DF895" s="30"/>
      <c r="DG895" s="30"/>
      <c r="DH895" s="30"/>
      <c r="DI895" s="30"/>
      <c r="DJ895" s="30"/>
      <c r="DK895" s="30"/>
      <c r="DL895" s="30"/>
      <c r="DM895" s="30"/>
      <c r="DN895" s="30"/>
      <c r="DO895" s="30"/>
      <c r="DP895" s="30"/>
      <c r="DQ895" s="30"/>
      <c r="DR895" s="30"/>
      <c r="DS895" s="30"/>
      <c r="DT895" s="30"/>
      <c r="DU895" s="30"/>
      <c r="DV895" s="30"/>
      <c r="DW895" s="30"/>
    </row>
    <row r="896" spans="1:127" ht="13">
      <c r="A896" s="39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0"/>
      <c r="BO896" s="30"/>
      <c r="BP896" s="30"/>
      <c r="BQ896" s="30"/>
      <c r="BR896" s="30"/>
      <c r="BS896" s="30"/>
      <c r="BT896" s="30"/>
      <c r="BU896" s="30"/>
      <c r="BV896" s="30"/>
      <c r="BW896" s="30"/>
      <c r="BX896" s="30"/>
      <c r="BY896" s="30"/>
      <c r="BZ896" s="30"/>
      <c r="CA896" s="30"/>
      <c r="CB896" s="30"/>
      <c r="CC896" s="30"/>
      <c r="CD896" s="30"/>
      <c r="CE896" s="30"/>
      <c r="CF896" s="30"/>
      <c r="CG896" s="30"/>
      <c r="CH896" s="30"/>
      <c r="CI896" s="30"/>
      <c r="CJ896" s="30"/>
      <c r="CK896" s="30"/>
      <c r="CL896" s="30"/>
      <c r="CM896" s="30"/>
      <c r="CN896" s="30"/>
      <c r="CO896" s="30"/>
      <c r="CP896" s="30"/>
      <c r="CQ896" s="30"/>
      <c r="CR896" s="30"/>
      <c r="CS896" s="30"/>
      <c r="CT896" s="30"/>
      <c r="CU896" s="30"/>
      <c r="CV896" s="30"/>
      <c r="CW896" s="30"/>
      <c r="CX896" s="30"/>
      <c r="CY896" s="30"/>
      <c r="CZ896" s="30"/>
      <c r="DA896" s="30"/>
      <c r="DB896" s="30"/>
      <c r="DC896" s="30"/>
      <c r="DD896" s="30"/>
      <c r="DE896" s="30"/>
      <c r="DF896" s="30"/>
      <c r="DG896" s="30"/>
      <c r="DH896" s="30"/>
      <c r="DI896" s="30"/>
      <c r="DJ896" s="30"/>
      <c r="DK896" s="30"/>
      <c r="DL896" s="30"/>
      <c r="DM896" s="30"/>
      <c r="DN896" s="30"/>
      <c r="DO896" s="30"/>
      <c r="DP896" s="30"/>
      <c r="DQ896" s="30"/>
      <c r="DR896" s="30"/>
      <c r="DS896" s="30"/>
      <c r="DT896" s="30"/>
      <c r="DU896" s="30"/>
      <c r="DV896" s="30"/>
      <c r="DW896" s="30"/>
    </row>
    <row r="897" spans="1:127" ht="13">
      <c r="A897" s="39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0"/>
      <c r="BO897" s="30"/>
      <c r="BP897" s="30"/>
      <c r="BQ897" s="30"/>
      <c r="BR897" s="30"/>
      <c r="BS897" s="30"/>
      <c r="BT897" s="30"/>
      <c r="BU897" s="30"/>
      <c r="BV897" s="30"/>
      <c r="BW897" s="30"/>
      <c r="BX897" s="30"/>
      <c r="BY897" s="30"/>
      <c r="BZ897" s="30"/>
      <c r="CA897" s="30"/>
      <c r="CB897" s="30"/>
      <c r="CC897" s="30"/>
      <c r="CD897" s="30"/>
      <c r="CE897" s="30"/>
      <c r="CF897" s="30"/>
      <c r="CG897" s="30"/>
      <c r="CH897" s="30"/>
      <c r="CI897" s="30"/>
      <c r="CJ897" s="30"/>
      <c r="CK897" s="30"/>
      <c r="CL897" s="30"/>
      <c r="CM897" s="30"/>
      <c r="CN897" s="30"/>
      <c r="CO897" s="30"/>
      <c r="CP897" s="30"/>
      <c r="CQ897" s="30"/>
      <c r="CR897" s="30"/>
      <c r="CS897" s="30"/>
      <c r="CT897" s="30"/>
      <c r="CU897" s="30"/>
      <c r="CV897" s="30"/>
      <c r="CW897" s="30"/>
      <c r="CX897" s="30"/>
      <c r="CY897" s="30"/>
      <c r="CZ897" s="30"/>
      <c r="DA897" s="30"/>
      <c r="DB897" s="30"/>
      <c r="DC897" s="30"/>
      <c r="DD897" s="30"/>
      <c r="DE897" s="30"/>
      <c r="DF897" s="30"/>
      <c r="DG897" s="30"/>
      <c r="DH897" s="30"/>
      <c r="DI897" s="30"/>
      <c r="DJ897" s="30"/>
      <c r="DK897" s="30"/>
      <c r="DL897" s="30"/>
      <c r="DM897" s="30"/>
      <c r="DN897" s="30"/>
      <c r="DO897" s="30"/>
      <c r="DP897" s="30"/>
      <c r="DQ897" s="30"/>
      <c r="DR897" s="30"/>
      <c r="DS897" s="30"/>
      <c r="DT897" s="30"/>
      <c r="DU897" s="30"/>
      <c r="DV897" s="30"/>
      <c r="DW897" s="30"/>
    </row>
    <row r="898" spans="1:127" ht="13">
      <c r="A898" s="39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0"/>
      <c r="BO898" s="30"/>
      <c r="BP898" s="30"/>
      <c r="BQ898" s="30"/>
      <c r="BR898" s="30"/>
      <c r="BS898" s="30"/>
      <c r="BT898" s="30"/>
      <c r="BU898" s="30"/>
      <c r="BV898" s="30"/>
      <c r="BW898" s="30"/>
      <c r="BX898" s="30"/>
      <c r="BY898" s="30"/>
      <c r="BZ898" s="30"/>
      <c r="CA898" s="30"/>
      <c r="CB898" s="30"/>
      <c r="CC898" s="30"/>
      <c r="CD898" s="30"/>
      <c r="CE898" s="30"/>
      <c r="CF898" s="30"/>
      <c r="CG898" s="30"/>
      <c r="CH898" s="30"/>
      <c r="CI898" s="30"/>
      <c r="CJ898" s="30"/>
      <c r="CK898" s="30"/>
      <c r="CL898" s="30"/>
      <c r="CM898" s="30"/>
      <c r="CN898" s="30"/>
      <c r="CO898" s="30"/>
      <c r="CP898" s="30"/>
      <c r="CQ898" s="30"/>
      <c r="CR898" s="30"/>
      <c r="CS898" s="30"/>
      <c r="CT898" s="30"/>
      <c r="CU898" s="30"/>
      <c r="CV898" s="30"/>
      <c r="CW898" s="30"/>
      <c r="CX898" s="30"/>
      <c r="CY898" s="30"/>
      <c r="CZ898" s="30"/>
      <c r="DA898" s="30"/>
      <c r="DB898" s="30"/>
      <c r="DC898" s="30"/>
      <c r="DD898" s="30"/>
      <c r="DE898" s="30"/>
      <c r="DF898" s="30"/>
      <c r="DG898" s="30"/>
      <c r="DH898" s="30"/>
      <c r="DI898" s="30"/>
      <c r="DJ898" s="30"/>
      <c r="DK898" s="30"/>
      <c r="DL898" s="30"/>
      <c r="DM898" s="30"/>
      <c r="DN898" s="30"/>
      <c r="DO898" s="30"/>
      <c r="DP898" s="30"/>
      <c r="DQ898" s="30"/>
      <c r="DR898" s="30"/>
      <c r="DS898" s="30"/>
      <c r="DT898" s="30"/>
      <c r="DU898" s="30"/>
      <c r="DV898" s="30"/>
      <c r="DW898" s="30"/>
    </row>
    <row r="899" spans="1:127" ht="13">
      <c r="A899" s="39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0"/>
      <c r="BO899" s="30"/>
      <c r="BP899" s="30"/>
      <c r="BQ899" s="30"/>
      <c r="BR899" s="30"/>
      <c r="BS899" s="30"/>
      <c r="BT899" s="30"/>
      <c r="BU899" s="30"/>
      <c r="BV899" s="30"/>
      <c r="BW899" s="30"/>
      <c r="BX899" s="30"/>
      <c r="BY899" s="30"/>
      <c r="BZ899" s="30"/>
      <c r="CA899" s="30"/>
      <c r="CB899" s="30"/>
      <c r="CC899" s="30"/>
      <c r="CD899" s="30"/>
      <c r="CE899" s="30"/>
      <c r="CF899" s="30"/>
      <c r="CG899" s="30"/>
      <c r="CH899" s="30"/>
      <c r="CI899" s="30"/>
      <c r="CJ899" s="30"/>
      <c r="CK899" s="30"/>
      <c r="CL899" s="30"/>
      <c r="CM899" s="30"/>
      <c r="CN899" s="30"/>
      <c r="CO899" s="30"/>
      <c r="CP899" s="30"/>
      <c r="CQ899" s="30"/>
      <c r="CR899" s="30"/>
      <c r="CS899" s="30"/>
      <c r="CT899" s="30"/>
      <c r="CU899" s="30"/>
      <c r="CV899" s="30"/>
      <c r="CW899" s="30"/>
      <c r="CX899" s="30"/>
      <c r="CY899" s="30"/>
      <c r="CZ899" s="30"/>
      <c r="DA899" s="30"/>
      <c r="DB899" s="30"/>
      <c r="DC899" s="30"/>
      <c r="DD899" s="30"/>
      <c r="DE899" s="30"/>
      <c r="DF899" s="30"/>
      <c r="DG899" s="30"/>
      <c r="DH899" s="30"/>
      <c r="DI899" s="30"/>
      <c r="DJ899" s="30"/>
      <c r="DK899" s="30"/>
      <c r="DL899" s="30"/>
      <c r="DM899" s="30"/>
      <c r="DN899" s="30"/>
      <c r="DO899" s="30"/>
      <c r="DP899" s="30"/>
      <c r="DQ899" s="30"/>
      <c r="DR899" s="30"/>
      <c r="DS899" s="30"/>
      <c r="DT899" s="30"/>
      <c r="DU899" s="30"/>
      <c r="DV899" s="30"/>
      <c r="DW899" s="30"/>
    </row>
    <row r="900" spans="1:127" ht="13">
      <c r="A900" s="39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0"/>
      <c r="BO900" s="30"/>
      <c r="BP900" s="30"/>
      <c r="BQ900" s="30"/>
      <c r="BR900" s="30"/>
      <c r="BS900" s="30"/>
      <c r="BT900" s="30"/>
      <c r="BU900" s="30"/>
      <c r="BV900" s="30"/>
      <c r="BW900" s="30"/>
      <c r="BX900" s="30"/>
      <c r="BY900" s="30"/>
      <c r="BZ900" s="30"/>
      <c r="CA900" s="30"/>
      <c r="CB900" s="30"/>
      <c r="CC900" s="30"/>
      <c r="CD900" s="30"/>
      <c r="CE900" s="30"/>
      <c r="CF900" s="30"/>
      <c r="CG900" s="30"/>
      <c r="CH900" s="30"/>
      <c r="CI900" s="30"/>
      <c r="CJ900" s="30"/>
      <c r="CK900" s="30"/>
      <c r="CL900" s="30"/>
      <c r="CM900" s="30"/>
      <c r="CN900" s="30"/>
      <c r="CO900" s="30"/>
      <c r="CP900" s="30"/>
      <c r="CQ900" s="30"/>
      <c r="CR900" s="30"/>
      <c r="CS900" s="30"/>
      <c r="CT900" s="30"/>
      <c r="CU900" s="30"/>
      <c r="CV900" s="30"/>
      <c r="CW900" s="30"/>
      <c r="CX900" s="30"/>
      <c r="CY900" s="30"/>
      <c r="CZ900" s="30"/>
      <c r="DA900" s="30"/>
      <c r="DB900" s="30"/>
      <c r="DC900" s="30"/>
      <c r="DD900" s="30"/>
      <c r="DE900" s="30"/>
      <c r="DF900" s="30"/>
      <c r="DG900" s="30"/>
      <c r="DH900" s="30"/>
      <c r="DI900" s="30"/>
      <c r="DJ900" s="30"/>
      <c r="DK900" s="30"/>
      <c r="DL900" s="30"/>
      <c r="DM900" s="30"/>
      <c r="DN900" s="30"/>
      <c r="DO900" s="30"/>
      <c r="DP900" s="30"/>
      <c r="DQ900" s="30"/>
      <c r="DR900" s="30"/>
      <c r="DS900" s="30"/>
      <c r="DT900" s="30"/>
      <c r="DU900" s="30"/>
      <c r="DV900" s="30"/>
      <c r="DW900" s="30"/>
    </row>
    <row r="901" spans="1:127" ht="13">
      <c r="A901" s="39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  <c r="BP901" s="30"/>
      <c r="BQ901" s="30"/>
      <c r="BR901" s="30"/>
      <c r="BS901" s="30"/>
      <c r="BT901" s="30"/>
      <c r="BU901" s="30"/>
      <c r="BV901" s="30"/>
      <c r="BW901" s="30"/>
      <c r="BX901" s="30"/>
      <c r="BY901" s="30"/>
      <c r="BZ901" s="30"/>
      <c r="CA901" s="30"/>
      <c r="CB901" s="30"/>
      <c r="CC901" s="30"/>
      <c r="CD901" s="30"/>
      <c r="CE901" s="30"/>
      <c r="CF901" s="30"/>
      <c r="CG901" s="30"/>
      <c r="CH901" s="30"/>
      <c r="CI901" s="30"/>
      <c r="CJ901" s="30"/>
      <c r="CK901" s="30"/>
      <c r="CL901" s="30"/>
      <c r="CM901" s="30"/>
      <c r="CN901" s="30"/>
      <c r="CO901" s="30"/>
      <c r="CP901" s="30"/>
      <c r="CQ901" s="30"/>
      <c r="CR901" s="30"/>
      <c r="CS901" s="30"/>
      <c r="CT901" s="30"/>
      <c r="CU901" s="30"/>
      <c r="CV901" s="30"/>
      <c r="CW901" s="30"/>
      <c r="CX901" s="30"/>
      <c r="CY901" s="30"/>
      <c r="CZ901" s="30"/>
      <c r="DA901" s="30"/>
      <c r="DB901" s="30"/>
      <c r="DC901" s="30"/>
      <c r="DD901" s="30"/>
      <c r="DE901" s="30"/>
      <c r="DF901" s="30"/>
      <c r="DG901" s="30"/>
      <c r="DH901" s="30"/>
      <c r="DI901" s="30"/>
      <c r="DJ901" s="30"/>
      <c r="DK901" s="30"/>
      <c r="DL901" s="30"/>
      <c r="DM901" s="30"/>
      <c r="DN901" s="30"/>
      <c r="DO901" s="30"/>
      <c r="DP901" s="30"/>
      <c r="DQ901" s="30"/>
      <c r="DR901" s="30"/>
      <c r="DS901" s="30"/>
      <c r="DT901" s="30"/>
      <c r="DU901" s="30"/>
      <c r="DV901" s="30"/>
      <c r="DW901" s="30"/>
    </row>
    <row r="902" spans="1:127" ht="13">
      <c r="A902" s="39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0"/>
      <c r="BO902" s="30"/>
      <c r="BP902" s="30"/>
      <c r="BQ902" s="30"/>
      <c r="BR902" s="30"/>
      <c r="BS902" s="30"/>
      <c r="BT902" s="30"/>
      <c r="BU902" s="30"/>
      <c r="BV902" s="30"/>
      <c r="BW902" s="30"/>
      <c r="BX902" s="30"/>
      <c r="BY902" s="30"/>
      <c r="BZ902" s="30"/>
      <c r="CA902" s="30"/>
      <c r="CB902" s="30"/>
      <c r="CC902" s="30"/>
      <c r="CD902" s="30"/>
      <c r="CE902" s="30"/>
      <c r="CF902" s="30"/>
      <c r="CG902" s="30"/>
      <c r="CH902" s="30"/>
      <c r="CI902" s="30"/>
      <c r="CJ902" s="30"/>
      <c r="CK902" s="30"/>
      <c r="CL902" s="30"/>
      <c r="CM902" s="30"/>
      <c r="CN902" s="30"/>
      <c r="CO902" s="30"/>
      <c r="CP902" s="30"/>
      <c r="CQ902" s="30"/>
      <c r="CR902" s="30"/>
      <c r="CS902" s="30"/>
      <c r="CT902" s="30"/>
      <c r="CU902" s="30"/>
      <c r="CV902" s="30"/>
      <c r="CW902" s="30"/>
      <c r="CX902" s="30"/>
      <c r="CY902" s="30"/>
      <c r="CZ902" s="30"/>
      <c r="DA902" s="30"/>
      <c r="DB902" s="30"/>
      <c r="DC902" s="30"/>
      <c r="DD902" s="30"/>
      <c r="DE902" s="30"/>
      <c r="DF902" s="30"/>
      <c r="DG902" s="30"/>
      <c r="DH902" s="30"/>
      <c r="DI902" s="30"/>
      <c r="DJ902" s="30"/>
      <c r="DK902" s="30"/>
      <c r="DL902" s="30"/>
      <c r="DM902" s="30"/>
      <c r="DN902" s="30"/>
      <c r="DO902" s="30"/>
      <c r="DP902" s="30"/>
      <c r="DQ902" s="30"/>
      <c r="DR902" s="30"/>
      <c r="DS902" s="30"/>
      <c r="DT902" s="30"/>
      <c r="DU902" s="30"/>
      <c r="DV902" s="30"/>
      <c r="DW902" s="30"/>
    </row>
    <row r="903" spans="1:127" ht="13">
      <c r="A903" s="39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  <c r="BN903" s="30"/>
      <c r="BO903" s="30"/>
      <c r="BP903" s="30"/>
      <c r="BQ903" s="30"/>
      <c r="BR903" s="30"/>
      <c r="BS903" s="30"/>
      <c r="BT903" s="30"/>
      <c r="BU903" s="30"/>
      <c r="BV903" s="30"/>
      <c r="BW903" s="30"/>
      <c r="BX903" s="30"/>
      <c r="BY903" s="30"/>
      <c r="BZ903" s="30"/>
      <c r="CA903" s="30"/>
      <c r="CB903" s="30"/>
      <c r="CC903" s="30"/>
      <c r="CD903" s="30"/>
      <c r="CE903" s="30"/>
      <c r="CF903" s="30"/>
      <c r="CG903" s="30"/>
      <c r="CH903" s="30"/>
      <c r="CI903" s="30"/>
      <c r="CJ903" s="30"/>
      <c r="CK903" s="30"/>
      <c r="CL903" s="30"/>
      <c r="CM903" s="30"/>
      <c r="CN903" s="30"/>
      <c r="CO903" s="30"/>
      <c r="CP903" s="30"/>
      <c r="CQ903" s="30"/>
      <c r="CR903" s="30"/>
      <c r="CS903" s="30"/>
      <c r="CT903" s="30"/>
      <c r="CU903" s="30"/>
      <c r="CV903" s="30"/>
      <c r="CW903" s="30"/>
      <c r="CX903" s="30"/>
      <c r="CY903" s="30"/>
      <c r="CZ903" s="30"/>
      <c r="DA903" s="30"/>
      <c r="DB903" s="30"/>
      <c r="DC903" s="30"/>
      <c r="DD903" s="30"/>
      <c r="DE903" s="30"/>
      <c r="DF903" s="30"/>
      <c r="DG903" s="30"/>
      <c r="DH903" s="30"/>
      <c r="DI903" s="30"/>
      <c r="DJ903" s="30"/>
      <c r="DK903" s="30"/>
      <c r="DL903" s="30"/>
      <c r="DM903" s="30"/>
      <c r="DN903" s="30"/>
      <c r="DO903" s="30"/>
      <c r="DP903" s="30"/>
      <c r="DQ903" s="30"/>
      <c r="DR903" s="30"/>
      <c r="DS903" s="30"/>
      <c r="DT903" s="30"/>
      <c r="DU903" s="30"/>
      <c r="DV903" s="30"/>
      <c r="DW903" s="30"/>
    </row>
    <row r="904" spans="1:127" ht="13">
      <c r="A904" s="39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  <c r="BN904" s="30"/>
      <c r="BO904" s="30"/>
      <c r="BP904" s="30"/>
      <c r="BQ904" s="30"/>
      <c r="BR904" s="30"/>
      <c r="BS904" s="30"/>
      <c r="BT904" s="30"/>
      <c r="BU904" s="30"/>
      <c r="BV904" s="30"/>
      <c r="BW904" s="30"/>
      <c r="BX904" s="30"/>
      <c r="BY904" s="30"/>
      <c r="BZ904" s="30"/>
      <c r="CA904" s="30"/>
      <c r="CB904" s="30"/>
      <c r="CC904" s="30"/>
      <c r="CD904" s="30"/>
      <c r="CE904" s="30"/>
      <c r="CF904" s="30"/>
      <c r="CG904" s="30"/>
      <c r="CH904" s="30"/>
      <c r="CI904" s="30"/>
      <c r="CJ904" s="30"/>
      <c r="CK904" s="30"/>
      <c r="CL904" s="30"/>
      <c r="CM904" s="30"/>
      <c r="CN904" s="30"/>
      <c r="CO904" s="30"/>
      <c r="CP904" s="30"/>
      <c r="CQ904" s="30"/>
      <c r="CR904" s="30"/>
      <c r="CS904" s="30"/>
      <c r="CT904" s="30"/>
      <c r="CU904" s="30"/>
      <c r="CV904" s="30"/>
      <c r="CW904" s="30"/>
      <c r="CX904" s="30"/>
      <c r="CY904" s="30"/>
      <c r="CZ904" s="30"/>
      <c r="DA904" s="30"/>
      <c r="DB904" s="30"/>
      <c r="DC904" s="30"/>
      <c r="DD904" s="30"/>
      <c r="DE904" s="30"/>
      <c r="DF904" s="30"/>
      <c r="DG904" s="30"/>
      <c r="DH904" s="30"/>
      <c r="DI904" s="30"/>
      <c r="DJ904" s="30"/>
      <c r="DK904" s="30"/>
      <c r="DL904" s="30"/>
      <c r="DM904" s="30"/>
      <c r="DN904" s="30"/>
      <c r="DO904" s="30"/>
      <c r="DP904" s="30"/>
      <c r="DQ904" s="30"/>
      <c r="DR904" s="30"/>
      <c r="DS904" s="30"/>
      <c r="DT904" s="30"/>
      <c r="DU904" s="30"/>
      <c r="DV904" s="30"/>
      <c r="DW904" s="30"/>
    </row>
    <row r="905" spans="1:127" ht="13">
      <c r="A905" s="39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  <c r="BN905" s="30"/>
      <c r="BO905" s="30"/>
      <c r="BP905" s="30"/>
      <c r="BQ905" s="30"/>
      <c r="BR905" s="30"/>
      <c r="BS905" s="30"/>
      <c r="BT905" s="30"/>
      <c r="BU905" s="30"/>
      <c r="BV905" s="30"/>
      <c r="BW905" s="30"/>
      <c r="BX905" s="30"/>
      <c r="BY905" s="30"/>
      <c r="BZ905" s="30"/>
      <c r="CA905" s="30"/>
      <c r="CB905" s="30"/>
      <c r="CC905" s="30"/>
      <c r="CD905" s="30"/>
      <c r="CE905" s="30"/>
      <c r="CF905" s="30"/>
      <c r="CG905" s="30"/>
      <c r="CH905" s="30"/>
      <c r="CI905" s="30"/>
      <c r="CJ905" s="30"/>
      <c r="CK905" s="30"/>
      <c r="CL905" s="30"/>
      <c r="CM905" s="30"/>
      <c r="CN905" s="30"/>
      <c r="CO905" s="30"/>
      <c r="CP905" s="30"/>
      <c r="CQ905" s="30"/>
      <c r="CR905" s="30"/>
      <c r="CS905" s="30"/>
      <c r="CT905" s="30"/>
      <c r="CU905" s="30"/>
      <c r="CV905" s="30"/>
      <c r="CW905" s="30"/>
      <c r="CX905" s="30"/>
      <c r="CY905" s="30"/>
      <c r="CZ905" s="30"/>
      <c r="DA905" s="30"/>
      <c r="DB905" s="30"/>
      <c r="DC905" s="30"/>
      <c r="DD905" s="30"/>
      <c r="DE905" s="30"/>
      <c r="DF905" s="30"/>
      <c r="DG905" s="30"/>
      <c r="DH905" s="30"/>
      <c r="DI905" s="30"/>
      <c r="DJ905" s="30"/>
      <c r="DK905" s="30"/>
      <c r="DL905" s="30"/>
      <c r="DM905" s="30"/>
      <c r="DN905" s="30"/>
      <c r="DO905" s="30"/>
      <c r="DP905" s="30"/>
      <c r="DQ905" s="30"/>
      <c r="DR905" s="30"/>
      <c r="DS905" s="30"/>
      <c r="DT905" s="30"/>
      <c r="DU905" s="30"/>
      <c r="DV905" s="30"/>
      <c r="DW905" s="30"/>
    </row>
    <row r="906" spans="1:127" ht="13">
      <c r="A906" s="39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  <c r="BN906" s="30"/>
      <c r="BO906" s="30"/>
      <c r="BP906" s="30"/>
      <c r="BQ906" s="30"/>
      <c r="BR906" s="30"/>
      <c r="BS906" s="30"/>
      <c r="BT906" s="30"/>
      <c r="BU906" s="30"/>
      <c r="BV906" s="30"/>
      <c r="BW906" s="30"/>
      <c r="BX906" s="30"/>
      <c r="BY906" s="30"/>
      <c r="BZ906" s="30"/>
      <c r="CA906" s="30"/>
      <c r="CB906" s="30"/>
      <c r="CC906" s="30"/>
      <c r="CD906" s="30"/>
      <c r="CE906" s="30"/>
      <c r="CF906" s="30"/>
      <c r="CG906" s="30"/>
      <c r="CH906" s="30"/>
      <c r="CI906" s="30"/>
      <c r="CJ906" s="30"/>
      <c r="CK906" s="30"/>
      <c r="CL906" s="30"/>
      <c r="CM906" s="30"/>
      <c r="CN906" s="30"/>
      <c r="CO906" s="30"/>
      <c r="CP906" s="30"/>
      <c r="CQ906" s="30"/>
      <c r="CR906" s="30"/>
      <c r="CS906" s="30"/>
      <c r="CT906" s="30"/>
      <c r="CU906" s="30"/>
      <c r="CV906" s="30"/>
      <c r="CW906" s="30"/>
      <c r="CX906" s="30"/>
      <c r="CY906" s="30"/>
      <c r="CZ906" s="30"/>
      <c r="DA906" s="30"/>
      <c r="DB906" s="30"/>
      <c r="DC906" s="30"/>
      <c r="DD906" s="30"/>
      <c r="DE906" s="30"/>
      <c r="DF906" s="30"/>
      <c r="DG906" s="30"/>
      <c r="DH906" s="30"/>
      <c r="DI906" s="30"/>
      <c r="DJ906" s="30"/>
      <c r="DK906" s="30"/>
      <c r="DL906" s="30"/>
      <c r="DM906" s="30"/>
      <c r="DN906" s="30"/>
      <c r="DO906" s="30"/>
      <c r="DP906" s="30"/>
      <c r="DQ906" s="30"/>
      <c r="DR906" s="30"/>
      <c r="DS906" s="30"/>
      <c r="DT906" s="30"/>
      <c r="DU906" s="30"/>
      <c r="DV906" s="30"/>
      <c r="DW906" s="30"/>
    </row>
    <row r="907" spans="1:127" ht="13">
      <c r="A907" s="39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  <c r="BN907" s="30"/>
      <c r="BO907" s="30"/>
      <c r="BP907" s="30"/>
      <c r="BQ907" s="30"/>
      <c r="BR907" s="30"/>
      <c r="BS907" s="30"/>
      <c r="BT907" s="30"/>
      <c r="BU907" s="30"/>
      <c r="BV907" s="30"/>
      <c r="BW907" s="30"/>
      <c r="BX907" s="30"/>
      <c r="BY907" s="30"/>
      <c r="BZ907" s="30"/>
      <c r="CA907" s="30"/>
      <c r="CB907" s="30"/>
      <c r="CC907" s="30"/>
      <c r="CD907" s="30"/>
      <c r="CE907" s="30"/>
      <c r="CF907" s="30"/>
      <c r="CG907" s="30"/>
      <c r="CH907" s="30"/>
      <c r="CI907" s="30"/>
      <c r="CJ907" s="30"/>
      <c r="CK907" s="30"/>
      <c r="CL907" s="30"/>
      <c r="CM907" s="30"/>
      <c r="CN907" s="30"/>
      <c r="CO907" s="30"/>
      <c r="CP907" s="30"/>
      <c r="CQ907" s="30"/>
      <c r="CR907" s="30"/>
      <c r="CS907" s="30"/>
      <c r="CT907" s="30"/>
      <c r="CU907" s="30"/>
      <c r="CV907" s="30"/>
      <c r="CW907" s="30"/>
      <c r="CX907" s="30"/>
      <c r="CY907" s="30"/>
      <c r="CZ907" s="30"/>
      <c r="DA907" s="30"/>
      <c r="DB907" s="30"/>
      <c r="DC907" s="30"/>
      <c r="DD907" s="30"/>
      <c r="DE907" s="30"/>
      <c r="DF907" s="30"/>
      <c r="DG907" s="30"/>
      <c r="DH907" s="30"/>
      <c r="DI907" s="30"/>
      <c r="DJ907" s="30"/>
      <c r="DK907" s="30"/>
      <c r="DL907" s="30"/>
      <c r="DM907" s="30"/>
      <c r="DN907" s="30"/>
      <c r="DO907" s="30"/>
      <c r="DP907" s="30"/>
      <c r="DQ907" s="30"/>
      <c r="DR907" s="30"/>
      <c r="DS907" s="30"/>
      <c r="DT907" s="30"/>
      <c r="DU907" s="30"/>
      <c r="DV907" s="30"/>
      <c r="DW907" s="30"/>
    </row>
    <row r="908" spans="1:127" ht="13">
      <c r="A908" s="39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  <c r="BN908" s="30"/>
      <c r="BO908" s="30"/>
      <c r="BP908" s="30"/>
      <c r="BQ908" s="30"/>
      <c r="BR908" s="30"/>
      <c r="BS908" s="30"/>
      <c r="BT908" s="30"/>
      <c r="BU908" s="30"/>
      <c r="BV908" s="30"/>
      <c r="BW908" s="30"/>
      <c r="BX908" s="30"/>
      <c r="BY908" s="30"/>
      <c r="BZ908" s="30"/>
      <c r="CA908" s="30"/>
      <c r="CB908" s="30"/>
      <c r="CC908" s="30"/>
      <c r="CD908" s="30"/>
      <c r="CE908" s="30"/>
      <c r="CF908" s="30"/>
      <c r="CG908" s="30"/>
      <c r="CH908" s="30"/>
      <c r="CI908" s="30"/>
      <c r="CJ908" s="30"/>
      <c r="CK908" s="30"/>
      <c r="CL908" s="30"/>
      <c r="CM908" s="30"/>
      <c r="CN908" s="30"/>
      <c r="CO908" s="30"/>
      <c r="CP908" s="30"/>
      <c r="CQ908" s="30"/>
      <c r="CR908" s="30"/>
      <c r="CS908" s="30"/>
      <c r="CT908" s="30"/>
      <c r="CU908" s="30"/>
      <c r="CV908" s="30"/>
      <c r="CW908" s="30"/>
      <c r="CX908" s="30"/>
      <c r="CY908" s="30"/>
      <c r="CZ908" s="30"/>
      <c r="DA908" s="30"/>
      <c r="DB908" s="30"/>
      <c r="DC908" s="30"/>
      <c r="DD908" s="30"/>
      <c r="DE908" s="30"/>
      <c r="DF908" s="30"/>
      <c r="DG908" s="30"/>
      <c r="DH908" s="30"/>
      <c r="DI908" s="30"/>
      <c r="DJ908" s="30"/>
      <c r="DK908" s="30"/>
      <c r="DL908" s="30"/>
      <c r="DM908" s="30"/>
      <c r="DN908" s="30"/>
      <c r="DO908" s="30"/>
      <c r="DP908" s="30"/>
      <c r="DQ908" s="30"/>
      <c r="DR908" s="30"/>
      <c r="DS908" s="30"/>
      <c r="DT908" s="30"/>
      <c r="DU908" s="30"/>
      <c r="DV908" s="30"/>
      <c r="DW908" s="30"/>
    </row>
    <row r="909" spans="1:127" ht="13">
      <c r="A909" s="39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  <c r="BN909" s="30"/>
      <c r="BO909" s="30"/>
      <c r="BP909" s="30"/>
      <c r="BQ909" s="30"/>
      <c r="BR909" s="30"/>
      <c r="BS909" s="30"/>
      <c r="BT909" s="30"/>
      <c r="BU909" s="30"/>
      <c r="BV909" s="30"/>
      <c r="BW909" s="30"/>
      <c r="BX909" s="30"/>
      <c r="BY909" s="30"/>
      <c r="BZ909" s="30"/>
      <c r="CA909" s="30"/>
      <c r="CB909" s="30"/>
      <c r="CC909" s="30"/>
      <c r="CD909" s="30"/>
      <c r="CE909" s="30"/>
      <c r="CF909" s="30"/>
      <c r="CG909" s="30"/>
      <c r="CH909" s="30"/>
      <c r="CI909" s="30"/>
      <c r="CJ909" s="30"/>
      <c r="CK909" s="30"/>
      <c r="CL909" s="30"/>
      <c r="CM909" s="30"/>
      <c r="CN909" s="30"/>
      <c r="CO909" s="30"/>
      <c r="CP909" s="30"/>
      <c r="CQ909" s="30"/>
      <c r="CR909" s="30"/>
      <c r="CS909" s="30"/>
      <c r="CT909" s="30"/>
      <c r="CU909" s="30"/>
      <c r="CV909" s="30"/>
      <c r="CW909" s="30"/>
      <c r="CX909" s="30"/>
      <c r="CY909" s="30"/>
      <c r="CZ909" s="30"/>
      <c r="DA909" s="30"/>
      <c r="DB909" s="30"/>
      <c r="DC909" s="30"/>
      <c r="DD909" s="30"/>
      <c r="DE909" s="30"/>
      <c r="DF909" s="30"/>
      <c r="DG909" s="30"/>
      <c r="DH909" s="30"/>
      <c r="DI909" s="30"/>
      <c r="DJ909" s="30"/>
      <c r="DK909" s="30"/>
      <c r="DL909" s="30"/>
      <c r="DM909" s="30"/>
      <c r="DN909" s="30"/>
      <c r="DO909" s="30"/>
      <c r="DP909" s="30"/>
      <c r="DQ909" s="30"/>
      <c r="DR909" s="30"/>
      <c r="DS909" s="30"/>
      <c r="DT909" s="30"/>
      <c r="DU909" s="30"/>
      <c r="DV909" s="30"/>
      <c r="DW909" s="30"/>
    </row>
    <row r="910" spans="1:127" ht="13">
      <c r="A910" s="39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  <c r="BN910" s="30"/>
      <c r="BO910" s="30"/>
      <c r="BP910" s="30"/>
      <c r="BQ910" s="30"/>
      <c r="BR910" s="30"/>
      <c r="BS910" s="30"/>
      <c r="BT910" s="30"/>
      <c r="BU910" s="30"/>
      <c r="BV910" s="30"/>
      <c r="BW910" s="30"/>
      <c r="BX910" s="30"/>
      <c r="BY910" s="30"/>
      <c r="BZ910" s="30"/>
      <c r="CA910" s="30"/>
      <c r="CB910" s="30"/>
      <c r="CC910" s="30"/>
      <c r="CD910" s="30"/>
      <c r="CE910" s="30"/>
      <c r="CF910" s="30"/>
      <c r="CG910" s="30"/>
      <c r="CH910" s="30"/>
      <c r="CI910" s="30"/>
      <c r="CJ910" s="30"/>
      <c r="CK910" s="30"/>
      <c r="CL910" s="30"/>
      <c r="CM910" s="30"/>
      <c r="CN910" s="30"/>
      <c r="CO910" s="30"/>
      <c r="CP910" s="30"/>
      <c r="CQ910" s="30"/>
      <c r="CR910" s="30"/>
      <c r="CS910" s="30"/>
      <c r="CT910" s="30"/>
      <c r="CU910" s="30"/>
      <c r="CV910" s="30"/>
      <c r="CW910" s="30"/>
      <c r="CX910" s="30"/>
      <c r="CY910" s="30"/>
      <c r="CZ910" s="30"/>
      <c r="DA910" s="30"/>
      <c r="DB910" s="30"/>
      <c r="DC910" s="30"/>
      <c r="DD910" s="30"/>
      <c r="DE910" s="30"/>
      <c r="DF910" s="30"/>
      <c r="DG910" s="30"/>
      <c r="DH910" s="30"/>
      <c r="DI910" s="30"/>
      <c r="DJ910" s="30"/>
      <c r="DK910" s="30"/>
      <c r="DL910" s="30"/>
      <c r="DM910" s="30"/>
      <c r="DN910" s="30"/>
      <c r="DO910" s="30"/>
      <c r="DP910" s="30"/>
      <c r="DQ910" s="30"/>
      <c r="DR910" s="30"/>
      <c r="DS910" s="30"/>
      <c r="DT910" s="30"/>
      <c r="DU910" s="30"/>
      <c r="DV910" s="30"/>
      <c r="DW910" s="30"/>
    </row>
    <row r="911" spans="1:127" ht="13">
      <c r="A911" s="39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  <c r="BN911" s="30"/>
      <c r="BO911" s="30"/>
      <c r="BP911" s="30"/>
      <c r="BQ911" s="30"/>
      <c r="BR911" s="30"/>
      <c r="BS911" s="30"/>
      <c r="BT911" s="30"/>
      <c r="BU911" s="30"/>
      <c r="BV911" s="30"/>
      <c r="BW911" s="30"/>
      <c r="BX911" s="30"/>
      <c r="BY911" s="30"/>
      <c r="BZ911" s="30"/>
      <c r="CA911" s="30"/>
      <c r="CB911" s="30"/>
      <c r="CC911" s="30"/>
      <c r="CD911" s="30"/>
      <c r="CE911" s="30"/>
      <c r="CF911" s="30"/>
      <c r="CG911" s="30"/>
      <c r="CH911" s="30"/>
      <c r="CI911" s="30"/>
      <c r="CJ911" s="30"/>
      <c r="CK911" s="30"/>
      <c r="CL911" s="30"/>
      <c r="CM911" s="30"/>
      <c r="CN911" s="30"/>
      <c r="CO911" s="30"/>
      <c r="CP911" s="30"/>
      <c r="CQ911" s="30"/>
      <c r="CR911" s="30"/>
      <c r="CS911" s="30"/>
      <c r="CT911" s="30"/>
      <c r="CU911" s="30"/>
      <c r="CV911" s="30"/>
      <c r="CW911" s="30"/>
      <c r="CX911" s="30"/>
      <c r="CY911" s="30"/>
      <c r="CZ911" s="30"/>
      <c r="DA911" s="30"/>
      <c r="DB911" s="30"/>
      <c r="DC911" s="30"/>
      <c r="DD911" s="30"/>
      <c r="DE911" s="30"/>
      <c r="DF911" s="30"/>
      <c r="DG911" s="30"/>
      <c r="DH911" s="30"/>
      <c r="DI911" s="30"/>
      <c r="DJ911" s="30"/>
      <c r="DK911" s="30"/>
      <c r="DL911" s="30"/>
      <c r="DM911" s="30"/>
      <c r="DN911" s="30"/>
      <c r="DO911" s="30"/>
      <c r="DP911" s="30"/>
      <c r="DQ911" s="30"/>
      <c r="DR911" s="30"/>
      <c r="DS911" s="30"/>
      <c r="DT911" s="30"/>
      <c r="DU911" s="30"/>
      <c r="DV911" s="30"/>
      <c r="DW911" s="30"/>
    </row>
    <row r="912" spans="1:127" ht="13">
      <c r="A912" s="39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  <c r="BN912" s="30"/>
      <c r="BO912" s="30"/>
      <c r="BP912" s="30"/>
      <c r="BQ912" s="30"/>
      <c r="BR912" s="30"/>
      <c r="BS912" s="30"/>
      <c r="BT912" s="30"/>
      <c r="BU912" s="30"/>
      <c r="BV912" s="30"/>
      <c r="BW912" s="30"/>
      <c r="BX912" s="30"/>
      <c r="BY912" s="30"/>
      <c r="BZ912" s="30"/>
      <c r="CA912" s="30"/>
      <c r="CB912" s="30"/>
      <c r="CC912" s="30"/>
      <c r="CD912" s="30"/>
      <c r="CE912" s="30"/>
      <c r="CF912" s="30"/>
      <c r="CG912" s="30"/>
      <c r="CH912" s="30"/>
      <c r="CI912" s="30"/>
      <c r="CJ912" s="30"/>
      <c r="CK912" s="30"/>
      <c r="CL912" s="30"/>
      <c r="CM912" s="30"/>
      <c r="CN912" s="30"/>
      <c r="CO912" s="30"/>
      <c r="CP912" s="30"/>
      <c r="CQ912" s="30"/>
      <c r="CR912" s="30"/>
      <c r="CS912" s="30"/>
      <c r="CT912" s="30"/>
      <c r="CU912" s="30"/>
      <c r="CV912" s="30"/>
      <c r="CW912" s="30"/>
      <c r="CX912" s="30"/>
      <c r="CY912" s="30"/>
      <c r="CZ912" s="30"/>
      <c r="DA912" s="30"/>
      <c r="DB912" s="30"/>
      <c r="DC912" s="30"/>
      <c r="DD912" s="30"/>
      <c r="DE912" s="30"/>
      <c r="DF912" s="30"/>
      <c r="DG912" s="30"/>
      <c r="DH912" s="30"/>
      <c r="DI912" s="30"/>
      <c r="DJ912" s="30"/>
      <c r="DK912" s="30"/>
      <c r="DL912" s="30"/>
      <c r="DM912" s="30"/>
      <c r="DN912" s="30"/>
      <c r="DO912" s="30"/>
      <c r="DP912" s="30"/>
      <c r="DQ912" s="30"/>
      <c r="DR912" s="30"/>
      <c r="DS912" s="30"/>
      <c r="DT912" s="30"/>
      <c r="DU912" s="30"/>
      <c r="DV912" s="30"/>
      <c r="DW912" s="30"/>
    </row>
    <row r="913" spans="1:127" ht="13">
      <c r="A913" s="39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  <c r="BJ913" s="30"/>
      <c r="BK913" s="30"/>
      <c r="BL913" s="30"/>
      <c r="BM913" s="30"/>
      <c r="BN913" s="30"/>
      <c r="BO913" s="30"/>
      <c r="BP913" s="30"/>
      <c r="BQ913" s="30"/>
      <c r="BR913" s="30"/>
      <c r="BS913" s="30"/>
      <c r="BT913" s="30"/>
      <c r="BU913" s="30"/>
      <c r="BV913" s="30"/>
      <c r="BW913" s="30"/>
      <c r="BX913" s="30"/>
      <c r="BY913" s="30"/>
      <c r="BZ913" s="30"/>
      <c r="CA913" s="30"/>
      <c r="CB913" s="30"/>
      <c r="CC913" s="30"/>
      <c r="CD913" s="30"/>
      <c r="CE913" s="30"/>
      <c r="CF913" s="30"/>
      <c r="CG913" s="30"/>
      <c r="CH913" s="30"/>
      <c r="CI913" s="30"/>
      <c r="CJ913" s="30"/>
      <c r="CK913" s="30"/>
      <c r="CL913" s="30"/>
      <c r="CM913" s="30"/>
      <c r="CN913" s="30"/>
      <c r="CO913" s="30"/>
      <c r="CP913" s="30"/>
      <c r="CQ913" s="30"/>
      <c r="CR913" s="30"/>
      <c r="CS913" s="30"/>
      <c r="CT913" s="30"/>
      <c r="CU913" s="30"/>
      <c r="CV913" s="30"/>
      <c r="CW913" s="30"/>
      <c r="CX913" s="30"/>
      <c r="CY913" s="30"/>
      <c r="CZ913" s="30"/>
      <c r="DA913" s="30"/>
      <c r="DB913" s="30"/>
      <c r="DC913" s="30"/>
      <c r="DD913" s="30"/>
      <c r="DE913" s="30"/>
      <c r="DF913" s="30"/>
      <c r="DG913" s="30"/>
      <c r="DH913" s="30"/>
      <c r="DI913" s="30"/>
      <c r="DJ913" s="30"/>
      <c r="DK913" s="30"/>
      <c r="DL913" s="30"/>
      <c r="DM913" s="30"/>
      <c r="DN913" s="30"/>
      <c r="DO913" s="30"/>
      <c r="DP913" s="30"/>
      <c r="DQ913" s="30"/>
      <c r="DR913" s="30"/>
      <c r="DS913" s="30"/>
      <c r="DT913" s="30"/>
      <c r="DU913" s="30"/>
      <c r="DV913" s="30"/>
      <c r="DW913" s="30"/>
    </row>
    <row r="914" spans="1:127" ht="13">
      <c r="A914" s="39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  <c r="BN914" s="30"/>
      <c r="BO914" s="30"/>
      <c r="BP914" s="30"/>
      <c r="BQ914" s="30"/>
      <c r="BR914" s="30"/>
      <c r="BS914" s="30"/>
      <c r="BT914" s="30"/>
      <c r="BU914" s="30"/>
      <c r="BV914" s="30"/>
      <c r="BW914" s="30"/>
      <c r="BX914" s="30"/>
      <c r="BY914" s="30"/>
      <c r="BZ914" s="30"/>
      <c r="CA914" s="30"/>
      <c r="CB914" s="30"/>
      <c r="CC914" s="30"/>
      <c r="CD914" s="30"/>
      <c r="CE914" s="30"/>
      <c r="CF914" s="30"/>
      <c r="CG914" s="30"/>
      <c r="CH914" s="30"/>
      <c r="CI914" s="30"/>
      <c r="CJ914" s="30"/>
      <c r="CK914" s="30"/>
      <c r="CL914" s="30"/>
      <c r="CM914" s="30"/>
      <c r="CN914" s="30"/>
      <c r="CO914" s="30"/>
      <c r="CP914" s="30"/>
      <c r="CQ914" s="30"/>
      <c r="CR914" s="30"/>
      <c r="CS914" s="30"/>
      <c r="CT914" s="30"/>
      <c r="CU914" s="30"/>
      <c r="CV914" s="30"/>
      <c r="CW914" s="30"/>
      <c r="CX914" s="30"/>
      <c r="CY914" s="30"/>
      <c r="CZ914" s="30"/>
      <c r="DA914" s="30"/>
      <c r="DB914" s="30"/>
      <c r="DC914" s="30"/>
      <c r="DD914" s="30"/>
      <c r="DE914" s="30"/>
      <c r="DF914" s="30"/>
      <c r="DG914" s="30"/>
      <c r="DH914" s="30"/>
      <c r="DI914" s="30"/>
      <c r="DJ914" s="30"/>
      <c r="DK914" s="30"/>
      <c r="DL914" s="30"/>
      <c r="DM914" s="30"/>
      <c r="DN914" s="30"/>
      <c r="DO914" s="30"/>
      <c r="DP914" s="30"/>
      <c r="DQ914" s="30"/>
      <c r="DR914" s="30"/>
      <c r="DS914" s="30"/>
      <c r="DT914" s="30"/>
      <c r="DU914" s="30"/>
      <c r="DV914" s="30"/>
      <c r="DW914" s="30"/>
    </row>
    <row r="915" spans="1:127" ht="13">
      <c r="A915" s="39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  <c r="BN915" s="30"/>
      <c r="BO915" s="30"/>
      <c r="BP915" s="30"/>
      <c r="BQ915" s="30"/>
      <c r="BR915" s="30"/>
      <c r="BS915" s="30"/>
      <c r="BT915" s="30"/>
      <c r="BU915" s="30"/>
      <c r="BV915" s="30"/>
      <c r="BW915" s="30"/>
      <c r="BX915" s="30"/>
      <c r="BY915" s="30"/>
      <c r="BZ915" s="30"/>
      <c r="CA915" s="30"/>
      <c r="CB915" s="30"/>
      <c r="CC915" s="30"/>
      <c r="CD915" s="30"/>
      <c r="CE915" s="30"/>
      <c r="CF915" s="30"/>
      <c r="CG915" s="30"/>
      <c r="CH915" s="30"/>
      <c r="CI915" s="30"/>
      <c r="CJ915" s="30"/>
      <c r="CK915" s="30"/>
      <c r="CL915" s="30"/>
      <c r="CM915" s="30"/>
      <c r="CN915" s="30"/>
      <c r="CO915" s="30"/>
      <c r="CP915" s="30"/>
      <c r="CQ915" s="30"/>
      <c r="CR915" s="30"/>
      <c r="CS915" s="30"/>
      <c r="CT915" s="30"/>
      <c r="CU915" s="30"/>
      <c r="CV915" s="30"/>
      <c r="CW915" s="30"/>
      <c r="CX915" s="30"/>
      <c r="CY915" s="30"/>
      <c r="CZ915" s="30"/>
      <c r="DA915" s="30"/>
      <c r="DB915" s="30"/>
      <c r="DC915" s="30"/>
      <c r="DD915" s="30"/>
      <c r="DE915" s="30"/>
      <c r="DF915" s="30"/>
      <c r="DG915" s="30"/>
      <c r="DH915" s="30"/>
      <c r="DI915" s="30"/>
      <c r="DJ915" s="30"/>
      <c r="DK915" s="30"/>
      <c r="DL915" s="30"/>
      <c r="DM915" s="30"/>
      <c r="DN915" s="30"/>
      <c r="DO915" s="30"/>
      <c r="DP915" s="30"/>
      <c r="DQ915" s="30"/>
      <c r="DR915" s="30"/>
      <c r="DS915" s="30"/>
      <c r="DT915" s="30"/>
      <c r="DU915" s="30"/>
      <c r="DV915" s="30"/>
      <c r="DW915" s="30"/>
    </row>
    <row r="916" spans="1:127" ht="13">
      <c r="A916" s="39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30"/>
      <c r="BO916" s="30"/>
      <c r="BP916" s="30"/>
      <c r="BQ916" s="30"/>
      <c r="BR916" s="30"/>
      <c r="BS916" s="30"/>
      <c r="BT916" s="30"/>
      <c r="BU916" s="30"/>
      <c r="BV916" s="30"/>
      <c r="BW916" s="30"/>
      <c r="BX916" s="30"/>
      <c r="BY916" s="30"/>
      <c r="BZ916" s="30"/>
      <c r="CA916" s="30"/>
      <c r="CB916" s="30"/>
      <c r="CC916" s="30"/>
      <c r="CD916" s="30"/>
      <c r="CE916" s="30"/>
      <c r="CF916" s="30"/>
      <c r="CG916" s="30"/>
      <c r="CH916" s="30"/>
      <c r="CI916" s="30"/>
      <c r="CJ916" s="30"/>
      <c r="CK916" s="30"/>
      <c r="CL916" s="30"/>
      <c r="CM916" s="30"/>
      <c r="CN916" s="30"/>
      <c r="CO916" s="30"/>
      <c r="CP916" s="30"/>
      <c r="CQ916" s="30"/>
      <c r="CR916" s="30"/>
      <c r="CS916" s="30"/>
      <c r="CT916" s="30"/>
      <c r="CU916" s="30"/>
      <c r="CV916" s="30"/>
      <c r="CW916" s="30"/>
      <c r="CX916" s="30"/>
      <c r="CY916" s="30"/>
      <c r="CZ916" s="30"/>
      <c r="DA916" s="30"/>
      <c r="DB916" s="30"/>
      <c r="DC916" s="30"/>
      <c r="DD916" s="30"/>
      <c r="DE916" s="30"/>
      <c r="DF916" s="30"/>
      <c r="DG916" s="30"/>
      <c r="DH916" s="30"/>
      <c r="DI916" s="30"/>
      <c r="DJ916" s="30"/>
      <c r="DK916" s="30"/>
      <c r="DL916" s="30"/>
      <c r="DM916" s="30"/>
      <c r="DN916" s="30"/>
      <c r="DO916" s="30"/>
      <c r="DP916" s="30"/>
      <c r="DQ916" s="30"/>
      <c r="DR916" s="30"/>
      <c r="DS916" s="30"/>
      <c r="DT916" s="30"/>
      <c r="DU916" s="30"/>
      <c r="DV916" s="30"/>
      <c r="DW916" s="30"/>
    </row>
    <row r="917" spans="1:127" ht="13">
      <c r="A917" s="39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  <c r="BN917" s="30"/>
      <c r="BO917" s="30"/>
      <c r="BP917" s="30"/>
      <c r="BQ917" s="30"/>
      <c r="BR917" s="30"/>
      <c r="BS917" s="30"/>
      <c r="BT917" s="30"/>
      <c r="BU917" s="30"/>
      <c r="BV917" s="30"/>
      <c r="BW917" s="30"/>
      <c r="BX917" s="30"/>
      <c r="BY917" s="30"/>
      <c r="BZ917" s="30"/>
      <c r="CA917" s="30"/>
      <c r="CB917" s="30"/>
      <c r="CC917" s="30"/>
      <c r="CD917" s="30"/>
      <c r="CE917" s="30"/>
      <c r="CF917" s="30"/>
      <c r="CG917" s="30"/>
      <c r="CH917" s="30"/>
      <c r="CI917" s="30"/>
      <c r="CJ917" s="30"/>
      <c r="CK917" s="30"/>
      <c r="CL917" s="30"/>
      <c r="CM917" s="30"/>
      <c r="CN917" s="30"/>
      <c r="CO917" s="30"/>
      <c r="CP917" s="30"/>
      <c r="CQ917" s="30"/>
      <c r="CR917" s="30"/>
      <c r="CS917" s="30"/>
      <c r="CT917" s="30"/>
      <c r="CU917" s="30"/>
      <c r="CV917" s="30"/>
      <c r="CW917" s="30"/>
      <c r="CX917" s="30"/>
      <c r="CY917" s="30"/>
      <c r="CZ917" s="30"/>
      <c r="DA917" s="30"/>
      <c r="DB917" s="30"/>
      <c r="DC917" s="30"/>
      <c r="DD917" s="30"/>
      <c r="DE917" s="30"/>
      <c r="DF917" s="30"/>
      <c r="DG917" s="30"/>
      <c r="DH917" s="30"/>
      <c r="DI917" s="30"/>
      <c r="DJ917" s="30"/>
      <c r="DK917" s="30"/>
      <c r="DL917" s="30"/>
      <c r="DM917" s="30"/>
      <c r="DN917" s="30"/>
      <c r="DO917" s="30"/>
      <c r="DP917" s="30"/>
      <c r="DQ917" s="30"/>
      <c r="DR917" s="30"/>
      <c r="DS917" s="30"/>
      <c r="DT917" s="30"/>
      <c r="DU917" s="30"/>
      <c r="DV917" s="30"/>
      <c r="DW917" s="30"/>
    </row>
    <row r="918" spans="1:127" ht="13">
      <c r="A918" s="39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30"/>
      <c r="BO918" s="30"/>
      <c r="BP918" s="30"/>
      <c r="BQ918" s="30"/>
      <c r="BR918" s="30"/>
      <c r="BS918" s="30"/>
      <c r="BT918" s="30"/>
      <c r="BU918" s="30"/>
      <c r="BV918" s="30"/>
      <c r="BW918" s="30"/>
      <c r="BX918" s="30"/>
      <c r="BY918" s="30"/>
      <c r="BZ918" s="30"/>
      <c r="CA918" s="30"/>
      <c r="CB918" s="30"/>
      <c r="CC918" s="30"/>
      <c r="CD918" s="30"/>
      <c r="CE918" s="30"/>
      <c r="CF918" s="30"/>
      <c r="CG918" s="30"/>
      <c r="CH918" s="30"/>
      <c r="CI918" s="30"/>
      <c r="CJ918" s="30"/>
      <c r="CK918" s="30"/>
      <c r="CL918" s="30"/>
      <c r="CM918" s="30"/>
      <c r="CN918" s="30"/>
      <c r="CO918" s="30"/>
      <c r="CP918" s="30"/>
      <c r="CQ918" s="30"/>
      <c r="CR918" s="30"/>
      <c r="CS918" s="30"/>
      <c r="CT918" s="30"/>
      <c r="CU918" s="30"/>
      <c r="CV918" s="30"/>
      <c r="CW918" s="30"/>
      <c r="CX918" s="30"/>
      <c r="CY918" s="30"/>
      <c r="CZ918" s="30"/>
      <c r="DA918" s="30"/>
      <c r="DB918" s="30"/>
      <c r="DC918" s="30"/>
      <c r="DD918" s="30"/>
      <c r="DE918" s="30"/>
      <c r="DF918" s="30"/>
      <c r="DG918" s="30"/>
      <c r="DH918" s="30"/>
      <c r="DI918" s="30"/>
      <c r="DJ918" s="30"/>
      <c r="DK918" s="30"/>
      <c r="DL918" s="30"/>
      <c r="DM918" s="30"/>
      <c r="DN918" s="30"/>
      <c r="DO918" s="30"/>
      <c r="DP918" s="30"/>
      <c r="DQ918" s="30"/>
      <c r="DR918" s="30"/>
      <c r="DS918" s="30"/>
      <c r="DT918" s="30"/>
      <c r="DU918" s="30"/>
      <c r="DV918" s="30"/>
      <c r="DW918" s="30"/>
    </row>
    <row r="919" spans="1:127" ht="13">
      <c r="A919" s="39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30"/>
      <c r="BO919" s="30"/>
      <c r="BP919" s="30"/>
      <c r="BQ919" s="30"/>
      <c r="BR919" s="30"/>
      <c r="BS919" s="30"/>
      <c r="BT919" s="30"/>
      <c r="BU919" s="30"/>
      <c r="BV919" s="30"/>
      <c r="BW919" s="30"/>
      <c r="BX919" s="30"/>
      <c r="BY919" s="30"/>
      <c r="BZ919" s="30"/>
      <c r="CA919" s="30"/>
      <c r="CB919" s="30"/>
      <c r="CC919" s="30"/>
      <c r="CD919" s="30"/>
      <c r="CE919" s="30"/>
      <c r="CF919" s="30"/>
      <c r="CG919" s="30"/>
      <c r="CH919" s="30"/>
      <c r="CI919" s="30"/>
      <c r="CJ919" s="30"/>
      <c r="CK919" s="30"/>
      <c r="CL919" s="30"/>
      <c r="CM919" s="30"/>
      <c r="CN919" s="30"/>
      <c r="CO919" s="30"/>
      <c r="CP919" s="30"/>
      <c r="CQ919" s="30"/>
      <c r="CR919" s="30"/>
      <c r="CS919" s="30"/>
      <c r="CT919" s="30"/>
      <c r="CU919" s="30"/>
      <c r="CV919" s="30"/>
      <c r="CW919" s="30"/>
      <c r="CX919" s="30"/>
      <c r="CY919" s="30"/>
      <c r="CZ919" s="30"/>
      <c r="DA919" s="30"/>
      <c r="DB919" s="30"/>
      <c r="DC919" s="30"/>
      <c r="DD919" s="30"/>
      <c r="DE919" s="30"/>
      <c r="DF919" s="30"/>
      <c r="DG919" s="30"/>
      <c r="DH919" s="30"/>
      <c r="DI919" s="30"/>
      <c r="DJ919" s="30"/>
      <c r="DK919" s="30"/>
      <c r="DL919" s="30"/>
      <c r="DM919" s="30"/>
      <c r="DN919" s="30"/>
      <c r="DO919" s="30"/>
      <c r="DP919" s="30"/>
      <c r="DQ919" s="30"/>
      <c r="DR919" s="30"/>
      <c r="DS919" s="30"/>
      <c r="DT919" s="30"/>
      <c r="DU919" s="30"/>
      <c r="DV919" s="30"/>
      <c r="DW919" s="30"/>
    </row>
    <row r="920" spans="1:127" ht="13">
      <c r="A920" s="39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  <c r="BN920" s="30"/>
      <c r="BO920" s="30"/>
      <c r="BP920" s="30"/>
      <c r="BQ920" s="30"/>
      <c r="BR920" s="30"/>
      <c r="BS920" s="30"/>
      <c r="BT920" s="30"/>
      <c r="BU920" s="30"/>
      <c r="BV920" s="30"/>
      <c r="BW920" s="30"/>
      <c r="BX920" s="30"/>
      <c r="BY920" s="30"/>
      <c r="BZ920" s="30"/>
      <c r="CA920" s="30"/>
      <c r="CB920" s="30"/>
      <c r="CC920" s="30"/>
      <c r="CD920" s="30"/>
      <c r="CE920" s="30"/>
      <c r="CF920" s="30"/>
      <c r="CG920" s="30"/>
      <c r="CH920" s="30"/>
      <c r="CI920" s="30"/>
      <c r="CJ920" s="30"/>
      <c r="CK920" s="30"/>
      <c r="CL920" s="30"/>
      <c r="CM920" s="30"/>
      <c r="CN920" s="30"/>
      <c r="CO920" s="30"/>
      <c r="CP920" s="30"/>
      <c r="CQ920" s="30"/>
      <c r="CR920" s="30"/>
      <c r="CS920" s="30"/>
      <c r="CT920" s="30"/>
      <c r="CU920" s="30"/>
      <c r="CV920" s="30"/>
      <c r="CW920" s="30"/>
      <c r="CX920" s="30"/>
      <c r="CY920" s="30"/>
      <c r="CZ920" s="30"/>
      <c r="DA920" s="30"/>
      <c r="DB920" s="30"/>
      <c r="DC920" s="30"/>
      <c r="DD920" s="30"/>
      <c r="DE920" s="30"/>
      <c r="DF920" s="30"/>
      <c r="DG920" s="30"/>
      <c r="DH920" s="30"/>
      <c r="DI920" s="30"/>
      <c r="DJ920" s="30"/>
      <c r="DK920" s="30"/>
      <c r="DL920" s="30"/>
      <c r="DM920" s="30"/>
      <c r="DN920" s="30"/>
      <c r="DO920" s="30"/>
      <c r="DP920" s="30"/>
      <c r="DQ920" s="30"/>
      <c r="DR920" s="30"/>
      <c r="DS920" s="30"/>
      <c r="DT920" s="30"/>
      <c r="DU920" s="30"/>
      <c r="DV920" s="30"/>
      <c r="DW920" s="30"/>
    </row>
    <row r="921" spans="1:127" ht="13">
      <c r="A921" s="39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30"/>
      <c r="BP921" s="30"/>
      <c r="BQ921" s="30"/>
      <c r="BR921" s="30"/>
      <c r="BS921" s="30"/>
      <c r="BT921" s="30"/>
      <c r="BU921" s="30"/>
      <c r="BV921" s="30"/>
      <c r="BW921" s="30"/>
      <c r="BX921" s="30"/>
      <c r="BY921" s="30"/>
      <c r="BZ921" s="30"/>
      <c r="CA921" s="30"/>
      <c r="CB921" s="30"/>
      <c r="CC921" s="30"/>
      <c r="CD921" s="30"/>
      <c r="CE921" s="30"/>
      <c r="CF921" s="30"/>
      <c r="CG921" s="30"/>
      <c r="CH921" s="30"/>
      <c r="CI921" s="30"/>
      <c r="CJ921" s="30"/>
      <c r="CK921" s="30"/>
      <c r="CL921" s="30"/>
      <c r="CM921" s="30"/>
      <c r="CN921" s="30"/>
      <c r="CO921" s="30"/>
      <c r="CP921" s="30"/>
      <c r="CQ921" s="30"/>
      <c r="CR921" s="30"/>
      <c r="CS921" s="30"/>
      <c r="CT921" s="30"/>
      <c r="CU921" s="30"/>
      <c r="CV921" s="30"/>
      <c r="CW921" s="30"/>
      <c r="CX921" s="30"/>
      <c r="CY921" s="30"/>
      <c r="CZ921" s="30"/>
      <c r="DA921" s="30"/>
      <c r="DB921" s="30"/>
      <c r="DC921" s="30"/>
      <c r="DD921" s="30"/>
      <c r="DE921" s="30"/>
      <c r="DF921" s="30"/>
      <c r="DG921" s="30"/>
      <c r="DH921" s="30"/>
      <c r="DI921" s="30"/>
      <c r="DJ921" s="30"/>
      <c r="DK921" s="30"/>
      <c r="DL921" s="30"/>
      <c r="DM921" s="30"/>
      <c r="DN921" s="30"/>
      <c r="DO921" s="30"/>
      <c r="DP921" s="30"/>
      <c r="DQ921" s="30"/>
      <c r="DR921" s="30"/>
      <c r="DS921" s="30"/>
      <c r="DT921" s="30"/>
      <c r="DU921" s="30"/>
      <c r="DV921" s="30"/>
      <c r="DW921" s="30"/>
    </row>
    <row r="922" spans="1:127" ht="13">
      <c r="A922" s="39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30"/>
      <c r="BO922" s="30"/>
      <c r="BP922" s="30"/>
      <c r="BQ922" s="30"/>
      <c r="BR922" s="30"/>
      <c r="BS922" s="30"/>
      <c r="BT922" s="30"/>
      <c r="BU922" s="30"/>
      <c r="BV922" s="30"/>
      <c r="BW922" s="30"/>
      <c r="BX922" s="30"/>
      <c r="BY922" s="30"/>
      <c r="BZ922" s="30"/>
      <c r="CA922" s="30"/>
      <c r="CB922" s="30"/>
      <c r="CC922" s="30"/>
      <c r="CD922" s="30"/>
      <c r="CE922" s="30"/>
      <c r="CF922" s="30"/>
      <c r="CG922" s="30"/>
      <c r="CH922" s="30"/>
      <c r="CI922" s="30"/>
      <c r="CJ922" s="30"/>
      <c r="CK922" s="30"/>
      <c r="CL922" s="30"/>
      <c r="CM922" s="30"/>
      <c r="CN922" s="30"/>
      <c r="CO922" s="30"/>
      <c r="CP922" s="30"/>
      <c r="CQ922" s="30"/>
      <c r="CR922" s="30"/>
      <c r="CS922" s="30"/>
      <c r="CT922" s="30"/>
      <c r="CU922" s="30"/>
      <c r="CV922" s="30"/>
      <c r="CW922" s="30"/>
      <c r="CX922" s="30"/>
      <c r="CY922" s="30"/>
      <c r="CZ922" s="30"/>
      <c r="DA922" s="30"/>
      <c r="DB922" s="30"/>
      <c r="DC922" s="30"/>
      <c r="DD922" s="30"/>
      <c r="DE922" s="30"/>
      <c r="DF922" s="30"/>
      <c r="DG922" s="30"/>
      <c r="DH922" s="30"/>
      <c r="DI922" s="30"/>
      <c r="DJ922" s="30"/>
      <c r="DK922" s="30"/>
      <c r="DL922" s="30"/>
      <c r="DM922" s="30"/>
      <c r="DN922" s="30"/>
      <c r="DO922" s="30"/>
      <c r="DP922" s="30"/>
      <c r="DQ922" s="30"/>
      <c r="DR922" s="30"/>
      <c r="DS922" s="30"/>
      <c r="DT922" s="30"/>
      <c r="DU922" s="30"/>
      <c r="DV922" s="30"/>
      <c r="DW922" s="30"/>
    </row>
    <row r="923" spans="1:127" ht="13">
      <c r="A923" s="39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30"/>
      <c r="BP923" s="30"/>
      <c r="BQ923" s="30"/>
      <c r="BR923" s="30"/>
      <c r="BS923" s="30"/>
      <c r="BT923" s="30"/>
      <c r="BU923" s="30"/>
      <c r="BV923" s="30"/>
      <c r="BW923" s="30"/>
      <c r="BX923" s="30"/>
      <c r="BY923" s="30"/>
      <c r="BZ923" s="30"/>
      <c r="CA923" s="30"/>
      <c r="CB923" s="30"/>
      <c r="CC923" s="30"/>
      <c r="CD923" s="30"/>
      <c r="CE923" s="30"/>
      <c r="CF923" s="30"/>
      <c r="CG923" s="30"/>
      <c r="CH923" s="30"/>
      <c r="CI923" s="30"/>
      <c r="CJ923" s="30"/>
      <c r="CK923" s="30"/>
      <c r="CL923" s="30"/>
      <c r="CM923" s="30"/>
      <c r="CN923" s="30"/>
      <c r="CO923" s="30"/>
      <c r="CP923" s="30"/>
      <c r="CQ923" s="30"/>
      <c r="CR923" s="30"/>
      <c r="CS923" s="30"/>
      <c r="CT923" s="30"/>
      <c r="CU923" s="30"/>
      <c r="CV923" s="30"/>
      <c r="CW923" s="30"/>
      <c r="CX923" s="30"/>
      <c r="CY923" s="30"/>
      <c r="CZ923" s="30"/>
      <c r="DA923" s="30"/>
      <c r="DB923" s="30"/>
      <c r="DC923" s="30"/>
      <c r="DD923" s="30"/>
      <c r="DE923" s="30"/>
      <c r="DF923" s="30"/>
      <c r="DG923" s="30"/>
      <c r="DH923" s="30"/>
      <c r="DI923" s="30"/>
      <c r="DJ923" s="30"/>
      <c r="DK923" s="30"/>
      <c r="DL923" s="30"/>
      <c r="DM923" s="30"/>
      <c r="DN923" s="30"/>
      <c r="DO923" s="30"/>
      <c r="DP923" s="30"/>
      <c r="DQ923" s="30"/>
      <c r="DR923" s="30"/>
      <c r="DS923" s="30"/>
      <c r="DT923" s="30"/>
      <c r="DU923" s="30"/>
      <c r="DV923" s="30"/>
      <c r="DW923" s="30"/>
    </row>
    <row r="924" spans="1:127" ht="13">
      <c r="A924" s="39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  <c r="BN924" s="30"/>
      <c r="BO924" s="30"/>
      <c r="BP924" s="30"/>
      <c r="BQ924" s="30"/>
      <c r="BR924" s="30"/>
      <c r="BS924" s="30"/>
      <c r="BT924" s="30"/>
      <c r="BU924" s="30"/>
      <c r="BV924" s="30"/>
      <c r="BW924" s="30"/>
      <c r="BX924" s="30"/>
      <c r="BY924" s="30"/>
      <c r="BZ924" s="30"/>
      <c r="CA924" s="30"/>
      <c r="CB924" s="30"/>
      <c r="CC924" s="30"/>
      <c r="CD924" s="30"/>
      <c r="CE924" s="30"/>
      <c r="CF924" s="30"/>
      <c r="CG924" s="30"/>
      <c r="CH924" s="30"/>
      <c r="CI924" s="30"/>
      <c r="CJ924" s="30"/>
      <c r="CK924" s="30"/>
      <c r="CL924" s="30"/>
      <c r="CM924" s="30"/>
      <c r="CN924" s="30"/>
      <c r="CO924" s="30"/>
      <c r="CP924" s="30"/>
      <c r="CQ924" s="30"/>
      <c r="CR924" s="30"/>
      <c r="CS924" s="30"/>
      <c r="CT924" s="30"/>
      <c r="CU924" s="30"/>
      <c r="CV924" s="30"/>
      <c r="CW924" s="30"/>
      <c r="CX924" s="30"/>
      <c r="CY924" s="30"/>
      <c r="CZ924" s="30"/>
      <c r="DA924" s="30"/>
      <c r="DB924" s="30"/>
      <c r="DC924" s="30"/>
      <c r="DD924" s="30"/>
      <c r="DE924" s="30"/>
      <c r="DF924" s="30"/>
      <c r="DG924" s="30"/>
      <c r="DH924" s="30"/>
      <c r="DI924" s="30"/>
      <c r="DJ924" s="30"/>
      <c r="DK924" s="30"/>
      <c r="DL924" s="30"/>
      <c r="DM924" s="30"/>
      <c r="DN924" s="30"/>
      <c r="DO924" s="30"/>
      <c r="DP924" s="30"/>
      <c r="DQ924" s="30"/>
      <c r="DR924" s="30"/>
      <c r="DS924" s="30"/>
      <c r="DT924" s="30"/>
      <c r="DU924" s="30"/>
      <c r="DV924" s="30"/>
      <c r="DW924" s="30"/>
    </row>
    <row r="925" spans="1:127" ht="13">
      <c r="A925" s="39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  <c r="BN925" s="30"/>
      <c r="BO925" s="30"/>
      <c r="BP925" s="30"/>
      <c r="BQ925" s="30"/>
      <c r="BR925" s="30"/>
      <c r="BS925" s="30"/>
      <c r="BT925" s="30"/>
      <c r="BU925" s="30"/>
      <c r="BV925" s="30"/>
      <c r="BW925" s="30"/>
      <c r="BX925" s="30"/>
      <c r="BY925" s="30"/>
      <c r="BZ925" s="30"/>
      <c r="CA925" s="30"/>
      <c r="CB925" s="30"/>
      <c r="CC925" s="30"/>
      <c r="CD925" s="30"/>
      <c r="CE925" s="30"/>
      <c r="CF925" s="30"/>
      <c r="CG925" s="30"/>
      <c r="CH925" s="30"/>
      <c r="CI925" s="30"/>
      <c r="CJ925" s="30"/>
      <c r="CK925" s="30"/>
      <c r="CL925" s="30"/>
      <c r="CM925" s="30"/>
      <c r="CN925" s="30"/>
      <c r="CO925" s="30"/>
      <c r="CP925" s="30"/>
      <c r="CQ925" s="30"/>
      <c r="CR925" s="30"/>
      <c r="CS925" s="30"/>
      <c r="CT925" s="30"/>
      <c r="CU925" s="30"/>
      <c r="CV925" s="30"/>
      <c r="CW925" s="30"/>
      <c r="CX925" s="30"/>
      <c r="CY925" s="30"/>
      <c r="CZ925" s="30"/>
      <c r="DA925" s="30"/>
      <c r="DB925" s="30"/>
      <c r="DC925" s="30"/>
      <c r="DD925" s="30"/>
      <c r="DE925" s="30"/>
      <c r="DF925" s="30"/>
      <c r="DG925" s="30"/>
      <c r="DH925" s="30"/>
      <c r="DI925" s="30"/>
      <c r="DJ925" s="30"/>
      <c r="DK925" s="30"/>
      <c r="DL925" s="30"/>
      <c r="DM925" s="30"/>
      <c r="DN925" s="30"/>
      <c r="DO925" s="30"/>
      <c r="DP925" s="30"/>
      <c r="DQ925" s="30"/>
      <c r="DR925" s="30"/>
      <c r="DS925" s="30"/>
      <c r="DT925" s="30"/>
      <c r="DU925" s="30"/>
      <c r="DV925" s="30"/>
      <c r="DW925" s="30"/>
    </row>
    <row r="926" spans="1:127" ht="13">
      <c r="A926" s="39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  <c r="BN926" s="30"/>
      <c r="BO926" s="30"/>
      <c r="BP926" s="30"/>
      <c r="BQ926" s="30"/>
      <c r="BR926" s="30"/>
      <c r="BS926" s="30"/>
      <c r="BT926" s="30"/>
      <c r="BU926" s="30"/>
      <c r="BV926" s="30"/>
      <c r="BW926" s="30"/>
      <c r="BX926" s="30"/>
      <c r="BY926" s="30"/>
      <c r="BZ926" s="30"/>
      <c r="CA926" s="30"/>
      <c r="CB926" s="30"/>
      <c r="CC926" s="30"/>
      <c r="CD926" s="30"/>
      <c r="CE926" s="30"/>
      <c r="CF926" s="30"/>
      <c r="CG926" s="30"/>
      <c r="CH926" s="30"/>
      <c r="CI926" s="30"/>
      <c r="CJ926" s="30"/>
      <c r="CK926" s="30"/>
      <c r="CL926" s="30"/>
      <c r="CM926" s="30"/>
      <c r="CN926" s="30"/>
      <c r="CO926" s="30"/>
      <c r="CP926" s="30"/>
      <c r="CQ926" s="30"/>
      <c r="CR926" s="30"/>
      <c r="CS926" s="30"/>
      <c r="CT926" s="30"/>
      <c r="CU926" s="30"/>
      <c r="CV926" s="30"/>
      <c r="CW926" s="30"/>
      <c r="CX926" s="30"/>
      <c r="CY926" s="30"/>
      <c r="CZ926" s="30"/>
      <c r="DA926" s="30"/>
      <c r="DB926" s="30"/>
      <c r="DC926" s="30"/>
      <c r="DD926" s="30"/>
      <c r="DE926" s="30"/>
      <c r="DF926" s="30"/>
      <c r="DG926" s="30"/>
      <c r="DH926" s="30"/>
      <c r="DI926" s="30"/>
      <c r="DJ926" s="30"/>
      <c r="DK926" s="30"/>
      <c r="DL926" s="30"/>
      <c r="DM926" s="30"/>
      <c r="DN926" s="30"/>
      <c r="DO926" s="30"/>
      <c r="DP926" s="30"/>
      <c r="DQ926" s="30"/>
      <c r="DR926" s="30"/>
      <c r="DS926" s="30"/>
      <c r="DT926" s="30"/>
      <c r="DU926" s="30"/>
      <c r="DV926" s="30"/>
      <c r="DW926" s="30"/>
    </row>
    <row r="927" spans="1:127" ht="13">
      <c r="A927" s="39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  <c r="BN927" s="30"/>
      <c r="BO927" s="30"/>
      <c r="BP927" s="30"/>
      <c r="BQ927" s="30"/>
      <c r="BR927" s="30"/>
      <c r="BS927" s="30"/>
      <c r="BT927" s="30"/>
      <c r="BU927" s="30"/>
      <c r="BV927" s="30"/>
      <c r="BW927" s="30"/>
      <c r="BX927" s="30"/>
      <c r="BY927" s="30"/>
      <c r="BZ927" s="30"/>
      <c r="CA927" s="30"/>
      <c r="CB927" s="30"/>
      <c r="CC927" s="30"/>
      <c r="CD927" s="30"/>
      <c r="CE927" s="30"/>
      <c r="CF927" s="30"/>
      <c r="CG927" s="30"/>
      <c r="CH927" s="30"/>
      <c r="CI927" s="30"/>
      <c r="CJ927" s="30"/>
      <c r="CK927" s="30"/>
      <c r="CL927" s="30"/>
      <c r="CM927" s="30"/>
      <c r="CN927" s="30"/>
      <c r="CO927" s="30"/>
      <c r="CP927" s="30"/>
      <c r="CQ927" s="30"/>
      <c r="CR927" s="30"/>
      <c r="CS927" s="30"/>
      <c r="CT927" s="30"/>
      <c r="CU927" s="30"/>
      <c r="CV927" s="30"/>
      <c r="CW927" s="30"/>
      <c r="CX927" s="30"/>
      <c r="CY927" s="30"/>
      <c r="CZ927" s="30"/>
      <c r="DA927" s="30"/>
      <c r="DB927" s="30"/>
      <c r="DC927" s="30"/>
      <c r="DD927" s="30"/>
      <c r="DE927" s="30"/>
      <c r="DF927" s="30"/>
      <c r="DG927" s="30"/>
      <c r="DH927" s="30"/>
      <c r="DI927" s="30"/>
      <c r="DJ927" s="30"/>
      <c r="DK927" s="30"/>
      <c r="DL927" s="30"/>
      <c r="DM927" s="30"/>
      <c r="DN927" s="30"/>
      <c r="DO927" s="30"/>
      <c r="DP927" s="30"/>
      <c r="DQ927" s="30"/>
      <c r="DR927" s="30"/>
      <c r="DS927" s="30"/>
      <c r="DT927" s="30"/>
      <c r="DU927" s="30"/>
      <c r="DV927" s="30"/>
      <c r="DW927" s="30"/>
    </row>
    <row r="928" spans="1:127" ht="13">
      <c r="A928" s="39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  <c r="BJ928" s="30"/>
      <c r="BK928" s="30"/>
      <c r="BL928" s="30"/>
      <c r="BM928" s="30"/>
      <c r="BN928" s="30"/>
      <c r="BO928" s="30"/>
      <c r="BP928" s="30"/>
      <c r="BQ928" s="30"/>
      <c r="BR928" s="30"/>
      <c r="BS928" s="30"/>
      <c r="BT928" s="30"/>
      <c r="BU928" s="30"/>
      <c r="BV928" s="30"/>
      <c r="BW928" s="30"/>
      <c r="BX928" s="30"/>
      <c r="BY928" s="30"/>
      <c r="BZ928" s="30"/>
      <c r="CA928" s="30"/>
      <c r="CB928" s="30"/>
      <c r="CC928" s="30"/>
      <c r="CD928" s="30"/>
      <c r="CE928" s="30"/>
      <c r="CF928" s="30"/>
      <c r="CG928" s="30"/>
      <c r="CH928" s="30"/>
      <c r="CI928" s="30"/>
      <c r="CJ928" s="30"/>
      <c r="CK928" s="30"/>
      <c r="CL928" s="30"/>
      <c r="CM928" s="30"/>
      <c r="CN928" s="30"/>
      <c r="CO928" s="30"/>
      <c r="CP928" s="30"/>
      <c r="CQ928" s="30"/>
      <c r="CR928" s="30"/>
      <c r="CS928" s="30"/>
      <c r="CT928" s="30"/>
      <c r="CU928" s="30"/>
      <c r="CV928" s="30"/>
      <c r="CW928" s="30"/>
      <c r="CX928" s="30"/>
      <c r="CY928" s="30"/>
      <c r="CZ928" s="30"/>
      <c r="DA928" s="30"/>
      <c r="DB928" s="30"/>
      <c r="DC928" s="30"/>
      <c r="DD928" s="30"/>
      <c r="DE928" s="30"/>
      <c r="DF928" s="30"/>
      <c r="DG928" s="30"/>
      <c r="DH928" s="30"/>
      <c r="DI928" s="30"/>
      <c r="DJ928" s="30"/>
      <c r="DK928" s="30"/>
      <c r="DL928" s="30"/>
      <c r="DM928" s="30"/>
      <c r="DN928" s="30"/>
      <c r="DO928" s="30"/>
      <c r="DP928" s="30"/>
      <c r="DQ928" s="30"/>
      <c r="DR928" s="30"/>
      <c r="DS928" s="30"/>
      <c r="DT928" s="30"/>
      <c r="DU928" s="30"/>
      <c r="DV928" s="30"/>
      <c r="DW928" s="30"/>
    </row>
    <row r="929" spans="1:127" ht="13">
      <c r="A929" s="39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  <c r="BN929" s="30"/>
      <c r="BO929" s="30"/>
      <c r="BP929" s="30"/>
      <c r="BQ929" s="30"/>
      <c r="BR929" s="30"/>
      <c r="BS929" s="30"/>
      <c r="BT929" s="30"/>
      <c r="BU929" s="30"/>
      <c r="BV929" s="30"/>
      <c r="BW929" s="30"/>
      <c r="BX929" s="30"/>
      <c r="BY929" s="30"/>
      <c r="BZ929" s="30"/>
      <c r="CA929" s="30"/>
      <c r="CB929" s="30"/>
      <c r="CC929" s="30"/>
      <c r="CD929" s="30"/>
      <c r="CE929" s="30"/>
      <c r="CF929" s="30"/>
      <c r="CG929" s="30"/>
      <c r="CH929" s="30"/>
      <c r="CI929" s="30"/>
      <c r="CJ929" s="30"/>
      <c r="CK929" s="30"/>
      <c r="CL929" s="30"/>
      <c r="CM929" s="30"/>
      <c r="CN929" s="30"/>
      <c r="CO929" s="30"/>
      <c r="CP929" s="30"/>
      <c r="CQ929" s="30"/>
      <c r="CR929" s="30"/>
      <c r="CS929" s="30"/>
      <c r="CT929" s="30"/>
      <c r="CU929" s="30"/>
      <c r="CV929" s="30"/>
      <c r="CW929" s="30"/>
      <c r="CX929" s="30"/>
      <c r="CY929" s="30"/>
      <c r="CZ929" s="30"/>
      <c r="DA929" s="30"/>
      <c r="DB929" s="30"/>
      <c r="DC929" s="30"/>
      <c r="DD929" s="30"/>
      <c r="DE929" s="30"/>
      <c r="DF929" s="30"/>
      <c r="DG929" s="30"/>
      <c r="DH929" s="30"/>
      <c r="DI929" s="30"/>
      <c r="DJ929" s="30"/>
      <c r="DK929" s="30"/>
      <c r="DL929" s="30"/>
      <c r="DM929" s="30"/>
      <c r="DN929" s="30"/>
      <c r="DO929" s="30"/>
      <c r="DP929" s="30"/>
      <c r="DQ929" s="30"/>
      <c r="DR929" s="30"/>
      <c r="DS929" s="30"/>
      <c r="DT929" s="30"/>
      <c r="DU929" s="30"/>
      <c r="DV929" s="30"/>
      <c r="DW929" s="30"/>
    </row>
    <row r="930" spans="1:127" ht="13">
      <c r="A930" s="39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  <c r="BN930" s="30"/>
      <c r="BO930" s="30"/>
      <c r="BP930" s="30"/>
      <c r="BQ930" s="30"/>
      <c r="BR930" s="30"/>
      <c r="BS930" s="30"/>
      <c r="BT930" s="30"/>
      <c r="BU930" s="30"/>
      <c r="BV930" s="30"/>
      <c r="BW930" s="30"/>
      <c r="BX930" s="30"/>
      <c r="BY930" s="30"/>
      <c r="BZ930" s="30"/>
      <c r="CA930" s="30"/>
      <c r="CB930" s="30"/>
      <c r="CC930" s="30"/>
      <c r="CD930" s="30"/>
      <c r="CE930" s="30"/>
      <c r="CF930" s="30"/>
      <c r="CG930" s="30"/>
      <c r="CH930" s="30"/>
      <c r="CI930" s="30"/>
      <c r="CJ930" s="30"/>
      <c r="CK930" s="30"/>
      <c r="CL930" s="30"/>
      <c r="CM930" s="30"/>
      <c r="CN930" s="30"/>
      <c r="CO930" s="30"/>
      <c r="CP930" s="30"/>
      <c r="CQ930" s="30"/>
      <c r="CR930" s="30"/>
      <c r="CS930" s="30"/>
      <c r="CT930" s="30"/>
      <c r="CU930" s="30"/>
      <c r="CV930" s="30"/>
      <c r="CW930" s="30"/>
      <c r="CX930" s="30"/>
      <c r="CY930" s="30"/>
      <c r="CZ930" s="30"/>
      <c r="DA930" s="30"/>
      <c r="DB930" s="30"/>
      <c r="DC930" s="30"/>
      <c r="DD930" s="30"/>
      <c r="DE930" s="30"/>
      <c r="DF930" s="30"/>
      <c r="DG930" s="30"/>
      <c r="DH930" s="30"/>
      <c r="DI930" s="30"/>
      <c r="DJ930" s="30"/>
      <c r="DK930" s="30"/>
      <c r="DL930" s="30"/>
      <c r="DM930" s="30"/>
      <c r="DN930" s="30"/>
      <c r="DO930" s="30"/>
      <c r="DP930" s="30"/>
      <c r="DQ930" s="30"/>
      <c r="DR930" s="30"/>
      <c r="DS930" s="30"/>
      <c r="DT930" s="30"/>
      <c r="DU930" s="30"/>
      <c r="DV930" s="30"/>
      <c r="DW930" s="30"/>
    </row>
    <row r="931" spans="1:127" ht="13">
      <c r="A931" s="39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  <c r="BN931" s="30"/>
      <c r="BO931" s="30"/>
      <c r="BP931" s="30"/>
      <c r="BQ931" s="30"/>
      <c r="BR931" s="30"/>
      <c r="BS931" s="30"/>
      <c r="BT931" s="30"/>
      <c r="BU931" s="30"/>
      <c r="BV931" s="30"/>
      <c r="BW931" s="30"/>
      <c r="BX931" s="30"/>
      <c r="BY931" s="30"/>
      <c r="BZ931" s="30"/>
      <c r="CA931" s="30"/>
      <c r="CB931" s="30"/>
      <c r="CC931" s="30"/>
      <c r="CD931" s="30"/>
      <c r="CE931" s="30"/>
      <c r="CF931" s="30"/>
      <c r="CG931" s="30"/>
      <c r="CH931" s="30"/>
      <c r="CI931" s="30"/>
      <c r="CJ931" s="30"/>
      <c r="CK931" s="30"/>
      <c r="CL931" s="30"/>
      <c r="CM931" s="30"/>
      <c r="CN931" s="30"/>
      <c r="CO931" s="30"/>
      <c r="CP931" s="30"/>
      <c r="CQ931" s="30"/>
      <c r="CR931" s="30"/>
      <c r="CS931" s="30"/>
      <c r="CT931" s="30"/>
      <c r="CU931" s="30"/>
      <c r="CV931" s="30"/>
      <c r="CW931" s="30"/>
      <c r="CX931" s="30"/>
      <c r="CY931" s="30"/>
      <c r="CZ931" s="30"/>
      <c r="DA931" s="30"/>
      <c r="DB931" s="30"/>
      <c r="DC931" s="30"/>
      <c r="DD931" s="30"/>
      <c r="DE931" s="30"/>
      <c r="DF931" s="30"/>
      <c r="DG931" s="30"/>
      <c r="DH931" s="30"/>
      <c r="DI931" s="30"/>
      <c r="DJ931" s="30"/>
      <c r="DK931" s="30"/>
      <c r="DL931" s="30"/>
      <c r="DM931" s="30"/>
      <c r="DN931" s="30"/>
      <c r="DO931" s="30"/>
      <c r="DP931" s="30"/>
      <c r="DQ931" s="30"/>
      <c r="DR931" s="30"/>
      <c r="DS931" s="30"/>
      <c r="DT931" s="30"/>
      <c r="DU931" s="30"/>
      <c r="DV931" s="30"/>
      <c r="DW931" s="30"/>
    </row>
    <row r="932" spans="1:127" ht="13">
      <c r="A932" s="39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  <c r="BN932" s="30"/>
      <c r="BO932" s="30"/>
      <c r="BP932" s="30"/>
      <c r="BQ932" s="30"/>
      <c r="BR932" s="30"/>
      <c r="BS932" s="30"/>
      <c r="BT932" s="30"/>
      <c r="BU932" s="30"/>
      <c r="BV932" s="30"/>
      <c r="BW932" s="30"/>
      <c r="BX932" s="30"/>
      <c r="BY932" s="30"/>
      <c r="BZ932" s="30"/>
      <c r="CA932" s="30"/>
      <c r="CB932" s="30"/>
      <c r="CC932" s="30"/>
      <c r="CD932" s="30"/>
      <c r="CE932" s="30"/>
      <c r="CF932" s="30"/>
      <c r="CG932" s="30"/>
      <c r="CH932" s="30"/>
      <c r="CI932" s="30"/>
      <c r="CJ932" s="30"/>
      <c r="CK932" s="30"/>
      <c r="CL932" s="30"/>
      <c r="CM932" s="30"/>
      <c r="CN932" s="30"/>
      <c r="CO932" s="30"/>
      <c r="CP932" s="30"/>
      <c r="CQ932" s="30"/>
      <c r="CR932" s="30"/>
      <c r="CS932" s="30"/>
      <c r="CT932" s="30"/>
      <c r="CU932" s="30"/>
      <c r="CV932" s="30"/>
      <c r="CW932" s="30"/>
      <c r="CX932" s="30"/>
      <c r="CY932" s="30"/>
      <c r="CZ932" s="30"/>
      <c r="DA932" s="30"/>
      <c r="DB932" s="30"/>
      <c r="DC932" s="30"/>
      <c r="DD932" s="30"/>
      <c r="DE932" s="30"/>
      <c r="DF932" s="30"/>
      <c r="DG932" s="30"/>
      <c r="DH932" s="30"/>
      <c r="DI932" s="30"/>
      <c r="DJ932" s="30"/>
      <c r="DK932" s="30"/>
      <c r="DL932" s="30"/>
      <c r="DM932" s="30"/>
      <c r="DN932" s="30"/>
      <c r="DO932" s="30"/>
      <c r="DP932" s="30"/>
      <c r="DQ932" s="30"/>
      <c r="DR932" s="30"/>
      <c r="DS932" s="30"/>
      <c r="DT932" s="30"/>
      <c r="DU932" s="30"/>
      <c r="DV932" s="30"/>
      <c r="DW932" s="30"/>
    </row>
    <row r="933" spans="1:127" ht="13">
      <c r="A933" s="39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  <c r="BN933" s="30"/>
      <c r="BO933" s="30"/>
      <c r="BP933" s="30"/>
      <c r="BQ933" s="30"/>
      <c r="BR933" s="30"/>
      <c r="BS933" s="30"/>
      <c r="BT933" s="30"/>
      <c r="BU933" s="30"/>
      <c r="BV933" s="30"/>
      <c r="BW933" s="30"/>
      <c r="BX933" s="30"/>
      <c r="BY933" s="30"/>
      <c r="BZ933" s="30"/>
      <c r="CA933" s="30"/>
      <c r="CB933" s="30"/>
      <c r="CC933" s="30"/>
      <c r="CD933" s="30"/>
      <c r="CE933" s="30"/>
      <c r="CF933" s="30"/>
      <c r="CG933" s="30"/>
      <c r="CH933" s="30"/>
      <c r="CI933" s="30"/>
      <c r="CJ933" s="30"/>
      <c r="CK933" s="30"/>
      <c r="CL933" s="30"/>
      <c r="CM933" s="30"/>
      <c r="CN933" s="30"/>
      <c r="CO933" s="30"/>
      <c r="CP933" s="30"/>
      <c r="CQ933" s="30"/>
      <c r="CR933" s="30"/>
      <c r="CS933" s="30"/>
      <c r="CT933" s="30"/>
      <c r="CU933" s="30"/>
      <c r="CV933" s="30"/>
      <c r="CW933" s="30"/>
      <c r="CX933" s="30"/>
      <c r="CY933" s="30"/>
      <c r="CZ933" s="30"/>
      <c r="DA933" s="30"/>
      <c r="DB933" s="30"/>
      <c r="DC933" s="30"/>
      <c r="DD933" s="30"/>
      <c r="DE933" s="30"/>
      <c r="DF933" s="30"/>
      <c r="DG933" s="30"/>
      <c r="DH933" s="30"/>
      <c r="DI933" s="30"/>
      <c r="DJ933" s="30"/>
      <c r="DK933" s="30"/>
      <c r="DL933" s="30"/>
      <c r="DM933" s="30"/>
      <c r="DN933" s="30"/>
      <c r="DO933" s="30"/>
      <c r="DP933" s="30"/>
      <c r="DQ933" s="30"/>
      <c r="DR933" s="30"/>
      <c r="DS933" s="30"/>
      <c r="DT933" s="30"/>
      <c r="DU933" s="30"/>
      <c r="DV933" s="30"/>
      <c r="DW933" s="30"/>
    </row>
    <row r="934" spans="1:127" ht="13">
      <c r="A934" s="39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  <c r="BN934" s="30"/>
      <c r="BO934" s="30"/>
      <c r="BP934" s="30"/>
      <c r="BQ934" s="30"/>
      <c r="BR934" s="30"/>
      <c r="BS934" s="30"/>
      <c r="BT934" s="30"/>
      <c r="BU934" s="30"/>
      <c r="BV934" s="30"/>
      <c r="BW934" s="30"/>
      <c r="BX934" s="30"/>
      <c r="BY934" s="30"/>
      <c r="BZ934" s="30"/>
      <c r="CA934" s="30"/>
      <c r="CB934" s="30"/>
      <c r="CC934" s="30"/>
      <c r="CD934" s="30"/>
      <c r="CE934" s="30"/>
      <c r="CF934" s="30"/>
      <c r="CG934" s="30"/>
      <c r="CH934" s="30"/>
      <c r="CI934" s="30"/>
      <c r="CJ934" s="30"/>
      <c r="CK934" s="30"/>
      <c r="CL934" s="30"/>
      <c r="CM934" s="30"/>
      <c r="CN934" s="30"/>
      <c r="CO934" s="30"/>
      <c r="CP934" s="30"/>
      <c r="CQ934" s="30"/>
      <c r="CR934" s="30"/>
      <c r="CS934" s="30"/>
      <c r="CT934" s="30"/>
      <c r="CU934" s="30"/>
      <c r="CV934" s="30"/>
      <c r="CW934" s="30"/>
      <c r="CX934" s="30"/>
      <c r="CY934" s="30"/>
      <c r="CZ934" s="30"/>
      <c r="DA934" s="30"/>
      <c r="DB934" s="30"/>
      <c r="DC934" s="30"/>
      <c r="DD934" s="30"/>
      <c r="DE934" s="30"/>
      <c r="DF934" s="30"/>
      <c r="DG934" s="30"/>
      <c r="DH934" s="30"/>
      <c r="DI934" s="30"/>
      <c r="DJ934" s="30"/>
      <c r="DK934" s="30"/>
      <c r="DL934" s="30"/>
      <c r="DM934" s="30"/>
      <c r="DN934" s="30"/>
      <c r="DO934" s="30"/>
      <c r="DP934" s="30"/>
      <c r="DQ934" s="30"/>
      <c r="DR934" s="30"/>
      <c r="DS934" s="30"/>
      <c r="DT934" s="30"/>
      <c r="DU934" s="30"/>
      <c r="DV934" s="30"/>
      <c r="DW934" s="30"/>
    </row>
    <row r="935" spans="1:127" ht="13">
      <c r="A935" s="39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  <c r="BN935" s="30"/>
      <c r="BO935" s="30"/>
      <c r="BP935" s="30"/>
      <c r="BQ935" s="30"/>
      <c r="BR935" s="30"/>
      <c r="BS935" s="30"/>
      <c r="BT935" s="30"/>
      <c r="BU935" s="30"/>
      <c r="BV935" s="30"/>
      <c r="BW935" s="30"/>
      <c r="BX935" s="30"/>
      <c r="BY935" s="30"/>
      <c r="BZ935" s="30"/>
      <c r="CA935" s="30"/>
      <c r="CB935" s="30"/>
      <c r="CC935" s="30"/>
      <c r="CD935" s="30"/>
      <c r="CE935" s="30"/>
      <c r="CF935" s="30"/>
      <c r="CG935" s="30"/>
      <c r="CH935" s="30"/>
      <c r="CI935" s="30"/>
      <c r="CJ935" s="30"/>
      <c r="CK935" s="30"/>
      <c r="CL935" s="30"/>
      <c r="CM935" s="30"/>
      <c r="CN935" s="30"/>
      <c r="CO935" s="30"/>
      <c r="CP935" s="30"/>
      <c r="CQ935" s="30"/>
      <c r="CR935" s="30"/>
      <c r="CS935" s="30"/>
      <c r="CT935" s="30"/>
      <c r="CU935" s="30"/>
      <c r="CV935" s="30"/>
      <c r="CW935" s="30"/>
      <c r="CX935" s="30"/>
      <c r="CY935" s="30"/>
      <c r="CZ935" s="30"/>
      <c r="DA935" s="30"/>
      <c r="DB935" s="30"/>
      <c r="DC935" s="30"/>
      <c r="DD935" s="30"/>
      <c r="DE935" s="30"/>
      <c r="DF935" s="30"/>
      <c r="DG935" s="30"/>
      <c r="DH935" s="30"/>
      <c r="DI935" s="30"/>
      <c r="DJ935" s="30"/>
      <c r="DK935" s="30"/>
      <c r="DL935" s="30"/>
      <c r="DM935" s="30"/>
      <c r="DN935" s="30"/>
      <c r="DO935" s="30"/>
      <c r="DP935" s="30"/>
      <c r="DQ935" s="30"/>
      <c r="DR935" s="30"/>
      <c r="DS935" s="30"/>
      <c r="DT935" s="30"/>
      <c r="DU935" s="30"/>
      <c r="DV935" s="30"/>
      <c r="DW935" s="30"/>
    </row>
    <row r="936" spans="1:127" ht="13">
      <c r="A936" s="39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  <c r="BN936" s="30"/>
      <c r="BO936" s="30"/>
      <c r="BP936" s="30"/>
      <c r="BQ936" s="30"/>
      <c r="BR936" s="30"/>
      <c r="BS936" s="30"/>
      <c r="BT936" s="30"/>
      <c r="BU936" s="30"/>
      <c r="BV936" s="30"/>
      <c r="BW936" s="30"/>
      <c r="BX936" s="30"/>
      <c r="BY936" s="30"/>
      <c r="BZ936" s="30"/>
      <c r="CA936" s="30"/>
      <c r="CB936" s="30"/>
      <c r="CC936" s="30"/>
      <c r="CD936" s="30"/>
      <c r="CE936" s="30"/>
      <c r="CF936" s="30"/>
      <c r="CG936" s="30"/>
      <c r="CH936" s="30"/>
      <c r="CI936" s="30"/>
      <c r="CJ936" s="30"/>
      <c r="CK936" s="30"/>
      <c r="CL936" s="30"/>
      <c r="CM936" s="30"/>
      <c r="CN936" s="30"/>
      <c r="CO936" s="30"/>
      <c r="CP936" s="30"/>
      <c r="CQ936" s="30"/>
      <c r="CR936" s="30"/>
      <c r="CS936" s="30"/>
      <c r="CT936" s="30"/>
      <c r="CU936" s="30"/>
      <c r="CV936" s="30"/>
      <c r="CW936" s="30"/>
      <c r="CX936" s="30"/>
      <c r="CY936" s="30"/>
      <c r="CZ936" s="30"/>
      <c r="DA936" s="30"/>
      <c r="DB936" s="30"/>
      <c r="DC936" s="30"/>
      <c r="DD936" s="30"/>
      <c r="DE936" s="30"/>
      <c r="DF936" s="30"/>
      <c r="DG936" s="30"/>
      <c r="DH936" s="30"/>
      <c r="DI936" s="30"/>
      <c r="DJ936" s="30"/>
      <c r="DK936" s="30"/>
      <c r="DL936" s="30"/>
      <c r="DM936" s="30"/>
      <c r="DN936" s="30"/>
      <c r="DO936" s="30"/>
      <c r="DP936" s="30"/>
      <c r="DQ936" s="30"/>
      <c r="DR936" s="30"/>
      <c r="DS936" s="30"/>
      <c r="DT936" s="30"/>
      <c r="DU936" s="30"/>
      <c r="DV936" s="30"/>
      <c r="DW936" s="30"/>
    </row>
    <row r="937" spans="1:127" ht="13">
      <c r="A937" s="39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30"/>
      <c r="BP937" s="30"/>
      <c r="BQ937" s="30"/>
      <c r="BR937" s="30"/>
      <c r="BS937" s="30"/>
      <c r="BT937" s="30"/>
      <c r="BU937" s="30"/>
      <c r="BV937" s="30"/>
      <c r="BW937" s="30"/>
      <c r="BX937" s="30"/>
      <c r="BY937" s="30"/>
      <c r="BZ937" s="30"/>
      <c r="CA937" s="30"/>
      <c r="CB937" s="30"/>
      <c r="CC937" s="30"/>
      <c r="CD937" s="30"/>
      <c r="CE937" s="30"/>
      <c r="CF937" s="30"/>
      <c r="CG937" s="30"/>
      <c r="CH937" s="30"/>
      <c r="CI937" s="30"/>
      <c r="CJ937" s="30"/>
      <c r="CK937" s="30"/>
      <c r="CL937" s="30"/>
      <c r="CM937" s="30"/>
      <c r="CN937" s="30"/>
      <c r="CO937" s="30"/>
      <c r="CP937" s="30"/>
      <c r="CQ937" s="30"/>
      <c r="CR937" s="30"/>
      <c r="CS937" s="30"/>
      <c r="CT937" s="30"/>
      <c r="CU937" s="30"/>
      <c r="CV937" s="30"/>
      <c r="CW937" s="30"/>
      <c r="CX937" s="30"/>
      <c r="CY937" s="30"/>
      <c r="CZ937" s="30"/>
      <c r="DA937" s="30"/>
      <c r="DB937" s="30"/>
      <c r="DC937" s="30"/>
      <c r="DD937" s="30"/>
      <c r="DE937" s="30"/>
      <c r="DF937" s="30"/>
      <c r="DG937" s="30"/>
      <c r="DH937" s="30"/>
      <c r="DI937" s="30"/>
      <c r="DJ937" s="30"/>
      <c r="DK937" s="30"/>
      <c r="DL937" s="30"/>
      <c r="DM937" s="30"/>
      <c r="DN937" s="30"/>
      <c r="DO937" s="30"/>
      <c r="DP937" s="30"/>
      <c r="DQ937" s="30"/>
      <c r="DR937" s="30"/>
      <c r="DS937" s="30"/>
      <c r="DT937" s="30"/>
      <c r="DU937" s="30"/>
      <c r="DV937" s="30"/>
      <c r="DW937" s="30"/>
    </row>
    <row r="938" spans="1:127" ht="13">
      <c r="A938" s="39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30"/>
      <c r="BP938" s="30"/>
      <c r="BQ938" s="30"/>
      <c r="BR938" s="30"/>
      <c r="BS938" s="30"/>
      <c r="BT938" s="30"/>
      <c r="BU938" s="30"/>
      <c r="BV938" s="30"/>
      <c r="BW938" s="30"/>
      <c r="BX938" s="30"/>
      <c r="BY938" s="30"/>
      <c r="BZ938" s="30"/>
      <c r="CA938" s="30"/>
      <c r="CB938" s="30"/>
      <c r="CC938" s="30"/>
      <c r="CD938" s="30"/>
      <c r="CE938" s="30"/>
      <c r="CF938" s="30"/>
      <c r="CG938" s="30"/>
      <c r="CH938" s="30"/>
      <c r="CI938" s="30"/>
      <c r="CJ938" s="30"/>
      <c r="CK938" s="30"/>
      <c r="CL938" s="30"/>
      <c r="CM938" s="30"/>
      <c r="CN938" s="30"/>
      <c r="CO938" s="30"/>
      <c r="CP938" s="30"/>
      <c r="CQ938" s="30"/>
      <c r="CR938" s="30"/>
      <c r="CS938" s="30"/>
      <c r="CT938" s="30"/>
      <c r="CU938" s="30"/>
      <c r="CV938" s="30"/>
      <c r="CW938" s="30"/>
      <c r="CX938" s="30"/>
      <c r="CY938" s="30"/>
      <c r="CZ938" s="30"/>
      <c r="DA938" s="30"/>
      <c r="DB938" s="30"/>
      <c r="DC938" s="30"/>
      <c r="DD938" s="30"/>
      <c r="DE938" s="30"/>
      <c r="DF938" s="30"/>
      <c r="DG938" s="30"/>
      <c r="DH938" s="30"/>
      <c r="DI938" s="30"/>
      <c r="DJ938" s="30"/>
      <c r="DK938" s="30"/>
      <c r="DL938" s="30"/>
      <c r="DM938" s="30"/>
      <c r="DN938" s="30"/>
      <c r="DO938" s="30"/>
      <c r="DP938" s="30"/>
      <c r="DQ938" s="30"/>
      <c r="DR938" s="30"/>
      <c r="DS938" s="30"/>
      <c r="DT938" s="30"/>
      <c r="DU938" s="30"/>
      <c r="DV938" s="30"/>
      <c r="DW938" s="30"/>
    </row>
    <row r="939" spans="1:127" ht="13">
      <c r="A939" s="39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  <c r="BN939" s="30"/>
      <c r="BO939" s="30"/>
      <c r="BP939" s="30"/>
      <c r="BQ939" s="30"/>
      <c r="BR939" s="30"/>
      <c r="BS939" s="30"/>
      <c r="BT939" s="30"/>
      <c r="BU939" s="30"/>
      <c r="BV939" s="30"/>
      <c r="BW939" s="30"/>
      <c r="BX939" s="30"/>
      <c r="BY939" s="30"/>
      <c r="BZ939" s="30"/>
      <c r="CA939" s="30"/>
      <c r="CB939" s="30"/>
      <c r="CC939" s="30"/>
      <c r="CD939" s="30"/>
      <c r="CE939" s="30"/>
      <c r="CF939" s="30"/>
      <c r="CG939" s="30"/>
      <c r="CH939" s="30"/>
      <c r="CI939" s="30"/>
      <c r="CJ939" s="30"/>
      <c r="CK939" s="30"/>
      <c r="CL939" s="30"/>
      <c r="CM939" s="30"/>
      <c r="CN939" s="30"/>
      <c r="CO939" s="30"/>
      <c r="CP939" s="30"/>
      <c r="CQ939" s="30"/>
      <c r="CR939" s="30"/>
      <c r="CS939" s="30"/>
      <c r="CT939" s="30"/>
      <c r="CU939" s="30"/>
      <c r="CV939" s="30"/>
      <c r="CW939" s="30"/>
      <c r="CX939" s="30"/>
      <c r="CY939" s="30"/>
      <c r="CZ939" s="30"/>
      <c r="DA939" s="30"/>
      <c r="DB939" s="30"/>
      <c r="DC939" s="30"/>
      <c r="DD939" s="30"/>
      <c r="DE939" s="30"/>
      <c r="DF939" s="30"/>
      <c r="DG939" s="30"/>
      <c r="DH939" s="30"/>
      <c r="DI939" s="30"/>
      <c r="DJ939" s="30"/>
      <c r="DK939" s="30"/>
      <c r="DL939" s="30"/>
      <c r="DM939" s="30"/>
      <c r="DN939" s="30"/>
      <c r="DO939" s="30"/>
      <c r="DP939" s="30"/>
      <c r="DQ939" s="30"/>
      <c r="DR939" s="30"/>
      <c r="DS939" s="30"/>
      <c r="DT939" s="30"/>
      <c r="DU939" s="30"/>
      <c r="DV939" s="30"/>
      <c r="DW939" s="30"/>
    </row>
    <row r="940" spans="1:127" ht="13">
      <c r="A940" s="39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  <c r="BN940" s="30"/>
      <c r="BO940" s="30"/>
      <c r="BP940" s="30"/>
      <c r="BQ940" s="30"/>
      <c r="BR940" s="30"/>
      <c r="BS940" s="30"/>
      <c r="BT940" s="30"/>
      <c r="BU940" s="30"/>
      <c r="BV940" s="30"/>
      <c r="BW940" s="30"/>
      <c r="BX940" s="30"/>
      <c r="BY940" s="30"/>
      <c r="BZ940" s="30"/>
      <c r="CA940" s="30"/>
      <c r="CB940" s="30"/>
      <c r="CC940" s="30"/>
      <c r="CD940" s="30"/>
      <c r="CE940" s="30"/>
      <c r="CF940" s="30"/>
      <c r="CG940" s="30"/>
      <c r="CH940" s="30"/>
      <c r="CI940" s="30"/>
      <c r="CJ940" s="30"/>
      <c r="CK940" s="30"/>
      <c r="CL940" s="30"/>
      <c r="CM940" s="30"/>
      <c r="CN940" s="30"/>
      <c r="CO940" s="30"/>
      <c r="CP940" s="30"/>
      <c r="CQ940" s="30"/>
      <c r="CR940" s="30"/>
      <c r="CS940" s="30"/>
      <c r="CT940" s="30"/>
      <c r="CU940" s="30"/>
      <c r="CV940" s="30"/>
      <c r="CW940" s="30"/>
      <c r="CX940" s="30"/>
      <c r="CY940" s="30"/>
      <c r="CZ940" s="30"/>
      <c r="DA940" s="30"/>
      <c r="DB940" s="30"/>
      <c r="DC940" s="30"/>
      <c r="DD940" s="30"/>
      <c r="DE940" s="30"/>
      <c r="DF940" s="30"/>
      <c r="DG940" s="30"/>
      <c r="DH940" s="30"/>
      <c r="DI940" s="30"/>
      <c r="DJ940" s="30"/>
      <c r="DK940" s="30"/>
      <c r="DL940" s="30"/>
      <c r="DM940" s="30"/>
      <c r="DN940" s="30"/>
      <c r="DO940" s="30"/>
      <c r="DP940" s="30"/>
      <c r="DQ940" s="30"/>
      <c r="DR940" s="30"/>
      <c r="DS940" s="30"/>
      <c r="DT940" s="30"/>
      <c r="DU940" s="30"/>
      <c r="DV940" s="30"/>
      <c r="DW940" s="30"/>
    </row>
    <row r="941" spans="1:127" ht="13">
      <c r="A941" s="39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30"/>
      <c r="BP941" s="30"/>
      <c r="BQ941" s="30"/>
      <c r="BR941" s="30"/>
      <c r="BS941" s="30"/>
      <c r="BT941" s="30"/>
      <c r="BU941" s="30"/>
      <c r="BV941" s="30"/>
      <c r="BW941" s="30"/>
      <c r="BX941" s="30"/>
      <c r="BY941" s="30"/>
      <c r="BZ941" s="30"/>
      <c r="CA941" s="30"/>
      <c r="CB941" s="30"/>
      <c r="CC941" s="30"/>
      <c r="CD941" s="30"/>
      <c r="CE941" s="30"/>
      <c r="CF941" s="30"/>
      <c r="CG941" s="30"/>
      <c r="CH941" s="30"/>
      <c r="CI941" s="30"/>
      <c r="CJ941" s="30"/>
      <c r="CK941" s="30"/>
      <c r="CL941" s="30"/>
      <c r="CM941" s="30"/>
      <c r="CN941" s="30"/>
      <c r="CO941" s="30"/>
      <c r="CP941" s="30"/>
      <c r="CQ941" s="30"/>
      <c r="CR941" s="30"/>
      <c r="CS941" s="30"/>
      <c r="CT941" s="30"/>
      <c r="CU941" s="30"/>
      <c r="CV941" s="30"/>
      <c r="CW941" s="30"/>
      <c r="CX941" s="30"/>
      <c r="CY941" s="30"/>
      <c r="CZ941" s="30"/>
      <c r="DA941" s="30"/>
      <c r="DB941" s="30"/>
      <c r="DC941" s="30"/>
      <c r="DD941" s="30"/>
      <c r="DE941" s="30"/>
      <c r="DF941" s="30"/>
      <c r="DG941" s="30"/>
      <c r="DH941" s="30"/>
      <c r="DI941" s="30"/>
      <c r="DJ941" s="30"/>
      <c r="DK941" s="30"/>
      <c r="DL941" s="30"/>
      <c r="DM941" s="30"/>
      <c r="DN941" s="30"/>
      <c r="DO941" s="30"/>
      <c r="DP941" s="30"/>
      <c r="DQ941" s="30"/>
      <c r="DR941" s="30"/>
      <c r="DS941" s="30"/>
      <c r="DT941" s="30"/>
      <c r="DU941" s="30"/>
      <c r="DV941" s="30"/>
      <c r="DW941" s="30"/>
    </row>
    <row r="942" spans="1:127" ht="13">
      <c r="A942" s="39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  <c r="BN942" s="30"/>
      <c r="BO942" s="30"/>
      <c r="BP942" s="30"/>
      <c r="BQ942" s="30"/>
      <c r="BR942" s="30"/>
      <c r="BS942" s="30"/>
      <c r="BT942" s="30"/>
      <c r="BU942" s="30"/>
      <c r="BV942" s="30"/>
      <c r="BW942" s="30"/>
      <c r="BX942" s="30"/>
      <c r="BY942" s="30"/>
      <c r="BZ942" s="30"/>
      <c r="CA942" s="30"/>
      <c r="CB942" s="30"/>
      <c r="CC942" s="30"/>
      <c r="CD942" s="30"/>
      <c r="CE942" s="30"/>
      <c r="CF942" s="30"/>
      <c r="CG942" s="30"/>
      <c r="CH942" s="30"/>
      <c r="CI942" s="30"/>
      <c r="CJ942" s="30"/>
      <c r="CK942" s="30"/>
      <c r="CL942" s="30"/>
      <c r="CM942" s="30"/>
      <c r="CN942" s="30"/>
      <c r="CO942" s="30"/>
      <c r="CP942" s="30"/>
      <c r="CQ942" s="30"/>
      <c r="CR942" s="30"/>
      <c r="CS942" s="30"/>
      <c r="CT942" s="30"/>
      <c r="CU942" s="30"/>
      <c r="CV942" s="30"/>
      <c r="CW942" s="30"/>
      <c r="CX942" s="30"/>
      <c r="CY942" s="30"/>
      <c r="CZ942" s="30"/>
      <c r="DA942" s="30"/>
      <c r="DB942" s="30"/>
      <c r="DC942" s="30"/>
      <c r="DD942" s="30"/>
      <c r="DE942" s="30"/>
      <c r="DF942" s="30"/>
      <c r="DG942" s="30"/>
      <c r="DH942" s="30"/>
      <c r="DI942" s="30"/>
      <c r="DJ942" s="30"/>
      <c r="DK942" s="30"/>
      <c r="DL942" s="30"/>
      <c r="DM942" s="30"/>
      <c r="DN942" s="30"/>
      <c r="DO942" s="30"/>
      <c r="DP942" s="30"/>
      <c r="DQ942" s="30"/>
      <c r="DR942" s="30"/>
      <c r="DS942" s="30"/>
      <c r="DT942" s="30"/>
      <c r="DU942" s="30"/>
      <c r="DV942" s="30"/>
      <c r="DW942" s="30"/>
    </row>
    <row r="943" spans="1:127" ht="13">
      <c r="A943" s="39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  <c r="BN943" s="30"/>
      <c r="BO943" s="30"/>
      <c r="BP943" s="30"/>
      <c r="BQ943" s="30"/>
      <c r="BR943" s="30"/>
      <c r="BS943" s="30"/>
      <c r="BT943" s="30"/>
      <c r="BU943" s="30"/>
      <c r="BV943" s="30"/>
      <c r="BW943" s="30"/>
      <c r="BX943" s="30"/>
      <c r="BY943" s="30"/>
      <c r="BZ943" s="30"/>
      <c r="CA943" s="30"/>
      <c r="CB943" s="30"/>
      <c r="CC943" s="30"/>
      <c r="CD943" s="30"/>
      <c r="CE943" s="30"/>
      <c r="CF943" s="30"/>
      <c r="CG943" s="30"/>
      <c r="CH943" s="30"/>
      <c r="CI943" s="30"/>
      <c r="CJ943" s="30"/>
      <c r="CK943" s="30"/>
      <c r="CL943" s="30"/>
      <c r="CM943" s="30"/>
      <c r="CN943" s="30"/>
      <c r="CO943" s="30"/>
      <c r="CP943" s="30"/>
      <c r="CQ943" s="30"/>
      <c r="CR943" s="30"/>
      <c r="CS943" s="30"/>
      <c r="CT943" s="30"/>
      <c r="CU943" s="30"/>
      <c r="CV943" s="30"/>
      <c r="CW943" s="30"/>
      <c r="CX943" s="30"/>
      <c r="CY943" s="30"/>
      <c r="CZ943" s="30"/>
      <c r="DA943" s="30"/>
      <c r="DB943" s="30"/>
      <c r="DC943" s="30"/>
      <c r="DD943" s="30"/>
      <c r="DE943" s="30"/>
      <c r="DF943" s="30"/>
      <c r="DG943" s="30"/>
      <c r="DH943" s="30"/>
      <c r="DI943" s="30"/>
      <c r="DJ943" s="30"/>
      <c r="DK943" s="30"/>
      <c r="DL943" s="30"/>
      <c r="DM943" s="30"/>
      <c r="DN943" s="30"/>
      <c r="DO943" s="30"/>
      <c r="DP943" s="30"/>
      <c r="DQ943" s="30"/>
      <c r="DR943" s="30"/>
      <c r="DS943" s="30"/>
      <c r="DT943" s="30"/>
      <c r="DU943" s="30"/>
      <c r="DV943" s="30"/>
      <c r="DW943" s="30"/>
    </row>
    <row r="944" spans="1:127" ht="13">
      <c r="A944" s="39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  <c r="BJ944" s="30"/>
      <c r="BK944" s="30"/>
      <c r="BL944" s="30"/>
      <c r="BM944" s="30"/>
      <c r="BN944" s="30"/>
      <c r="BO944" s="30"/>
      <c r="BP944" s="30"/>
      <c r="BQ944" s="30"/>
      <c r="BR944" s="30"/>
      <c r="BS944" s="30"/>
      <c r="BT944" s="30"/>
      <c r="BU944" s="30"/>
      <c r="BV944" s="30"/>
      <c r="BW944" s="30"/>
      <c r="BX944" s="30"/>
      <c r="BY944" s="30"/>
      <c r="BZ944" s="30"/>
      <c r="CA944" s="30"/>
      <c r="CB944" s="30"/>
      <c r="CC944" s="30"/>
      <c r="CD944" s="30"/>
      <c r="CE944" s="30"/>
      <c r="CF944" s="30"/>
      <c r="CG944" s="30"/>
      <c r="CH944" s="30"/>
      <c r="CI944" s="30"/>
      <c r="CJ944" s="30"/>
      <c r="CK944" s="30"/>
      <c r="CL944" s="30"/>
      <c r="CM944" s="30"/>
      <c r="CN944" s="30"/>
      <c r="CO944" s="30"/>
      <c r="CP944" s="30"/>
      <c r="CQ944" s="30"/>
      <c r="CR944" s="30"/>
      <c r="CS944" s="30"/>
      <c r="CT944" s="30"/>
      <c r="CU944" s="30"/>
      <c r="CV944" s="30"/>
      <c r="CW944" s="30"/>
      <c r="CX944" s="30"/>
      <c r="CY944" s="30"/>
      <c r="CZ944" s="30"/>
      <c r="DA944" s="30"/>
      <c r="DB944" s="30"/>
      <c r="DC944" s="30"/>
      <c r="DD944" s="30"/>
      <c r="DE944" s="30"/>
      <c r="DF944" s="30"/>
      <c r="DG944" s="30"/>
      <c r="DH944" s="30"/>
      <c r="DI944" s="30"/>
      <c r="DJ944" s="30"/>
      <c r="DK944" s="30"/>
      <c r="DL944" s="30"/>
      <c r="DM944" s="30"/>
      <c r="DN944" s="30"/>
      <c r="DO944" s="30"/>
      <c r="DP944" s="30"/>
      <c r="DQ944" s="30"/>
      <c r="DR944" s="30"/>
      <c r="DS944" s="30"/>
      <c r="DT944" s="30"/>
      <c r="DU944" s="30"/>
      <c r="DV944" s="30"/>
      <c r="DW944" s="30"/>
    </row>
    <row r="945" spans="1:127" ht="13">
      <c r="A945" s="39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  <c r="BJ945" s="30"/>
      <c r="BK945" s="30"/>
      <c r="BL945" s="30"/>
      <c r="BM945" s="30"/>
      <c r="BN945" s="30"/>
      <c r="BO945" s="30"/>
      <c r="BP945" s="30"/>
      <c r="BQ945" s="30"/>
      <c r="BR945" s="30"/>
      <c r="BS945" s="30"/>
      <c r="BT945" s="30"/>
      <c r="BU945" s="30"/>
      <c r="BV945" s="30"/>
      <c r="BW945" s="30"/>
      <c r="BX945" s="30"/>
      <c r="BY945" s="30"/>
      <c r="BZ945" s="30"/>
      <c r="CA945" s="30"/>
      <c r="CB945" s="30"/>
      <c r="CC945" s="30"/>
      <c r="CD945" s="30"/>
      <c r="CE945" s="30"/>
      <c r="CF945" s="30"/>
      <c r="CG945" s="30"/>
      <c r="CH945" s="30"/>
      <c r="CI945" s="30"/>
      <c r="CJ945" s="30"/>
      <c r="CK945" s="30"/>
      <c r="CL945" s="30"/>
      <c r="CM945" s="30"/>
      <c r="CN945" s="30"/>
      <c r="CO945" s="30"/>
      <c r="CP945" s="30"/>
      <c r="CQ945" s="30"/>
      <c r="CR945" s="30"/>
      <c r="CS945" s="30"/>
      <c r="CT945" s="30"/>
      <c r="CU945" s="30"/>
      <c r="CV945" s="30"/>
      <c r="CW945" s="30"/>
      <c r="CX945" s="30"/>
      <c r="CY945" s="30"/>
      <c r="CZ945" s="30"/>
      <c r="DA945" s="30"/>
      <c r="DB945" s="30"/>
      <c r="DC945" s="30"/>
      <c r="DD945" s="30"/>
      <c r="DE945" s="30"/>
      <c r="DF945" s="30"/>
      <c r="DG945" s="30"/>
      <c r="DH945" s="30"/>
      <c r="DI945" s="30"/>
      <c r="DJ945" s="30"/>
      <c r="DK945" s="30"/>
      <c r="DL945" s="30"/>
      <c r="DM945" s="30"/>
      <c r="DN945" s="30"/>
      <c r="DO945" s="30"/>
      <c r="DP945" s="30"/>
      <c r="DQ945" s="30"/>
      <c r="DR945" s="30"/>
      <c r="DS945" s="30"/>
      <c r="DT945" s="30"/>
      <c r="DU945" s="30"/>
      <c r="DV945" s="30"/>
      <c r="DW945" s="30"/>
    </row>
    <row r="946" spans="1:127" ht="13">
      <c r="A946" s="39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  <c r="BJ946" s="30"/>
      <c r="BK946" s="30"/>
      <c r="BL946" s="30"/>
      <c r="BM946" s="30"/>
      <c r="BN946" s="30"/>
      <c r="BO946" s="30"/>
      <c r="BP946" s="30"/>
      <c r="BQ946" s="30"/>
      <c r="BR946" s="30"/>
      <c r="BS946" s="30"/>
      <c r="BT946" s="30"/>
      <c r="BU946" s="30"/>
      <c r="BV946" s="30"/>
      <c r="BW946" s="30"/>
      <c r="BX946" s="30"/>
      <c r="BY946" s="30"/>
      <c r="BZ946" s="30"/>
      <c r="CA946" s="30"/>
      <c r="CB946" s="30"/>
      <c r="CC946" s="30"/>
      <c r="CD946" s="30"/>
      <c r="CE946" s="30"/>
      <c r="CF946" s="30"/>
      <c r="CG946" s="30"/>
      <c r="CH946" s="30"/>
      <c r="CI946" s="30"/>
      <c r="CJ946" s="30"/>
      <c r="CK946" s="30"/>
      <c r="CL946" s="30"/>
      <c r="CM946" s="30"/>
      <c r="CN946" s="30"/>
      <c r="CO946" s="30"/>
      <c r="CP946" s="30"/>
      <c r="CQ946" s="30"/>
      <c r="CR946" s="30"/>
      <c r="CS946" s="30"/>
      <c r="CT946" s="30"/>
      <c r="CU946" s="30"/>
      <c r="CV946" s="30"/>
      <c r="CW946" s="30"/>
      <c r="CX946" s="30"/>
      <c r="CY946" s="30"/>
      <c r="CZ946" s="30"/>
      <c r="DA946" s="30"/>
      <c r="DB946" s="30"/>
      <c r="DC946" s="30"/>
      <c r="DD946" s="30"/>
      <c r="DE946" s="30"/>
      <c r="DF946" s="30"/>
      <c r="DG946" s="30"/>
      <c r="DH946" s="30"/>
      <c r="DI946" s="30"/>
      <c r="DJ946" s="30"/>
      <c r="DK946" s="30"/>
      <c r="DL946" s="30"/>
      <c r="DM946" s="30"/>
      <c r="DN946" s="30"/>
      <c r="DO946" s="30"/>
      <c r="DP946" s="30"/>
      <c r="DQ946" s="30"/>
      <c r="DR946" s="30"/>
      <c r="DS946" s="30"/>
      <c r="DT946" s="30"/>
      <c r="DU946" s="30"/>
      <c r="DV946" s="30"/>
      <c r="DW946" s="30"/>
    </row>
    <row r="947" spans="1:127" ht="13">
      <c r="A947" s="39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  <c r="BJ947" s="30"/>
      <c r="BK947" s="30"/>
      <c r="BL947" s="30"/>
      <c r="BM947" s="30"/>
      <c r="BN947" s="30"/>
      <c r="BO947" s="30"/>
      <c r="BP947" s="30"/>
      <c r="BQ947" s="30"/>
      <c r="BR947" s="30"/>
      <c r="BS947" s="30"/>
      <c r="BT947" s="30"/>
      <c r="BU947" s="30"/>
      <c r="BV947" s="30"/>
      <c r="BW947" s="30"/>
      <c r="BX947" s="30"/>
      <c r="BY947" s="30"/>
      <c r="BZ947" s="30"/>
      <c r="CA947" s="30"/>
      <c r="CB947" s="30"/>
      <c r="CC947" s="30"/>
      <c r="CD947" s="30"/>
      <c r="CE947" s="30"/>
      <c r="CF947" s="30"/>
      <c r="CG947" s="30"/>
      <c r="CH947" s="30"/>
      <c r="CI947" s="30"/>
      <c r="CJ947" s="30"/>
      <c r="CK947" s="30"/>
      <c r="CL947" s="30"/>
      <c r="CM947" s="30"/>
      <c r="CN947" s="30"/>
      <c r="CO947" s="30"/>
      <c r="CP947" s="30"/>
      <c r="CQ947" s="30"/>
      <c r="CR947" s="30"/>
      <c r="CS947" s="30"/>
      <c r="CT947" s="30"/>
      <c r="CU947" s="30"/>
      <c r="CV947" s="30"/>
      <c r="CW947" s="30"/>
      <c r="CX947" s="30"/>
      <c r="CY947" s="30"/>
      <c r="CZ947" s="30"/>
      <c r="DA947" s="30"/>
      <c r="DB947" s="30"/>
      <c r="DC947" s="30"/>
      <c r="DD947" s="30"/>
      <c r="DE947" s="30"/>
      <c r="DF947" s="30"/>
      <c r="DG947" s="30"/>
      <c r="DH947" s="30"/>
      <c r="DI947" s="30"/>
      <c r="DJ947" s="30"/>
      <c r="DK947" s="30"/>
      <c r="DL947" s="30"/>
      <c r="DM947" s="30"/>
      <c r="DN947" s="30"/>
      <c r="DO947" s="30"/>
      <c r="DP947" s="30"/>
      <c r="DQ947" s="30"/>
      <c r="DR947" s="30"/>
      <c r="DS947" s="30"/>
      <c r="DT947" s="30"/>
      <c r="DU947" s="30"/>
      <c r="DV947" s="30"/>
      <c r="DW947" s="30"/>
    </row>
    <row r="948" spans="1:127" ht="13">
      <c r="A948" s="39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  <c r="BJ948" s="30"/>
      <c r="BK948" s="30"/>
      <c r="BL948" s="30"/>
      <c r="BM948" s="30"/>
      <c r="BN948" s="30"/>
      <c r="BO948" s="30"/>
      <c r="BP948" s="30"/>
      <c r="BQ948" s="30"/>
      <c r="BR948" s="30"/>
      <c r="BS948" s="30"/>
      <c r="BT948" s="30"/>
      <c r="BU948" s="30"/>
      <c r="BV948" s="30"/>
      <c r="BW948" s="30"/>
      <c r="BX948" s="30"/>
      <c r="BY948" s="30"/>
      <c r="BZ948" s="30"/>
      <c r="CA948" s="30"/>
      <c r="CB948" s="30"/>
      <c r="CC948" s="30"/>
      <c r="CD948" s="30"/>
      <c r="CE948" s="30"/>
      <c r="CF948" s="30"/>
      <c r="CG948" s="30"/>
      <c r="CH948" s="30"/>
      <c r="CI948" s="30"/>
      <c r="CJ948" s="30"/>
      <c r="CK948" s="30"/>
      <c r="CL948" s="30"/>
      <c r="CM948" s="30"/>
      <c r="CN948" s="30"/>
      <c r="CO948" s="30"/>
      <c r="CP948" s="30"/>
      <c r="CQ948" s="30"/>
      <c r="CR948" s="30"/>
      <c r="CS948" s="30"/>
      <c r="CT948" s="30"/>
      <c r="CU948" s="30"/>
      <c r="CV948" s="30"/>
      <c r="CW948" s="30"/>
      <c r="CX948" s="30"/>
      <c r="CY948" s="30"/>
      <c r="CZ948" s="30"/>
      <c r="DA948" s="30"/>
      <c r="DB948" s="30"/>
      <c r="DC948" s="30"/>
      <c r="DD948" s="30"/>
      <c r="DE948" s="30"/>
      <c r="DF948" s="30"/>
      <c r="DG948" s="30"/>
      <c r="DH948" s="30"/>
      <c r="DI948" s="30"/>
      <c r="DJ948" s="30"/>
      <c r="DK948" s="30"/>
      <c r="DL948" s="30"/>
      <c r="DM948" s="30"/>
      <c r="DN948" s="30"/>
      <c r="DO948" s="30"/>
      <c r="DP948" s="30"/>
      <c r="DQ948" s="30"/>
      <c r="DR948" s="30"/>
      <c r="DS948" s="30"/>
      <c r="DT948" s="30"/>
      <c r="DU948" s="30"/>
      <c r="DV948" s="30"/>
      <c r="DW948" s="30"/>
    </row>
    <row r="949" spans="1:127" ht="13">
      <c r="A949" s="39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  <c r="BI949" s="30"/>
      <c r="BJ949" s="30"/>
      <c r="BK949" s="30"/>
      <c r="BL949" s="30"/>
      <c r="BM949" s="30"/>
      <c r="BN949" s="30"/>
      <c r="BO949" s="30"/>
      <c r="BP949" s="30"/>
      <c r="BQ949" s="30"/>
      <c r="BR949" s="30"/>
      <c r="BS949" s="30"/>
      <c r="BT949" s="30"/>
      <c r="BU949" s="30"/>
      <c r="BV949" s="30"/>
      <c r="BW949" s="30"/>
      <c r="BX949" s="30"/>
      <c r="BY949" s="30"/>
      <c r="BZ949" s="30"/>
      <c r="CA949" s="30"/>
      <c r="CB949" s="30"/>
      <c r="CC949" s="30"/>
      <c r="CD949" s="30"/>
      <c r="CE949" s="30"/>
      <c r="CF949" s="30"/>
      <c r="CG949" s="30"/>
      <c r="CH949" s="30"/>
      <c r="CI949" s="30"/>
      <c r="CJ949" s="30"/>
      <c r="CK949" s="30"/>
      <c r="CL949" s="30"/>
      <c r="CM949" s="30"/>
      <c r="CN949" s="30"/>
      <c r="CO949" s="30"/>
      <c r="CP949" s="30"/>
      <c r="CQ949" s="30"/>
      <c r="CR949" s="30"/>
      <c r="CS949" s="30"/>
      <c r="CT949" s="30"/>
      <c r="CU949" s="30"/>
      <c r="CV949" s="30"/>
      <c r="CW949" s="30"/>
      <c r="CX949" s="30"/>
      <c r="CY949" s="30"/>
      <c r="CZ949" s="30"/>
      <c r="DA949" s="30"/>
      <c r="DB949" s="30"/>
      <c r="DC949" s="30"/>
      <c r="DD949" s="30"/>
      <c r="DE949" s="30"/>
      <c r="DF949" s="30"/>
      <c r="DG949" s="30"/>
      <c r="DH949" s="30"/>
      <c r="DI949" s="30"/>
      <c r="DJ949" s="30"/>
      <c r="DK949" s="30"/>
      <c r="DL949" s="30"/>
      <c r="DM949" s="30"/>
      <c r="DN949" s="30"/>
      <c r="DO949" s="30"/>
      <c r="DP949" s="30"/>
      <c r="DQ949" s="30"/>
      <c r="DR949" s="30"/>
      <c r="DS949" s="30"/>
      <c r="DT949" s="30"/>
      <c r="DU949" s="30"/>
      <c r="DV949" s="30"/>
      <c r="DW949" s="30"/>
    </row>
    <row r="950" spans="1:127" ht="13">
      <c r="A950" s="39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30"/>
      <c r="BP950" s="30"/>
      <c r="BQ950" s="30"/>
      <c r="BR950" s="30"/>
      <c r="BS950" s="30"/>
      <c r="BT950" s="30"/>
      <c r="BU950" s="30"/>
      <c r="BV950" s="30"/>
      <c r="BW950" s="30"/>
      <c r="BX950" s="30"/>
      <c r="BY950" s="30"/>
      <c r="BZ950" s="30"/>
      <c r="CA950" s="30"/>
      <c r="CB950" s="30"/>
      <c r="CC950" s="30"/>
      <c r="CD950" s="30"/>
      <c r="CE950" s="30"/>
      <c r="CF950" s="30"/>
      <c r="CG950" s="30"/>
      <c r="CH950" s="30"/>
      <c r="CI950" s="30"/>
      <c r="CJ950" s="30"/>
      <c r="CK950" s="30"/>
      <c r="CL950" s="30"/>
      <c r="CM950" s="30"/>
      <c r="CN950" s="30"/>
      <c r="CO950" s="30"/>
      <c r="CP950" s="30"/>
      <c r="CQ950" s="30"/>
      <c r="CR950" s="30"/>
      <c r="CS950" s="30"/>
      <c r="CT950" s="30"/>
      <c r="CU950" s="30"/>
      <c r="CV950" s="30"/>
      <c r="CW950" s="30"/>
      <c r="CX950" s="30"/>
      <c r="CY950" s="30"/>
      <c r="CZ950" s="30"/>
      <c r="DA950" s="30"/>
      <c r="DB950" s="30"/>
      <c r="DC950" s="30"/>
      <c r="DD950" s="30"/>
      <c r="DE950" s="30"/>
      <c r="DF950" s="30"/>
      <c r="DG950" s="30"/>
      <c r="DH950" s="30"/>
      <c r="DI950" s="30"/>
      <c r="DJ950" s="30"/>
      <c r="DK950" s="30"/>
      <c r="DL950" s="30"/>
      <c r="DM950" s="30"/>
      <c r="DN950" s="30"/>
      <c r="DO950" s="30"/>
      <c r="DP950" s="30"/>
      <c r="DQ950" s="30"/>
      <c r="DR950" s="30"/>
      <c r="DS950" s="30"/>
      <c r="DT950" s="30"/>
      <c r="DU950" s="30"/>
      <c r="DV950" s="30"/>
      <c r="DW950" s="30"/>
    </row>
    <row r="951" spans="1:127" ht="13">
      <c r="A951" s="39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  <c r="BJ951" s="30"/>
      <c r="BK951" s="30"/>
      <c r="BL951" s="30"/>
      <c r="BM951" s="30"/>
      <c r="BN951" s="30"/>
      <c r="BO951" s="30"/>
      <c r="BP951" s="30"/>
      <c r="BQ951" s="30"/>
      <c r="BR951" s="30"/>
      <c r="BS951" s="30"/>
      <c r="BT951" s="30"/>
      <c r="BU951" s="30"/>
      <c r="BV951" s="30"/>
      <c r="BW951" s="30"/>
      <c r="BX951" s="30"/>
      <c r="BY951" s="30"/>
      <c r="BZ951" s="30"/>
      <c r="CA951" s="30"/>
      <c r="CB951" s="30"/>
      <c r="CC951" s="30"/>
      <c r="CD951" s="30"/>
      <c r="CE951" s="30"/>
      <c r="CF951" s="30"/>
      <c r="CG951" s="30"/>
      <c r="CH951" s="30"/>
      <c r="CI951" s="30"/>
      <c r="CJ951" s="30"/>
      <c r="CK951" s="30"/>
      <c r="CL951" s="30"/>
      <c r="CM951" s="30"/>
      <c r="CN951" s="30"/>
      <c r="CO951" s="30"/>
      <c r="CP951" s="30"/>
      <c r="CQ951" s="30"/>
      <c r="CR951" s="30"/>
      <c r="CS951" s="30"/>
      <c r="CT951" s="30"/>
      <c r="CU951" s="30"/>
      <c r="CV951" s="30"/>
      <c r="CW951" s="30"/>
      <c r="CX951" s="30"/>
      <c r="CY951" s="30"/>
      <c r="CZ951" s="30"/>
      <c r="DA951" s="30"/>
      <c r="DB951" s="30"/>
      <c r="DC951" s="30"/>
      <c r="DD951" s="30"/>
      <c r="DE951" s="30"/>
      <c r="DF951" s="30"/>
      <c r="DG951" s="30"/>
      <c r="DH951" s="30"/>
      <c r="DI951" s="30"/>
      <c r="DJ951" s="30"/>
      <c r="DK951" s="30"/>
      <c r="DL951" s="30"/>
      <c r="DM951" s="30"/>
      <c r="DN951" s="30"/>
      <c r="DO951" s="30"/>
      <c r="DP951" s="30"/>
      <c r="DQ951" s="30"/>
      <c r="DR951" s="30"/>
      <c r="DS951" s="30"/>
      <c r="DT951" s="30"/>
      <c r="DU951" s="30"/>
      <c r="DV951" s="30"/>
      <c r="DW951" s="30"/>
    </row>
    <row r="952" spans="1:127" ht="13">
      <c r="A952" s="39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  <c r="BJ952" s="30"/>
      <c r="BK952" s="30"/>
      <c r="BL952" s="30"/>
      <c r="BM952" s="30"/>
      <c r="BN952" s="30"/>
      <c r="BO952" s="30"/>
      <c r="BP952" s="30"/>
      <c r="BQ952" s="30"/>
      <c r="BR952" s="30"/>
      <c r="BS952" s="30"/>
      <c r="BT952" s="30"/>
      <c r="BU952" s="30"/>
      <c r="BV952" s="30"/>
      <c r="BW952" s="30"/>
      <c r="BX952" s="30"/>
      <c r="BY952" s="30"/>
      <c r="BZ952" s="30"/>
      <c r="CA952" s="30"/>
      <c r="CB952" s="30"/>
      <c r="CC952" s="30"/>
      <c r="CD952" s="30"/>
      <c r="CE952" s="30"/>
      <c r="CF952" s="30"/>
      <c r="CG952" s="30"/>
      <c r="CH952" s="30"/>
      <c r="CI952" s="30"/>
      <c r="CJ952" s="30"/>
      <c r="CK952" s="30"/>
      <c r="CL952" s="30"/>
      <c r="CM952" s="30"/>
      <c r="CN952" s="30"/>
      <c r="CO952" s="30"/>
      <c r="CP952" s="30"/>
      <c r="CQ952" s="30"/>
      <c r="CR952" s="30"/>
      <c r="CS952" s="30"/>
      <c r="CT952" s="30"/>
      <c r="CU952" s="30"/>
      <c r="CV952" s="30"/>
      <c r="CW952" s="30"/>
      <c r="CX952" s="30"/>
      <c r="CY952" s="30"/>
      <c r="CZ952" s="30"/>
      <c r="DA952" s="30"/>
      <c r="DB952" s="30"/>
      <c r="DC952" s="30"/>
      <c r="DD952" s="30"/>
      <c r="DE952" s="30"/>
      <c r="DF952" s="30"/>
      <c r="DG952" s="30"/>
      <c r="DH952" s="30"/>
      <c r="DI952" s="30"/>
      <c r="DJ952" s="30"/>
      <c r="DK952" s="30"/>
      <c r="DL952" s="30"/>
      <c r="DM952" s="30"/>
      <c r="DN952" s="30"/>
      <c r="DO952" s="30"/>
      <c r="DP952" s="30"/>
      <c r="DQ952" s="30"/>
      <c r="DR952" s="30"/>
      <c r="DS952" s="30"/>
      <c r="DT952" s="30"/>
      <c r="DU952" s="30"/>
      <c r="DV952" s="30"/>
      <c r="DW952" s="30"/>
    </row>
    <row r="953" spans="1:127" ht="13">
      <c r="A953" s="39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  <c r="BN953" s="30"/>
      <c r="BO953" s="30"/>
      <c r="BP953" s="30"/>
      <c r="BQ953" s="30"/>
      <c r="BR953" s="30"/>
      <c r="BS953" s="30"/>
      <c r="BT953" s="30"/>
      <c r="BU953" s="30"/>
      <c r="BV953" s="30"/>
      <c r="BW953" s="30"/>
      <c r="BX953" s="30"/>
      <c r="BY953" s="30"/>
      <c r="BZ953" s="30"/>
      <c r="CA953" s="30"/>
      <c r="CB953" s="30"/>
      <c r="CC953" s="30"/>
      <c r="CD953" s="30"/>
      <c r="CE953" s="30"/>
      <c r="CF953" s="30"/>
      <c r="CG953" s="30"/>
      <c r="CH953" s="30"/>
      <c r="CI953" s="30"/>
      <c r="CJ953" s="30"/>
      <c r="CK953" s="30"/>
      <c r="CL953" s="30"/>
      <c r="CM953" s="30"/>
      <c r="CN953" s="30"/>
      <c r="CO953" s="30"/>
      <c r="CP953" s="30"/>
      <c r="CQ953" s="30"/>
      <c r="CR953" s="30"/>
      <c r="CS953" s="30"/>
      <c r="CT953" s="30"/>
      <c r="CU953" s="30"/>
      <c r="CV953" s="30"/>
      <c r="CW953" s="30"/>
      <c r="CX953" s="30"/>
      <c r="CY953" s="30"/>
      <c r="CZ953" s="30"/>
      <c r="DA953" s="30"/>
      <c r="DB953" s="30"/>
      <c r="DC953" s="30"/>
      <c r="DD953" s="30"/>
      <c r="DE953" s="30"/>
      <c r="DF953" s="30"/>
      <c r="DG953" s="30"/>
      <c r="DH953" s="30"/>
      <c r="DI953" s="30"/>
      <c r="DJ953" s="30"/>
      <c r="DK953" s="30"/>
      <c r="DL953" s="30"/>
      <c r="DM953" s="30"/>
      <c r="DN953" s="30"/>
      <c r="DO953" s="30"/>
      <c r="DP953" s="30"/>
      <c r="DQ953" s="30"/>
      <c r="DR953" s="30"/>
      <c r="DS953" s="30"/>
      <c r="DT953" s="30"/>
      <c r="DU953" s="30"/>
      <c r="DV953" s="30"/>
      <c r="DW953" s="30"/>
    </row>
    <row r="954" spans="1:127" ht="13">
      <c r="A954" s="39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  <c r="BN954" s="30"/>
      <c r="BO954" s="30"/>
      <c r="BP954" s="30"/>
      <c r="BQ954" s="30"/>
      <c r="BR954" s="30"/>
      <c r="BS954" s="30"/>
      <c r="BT954" s="30"/>
      <c r="BU954" s="30"/>
      <c r="BV954" s="30"/>
      <c r="BW954" s="30"/>
      <c r="BX954" s="30"/>
      <c r="BY954" s="30"/>
      <c r="BZ954" s="30"/>
      <c r="CA954" s="30"/>
      <c r="CB954" s="30"/>
      <c r="CC954" s="30"/>
      <c r="CD954" s="30"/>
      <c r="CE954" s="30"/>
      <c r="CF954" s="30"/>
      <c r="CG954" s="30"/>
      <c r="CH954" s="30"/>
      <c r="CI954" s="30"/>
      <c r="CJ954" s="30"/>
      <c r="CK954" s="30"/>
      <c r="CL954" s="30"/>
      <c r="CM954" s="30"/>
      <c r="CN954" s="30"/>
      <c r="CO954" s="30"/>
      <c r="CP954" s="30"/>
      <c r="CQ954" s="30"/>
      <c r="CR954" s="30"/>
      <c r="CS954" s="30"/>
      <c r="CT954" s="30"/>
      <c r="CU954" s="30"/>
      <c r="CV954" s="30"/>
      <c r="CW954" s="30"/>
      <c r="CX954" s="30"/>
      <c r="CY954" s="30"/>
      <c r="CZ954" s="30"/>
      <c r="DA954" s="30"/>
      <c r="DB954" s="30"/>
      <c r="DC954" s="30"/>
      <c r="DD954" s="30"/>
      <c r="DE954" s="30"/>
      <c r="DF954" s="30"/>
      <c r="DG954" s="30"/>
      <c r="DH954" s="30"/>
      <c r="DI954" s="30"/>
      <c r="DJ954" s="30"/>
      <c r="DK954" s="30"/>
      <c r="DL954" s="30"/>
      <c r="DM954" s="30"/>
      <c r="DN954" s="30"/>
      <c r="DO954" s="30"/>
      <c r="DP954" s="30"/>
      <c r="DQ954" s="30"/>
      <c r="DR954" s="30"/>
      <c r="DS954" s="30"/>
      <c r="DT954" s="30"/>
      <c r="DU954" s="30"/>
      <c r="DV954" s="30"/>
      <c r="DW954" s="30"/>
    </row>
    <row r="955" spans="1:127" ht="13">
      <c r="A955" s="39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  <c r="BP955" s="30"/>
      <c r="BQ955" s="30"/>
      <c r="BR955" s="30"/>
      <c r="BS955" s="30"/>
      <c r="BT955" s="30"/>
      <c r="BU955" s="30"/>
      <c r="BV955" s="30"/>
      <c r="BW955" s="30"/>
      <c r="BX955" s="30"/>
      <c r="BY955" s="30"/>
      <c r="BZ955" s="30"/>
      <c r="CA955" s="30"/>
      <c r="CB955" s="30"/>
      <c r="CC955" s="30"/>
      <c r="CD955" s="30"/>
      <c r="CE955" s="30"/>
      <c r="CF955" s="30"/>
      <c r="CG955" s="30"/>
      <c r="CH955" s="30"/>
      <c r="CI955" s="30"/>
      <c r="CJ955" s="30"/>
      <c r="CK955" s="30"/>
      <c r="CL955" s="30"/>
      <c r="CM955" s="30"/>
      <c r="CN955" s="30"/>
      <c r="CO955" s="30"/>
      <c r="CP955" s="30"/>
      <c r="CQ955" s="30"/>
      <c r="CR955" s="30"/>
      <c r="CS955" s="30"/>
      <c r="CT955" s="30"/>
      <c r="CU955" s="30"/>
      <c r="CV955" s="30"/>
      <c r="CW955" s="30"/>
      <c r="CX955" s="30"/>
      <c r="CY955" s="30"/>
      <c r="CZ955" s="30"/>
      <c r="DA955" s="30"/>
      <c r="DB955" s="30"/>
      <c r="DC955" s="30"/>
      <c r="DD955" s="30"/>
      <c r="DE955" s="30"/>
      <c r="DF955" s="30"/>
      <c r="DG955" s="30"/>
      <c r="DH955" s="30"/>
      <c r="DI955" s="30"/>
      <c r="DJ955" s="30"/>
      <c r="DK955" s="30"/>
      <c r="DL955" s="30"/>
      <c r="DM955" s="30"/>
      <c r="DN955" s="30"/>
      <c r="DO955" s="30"/>
      <c r="DP955" s="30"/>
      <c r="DQ955" s="30"/>
      <c r="DR955" s="30"/>
      <c r="DS955" s="30"/>
      <c r="DT955" s="30"/>
      <c r="DU955" s="30"/>
      <c r="DV955" s="30"/>
      <c r="DW955" s="30"/>
    </row>
    <row r="956" spans="1:127" ht="13">
      <c r="A956" s="39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  <c r="BN956" s="30"/>
      <c r="BO956" s="30"/>
      <c r="BP956" s="30"/>
      <c r="BQ956" s="30"/>
      <c r="BR956" s="30"/>
      <c r="BS956" s="30"/>
      <c r="BT956" s="30"/>
      <c r="BU956" s="30"/>
      <c r="BV956" s="30"/>
      <c r="BW956" s="30"/>
      <c r="BX956" s="30"/>
      <c r="BY956" s="30"/>
      <c r="BZ956" s="30"/>
      <c r="CA956" s="30"/>
      <c r="CB956" s="30"/>
      <c r="CC956" s="30"/>
      <c r="CD956" s="30"/>
      <c r="CE956" s="30"/>
      <c r="CF956" s="30"/>
      <c r="CG956" s="30"/>
      <c r="CH956" s="30"/>
      <c r="CI956" s="30"/>
      <c r="CJ956" s="30"/>
      <c r="CK956" s="30"/>
      <c r="CL956" s="30"/>
      <c r="CM956" s="30"/>
      <c r="CN956" s="30"/>
      <c r="CO956" s="30"/>
      <c r="CP956" s="30"/>
      <c r="CQ956" s="30"/>
      <c r="CR956" s="30"/>
      <c r="CS956" s="30"/>
      <c r="CT956" s="30"/>
      <c r="CU956" s="30"/>
      <c r="CV956" s="30"/>
      <c r="CW956" s="30"/>
      <c r="CX956" s="30"/>
      <c r="CY956" s="30"/>
      <c r="CZ956" s="30"/>
      <c r="DA956" s="30"/>
      <c r="DB956" s="30"/>
      <c r="DC956" s="30"/>
      <c r="DD956" s="30"/>
      <c r="DE956" s="30"/>
      <c r="DF956" s="30"/>
      <c r="DG956" s="30"/>
      <c r="DH956" s="30"/>
      <c r="DI956" s="30"/>
      <c r="DJ956" s="30"/>
      <c r="DK956" s="30"/>
      <c r="DL956" s="30"/>
      <c r="DM956" s="30"/>
      <c r="DN956" s="30"/>
      <c r="DO956" s="30"/>
      <c r="DP956" s="30"/>
      <c r="DQ956" s="30"/>
      <c r="DR956" s="30"/>
      <c r="DS956" s="30"/>
      <c r="DT956" s="30"/>
      <c r="DU956" s="30"/>
      <c r="DV956" s="30"/>
      <c r="DW956" s="30"/>
    </row>
    <row r="957" spans="1:127" ht="13">
      <c r="A957" s="39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  <c r="BN957" s="30"/>
      <c r="BO957" s="30"/>
      <c r="BP957" s="30"/>
      <c r="BQ957" s="30"/>
      <c r="BR957" s="30"/>
      <c r="BS957" s="30"/>
      <c r="BT957" s="30"/>
      <c r="BU957" s="30"/>
      <c r="BV957" s="30"/>
      <c r="BW957" s="30"/>
      <c r="BX957" s="30"/>
      <c r="BY957" s="30"/>
      <c r="BZ957" s="30"/>
      <c r="CA957" s="30"/>
      <c r="CB957" s="30"/>
      <c r="CC957" s="30"/>
      <c r="CD957" s="30"/>
      <c r="CE957" s="30"/>
      <c r="CF957" s="30"/>
      <c r="CG957" s="30"/>
      <c r="CH957" s="30"/>
      <c r="CI957" s="30"/>
      <c r="CJ957" s="30"/>
      <c r="CK957" s="30"/>
      <c r="CL957" s="30"/>
      <c r="CM957" s="30"/>
      <c r="CN957" s="30"/>
      <c r="CO957" s="30"/>
      <c r="CP957" s="30"/>
      <c r="CQ957" s="30"/>
      <c r="CR957" s="30"/>
      <c r="CS957" s="30"/>
      <c r="CT957" s="30"/>
      <c r="CU957" s="30"/>
      <c r="CV957" s="30"/>
      <c r="CW957" s="30"/>
      <c r="CX957" s="30"/>
      <c r="CY957" s="30"/>
      <c r="CZ957" s="30"/>
      <c r="DA957" s="30"/>
      <c r="DB957" s="30"/>
      <c r="DC957" s="30"/>
      <c r="DD957" s="30"/>
      <c r="DE957" s="30"/>
      <c r="DF957" s="30"/>
      <c r="DG957" s="30"/>
      <c r="DH957" s="30"/>
      <c r="DI957" s="30"/>
      <c r="DJ957" s="30"/>
      <c r="DK957" s="30"/>
      <c r="DL957" s="30"/>
      <c r="DM957" s="30"/>
      <c r="DN957" s="30"/>
      <c r="DO957" s="30"/>
      <c r="DP957" s="30"/>
      <c r="DQ957" s="30"/>
      <c r="DR957" s="30"/>
      <c r="DS957" s="30"/>
      <c r="DT957" s="30"/>
      <c r="DU957" s="30"/>
      <c r="DV957" s="30"/>
      <c r="DW957" s="30"/>
    </row>
    <row r="958" spans="1:127" ht="13">
      <c r="A958" s="39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  <c r="BN958" s="30"/>
      <c r="BO958" s="30"/>
      <c r="BP958" s="30"/>
      <c r="BQ958" s="30"/>
      <c r="BR958" s="30"/>
      <c r="BS958" s="30"/>
      <c r="BT958" s="30"/>
      <c r="BU958" s="30"/>
      <c r="BV958" s="30"/>
      <c r="BW958" s="30"/>
      <c r="BX958" s="30"/>
      <c r="BY958" s="30"/>
      <c r="BZ958" s="30"/>
      <c r="CA958" s="30"/>
      <c r="CB958" s="30"/>
      <c r="CC958" s="30"/>
      <c r="CD958" s="30"/>
      <c r="CE958" s="30"/>
      <c r="CF958" s="30"/>
      <c r="CG958" s="30"/>
      <c r="CH958" s="30"/>
      <c r="CI958" s="30"/>
      <c r="CJ958" s="30"/>
      <c r="CK958" s="30"/>
      <c r="CL958" s="30"/>
      <c r="CM958" s="30"/>
      <c r="CN958" s="30"/>
      <c r="CO958" s="30"/>
      <c r="CP958" s="30"/>
      <c r="CQ958" s="30"/>
      <c r="CR958" s="30"/>
      <c r="CS958" s="30"/>
      <c r="CT958" s="30"/>
      <c r="CU958" s="30"/>
      <c r="CV958" s="30"/>
      <c r="CW958" s="30"/>
      <c r="CX958" s="30"/>
      <c r="CY958" s="30"/>
      <c r="CZ958" s="30"/>
      <c r="DA958" s="30"/>
      <c r="DB958" s="30"/>
      <c r="DC958" s="30"/>
      <c r="DD958" s="30"/>
      <c r="DE958" s="30"/>
      <c r="DF958" s="30"/>
      <c r="DG958" s="30"/>
      <c r="DH958" s="30"/>
      <c r="DI958" s="30"/>
      <c r="DJ958" s="30"/>
      <c r="DK958" s="30"/>
      <c r="DL958" s="30"/>
      <c r="DM958" s="30"/>
      <c r="DN958" s="30"/>
      <c r="DO958" s="30"/>
      <c r="DP958" s="30"/>
      <c r="DQ958" s="30"/>
      <c r="DR958" s="30"/>
      <c r="DS958" s="30"/>
      <c r="DT958" s="30"/>
      <c r="DU958" s="30"/>
      <c r="DV958" s="30"/>
      <c r="DW958" s="30"/>
    </row>
    <row r="959" spans="1:127" ht="13">
      <c r="A959" s="39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  <c r="BJ959" s="30"/>
      <c r="BK959" s="30"/>
      <c r="BL959" s="30"/>
      <c r="BM959" s="30"/>
      <c r="BN959" s="30"/>
      <c r="BO959" s="30"/>
      <c r="BP959" s="30"/>
      <c r="BQ959" s="30"/>
      <c r="BR959" s="30"/>
      <c r="BS959" s="30"/>
      <c r="BT959" s="30"/>
      <c r="BU959" s="30"/>
      <c r="BV959" s="30"/>
      <c r="BW959" s="30"/>
      <c r="BX959" s="30"/>
      <c r="BY959" s="30"/>
      <c r="BZ959" s="30"/>
      <c r="CA959" s="30"/>
      <c r="CB959" s="30"/>
      <c r="CC959" s="30"/>
      <c r="CD959" s="30"/>
      <c r="CE959" s="30"/>
      <c r="CF959" s="30"/>
      <c r="CG959" s="30"/>
      <c r="CH959" s="30"/>
      <c r="CI959" s="30"/>
      <c r="CJ959" s="30"/>
      <c r="CK959" s="30"/>
      <c r="CL959" s="30"/>
      <c r="CM959" s="30"/>
      <c r="CN959" s="30"/>
      <c r="CO959" s="30"/>
      <c r="CP959" s="30"/>
      <c r="CQ959" s="30"/>
      <c r="CR959" s="30"/>
      <c r="CS959" s="30"/>
      <c r="CT959" s="30"/>
      <c r="CU959" s="30"/>
      <c r="CV959" s="30"/>
      <c r="CW959" s="30"/>
      <c r="CX959" s="30"/>
      <c r="CY959" s="30"/>
      <c r="CZ959" s="30"/>
      <c r="DA959" s="30"/>
      <c r="DB959" s="30"/>
      <c r="DC959" s="30"/>
      <c r="DD959" s="30"/>
      <c r="DE959" s="30"/>
      <c r="DF959" s="30"/>
      <c r="DG959" s="30"/>
      <c r="DH959" s="30"/>
      <c r="DI959" s="30"/>
      <c r="DJ959" s="30"/>
      <c r="DK959" s="30"/>
      <c r="DL959" s="30"/>
      <c r="DM959" s="30"/>
      <c r="DN959" s="30"/>
      <c r="DO959" s="30"/>
      <c r="DP959" s="30"/>
      <c r="DQ959" s="30"/>
      <c r="DR959" s="30"/>
      <c r="DS959" s="30"/>
      <c r="DT959" s="30"/>
      <c r="DU959" s="30"/>
      <c r="DV959" s="30"/>
      <c r="DW959" s="30"/>
    </row>
    <row r="960" spans="1:127" ht="13">
      <c r="A960" s="39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  <c r="BI960" s="30"/>
      <c r="BJ960" s="30"/>
      <c r="BK960" s="30"/>
      <c r="BL960" s="30"/>
      <c r="BM960" s="30"/>
      <c r="BN960" s="30"/>
      <c r="BO960" s="30"/>
      <c r="BP960" s="30"/>
      <c r="BQ960" s="30"/>
      <c r="BR960" s="30"/>
      <c r="BS960" s="30"/>
      <c r="BT960" s="30"/>
      <c r="BU960" s="30"/>
      <c r="BV960" s="30"/>
      <c r="BW960" s="30"/>
      <c r="BX960" s="30"/>
      <c r="BY960" s="30"/>
      <c r="BZ960" s="30"/>
      <c r="CA960" s="30"/>
      <c r="CB960" s="30"/>
      <c r="CC960" s="30"/>
      <c r="CD960" s="30"/>
      <c r="CE960" s="30"/>
      <c r="CF960" s="30"/>
      <c r="CG960" s="30"/>
      <c r="CH960" s="30"/>
      <c r="CI960" s="30"/>
      <c r="CJ960" s="30"/>
      <c r="CK960" s="30"/>
      <c r="CL960" s="30"/>
      <c r="CM960" s="30"/>
      <c r="CN960" s="30"/>
      <c r="CO960" s="30"/>
      <c r="CP960" s="30"/>
      <c r="CQ960" s="30"/>
      <c r="CR960" s="30"/>
      <c r="CS960" s="30"/>
      <c r="CT960" s="30"/>
      <c r="CU960" s="30"/>
      <c r="CV960" s="30"/>
      <c r="CW960" s="30"/>
      <c r="CX960" s="30"/>
      <c r="CY960" s="30"/>
      <c r="CZ960" s="30"/>
      <c r="DA960" s="30"/>
      <c r="DB960" s="30"/>
      <c r="DC960" s="30"/>
      <c r="DD960" s="30"/>
      <c r="DE960" s="30"/>
      <c r="DF960" s="30"/>
      <c r="DG960" s="30"/>
      <c r="DH960" s="30"/>
      <c r="DI960" s="30"/>
      <c r="DJ960" s="30"/>
      <c r="DK960" s="30"/>
      <c r="DL960" s="30"/>
      <c r="DM960" s="30"/>
      <c r="DN960" s="30"/>
      <c r="DO960" s="30"/>
      <c r="DP960" s="30"/>
      <c r="DQ960" s="30"/>
      <c r="DR960" s="30"/>
      <c r="DS960" s="30"/>
      <c r="DT960" s="30"/>
      <c r="DU960" s="30"/>
      <c r="DV960" s="30"/>
      <c r="DW960" s="30"/>
    </row>
    <row r="961" spans="1:127" ht="13">
      <c r="A961" s="39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  <c r="BJ961" s="30"/>
      <c r="BK961" s="30"/>
      <c r="BL961" s="30"/>
      <c r="BM961" s="30"/>
      <c r="BN961" s="30"/>
      <c r="BO961" s="30"/>
      <c r="BP961" s="30"/>
      <c r="BQ961" s="30"/>
      <c r="BR961" s="30"/>
      <c r="BS961" s="30"/>
      <c r="BT961" s="30"/>
      <c r="BU961" s="30"/>
      <c r="BV961" s="30"/>
      <c r="BW961" s="30"/>
      <c r="BX961" s="30"/>
      <c r="BY961" s="30"/>
      <c r="BZ961" s="30"/>
      <c r="CA961" s="30"/>
      <c r="CB961" s="30"/>
      <c r="CC961" s="30"/>
      <c r="CD961" s="30"/>
      <c r="CE961" s="30"/>
      <c r="CF961" s="30"/>
      <c r="CG961" s="30"/>
      <c r="CH961" s="30"/>
      <c r="CI961" s="30"/>
      <c r="CJ961" s="30"/>
      <c r="CK961" s="30"/>
      <c r="CL961" s="30"/>
      <c r="CM961" s="30"/>
      <c r="CN961" s="30"/>
      <c r="CO961" s="30"/>
      <c r="CP961" s="30"/>
      <c r="CQ961" s="30"/>
      <c r="CR961" s="30"/>
      <c r="CS961" s="30"/>
      <c r="CT961" s="30"/>
      <c r="CU961" s="30"/>
      <c r="CV961" s="30"/>
      <c r="CW961" s="30"/>
      <c r="CX961" s="30"/>
      <c r="CY961" s="30"/>
      <c r="CZ961" s="30"/>
      <c r="DA961" s="30"/>
      <c r="DB961" s="30"/>
      <c r="DC961" s="30"/>
      <c r="DD961" s="30"/>
      <c r="DE961" s="30"/>
      <c r="DF961" s="30"/>
      <c r="DG961" s="30"/>
      <c r="DH961" s="30"/>
      <c r="DI961" s="30"/>
      <c r="DJ961" s="30"/>
      <c r="DK961" s="30"/>
      <c r="DL961" s="30"/>
      <c r="DM961" s="30"/>
      <c r="DN961" s="30"/>
      <c r="DO961" s="30"/>
      <c r="DP961" s="30"/>
      <c r="DQ961" s="30"/>
      <c r="DR961" s="30"/>
      <c r="DS961" s="30"/>
      <c r="DT961" s="30"/>
      <c r="DU961" s="30"/>
      <c r="DV961" s="30"/>
      <c r="DW961" s="30"/>
    </row>
    <row r="962" spans="1:127" ht="13">
      <c r="A962" s="39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  <c r="BJ962" s="30"/>
      <c r="BK962" s="30"/>
      <c r="BL962" s="30"/>
      <c r="BM962" s="30"/>
      <c r="BN962" s="30"/>
      <c r="BO962" s="30"/>
      <c r="BP962" s="30"/>
      <c r="BQ962" s="30"/>
      <c r="BR962" s="30"/>
      <c r="BS962" s="30"/>
      <c r="BT962" s="30"/>
      <c r="BU962" s="30"/>
      <c r="BV962" s="30"/>
      <c r="BW962" s="30"/>
      <c r="BX962" s="30"/>
      <c r="BY962" s="30"/>
      <c r="BZ962" s="30"/>
      <c r="CA962" s="30"/>
      <c r="CB962" s="30"/>
      <c r="CC962" s="30"/>
      <c r="CD962" s="30"/>
      <c r="CE962" s="30"/>
      <c r="CF962" s="30"/>
      <c r="CG962" s="30"/>
      <c r="CH962" s="30"/>
      <c r="CI962" s="30"/>
      <c r="CJ962" s="30"/>
      <c r="CK962" s="30"/>
      <c r="CL962" s="30"/>
      <c r="CM962" s="30"/>
      <c r="CN962" s="30"/>
      <c r="CO962" s="30"/>
      <c r="CP962" s="30"/>
      <c r="CQ962" s="30"/>
      <c r="CR962" s="30"/>
      <c r="CS962" s="30"/>
      <c r="CT962" s="30"/>
      <c r="CU962" s="30"/>
      <c r="CV962" s="30"/>
      <c r="CW962" s="30"/>
      <c r="CX962" s="30"/>
      <c r="CY962" s="30"/>
      <c r="CZ962" s="30"/>
      <c r="DA962" s="30"/>
      <c r="DB962" s="30"/>
      <c r="DC962" s="30"/>
      <c r="DD962" s="30"/>
      <c r="DE962" s="30"/>
      <c r="DF962" s="30"/>
      <c r="DG962" s="30"/>
      <c r="DH962" s="30"/>
      <c r="DI962" s="30"/>
      <c r="DJ962" s="30"/>
      <c r="DK962" s="30"/>
      <c r="DL962" s="30"/>
      <c r="DM962" s="30"/>
      <c r="DN962" s="30"/>
      <c r="DO962" s="30"/>
      <c r="DP962" s="30"/>
      <c r="DQ962" s="30"/>
      <c r="DR962" s="30"/>
      <c r="DS962" s="30"/>
      <c r="DT962" s="30"/>
      <c r="DU962" s="30"/>
      <c r="DV962" s="30"/>
      <c r="DW962" s="30"/>
    </row>
    <row r="963" spans="1:127" ht="13">
      <c r="A963" s="39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  <c r="BP963" s="30"/>
      <c r="BQ963" s="30"/>
      <c r="BR963" s="30"/>
      <c r="BS963" s="30"/>
      <c r="BT963" s="30"/>
      <c r="BU963" s="30"/>
      <c r="BV963" s="30"/>
      <c r="BW963" s="30"/>
      <c r="BX963" s="30"/>
      <c r="BY963" s="30"/>
      <c r="BZ963" s="30"/>
      <c r="CA963" s="30"/>
      <c r="CB963" s="30"/>
      <c r="CC963" s="30"/>
      <c r="CD963" s="30"/>
      <c r="CE963" s="30"/>
      <c r="CF963" s="30"/>
      <c r="CG963" s="30"/>
      <c r="CH963" s="30"/>
      <c r="CI963" s="30"/>
      <c r="CJ963" s="30"/>
      <c r="CK963" s="30"/>
      <c r="CL963" s="30"/>
      <c r="CM963" s="30"/>
      <c r="CN963" s="30"/>
      <c r="CO963" s="30"/>
      <c r="CP963" s="30"/>
      <c r="CQ963" s="30"/>
      <c r="CR963" s="30"/>
      <c r="CS963" s="30"/>
      <c r="CT963" s="30"/>
      <c r="CU963" s="30"/>
      <c r="CV963" s="30"/>
      <c r="CW963" s="30"/>
      <c r="CX963" s="30"/>
      <c r="CY963" s="30"/>
      <c r="CZ963" s="30"/>
      <c r="DA963" s="30"/>
      <c r="DB963" s="30"/>
      <c r="DC963" s="30"/>
      <c r="DD963" s="30"/>
      <c r="DE963" s="30"/>
      <c r="DF963" s="30"/>
      <c r="DG963" s="30"/>
      <c r="DH963" s="30"/>
      <c r="DI963" s="30"/>
      <c r="DJ963" s="30"/>
      <c r="DK963" s="30"/>
      <c r="DL963" s="30"/>
      <c r="DM963" s="30"/>
      <c r="DN963" s="30"/>
      <c r="DO963" s="30"/>
      <c r="DP963" s="30"/>
      <c r="DQ963" s="30"/>
      <c r="DR963" s="30"/>
      <c r="DS963" s="30"/>
      <c r="DT963" s="30"/>
      <c r="DU963" s="30"/>
      <c r="DV963" s="30"/>
      <c r="DW963" s="30"/>
    </row>
    <row r="964" spans="1:127" ht="13">
      <c r="A964" s="39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  <c r="BJ964" s="30"/>
      <c r="BK964" s="30"/>
      <c r="BL964" s="30"/>
      <c r="BM964" s="30"/>
      <c r="BN964" s="30"/>
      <c r="BO964" s="30"/>
      <c r="BP964" s="30"/>
      <c r="BQ964" s="30"/>
      <c r="BR964" s="30"/>
      <c r="BS964" s="30"/>
      <c r="BT964" s="30"/>
      <c r="BU964" s="30"/>
      <c r="BV964" s="30"/>
      <c r="BW964" s="30"/>
      <c r="BX964" s="30"/>
      <c r="BY964" s="30"/>
      <c r="BZ964" s="30"/>
      <c r="CA964" s="30"/>
      <c r="CB964" s="30"/>
      <c r="CC964" s="30"/>
      <c r="CD964" s="30"/>
      <c r="CE964" s="30"/>
      <c r="CF964" s="30"/>
      <c r="CG964" s="30"/>
      <c r="CH964" s="30"/>
      <c r="CI964" s="30"/>
      <c r="CJ964" s="30"/>
      <c r="CK964" s="30"/>
      <c r="CL964" s="30"/>
      <c r="CM964" s="30"/>
      <c r="CN964" s="30"/>
      <c r="CO964" s="30"/>
      <c r="CP964" s="30"/>
      <c r="CQ964" s="30"/>
      <c r="CR964" s="30"/>
      <c r="CS964" s="30"/>
      <c r="CT964" s="30"/>
      <c r="CU964" s="30"/>
      <c r="CV964" s="30"/>
      <c r="CW964" s="30"/>
      <c r="CX964" s="30"/>
      <c r="CY964" s="30"/>
      <c r="CZ964" s="30"/>
      <c r="DA964" s="30"/>
      <c r="DB964" s="30"/>
      <c r="DC964" s="30"/>
      <c r="DD964" s="30"/>
      <c r="DE964" s="30"/>
      <c r="DF964" s="30"/>
      <c r="DG964" s="30"/>
      <c r="DH964" s="30"/>
      <c r="DI964" s="30"/>
      <c r="DJ964" s="30"/>
      <c r="DK964" s="30"/>
      <c r="DL964" s="30"/>
      <c r="DM964" s="30"/>
      <c r="DN964" s="30"/>
      <c r="DO964" s="30"/>
      <c r="DP964" s="30"/>
      <c r="DQ964" s="30"/>
      <c r="DR964" s="30"/>
      <c r="DS964" s="30"/>
      <c r="DT964" s="30"/>
      <c r="DU964" s="30"/>
      <c r="DV964" s="30"/>
      <c r="DW964" s="30"/>
    </row>
    <row r="965" spans="1:127" ht="13">
      <c r="A965" s="39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  <c r="BJ965" s="30"/>
      <c r="BK965" s="30"/>
      <c r="BL965" s="30"/>
      <c r="BM965" s="30"/>
      <c r="BN965" s="30"/>
      <c r="BO965" s="30"/>
      <c r="BP965" s="30"/>
      <c r="BQ965" s="30"/>
      <c r="BR965" s="30"/>
      <c r="BS965" s="30"/>
      <c r="BT965" s="30"/>
      <c r="BU965" s="30"/>
      <c r="BV965" s="30"/>
      <c r="BW965" s="30"/>
      <c r="BX965" s="30"/>
      <c r="BY965" s="30"/>
      <c r="BZ965" s="30"/>
      <c r="CA965" s="30"/>
      <c r="CB965" s="30"/>
      <c r="CC965" s="30"/>
      <c r="CD965" s="30"/>
      <c r="CE965" s="30"/>
      <c r="CF965" s="30"/>
      <c r="CG965" s="30"/>
      <c r="CH965" s="30"/>
      <c r="CI965" s="30"/>
      <c r="CJ965" s="30"/>
      <c r="CK965" s="30"/>
      <c r="CL965" s="30"/>
      <c r="CM965" s="30"/>
      <c r="CN965" s="30"/>
      <c r="CO965" s="30"/>
      <c r="CP965" s="30"/>
      <c r="CQ965" s="30"/>
      <c r="CR965" s="30"/>
      <c r="CS965" s="30"/>
      <c r="CT965" s="30"/>
      <c r="CU965" s="30"/>
      <c r="CV965" s="30"/>
      <c r="CW965" s="30"/>
      <c r="CX965" s="30"/>
      <c r="CY965" s="30"/>
      <c r="CZ965" s="30"/>
      <c r="DA965" s="30"/>
      <c r="DB965" s="30"/>
      <c r="DC965" s="30"/>
      <c r="DD965" s="30"/>
      <c r="DE965" s="30"/>
      <c r="DF965" s="30"/>
      <c r="DG965" s="30"/>
      <c r="DH965" s="30"/>
      <c r="DI965" s="30"/>
      <c r="DJ965" s="30"/>
      <c r="DK965" s="30"/>
      <c r="DL965" s="30"/>
      <c r="DM965" s="30"/>
      <c r="DN965" s="30"/>
      <c r="DO965" s="30"/>
      <c r="DP965" s="30"/>
      <c r="DQ965" s="30"/>
      <c r="DR965" s="30"/>
      <c r="DS965" s="30"/>
      <c r="DT965" s="30"/>
      <c r="DU965" s="30"/>
      <c r="DV965" s="30"/>
      <c r="DW965" s="30"/>
    </row>
    <row r="966" spans="1:127" ht="13">
      <c r="A966" s="39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  <c r="BJ966" s="30"/>
      <c r="BK966" s="30"/>
      <c r="BL966" s="30"/>
      <c r="BM966" s="30"/>
      <c r="BN966" s="30"/>
      <c r="BO966" s="30"/>
      <c r="BP966" s="30"/>
      <c r="BQ966" s="30"/>
      <c r="BR966" s="30"/>
      <c r="BS966" s="30"/>
      <c r="BT966" s="30"/>
      <c r="BU966" s="30"/>
      <c r="BV966" s="30"/>
      <c r="BW966" s="30"/>
      <c r="BX966" s="30"/>
      <c r="BY966" s="30"/>
      <c r="BZ966" s="30"/>
      <c r="CA966" s="30"/>
      <c r="CB966" s="30"/>
      <c r="CC966" s="30"/>
      <c r="CD966" s="30"/>
      <c r="CE966" s="30"/>
      <c r="CF966" s="30"/>
      <c r="CG966" s="30"/>
      <c r="CH966" s="30"/>
      <c r="CI966" s="30"/>
      <c r="CJ966" s="30"/>
      <c r="CK966" s="30"/>
      <c r="CL966" s="30"/>
      <c r="CM966" s="30"/>
      <c r="CN966" s="30"/>
      <c r="CO966" s="30"/>
      <c r="CP966" s="30"/>
      <c r="CQ966" s="30"/>
      <c r="CR966" s="30"/>
      <c r="CS966" s="30"/>
      <c r="CT966" s="30"/>
      <c r="CU966" s="30"/>
      <c r="CV966" s="30"/>
      <c r="CW966" s="30"/>
      <c r="CX966" s="30"/>
      <c r="CY966" s="30"/>
      <c r="CZ966" s="30"/>
      <c r="DA966" s="30"/>
      <c r="DB966" s="30"/>
      <c r="DC966" s="30"/>
      <c r="DD966" s="30"/>
      <c r="DE966" s="30"/>
      <c r="DF966" s="30"/>
      <c r="DG966" s="30"/>
      <c r="DH966" s="30"/>
      <c r="DI966" s="30"/>
      <c r="DJ966" s="30"/>
      <c r="DK966" s="30"/>
      <c r="DL966" s="30"/>
      <c r="DM966" s="30"/>
      <c r="DN966" s="30"/>
      <c r="DO966" s="30"/>
      <c r="DP966" s="30"/>
      <c r="DQ966" s="30"/>
      <c r="DR966" s="30"/>
      <c r="DS966" s="30"/>
      <c r="DT966" s="30"/>
      <c r="DU966" s="30"/>
      <c r="DV966" s="30"/>
      <c r="DW966" s="30"/>
    </row>
    <row r="967" spans="1:127" ht="13">
      <c r="A967" s="39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  <c r="BJ967" s="30"/>
      <c r="BK967" s="30"/>
      <c r="BL967" s="30"/>
      <c r="BM967" s="30"/>
      <c r="BN967" s="30"/>
      <c r="BO967" s="30"/>
      <c r="BP967" s="30"/>
      <c r="BQ967" s="30"/>
      <c r="BR967" s="30"/>
      <c r="BS967" s="30"/>
      <c r="BT967" s="30"/>
      <c r="BU967" s="30"/>
      <c r="BV967" s="30"/>
      <c r="BW967" s="30"/>
      <c r="BX967" s="30"/>
      <c r="BY967" s="30"/>
      <c r="BZ967" s="30"/>
      <c r="CA967" s="30"/>
      <c r="CB967" s="30"/>
      <c r="CC967" s="30"/>
      <c r="CD967" s="30"/>
      <c r="CE967" s="30"/>
      <c r="CF967" s="30"/>
      <c r="CG967" s="30"/>
      <c r="CH967" s="30"/>
      <c r="CI967" s="30"/>
      <c r="CJ967" s="30"/>
      <c r="CK967" s="30"/>
      <c r="CL967" s="30"/>
      <c r="CM967" s="30"/>
      <c r="CN967" s="30"/>
      <c r="CO967" s="30"/>
      <c r="CP967" s="30"/>
      <c r="CQ967" s="30"/>
      <c r="CR967" s="30"/>
      <c r="CS967" s="30"/>
      <c r="CT967" s="30"/>
      <c r="CU967" s="30"/>
      <c r="CV967" s="30"/>
      <c r="CW967" s="30"/>
      <c r="CX967" s="30"/>
      <c r="CY967" s="30"/>
      <c r="CZ967" s="30"/>
      <c r="DA967" s="30"/>
      <c r="DB967" s="30"/>
      <c r="DC967" s="30"/>
      <c r="DD967" s="30"/>
      <c r="DE967" s="30"/>
      <c r="DF967" s="30"/>
      <c r="DG967" s="30"/>
      <c r="DH967" s="30"/>
      <c r="DI967" s="30"/>
      <c r="DJ967" s="30"/>
      <c r="DK967" s="30"/>
      <c r="DL967" s="30"/>
      <c r="DM967" s="30"/>
      <c r="DN967" s="30"/>
      <c r="DO967" s="30"/>
      <c r="DP967" s="30"/>
      <c r="DQ967" s="30"/>
      <c r="DR967" s="30"/>
      <c r="DS967" s="30"/>
      <c r="DT967" s="30"/>
      <c r="DU967" s="30"/>
      <c r="DV967" s="30"/>
      <c r="DW967" s="30"/>
    </row>
    <row r="968" spans="1:127" ht="13">
      <c r="A968" s="39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  <c r="BP968" s="30"/>
      <c r="BQ968" s="30"/>
      <c r="BR968" s="30"/>
      <c r="BS968" s="30"/>
      <c r="BT968" s="30"/>
      <c r="BU968" s="30"/>
      <c r="BV968" s="30"/>
      <c r="BW968" s="30"/>
      <c r="BX968" s="30"/>
      <c r="BY968" s="30"/>
      <c r="BZ968" s="30"/>
      <c r="CA968" s="30"/>
      <c r="CB968" s="30"/>
      <c r="CC968" s="30"/>
      <c r="CD968" s="30"/>
      <c r="CE968" s="30"/>
      <c r="CF968" s="30"/>
      <c r="CG968" s="30"/>
      <c r="CH968" s="30"/>
      <c r="CI968" s="30"/>
      <c r="CJ968" s="30"/>
      <c r="CK968" s="30"/>
      <c r="CL968" s="30"/>
      <c r="CM968" s="30"/>
      <c r="CN968" s="30"/>
      <c r="CO968" s="30"/>
      <c r="CP968" s="30"/>
      <c r="CQ968" s="30"/>
      <c r="CR968" s="30"/>
      <c r="CS968" s="30"/>
      <c r="CT968" s="30"/>
      <c r="CU968" s="30"/>
      <c r="CV968" s="30"/>
      <c r="CW968" s="30"/>
      <c r="CX968" s="30"/>
      <c r="CY968" s="30"/>
      <c r="CZ968" s="30"/>
      <c r="DA968" s="30"/>
      <c r="DB968" s="30"/>
      <c r="DC968" s="30"/>
      <c r="DD968" s="30"/>
      <c r="DE968" s="30"/>
      <c r="DF968" s="30"/>
      <c r="DG968" s="30"/>
      <c r="DH968" s="30"/>
      <c r="DI968" s="30"/>
      <c r="DJ968" s="30"/>
      <c r="DK968" s="30"/>
      <c r="DL968" s="30"/>
      <c r="DM968" s="30"/>
      <c r="DN968" s="30"/>
      <c r="DO968" s="30"/>
      <c r="DP968" s="30"/>
      <c r="DQ968" s="30"/>
      <c r="DR968" s="30"/>
      <c r="DS968" s="30"/>
      <c r="DT968" s="30"/>
      <c r="DU968" s="30"/>
      <c r="DV968" s="30"/>
      <c r="DW968" s="30"/>
    </row>
    <row r="969" spans="1:127" ht="13">
      <c r="A969" s="39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  <c r="BJ969" s="30"/>
      <c r="BK969" s="30"/>
      <c r="BL969" s="30"/>
      <c r="BM969" s="30"/>
      <c r="BN969" s="30"/>
      <c r="BO969" s="30"/>
      <c r="BP969" s="30"/>
      <c r="BQ969" s="30"/>
      <c r="BR969" s="30"/>
      <c r="BS969" s="30"/>
      <c r="BT969" s="30"/>
      <c r="BU969" s="30"/>
      <c r="BV969" s="30"/>
      <c r="BW969" s="30"/>
      <c r="BX969" s="30"/>
      <c r="BY969" s="30"/>
      <c r="BZ969" s="30"/>
      <c r="CA969" s="30"/>
      <c r="CB969" s="30"/>
      <c r="CC969" s="30"/>
      <c r="CD969" s="30"/>
      <c r="CE969" s="30"/>
      <c r="CF969" s="30"/>
      <c r="CG969" s="30"/>
      <c r="CH969" s="30"/>
      <c r="CI969" s="30"/>
      <c r="CJ969" s="30"/>
      <c r="CK969" s="30"/>
      <c r="CL969" s="30"/>
      <c r="CM969" s="30"/>
      <c r="CN969" s="30"/>
      <c r="CO969" s="30"/>
      <c r="CP969" s="30"/>
      <c r="CQ969" s="30"/>
      <c r="CR969" s="30"/>
      <c r="CS969" s="30"/>
      <c r="CT969" s="30"/>
      <c r="CU969" s="30"/>
      <c r="CV969" s="30"/>
      <c r="CW969" s="30"/>
      <c r="CX969" s="30"/>
      <c r="CY969" s="30"/>
      <c r="CZ969" s="30"/>
      <c r="DA969" s="30"/>
      <c r="DB969" s="30"/>
      <c r="DC969" s="30"/>
      <c r="DD969" s="30"/>
      <c r="DE969" s="30"/>
      <c r="DF969" s="30"/>
      <c r="DG969" s="30"/>
      <c r="DH969" s="30"/>
      <c r="DI969" s="30"/>
      <c r="DJ969" s="30"/>
      <c r="DK969" s="30"/>
      <c r="DL969" s="30"/>
      <c r="DM969" s="30"/>
      <c r="DN969" s="30"/>
      <c r="DO969" s="30"/>
      <c r="DP969" s="30"/>
      <c r="DQ969" s="30"/>
      <c r="DR969" s="30"/>
      <c r="DS969" s="30"/>
      <c r="DT969" s="30"/>
      <c r="DU969" s="30"/>
      <c r="DV969" s="30"/>
      <c r="DW969" s="30"/>
    </row>
    <row r="970" spans="1:127" ht="13">
      <c r="A970" s="39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  <c r="BJ970" s="30"/>
      <c r="BK970" s="30"/>
      <c r="BL970" s="30"/>
      <c r="BM970" s="30"/>
      <c r="BN970" s="30"/>
      <c r="BO970" s="30"/>
      <c r="BP970" s="30"/>
      <c r="BQ970" s="30"/>
      <c r="BR970" s="30"/>
      <c r="BS970" s="30"/>
      <c r="BT970" s="30"/>
      <c r="BU970" s="30"/>
      <c r="BV970" s="30"/>
      <c r="BW970" s="30"/>
      <c r="BX970" s="30"/>
      <c r="BY970" s="30"/>
      <c r="BZ970" s="30"/>
      <c r="CA970" s="30"/>
      <c r="CB970" s="30"/>
      <c r="CC970" s="30"/>
      <c r="CD970" s="30"/>
      <c r="CE970" s="30"/>
      <c r="CF970" s="30"/>
      <c r="CG970" s="30"/>
      <c r="CH970" s="30"/>
      <c r="CI970" s="30"/>
      <c r="CJ970" s="30"/>
      <c r="CK970" s="30"/>
      <c r="CL970" s="30"/>
      <c r="CM970" s="30"/>
      <c r="CN970" s="30"/>
      <c r="CO970" s="30"/>
      <c r="CP970" s="30"/>
      <c r="CQ970" s="30"/>
      <c r="CR970" s="30"/>
      <c r="CS970" s="30"/>
      <c r="CT970" s="30"/>
      <c r="CU970" s="30"/>
      <c r="CV970" s="30"/>
      <c r="CW970" s="30"/>
      <c r="CX970" s="30"/>
      <c r="CY970" s="30"/>
      <c r="CZ970" s="30"/>
      <c r="DA970" s="30"/>
      <c r="DB970" s="30"/>
      <c r="DC970" s="30"/>
      <c r="DD970" s="30"/>
      <c r="DE970" s="30"/>
      <c r="DF970" s="30"/>
      <c r="DG970" s="30"/>
      <c r="DH970" s="30"/>
      <c r="DI970" s="30"/>
      <c r="DJ970" s="30"/>
      <c r="DK970" s="30"/>
      <c r="DL970" s="30"/>
      <c r="DM970" s="30"/>
      <c r="DN970" s="30"/>
      <c r="DO970" s="30"/>
      <c r="DP970" s="30"/>
      <c r="DQ970" s="30"/>
      <c r="DR970" s="30"/>
      <c r="DS970" s="30"/>
      <c r="DT970" s="30"/>
      <c r="DU970" s="30"/>
      <c r="DV970" s="30"/>
      <c r="DW970" s="30"/>
    </row>
    <row r="971" spans="1:127" ht="13">
      <c r="A971" s="39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  <c r="BJ971" s="30"/>
      <c r="BK971" s="30"/>
      <c r="BL971" s="30"/>
      <c r="BM971" s="30"/>
      <c r="BN971" s="30"/>
      <c r="BO971" s="30"/>
      <c r="BP971" s="30"/>
      <c r="BQ971" s="30"/>
      <c r="BR971" s="30"/>
      <c r="BS971" s="30"/>
      <c r="BT971" s="30"/>
      <c r="BU971" s="30"/>
      <c r="BV971" s="30"/>
      <c r="BW971" s="30"/>
      <c r="BX971" s="30"/>
      <c r="BY971" s="30"/>
      <c r="BZ971" s="30"/>
      <c r="CA971" s="30"/>
      <c r="CB971" s="30"/>
      <c r="CC971" s="30"/>
      <c r="CD971" s="30"/>
      <c r="CE971" s="30"/>
      <c r="CF971" s="30"/>
      <c r="CG971" s="30"/>
      <c r="CH971" s="30"/>
      <c r="CI971" s="30"/>
      <c r="CJ971" s="30"/>
      <c r="CK971" s="30"/>
      <c r="CL971" s="30"/>
      <c r="CM971" s="30"/>
      <c r="CN971" s="30"/>
      <c r="CO971" s="30"/>
      <c r="CP971" s="30"/>
      <c r="CQ971" s="30"/>
      <c r="CR971" s="30"/>
      <c r="CS971" s="30"/>
      <c r="CT971" s="30"/>
      <c r="CU971" s="30"/>
      <c r="CV971" s="30"/>
      <c r="CW971" s="30"/>
      <c r="CX971" s="30"/>
      <c r="CY971" s="30"/>
      <c r="CZ971" s="30"/>
      <c r="DA971" s="30"/>
      <c r="DB971" s="30"/>
      <c r="DC971" s="30"/>
      <c r="DD971" s="30"/>
      <c r="DE971" s="30"/>
      <c r="DF971" s="30"/>
      <c r="DG971" s="30"/>
      <c r="DH971" s="30"/>
      <c r="DI971" s="30"/>
      <c r="DJ971" s="30"/>
      <c r="DK971" s="30"/>
      <c r="DL971" s="30"/>
      <c r="DM971" s="30"/>
      <c r="DN971" s="30"/>
      <c r="DO971" s="30"/>
      <c r="DP971" s="30"/>
      <c r="DQ971" s="30"/>
      <c r="DR971" s="30"/>
      <c r="DS971" s="30"/>
      <c r="DT971" s="30"/>
      <c r="DU971" s="30"/>
      <c r="DV971" s="30"/>
      <c r="DW971" s="30"/>
    </row>
    <row r="972" spans="1:127" ht="13">
      <c r="A972" s="39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  <c r="BJ972" s="30"/>
      <c r="BK972" s="30"/>
      <c r="BL972" s="30"/>
      <c r="BM972" s="30"/>
      <c r="BN972" s="30"/>
      <c r="BO972" s="30"/>
      <c r="BP972" s="30"/>
      <c r="BQ972" s="30"/>
      <c r="BR972" s="30"/>
      <c r="BS972" s="30"/>
      <c r="BT972" s="30"/>
      <c r="BU972" s="30"/>
      <c r="BV972" s="30"/>
      <c r="BW972" s="30"/>
      <c r="BX972" s="30"/>
      <c r="BY972" s="30"/>
      <c r="BZ972" s="30"/>
      <c r="CA972" s="30"/>
      <c r="CB972" s="30"/>
      <c r="CC972" s="30"/>
      <c r="CD972" s="30"/>
      <c r="CE972" s="30"/>
      <c r="CF972" s="30"/>
      <c r="CG972" s="30"/>
      <c r="CH972" s="30"/>
      <c r="CI972" s="30"/>
      <c r="CJ972" s="30"/>
      <c r="CK972" s="30"/>
      <c r="CL972" s="30"/>
      <c r="CM972" s="30"/>
      <c r="CN972" s="30"/>
      <c r="CO972" s="30"/>
      <c r="CP972" s="30"/>
      <c r="CQ972" s="30"/>
      <c r="CR972" s="30"/>
      <c r="CS972" s="30"/>
      <c r="CT972" s="30"/>
      <c r="CU972" s="30"/>
      <c r="CV972" s="30"/>
      <c r="CW972" s="30"/>
      <c r="CX972" s="30"/>
      <c r="CY972" s="30"/>
      <c r="CZ972" s="30"/>
      <c r="DA972" s="30"/>
      <c r="DB972" s="30"/>
      <c r="DC972" s="30"/>
      <c r="DD972" s="30"/>
      <c r="DE972" s="30"/>
      <c r="DF972" s="30"/>
      <c r="DG972" s="30"/>
      <c r="DH972" s="30"/>
      <c r="DI972" s="30"/>
      <c r="DJ972" s="30"/>
      <c r="DK972" s="30"/>
      <c r="DL972" s="30"/>
      <c r="DM972" s="30"/>
      <c r="DN972" s="30"/>
      <c r="DO972" s="30"/>
      <c r="DP972" s="30"/>
      <c r="DQ972" s="30"/>
      <c r="DR972" s="30"/>
      <c r="DS972" s="30"/>
      <c r="DT972" s="30"/>
      <c r="DU972" s="30"/>
      <c r="DV972" s="30"/>
      <c r="DW972" s="30"/>
    </row>
    <row r="973" spans="1:127" ht="13">
      <c r="A973" s="39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  <c r="BJ973" s="30"/>
      <c r="BK973" s="30"/>
      <c r="BL973" s="30"/>
      <c r="BM973" s="30"/>
      <c r="BN973" s="30"/>
      <c r="BO973" s="30"/>
      <c r="BP973" s="30"/>
      <c r="BQ973" s="30"/>
      <c r="BR973" s="30"/>
      <c r="BS973" s="30"/>
      <c r="BT973" s="30"/>
      <c r="BU973" s="30"/>
      <c r="BV973" s="30"/>
      <c r="BW973" s="30"/>
      <c r="BX973" s="30"/>
      <c r="BY973" s="30"/>
      <c r="BZ973" s="30"/>
      <c r="CA973" s="30"/>
      <c r="CB973" s="30"/>
      <c r="CC973" s="30"/>
      <c r="CD973" s="30"/>
      <c r="CE973" s="30"/>
      <c r="CF973" s="30"/>
      <c r="CG973" s="30"/>
      <c r="CH973" s="30"/>
      <c r="CI973" s="30"/>
      <c r="CJ973" s="30"/>
      <c r="CK973" s="30"/>
      <c r="CL973" s="30"/>
      <c r="CM973" s="30"/>
      <c r="CN973" s="30"/>
      <c r="CO973" s="30"/>
      <c r="CP973" s="30"/>
      <c r="CQ973" s="30"/>
      <c r="CR973" s="30"/>
      <c r="CS973" s="30"/>
      <c r="CT973" s="30"/>
      <c r="CU973" s="30"/>
      <c r="CV973" s="30"/>
      <c r="CW973" s="30"/>
      <c r="CX973" s="30"/>
      <c r="CY973" s="30"/>
      <c r="CZ973" s="30"/>
      <c r="DA973" s="30"/>
      <c r="DB973" s="30"/>
      <c r="DC973" s="30"/>
      <c r="DD973" s="30"/>
      <c r="DE973" s="30"/>
      <c r="DF973" s="30"/>
      <c r="DG973" s="30"/>
      <c r="DH973" s="30"/>
      <c r="DI973" s="30"/>
      <c r="DJ973" s="30"/>
      <c r="DK973" s="30"/>
      <c r="DL973" s="30"/>
      <c r="DM973" s="30"/>
      <c r="DN973" s="30"/>
      <c r="DO973" s="30"/>
      <c r="DP973" s="30"/>
      <c r="DQ973" s="30"/>
      <c r="DR973" s="30"/>
      <c r="DS973" s="30"/>
      <c r="DT973" s="30"/>
      <c r="DU973" s="30"/>
      <c r="DV973" s="30"/>
      <c r="DW973" s="30"/>
    </row>
    <row r="974" spans="1:127" ht="13">
      <c r="A974" s="39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  <c r="BJ974" s="30"/>
      <c r="BK974" s="30"/>
      <c r="BL974" s="30"/>
      <c r="BM974" s="30"/>
      <c r="BN974" s="30"/>
      <c r="BO974" s="30"/>
      <c r="BP974" s="30"/>
      <c r="BQ974" s="30"/>
      <c r="BR974" s="30"/>
      <c r="BS974" s="30"/>
      <c r="BT974" s="30"/>
      <c r="BU974" s="30"/>
      <c r="BV974" s="30"/>
      <c r="BW974" s="30"/>
      <c r="BX974" s="30"/>
      <c r="BY974" s="30"/>
      <c r="BZ974" s="30"/>
      <c r="CA974" s="30"/>
      <c r="CB974" s="30"/>
      <c r="CC974" s="30"/>
      <c r="CD974" s="30"/>
      <c r="CE974" s="30"/>
      <c r="CF974" s="30"/>
      <c r="CG974" s="30"/>
      <c r="CH974" s="30"/>
      <c r="CI974" s="30"/>
      <c r="CJ974" s="30"/>
      <c r="CK974" s="30"/>
      <c r="CL974" s="30"/>
      <c r="CM974" s="30"/>
      <c r="CN974" s="30"/>
      <c r="CO974" s="30"/>
      <c r="CP974" s="30"/>
      <c r="CQ974" s="30"/>
      <c r="CR974" s="30"/>
      <c r="CS974" s="30"/>
      <c r="CT974" s="30"/>
      <c r="CU974" s="30"/>
      <c r="CV974" s="30"/>
      <c r="CW974" s="30"/>
      <c r="CX974" s="30"/>
      <c r="CY974" s="30"/>
      <c r="CZ974" s="30"/>
      <c r="DA974" s="30"/>
      <c r="DB974" s="30"/>
      <c r="DC974" s="30"/>
      <c r="DD974" s="30"/>
      <c r="DE974" s="30"/>
      <c r="DF974" s="30"/>
      <c r="DG974" s="30"/>
      <c r="DH974" s="30"/>
      <c r="DI974" s="30"/>
      <c r="DJ974" s="30"/>
      <c r="DK974" s="30"/>
      <c r="DL974" s="30"/>
      <c r="DM974" s="30"/>
      <c r="DN974" s="30"/>
      <c r="DO974" s="30"/>
      <c r="DP974" s="30"/>
      <c r="DQ974" s="30"/>
      <c r="DR974" s="30"/>
      <c r="DS974" s="30"/>
      <c r="DT974" s="30"/>
      <c r="DU974" s="30"/>
      <c r="DV974" s="30"/>
      <c r="DW974" s="30"/>
    </row>
    <row r="975" spans="1:127" ht="13">
      <c r="A975" s="39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  <c r="BP975" s="30"/>
      <c r="BQ975" s="30"/>
      <c r="BR975" s="30"/>
      <c r="BS975" s="30"/>
      <c r="BT975" s="30"/>
      <c r="BU975" s="30"/>
      <c r="BV975" s="30"/>
      <c r="BW975" s="30"/>
      <c r="BX975" s="30"/>
      <c r="BY975" s="30"/>
      <c r="BZ975" s="30"/>
      <c r="CA975" s="30"/>
      <c r="CB975" s="30"/>
      <c r="CC975" s="30"/>
      <c r="CD975" s="30"/>
      <c r="CE975" s="30"/>
      <c r="CF975" s="30"/>
      <c r="CG975" s="30"/>
      <c r="CH975" s="30"/>
      <c r="CI975" s="30"/>
      <c r="CJ975" s="30"/>
      <c r="CK975" s="30"/>
      <c r="CL975" s="30"/>
      <c r="CM975" s="30"/>
      <c r="CN975" s="30"/>
      <c r="CO975" s="30"/>
      <c r="CP975" s="30"/>
      <c r="CQ975" s="30"/>
      <c r="CR975" s="30"/>
      <c r="CS975" s="30"/>
      <c r="CT975" s="30"/>
      <c r="CU975" s="30"/>
      <c r="CV975" s="30"/>
      <c r="CW975" s="30"/>
      <c r="CX975" s="30"/>
      <c r="CY975" s="30"/>
      <c r="CZ975" s="30"/>
      <c r="DA975" s="30"/>
      <c r="DB975" s="30"/>
      <c r="DC975" s="30"/>
      <c r="DD975" s="30"/>
      <c r="DE975" s="30"/>
      <c r="DF975" s="30"/>
      <c r="DG975" s="30"/>
      <c r="DH975" s="30"/>
      <c r="DI975" s="30"/>
      <c r="DJ975" s="30"/>
      <c r="DK975" s="30"/>
      <c r="DL975" s="30"/>
      <c r="DM975" s="30"/>
      <c r="DN975" s="30"/>
      <c r="DO975" s="30"/>
      <c r="DP975" s="30"/>
      <c r="DQ975" s="30"/>
      <c r="DR975" s="30"/>
      <c r="DS975" s="30"/>
      <c r="DT975" s="30"/>
      <c r="DU975" s="30"/>
      <c r="DV975" s="30"/>
      <c r="DW975" s="30"/>
    </row>
    <row r="976" spans="1:127" ht="13">
      <c r="A976" s="39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  <c r="BN976" s="30"/>
      <c r="BO976" s="30"/>
      <c r="BP976" s="30"/>
      <c r="BQ976" s="30"/>
      <c r="BR976" s="30"/>
      <c r="BS976" s="30"/>
      <c r="BT976" s="30"/>
      <c r="BU976" s="30"/>
      <c r="BV976" s="30"/>
      <c r="BW976" s="30"/>
      <c r="BX976" s="30"/>
      <c r="BY976" s="30"/>
      <c r="BZ976" s="30"/>
      <c r="CA976" s="30"/>
      <c r="CB976" s="30"/>
      <c r="CC976" s="30"/>
      <c r="CD976" s="30"/>
      <c r="CE976" s="30"/>
      <c r="CF976" s="30"/>
      <c r="CG976" s="30"/>
      <c r="CH976" s="30"/>
      <c r="CI976" s="30"/>
      <c r="CJ976" s="30"/>
      <c r="CK976" s="30"/>
      <c r="CL976" s="30"/>
      <c r="CM976" s="30"/>
      <c r="CN976" s="30"/>
      <c r="CO976" s="30"/>
      <c r="CP976" s="30"/>
      <c r="CQ976" s="30"/>
      <c r="CR976" s="30"/>
      <c r="CS976" s="30"/>
      <c r="CT976" s="30"/>
      <c r="CU976" s="30"/>
      <c r="CV976" s="30"/>
      <c r="CW976" s="30"/>
      <c r="CX976" s="30"/>
      <c r="CY976" s="30"/>
      <c r="CZ976" s="30"/>
      <c r="DA976" s="30"/>
      <c r="DB976" s="30"/>
      <c r="DC976" s="30"/>
      <c r="DD976" s="30"/>
      <c r="DE976" s="30"/>
      <c r="DF976" s="30"/>
      <c r="DG976" s="30"/>
      <c r="DH976" s="30"/>
      <c r="DI976" s="30"/>
      <c r="DJ976" s="30"/>
      <c r="DK976" s="30"/>
      <c r="DL976" s="30"/>
      <c r="DM976" s="30"/>
      <c r="DN976" s="30"/>
      <c r="DO976" s="30"/>
      <c r="DP976" s="30"/>
      <c r="DQ976" s="30"/>
      <c r="DR976" s="30"/>
      <c r="DS976" s="30"/>
      <c r="DT976" s="30"/>
      <c r="DU976" s="30"/>
      <c r="DV976" s="30"/>
      <c r="DW976" s="30"/>
    </row>
    <row r="977" spans="1:127" ht="13">
      <c r="A977" s="39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  <c r="BJ977" s="30"/>
      <c r="BK977" s="30"/>
      <c r="BL977" s="30"/>
      <c r="BM977" s="30"/>
      <c r="BN977" s="30"/>
      <c r="BO977" s="30"/>
      <c r="BP977" s="30"/>
      <c r="BQ977" s="30"/>
      <c r="BR977" s="30"/>
      <c r="BS977" s="30"/>
      <c r="BT977" s="30"/>
      <c r="BU977" s="30"/>
      <c r="BV977" s="30"/>
      <c r="BW977" s="30"/>
      <c r="BX977" s="30"/>
      <c r="BY977" s="30"/>
      <c r="BZ977" s="30"/>
      <c r="CA977" s="30"/>
      <c r="CB977" s="30"/>
      <c r="CC977" s="30"/>
      <c r="CD977" s="30"/>
      <c r="CE977" s="30"/>
      <c r="CF977" s="30"/>
      <c r="CG977" s="30"/>
      <c r="CH977" s="30"/>
      <c r="CI977" s="30"/>
      <c r="CJ977" s="30"/>
      <c r="CK977" s="30"/>
      <c r="CL977" s="30"/>
      <c r="CM977" s="30"/>
      <c r="CN977" s="30"/>
      <c r="CO977" s="30"/>
      <c r="CP977" s="30"/>
      <c r="CQ977" s="30"/>
      <c r="CR977" s="30"/>
      <c r="CS977" s="30"/>
      <c r="CT977" s="30"/>
      <c r="CU977" s="30"/>
      <c r="CV977" s="30"/>
      <c r="CW977" s="30"/>
      <c r="CX977" s="30"/>
      <c r="CY977" s="30"/>
      <c r="CZ977" s="30"/>
      <c r="DA977" s="30"/>
      <c r="DB977" s="30"/>
      <c r="DC977" s="30"/>
      <c r="DD977" s="30"/>
      <c r="DE977" s="30"/>
      <c r="DF977" s="30"/>
      <c r="DG977" s="30"/>
      <c r="DH977" s="30"/>
      <c r="DI977" s="30"/>
      <c r="DJ977" s="30"/>
      <c r="DK977" s="30"/>
      <c r="DL977" s="30"/>
      <c r="DM977" s="30"/>
      <c r="DN977" s="30"/>
      <c r="DO977" s="30"/>
      <c r="DP977" s="30"/>
      <c r="DQ977" s="30"/>
      <c r="DR977" s="30"/>
      <c r="DS977" s="30"/>
      <c r="DT977" s="30"/>
      <c r="DU977" s="30"/>
      <c r="DV977" s="30"/>
      <c r="DW977" s="30"/>
    </row>
    <row r="978" spans="1:127" ht="13">
      <c r="A978" s="39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  <c r="BJ978" s="30"/>
      <c r="BK978" s="30"/>
      <c r="BL978" s="30"/>
      <c r="BM978" s="30"/>
      <c r="BN978" s="30"/>
      <c r="BO978" s="30"/>
      <c r="BP978" s="30"/>
      <c r="BQ978" s="30"/>
      <c r="BR978" s="30"/>
      <c r="BS978" s="30"/>
      <c r="BT978" s="30"/>
      <c r="BU978" s="30"/>
      <c r="BV978" s="30"/>
      <c r="BW978" s="30"/>
      <c r="BX978" s="30"/>
      <c r="BY978" s="30"/>
      <c r="BZ978" s="30"/>
      <c r="CA978" s="30"/>
      <c r="CB978" s="30"/>
      <c r="CC978" s="30"/>
      <c r="CD978" s="30"/>
      <c r="CE978" s="30"/>
      <c r="CF978" s="30"/>
      <c r="CG978" s="30"/>
      <c r="CH978" s="30"/>
      <c r="CI978" s="30"/>
      <c r="CJ978" s="30"/>
      <c r="CK978" s="30"/>
      <c r="CL978" s="30"/>
      <c r="CM978" s="30"/>
      <c r="CN978" s="30"/>
      <c r="CO978" s="30"/>
      <c r="CP978" s="30"/>
      <c r="CQ978" s="30"/>
      <c r="CR978" s="30"/>
      <c r="CS978" s="30"/>
      <c r="CT978" s="30"/>
      <c r="CU978" s="30"/>
      <c r="CV978" s="30"/>
      <c r="CW978" s="30"/>
      <c r="CX978" s="30"/>
      <c r="CY978" s="30"/>
      <c r="CZ978" s="30"/>
      <c r="DA978" s="30"/>
      <c r="DB978" s="30"/>
      <c r="DC978" s="30"/>
      <c r="DD978" s="30"/>
      <c r="DE978" s="30"/>
      <c r="DF978" s="30"/>
      <c r="DG978" s="30"/>
      <c r="DH978" s="30"/>
      <c r="DI978" s="30"/>
      <c r="DJ978" s="30"/>
      <c r="DK978" s="30"/>
      <c r="DL978" s="30"/>
      <c r="DM978" s="30"/>
      <c r="DN978" s="30"/>
      <c r="DO978" s="30"/>
      <c r="DP978" s="30"/>
      <c r="DQ978" s="30"/>
      <c r="DR978" s="30"/>
      <c r="DS978" s="30"/>
      <c r="DT978" s="30"/>
      <c r="DU978" s="30"/>
      <c r="DV978" s="30"/>
      <c r="DW978" s="30"/>
    </row>
    <row r="979" spans="1:127" ht="13">
      <c r="A979" s="39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  <c r="BP979" s="30"/>
      <c r="BQ979" s="30"/>
      <c r="BR979" s="30"/>
      <c r="BS979" s="30"/>
      <c r="BT979" s="30"/>
      <c r="BU979" s="30"/>
      <c r="BV979" s="30"/>
      <c r="BW979" s="30"/>
      <c r="BX979" s="30"/>
      <c r="BY979" s="30"/>
      <c r="BZ979" s="30"/>
      <c r="CA979" s="30"/>
      <c r="CB979" s="30"/>
      <c r="CC979" s="30"/>
      <c r="CD979" s="30"/>
      <c r="CE979" s="30"/>
      <c r="CF979" s="30"/>
      <c r="CG979" s="30"/>
      <c r="CH979" s="30"/>
      <c r="CI979" s="30"/>
      <c r="CJ979" s="30"/>
      <c r="CK979" s="30"/>
      <c r="CL979" s="30"/>
      <c r="CM979" s="30"/>
      <c r="CN979" s="30"/>
      <c r="CO979" s="30"/>
      <c r="CP979" s="30"/>
      <c r="CQ979" s="30"/>
      <c r="CR979" s="30"/>
      <c r="CS979" s="30"/>
      <c r="CT979" s="30"/>
      <c r="CU979" s="30"/>
      <c r="CV979" s="30"/>
      <c r="CW979" s="30"/>
      <c r="CX979" s="30"/>
      <c r="CY979" s="30"/>
      <c r="CZ979" s="30"/>
      <c r="DA979" s="30"/>
      <c r="DB979" s="30"/>
      <c r="DC979" s="30"/>
      <c r="DD979" s="30"/>
      <c r="DE979" s="30"/>
      <c r="DF979" s="30"/>
      <c r="DG979" s="30"/>
      <c r="DH979" s="30"/>
      <c r="DI979" s="30"/>
      <c r="DJ979" s="30"/>
      <c r="DK979" s="30"/>
      <c r="DL979" s="30"/>
      <c r="DM979" s="30"/>
      <c r="DN979" s="30"/>
      <c r="DO979" s="30"/>
      <c r="DP979" s="30"/>
      <c r="DQ979" s="30"/>
      <c r="DR979" s="30"/>
      <c r="DS979" s="30"/>
      <c r="DT979" s="30"/>
      <c r="DU979" s="30"/>
      <c r="DV979" s="30"/>
      <c r="DW979" s="30"/>
    </row>
    <row r="980" spans="1:127" ht="13">
      <c r="A980" s="39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  <c r="BJ980" s="30"/>
      <c r="BK980" s="30"/>
      <c r="BL980" s="30"/>
      <c r="BM980" s="30"/>
      <c r="BN980" s="30"/>
      <c r="BO980" s="30"/>
      <c r="BP980" s="30"/>
      <c r="BQ980" s="30"/>
      <c r="BR980" s="30"/>
      <c r="BS980" s="30"/>
      <c r="BT980" s="30"/>
      <c r="BU980" s="30"/>
      <c r="BV980" s="30"/>
      <c r="BW980" s="30"/>
      <c r="BX980" s="30"/>
      <c r="BY980" s="30"/>
      <c r="BZ980" s="30"/>
      <c r="CA980" s="30"/>
      <c r="CB980" s="30"/>
      <c r="CC980" s="30"/>
      <c r="CD980" s="30"/>
      <c r="CE980" s="30"/>
      <c r="CF980" s="30"/>
      <c r="CG980" s="30"/>
      <c r="CH980" s="30"/>
      <c r="CI980" s="30"/>
      <c r="CJ980" s="30"/>
      <c r="CK980" s="30"/>
      <c r="CL980" s="30"/>
      <c r="CM980" s="30"/>
      <c r="CN980" s="30"/>
      <c r="CO980" s="30"/>
      <c r="CP980" s="30"/>
      <c r="CQ980" s="30"/>
      <c r="CR980" s="30"/>
      <c r="CS980" s="30"/>
      <c r="CT980" s="30"/>
      <c r="CU980" s="30"/>
      <c r="CV980" s="30"/>
      <c r="CW980" s="30"/>
      <c r="CX980" s="30"/>
      <c r="CY980" s="30"/>
      <c r="CZ980" s="30"/>
      <c r="DA980" s="30"/>
      <c r="DB980" s="30"/>
      <c r="DC980" s="30"/>
      <c r="DD980" s="30"/>
      <c r="DE980" s="30"/>
      <c r="DF980" s="30"/>
      <c r="DG980" s="30"/>
      <c r="DH980" s="30"/>
      <c r="DI980" s="30"/>
      <c r="DJ980" s="30"/>
      <c r="DK980" s="30"/>
      <c r="DL980" s="30"/>
      <c r="DM980" s="30"/>
      <c r="DN980" s="30"/>
      <c r="DO980" s="30"/>
      <c r="DP980" s="30"/>
      <c r="DQ980" s="30"/>
      <c r="DR980" s="30"/>
      <c r="DS980" s="30"/>
      <c r="DT980" s="30"/>
      <c r="DU980" s="30"/>
      <c r="DV980" s="30"/>
      <c r="DW980" s="30"/>
    </row>
    <row r="981" spans="1:127" ht="13">
      <c r="A981" s="39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  <c r="BN981" s="30"/>
      <c r="BO981" s="30"/>
      <c r="BP981" s="30"/>
      <c r="BQ981" s="30"/>
      <c r="BR981" s="30"/>
      <c r="BS981" s="30"/>
      <c r="BT981" s="30"/>
      <c r="BU981" s="30"/>
      <c r="BV981" s="30"/>
      <c r="BW981" s="30"/>
      <c r="BX981" s="30"/>
      <c r="BY981" s="30"/>
      <c r="BZ981" s="30"/>
      <c r="CA981" s="30"/>
      <c r="CB981" s="30"/>
      <c r="CC981" s="30"/>
      <c r="CD981" s="30"/>
      <c r="CE981" s="30"/>
      <c r="CF981" s="30"/>
      <c r="CG981" s="30"/>
      <c r="CH981" s="30"/>
      <c r="CI981" s="30"/>
      <c r="CJ981" s="30"/>
      <c r="CK981" s="30"/>
      <c r="CL981" s="30"/>
      <c r="CM981" s="30"/>
      <c r="CN981" s="30"/>
      <c r="CO981" s="30"/>
      <c r="CP981" s="30"/>
      <c r="CQ981" s="30"/>
      <c r="CR981" s="30"/>
      <c r="CS981" s="30"/>
      <c r="CT981" s="30"/>
      <c r="CU981" s="30"/>
      <c r="CV981" s="30"/>
      <c r="CW981" s="30"/>
      <c r="CX981" s="30"/>
      <c r="CY981" s="30"/>
      <c r="CZ981" s="30"/>
      <c r="DA981" s="30"/>
      <c r="DB981" s="30"/>
      <c r="DC981" s="30"/>
      <c r="DD981" s="30"/>
      <c r="DE981" s="30"/>
      <c r="DF981" s="30"/>
      <c r="DG981" s="30"/>
      <c r="DH981" s="30"/>
      <c r="DI981" s="30"/>
      <c r="DJ981" s="30"/>
      <c r="DK981" s="30"/>
      <c r="DL981" s="30"/>
      <c r="DM981" s="30"/>
      <c r="DN981" s="30"/>
      <c r="DO981" s="30"/>
      <c r="DP981" s="30"/>
      <c r="DQ981" s="30"/>
      <c r="DR981" s="30"/>
      <c r="DS981" s="30"/>
      <c r="DT981" s="30"/>
      <c r="DU981" s="30"/>
      <c r="DV981" s="30"/>
      <c r="DW981" s="30"/>
    </row>
    <row r="982" spans="1:127" ht="13">
      <c r="A982" s="39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  <c r="BN982" s="30"/>
      <c r="BO982" s="30"/>
      <c r="BP982" s="30"/>
      <c r="BQ982" s="30"/>
      <c r="BR982" s="30"/>
      <c r="BS982" s="30"/>
      <c r="BT982" s="30"/>
      <c r="BU982" s="30"/>
      <c r="BV982" s="30"/>
      <c r="BW982" s="30"/>
      <c r="BX982" s="30"/>
      <c r="BY982" s="30"/>
      <c r="BZ982" s="30"/>
      <c r="CA982" s="30"/>
      <c r="CB982" s="30"/>
      <c r="CC982" s="30"/>
      <c r="CD982" s="30"/>
      <c r="CE982" s="30"/>
      <c r="CF982" s="30"/>
      <c r="CG982" s="30"/>
      <c r="CH982" s="30"/>
      <c r="CI982" s="30"/>
      <c r="CJ982" s="30"/>
      <c r="CK982" s="30"/>
      <c r="CL982" s="30"/>
      <c r="CM982" s="30"/>
      <c r="CN982" s="30"/>
      <c r="CO982" s="30"/>
      <c r="CP982" s="30"/>
      <c r="CQ982" s="30"/>
      <c r="CR982" s="30"/>
      <c r="CS982" s="30"/>
      <c r="CT982" s="30"/>
      <c r="CU982" s="30"/>
      <c r="CV982" s="30"/>
      <c r="CW982" s="30"/>
      <c r="CX982" s="30"/>
      <c r="CY982" s="30"/>
      <c r="CZ982" s="30"/>
      <c r="DA982" s="30"/>
      <c r="DB982" s="30"/>
      <c r="DC982" s="30"/>
      <c r="DD982" s="30"/>
      <c r="DE982" s="30"/>
      <c r="DF982" s="30"/>
      <c r="DG982" s="30"/>
      <c r="DH982" s="30"/>
      <c r="DI982" s="30"/>
      <c r="DJ982" s="30"/>
      <c r="DK982" s="30"/>
      <c r="DL982" s="30"/>
      <c r="DM982" s="30"/>
      <c r="DN982" s="30"/>
      <c r="DO982" s="30"/>
      <c r="DP982" s="30"/>
      <c r="DQ982" s="30"/>
      <c r="DR982" s="30"/>
      <c r="DS982" s="30"/>
      <c r="DT982" s="30"/>
      <c r="DU982" s="30"/>
      <c r="DV982" s="30"/>
      <c r="DW982" s="30"/>
    </row>
    <row r="983" spans="1:127" ht="13">
      <c r="A983" s="39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  <c r="BP983" s="30"/>
      <c r="BQ983" s="30"/>
      <c r="BR983" s="30"/>
      <c r="BS983" s="30"/>
      <c r="BT983" s="30"/>
      <c r="BU983" s="30"/>
      <c r="BV983" s="30"/>
      <c r="BW983" s="30"/>
      <c r="BX983" s="30"/>
      <c r="BY983" s="30"/>
      <c r="BZ983" s="30"/>
      <c r="CA983" s="30"/>
      <c r="CB983" s="30"/>
      <c r="CC983" s="30"/>
      <c r="CD983" s="30"/>
      <c r="CE983" s="30"/>
      <c r="CF983" s="30"/>
      <c r="CG983" s="30"/>
      <c r="CH983" s="30"/>
      <c r="CI983" s="30"/>
      <c r="CJ983" s="30"/>
      <c r="CK983" s="30"/>
      <c r="CL983" s="30"/>
      <c r="CM983" s="30"/>
      <c r="CN983" s="30"/>
      <c r="CO983" s="30"/>
      <c r="CP983" s="30"/>
      <c r="CQ983" s="30"/>
      <c r="CR983" s="30"/>
      <c r="CS983" s="30"/>
      <c r="CT983" s="30"/>
      <c r="CU983" s="30"/>
      <c r="CV983" s="30"/>
      <c r="CW983" s="30"/>
      <c r="CX983" s="30"/>
      <c r="CY983" s="30"/>
      <c r="CZ983" s="30"/>
      <c r="DA983" s="30"/>
      <c r="DB983" s="30"/>
      <c r="DC983" s="30"/>
      <c r="DD983" s="30"/>
      <c r="DE983" s="30"/>
      <c r="DF983" s="30"/>
      <c r="DG983" s="30"/>
      <c r="DH983" s="30"/>
      <c r="DI983" s="30"/>
      <c r="DJ983" s="30"/>
      <c r="DK983" s="30"/>
      <c r="DL983" s="30"/>
      <c r="DM983" s="30"/>
      <c r="DN983" s="30"/>
      <c r="DO983" s="30"/>
      <c r="DP983" s="30"/>
      <c r="DQ983" s="30"/>
      <c r="DR983" s="30"/>
      <c r="DS983" s="30"/>
      <c r="DT983" s="30"/>
      <c r="DU983" s="30"/>
      <c r="DV983" s="30"/>
      <c r="DW983" s="30"/>
    </row>
    <row r="984" spans="1:127" ht="13">
      <c r="A984" s="39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  <c r="BN984" s="30"/>
      <c r="BO984" s="30"/>
      <c r="BP984" s="30"/>
      <c r="BQ984" s="30"/>
      <c r="BR984" s="30"/>
      <c r="BS984" s="30"/>
      <c r="BT984" s="30"/>
      <c r="BU984" s="30"/>
      <c r="BV984" s="30"/>
      <c r="BW984" s="30"/>
      <c r="BX984" s="30"/>
      <c r="BY984" s="30"/>
      <c r="BZ984" s="30"/>
      <c r="CA984" s="30"/>
      <c r="CB984" s="30"/>
      <c r="CC984" s="30"/>
      <c r="CD984" s="30"/>
      <c r="CE984" s="30"/>
      <c r="CF984" s="30"/>
      <c r="CG984" s="30"/>
      <c r="CH984" s="30"/>
      <c r="CI984" s="30"/>
      <c r="CJ984" s="30"/>
      <c r="CK984" s="30"/>
      <c r="CL984" s="30"/>
      <c r="CM984" s="30"/>
      <c r="CN984" s="30"/>
      <c r="CO984" s="30"/>
      <c r="CP984" s="30"/>
      <c r="CQ984" s="30"/>
      <c r="CR984" s="30"/>
      <c r="CS984" s="30"/>
      <c r="CT984" s="30"/>
      <c r="CU984" s="30"/>
      <c r="CV984" s="30"/>
      <c r="CW984" s="30"/>
      <c r="CX984" s="30"/>
      <c r="CY984" s="30"/>
      <c r="CZ984" s="30"/>
      <c r="DA984" s="30"/>
      <c r="DB984" s="30"/>
      <c r="DC984" s="30"/>
      <c r="DD984" s="30"/>
      <c r="DE984" s="30"/>
      <c r="DF984" s="30"/>
      <c r="DG984" s="30"/>
      <c r="DH984" s="30"/>
      <c r="DI984" s="30"/>
      <c r="DJ984" s="30"/>
      <c r="DK984" s="30"/>
      <c r="DL984" s="30"/>
      <c r="DM984" s="30"/>
      <c r="DN984" s="30"/>
      <c r="DO984" s="30"/>
      <c r="DP984" s="30"/>
      <c r="DQ984" s="30"/>
      <c r="DR984" s="30"/>
      <c r="DS984" s="30"/>
      <c r="DT984" s="30"/>
      <c r="DU984" s="30"/>
      <c r="DV984" s="30"/>
      <c r="DW984" s="30"/>
    </row>
    <row r="985" spans="1:127" ht="13">
      <c r="A985" s="39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  <c r="BP985" s="30"/>
      <c r="BQ985" s="30"/>
      <c r="BR985" s="30"/>
      <c r="BS985" s="30"/>
      <c r="BT985" s="30"/>
      <c r="BU985" s="30"/>
      <c r="BV985" s="30"/>
      <c r="BW985" s="30"/>
      <c r="BX985" s="30"/>
      <c r="BY985" s="30"/>
      <c r="BZ985" s="30"/>
      <c r="CA985" s="30"/>
      <c r="CB985" s="30"/>
      <c r="CC985" s="30"/>
      <c r="CD985" s="30"/>
      <c r="CE985" s="30"/>
      <c r="CF985" s="30"/>
      <c r="CG985" s="30"/>
      <c r="CH985" s="30"/>
      <c r="CI985" s="30"/>
      <c r="CJ985" s="30"/>
      <c r="CK985" s="30"/>
      <c r="CL985" s="30"/>
      <c r="CM985" s="30"/>
      <c r="CN985" s="30"/>
      <c r="CO985" s="30"/>
      <c r="CP985" s="30"/>
      <c r="CQ985" s="30"/>
      <c r="CR985" s="30"/>
      <c r="CS985" s="30"/>
      <c r="CT985" s="30"/>
      <c r="CU985" s="30"/>
      <c r="CV985" s="30"/>
      <c r="CW985" s="30"/>
      <c r="CX985" s="30"/>
      <c r="CY985" s="30"/>
      <c r="CZ985" s="30"/>
      <c r="DA985" s="30"/>
      <c r="DB985" s="30"/>
      <c r="DC985" s="30"/>
      <c r="DD985" s="30"/>
      <c r="DE985" s="30"/>
      <c r="DF985" s="30"/>
      <c r="DG985" s="30"/>
      <c r="DH985" s="30"/>
      <c r="DI985" s="30"/>
      <c r="DJ985" s="30"/>
      <c r="DK985" s="30"/>
      <c r="DL985" s="30"/>
      <c r="DM985" s="30"/>
      <c r="DN985" s="30"/>
      <c r="DO985" s="30"/>
      <c r="DP985" s="30"/>
      <c r="DQ985" s="30"/>
      <c r="DR985" s="30"/>
      <c r="DS985" s="30"/>
      <c r="DT985" s="30"/>
      <c r="DU985" s="30"/>
      <c r="DV985" s="30"/>
      <c r="DW985" s="30"/>
    </row>
    <row r="986" spans="1:127" ht="13">
      <c r="A986" s="39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  <c r="BP986" s="30"/>
      <c r="BQ986" s="30"/>
      <c r="BR986" s="30"/>
      <c r="BS986" s="30"/>
      <c r="BT986" s="30"/>
      <c r="BU986" s="30"/>
      <c r="BV986" s="30"/>
      <c r="BW986" s="30"/>
      <c r="BX986" s="30"/>
      <c r="BY986" s="30"/>
      <c r="BZ986" s="30"/>
      <c r="CA986" s="30"/>
      <c r="CB986" s="30"/>
      <c r="CC986" s="30"/>
      <c r="CD986" s="30"/>
      <c r="CE986" s="30"/>
      <c r="CF986" s="30"/>
      <c r="CG986" s="30"/>
      <c r="CH986" s="30"/>
      <c r="CI986" s="30"/>
      <c r="CJ986" s="30"/>
      <c r="CK986" s="30"/>
      <c r="CL986" s="30"/>
      <c r="CM986" s="30"/>
      <c r="CN986" s="30"/>
      <c r="CO986" s="30"/>
      <c r="CP986" s="30"/>
      <c r="CQ986" s="30"/>
      <c r="CR986" s="30"/>
      <c r="CS986" s="30"/>
      <c r="CT986" s="30"/>
      <c r="CU986" s="30"/>
      <c r="CV986" s="30"/>
      <c r="CW986" s="30"/>
      <c r="CX986" s="30"/>
      <c r="CY986" s="30"/>
      <c r="CZ986" s="30"/>
      <c r="DA986" s="30"/>
      <c r="DB986" s="30"/>
      <c r="DC986" s="30"/>
      <c r="DD986" s="30"/>
      <c r="DE986" s="30"/>
      <c r="DF986" s="30"/>
      <c r="DG986" s="30"/>
      <c r="DH986" s="30"/>
      <c r="DI986" s="30"/>
      <c r="DJ986" s="30"/>
      <c r="DK986" s="30"/>
      <c r="DL986" s="30"/>
      <c r="DM986" s="30"/>
      <c r="DN986" s="30"/>
      <c r="DO986" s="30"/>
      <c r="DP986" s="30"/>
      <c r="DQ986" s="30"/>
      <c r="DR986" s="30"/>
      <c r="DS986" s="30"/>
      <c r="DT986" s="30"/>
      <c r="DU986" s="30"/>
      <c r="DV986" s="30"/>
      <c r="DW986" s="30"/>
    </row>
    <row r="987" spans="1:127" ht="13">
      <c r="A987" s="39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  <c r="BN987" s="30"/>
      <c r="BO987" s="30"/>
      <c r="BP987" s="30"/>
      <c r="BQ987" s="30"/>
      <c r="BR987" s="30"/>
      <c r="BS987" s="30"/>
      <c r="BT987" s="30"/>
      <c r="BU987" s="30"/>
      <c r="BV987" s="30"/>
      <c r="BW987" s="30"/>
      <c r="BX987" s="30"/>
      <c r="BY987" s="30"/>
      <c r="BZ987" s="30"/>
      <c r="CA987" s="30"/>
      <c r="CB987" s="30"/>
      <c r="CC987" s="30"/>
      <c r="CD987" s="30"/>
      <c r="CE987" s="30"/>
      <c r="CF987" s="30"/>
      <c r="CG987" s="30"/>
      <c r="CH987" s="30"/>
      <c r="CI987" s="30"/>
      <c r="CJ987" s="30"/>
      <c r="CK987" s="30"/>
      <c r="CL987" s="30"/>
      <c r="CM987" s="30"/>
      <c r="CN987" s="30"/>
      <c r="CO987" s="30"/>
      <c r="CP987" s="30"/>
      <c r="CQ987" s="30"/>
      <c r="CR987" s="30"/>
      <c r="CS987" s="30"/>
      <c r="CT987" s="30"/>
      <c r="CU987" s="30"/>
      <c r="CV987" s="30"/>
      <c r="CW987" s="30"/>
      <c r="CX987" s="30"/>
      <c r="CY987" s="30"/>
      <c r="CZ987" s="30"/>
      <c r="DA987" s="30"/>
      <c r="DB987" s="30"/>
      <c r="DC987" s="30"/>
      <c r="DD987" s="30"/>
      <c r="DE987" s="30"/>
      <c r="DF987" s="30"/>
      <c r="DG987" s="30"/>
      <c r="DH987" s="30"/>
      <c r="DI987" s="30"/>
      <c r="DJ987" s="30"/>
      <c r="DK987" s="30"/>
      <c r="DL987" s="30"/>
      <c r="DM987" s="30"/>
      <c r="DN987" s="30"/>
      <c r="DO987" s="30"/>
      <c r="DP987" s="30"/>
      <c r="DQ987" s="30"/>
      <c r="DR987" s="30"/>
      <c r="DS987" s="30"/>
      <c r="DT987" s="30"/>
      <c r="DU987" s="30"/>
      <c r="DV987" s="30"/>
      <c r="DW987" s="30"/>
    </row>
    <row r="988" spans="1:127" ht="13">
      <c r="A988" s="39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  <c r="BN988" s="30"/>
      <c r="BO988" s="30"/>
      <c r="BP988" s="30"/>
      <c r="BQ988" s="30"/>
      <c r="BR988" s="30"/>
      <c r="BS988" s="30"/>
      <c r="BT988" s="30"/>
      <c r="BU988" s="30"/>
      <c r="BV988" s="30"/>
      <c r="BW988" s="30"/>
      <c r="BX988" s="30"/>
      <c r="BY988" s="30"/>
      <c r="BZ988" s="30"/>
      <c r="CA988" s="30"/>
      <c r="CB988" s="30"/>
      <c r="CC988" s="30"/>
      <c r="CD988" s="30"/>
      <c r="CE988" s="30"/>
      <c r="CF988" s="30"/>
      <c r="CG988" s="30"/>
      <c r="CH988" s="30"/>
      <c r="CI988" s="30"/>
      <c r="CJ988" s="30"/>
      <c r="CK988" s="30"/>
      <c r="CL988" s="30"/>
      <c r="CM988" s="30"/>
      <c r="CN988" s="30"/>
      <c r="CO988" s="30"/>
      <c r="CP988" s="30"/>
      <c r="CQ988" s="30"/>
      <c r="CR988" s="30"/>
      <c r="CS988" s="30"/>
      <c r="CT988" s="30"/>
      <c r="CU988" s="30"/>
      <c r="CV988" s="30"/>
      <c r="CW988" s="30"/>
      <c r="CX988" s="30"/>
      <c r="CY988" s="30"/>
      <c r="CZ988" s="30"/>
      <c r="DA988" s="30"/>
      <c r="DB988" s="30"/>
      <c r="DC988" s="30"/>
      <c r="DD988" s="30"/>
      <c r="DE988" s="30"/>
      <c r="DF988" s="30"/>
      <c r="DG988" s="30"/>
      <c r="DH988" s="30"/>
      <c r="DI988" s="30"/>
      <c r="DJ988" s="30"/>
      <c r="DK988" s="30"/>
      <c r="DL988" s="30"/>
      <c r="DM988" s="30"/>
      <c r="DN988" s="30"/>
      <c r="DO988" s="30"/>
      <c r="DP988" s="30"/>
      <c r="DQ988" s="30"/>
      <c r="DR988" s="30"/>
      <c r="DS988" s="30"/>
      <c r="DT988" s="30"/>
      <c r="DU988" s="30"/>
      <c r="DV988" s="30"/>
      <c r="DW988" s="30"/>
    </row>
    <row r="989" spans="1:127" ht="13">
      <c r="A989" s="39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  <c r="BP989" s="30"/>
      <c r="BQ989" s="30"/>
      <c r="BR989" s="30"/>
      <c r="BS989" s="30"/>
      <c r="BT989" s="30"/>
      <c r="BU989" s="30"/>
      <c r="BV989" s="30"/>
      <c r="BW989" s="30"/>
      <c r="BX989" s="30"/>
      <c r="BY989" s="30"/>
      <c r="BZ989" s="30"/>
      <c r="CA989" s="30"/>
      <c r="CB989" s="30"/>
      <c r="CC989" s="30"/>
      <c r="CD989" s="30"/>
      <c r="CE989" s="30"/>
      <c r="CF989" s="30"/>
      <c r="CG989" s="30"/>
      <c r="CH989" s="30"/>
      <c r="CI989" s="30"/>
      <c r="CJ989" s="30"/>
      <c r="CK989" s="30"/>
      <c r="CL989" s="30"/>
      <c r="CM989" s="30"/>
      <c r="CN989" s="30"/>
      <c r="CO989" s="30"/>
      <c r="CP989" s="30"/>
      <c r="CQ989" s="30"/>
      <c r="CR989" s="30"/>
      <c r="CS989" s="30"/>
      <c r="CT989" s="30"/>
      <c r="CU989" s="30"/>
      <c r="CV989" s="30"/>
      <c r="CW989" s="30"/>
      <c r="CX989" s="30"/>
      <c r="CY989" s="30"/>
      <c r="CZ989" s="30"/>
      <c r="DA989" s="30"/>
      <c r="DB989" s="30"/>
      <c r="DC989" s="30"/>
      <c r="DD989" s="30"/>
      <c r="DE989" s="30"/>
      <c r="DF989" s="30"/>
      <c r="DG989" s="30"/>
      <c r="DH989" s="30"/>
      <c r="DI989" s="30"/>
      <c r="DJ989" s="30"/>
      <c r="DK989" s="30"/>
      <c r="DL989" s="30"/>
      <c r="DM989" s="30"/>
      <c r="DN989" s="30"/>
      <c r="DO989" s="30"/>
      <c r="DP989" s="30"/>
      <c r="DQ989" s="30"/>
      <c r="DR989" s="30"/>
      <c r="DS989" s="30"/>
      <c r="DT989" s="30"/>
      <c r="DU989" s="30"/>
      <c r="DV989" s="30"/>
      <c r="DW989" s="30"/>
    </row>
    <row r="990" spans="1:127" ht="13">
      <c r="A990" s="39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  <c r="BP990" s="30"/>
      <c r="BQ990" s="30"/>
      <c r="BR990" s="30"/>
      <c r="BS990" s="30"/>
      <c r="BT990" s="30"/>
      <c r="BU990" s="30"/>
      <c r="BV990" s="30"/>
      <c r="BW990" s="30"/>
      <c r="BX990" s="30"/>
      <c r="BY990" s="30"/>
      <c r="BZ990" s="30"/>
      <c r="CA990" s="30"/>
      <c r="CB990" s="30"/>
      <c r="CC990" s="30"/>
      <c r="CD990" s="30"/>
      <c r="CE990" s="30"/>
      <c r="CF990" s="30"/>
      <c r="CG990" s="30"/>
      <c r="CH990" s="30"/>
      <c r="CI990" s="30"/>
      <c r="CJ990" s="30"/>
      <c r="CK990" s="30"/>
      <c r="CL990" s="30"/>
      <c r="CM990" s="30"/>
      <c r="CN990" s="30"/>
      <c r="CO990" s="30"/>
      <c r="CP990" s="30"/>
      <c r="CQ990" s="30"/>
      <c r="CR990" s="30"/>
      <c r="CS990" s="30"/>
      <c r="CT990" s="30"/>
      <c r="CU990" s="30"/>
      <c r="CV990" s="30"/>
      <c r="CW990" s="30"/>
      <c r="CX990" s="30"/>
      <c r="CY990" s="30"/>
      <c r="CZ990" s="30"/>
      <c r="DA990" s="30"/>
      <c r="DB990" s="30"/>
      <c r="DC990" s="30"/>
      <c r="DD990" s="30"/>
      <c r="DE990" s="30"/>
      <c r="DF990" s="30"/>
      <c r="DG990" s="30"/>
      <c r="DH990" s="30"/>
      <c r="DI990" s="30"/>
      <c r="DJ990" s="30"/>
      <c r="DK990" s="30"/>
      <c r="DL990" s="30"/>
      <c r="DM990" s="30"/>
      <c r="DN990" s="30"/>
      <c r="DO990" s="30"/>
      <c r="DP990" s="30"/>
      <c r="DQ990" s="30"/>
      <c r="DR990" s="30"/>
      <c r="DS990" s="30"/>
      <c r="DT990" s="30"/>
      <c r="DU990" s="30"/>
      <c r="DV990" s="30"/>
      <c r="DW990" s="30"/>
    </row>
    <row r="991" spans="1:127" ht="13">
      <c r="A991" s="39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  <c r="BN991" s="30"/>
      <c r="BO991" s="30"/>
      <c r="BP991" s="30"/>
      <c r="BQ991" s="30"/>
      <c r="BR991" s="30"/>
      <c r="BS991" s="30"/>
      <c r="BT991" s="30"/>
      <c r="BU991" s="30"/>
      <c r="BV991" s="30"/>
      <c r="BW991" s="30"/>
      <c r="BX991" s="30"/>
      <c r="BY991" s="30"/>
      <c r="BZ991" s="30"/>
      <c r="CA991" s="30"/>
      <c r="CB991" s="30"/>
      <c r="CC991" s="30"/>
      <c r="CD991" s="30"/>
      <c r="CE991" s="30"/>
      <c r="CF991" s="30"/>
      <c r="CG991" s="30"/>
      <c r="CH991" s="30"/>
      <c r="CI991" s="30"/>
      <c r="CJ991" s="30"/>
      <c r="CK991" s="30"/>
      <c r="CL991" s="30"/>
      <c r="CM991" s="30"/>
      <c r="CN991" s="30"/>
      <c r="CO991" s="30"/>
      <c r="CP991" s="30"/>
      <c r="CQ991" s="30"/>
      <c r="CR991" s="30"/>
      <c r="CS991" s="30"/>
      <c r="CT991" s="30"/>
      <c r="CU991" s="30"/>
      <c r="CV991" s="30"/>
      <c r="CW991" s="30"/>
      <c r="CX991" s="30"/>
      <c r="CY991" s="30"/>
      <c r="CZ991" s="30"/>
      <c r="DA991" s="30"/>
      <c r="DB991" s="30"/>
      <c r="DC991" s="30"/>
      <c r="DD991" s="30"/>
      <c r="DE991" s="30"/>
      <c r="DF991" s="30"/>
      <c r="DG991" s="30"/>
      <c r="DH991" s="30"/>
      <c r="DI991" s="30"/>
      <c r="DJ991" s="30"/>
      <c r="DK991" s="30"/>
      <c r="DL991" s="30"/>
      <c r="DM991" s="30"/>
      <c r="DN991" s="30"/>
      <c r="DO991" s="30"/>
      <c r="DP991" s="30"/>
      <c r="DQ991" s="30"/>
      <c r="DR991" s="30"/>
      <c r="DS991" s="30"/>
      <c r="DT991" s="30"/>
      <c r="DU991" s="30"/>
      <c r="DV991" s="30"/>
      <c r="DW991" s="30"/>
    </row>
    <row r="992" spans="1:127" ht="13">
      <c r="A992" s="39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  <c r="BJ992" s="30"/>
      <c r="BK992" s="30"/>
      <c r="BL992" s="30"/>
      <c r="BM992" s="30"/>
      <c r="BN992" s="30"/>
      <c r="BO992" s="30"/>
      <c r="BP992" s="30"/>
      <c r="BQ992" s="30"/>
      <c r="BR992" s="30"/>
      <c r="BS992" s="30"/>
      <c r="BT992" s="30"/>
      <c r="BU992" s="30"/>
      <c r="BV992" s="30"/>
      <c r="BW992" s="30"/>
      <c r="BX992" s="30"/>
      <c r="BY992" s="30"/>
      <c r="BZ992" s="30"/>
      <c r="CA992" s="30"/>
      <c r="CB992" s="30"/>
      <c r="CC992" s="30"/>
      <c r="CD992" s="30"/>
      <c r="CE992" s="30"/>
      <c r="CF992" s="30"/>
      <c r="CG992" s="30"/>
      <c r="CH992" s="30"/>
      <c r="CI992" s="30"/>
      <c r="CJ992" s="30"/>
      <c r="CK992" s="30"/>
      <c r="CL992" s="30"/>
      <c r="CM992" s="30"/>
      <c r="CN992" s="30"/>
      <c r="CO992" s="30"/>
      <c r="CP992" s="30"/>
      <c r="CQ992" s="30"/>
      <c r="CR992" s="30"/>
      <c r="CS992" s="30"/>
      <c r="CT992" s="30"/>
      <c r="CU992" s="30"/>
      <c r="CV992" s="30"/>
      <c r="CW992" s="30"/>
      <c r="CX992" s="30"/>
      <c r="CY992" s="30"/>
      <c r="CZ992" s="30"/>
      <c r="DA992" s="30"/>
      <c r="DB992" s="30"/>
      <c r="DC992" s="30"/>
      <c r="DD992" s="30"/>
      <c r="DE992" s="30"/>
      <c r="DF992" s="30"/>
      <c r="DG992" s="30"/>
      <c r="DH992" s="30"/>
      <c r="DI992" s="30"/>
      <c r="DJ992" s="30"/>
      <c r="DK992" s="30"/>
      <c r="DL992" s="30"/>
      <c r="DM992" s="30"/>
      <c r="DN992" s="30"/>
      <c r="DO992" s="30"/>
      <c r="DP992" s="30"/>
      <c r="DQ992" s="30"/>
      <c r="DR992" s="30"/>
      <c r="DS992" s="30"/>
      <c r="DT992" s="30"/>
      <c r="DU992" s="30"/>
      <c r="DV992" s="30"/>
      <c r="DW992" s="30"/>
    </row>
    <row r="993" spans="1:127" ht="13">
      <c r="A993" s="39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  <c r="BN993" s="30"/>
      <c r="BO993" s="30"/>
      <c r="BP993" s="30"/>
      <c r="BQ993" s="30"/>
      <c r="BR993" s="30"/>
      <c r="BS993" s="30"/>
      <c r="BT993" s="30"/>
      <c r="BU993" s="30"/>
      <c r="BV993" s="30"/>
      <c r="BW993" s="30"/>
      <c r="BX993" s="30"/>
      <c r="BY993" s="30"/>
      <c r="BZ993" s="30"/>
      <c r="CA993" s="30"/>
      <c r="CB993" s="30"/>
      <c r="CC993" s="30"/>
      <c r="CD993" s="30"/>
      <c r="CE993" s="30"/>
      <c r="CF993" s="30"/>
      <c r="CG993" s="30"/>
      <c r="CH993" s="30"/>
      <c r="CI993" s="30"/>
      <c r="CJ993" s="30"/>
      <c r="CK993" s="30"/>
      <c r="CL993" s="30"/>
      <c r="CM993" s="30"/>
      <c r="CN993" s="30"/>
      <c r="CO993" s="30"/>
      <c r="CP993" s="30"/>
      <c r="CQ993" s="30"/>
      <c r="CR993" s="30"/>
      <c r="CS993" s="30"/>
      <c r="CT993" s="30"/>
      <c r="CU993" s="30"/>
      <c r="CV993" s="30"/>
      <c r="CW993" s="30"/>
      <c r="CX993" s="30"/>
      <c r="CY993" s="30"/>
      <c r="CZ993" s="30"/>
      <c r="DA993" s="30"/>
      <c r="DB993" s="30"/>
      <c r="DC993" s="30"/>
      <c r="DD993" s="30"/>
      <c r="DE993" s="30"/>
      <c r="DF993" s="30"/>
      <c r="DG993" s="30"/>
      <c r="DH993" s="30"/>
      <c r="DI993" s="30"/>
      <c r="DJ993" s="30"/>
      <c r="DK993" s="30"/>
      <c r="DL993" s="30"/>
      <c r="DM993" s="30"/>
      <c r="DN993" s="30"/>
      <c r="DO993" s="30"/>
      <c r="DP993" s="30"/>
      <c r="DQ993" s="30"/>
      <c r="DR993" s="30"/>
      <c r="DS993" s="30"/>
      <c r="DT993" s="30"/>
      <c r="DU993" s="30"/>
      <c r="DV993" s="30"/>
      <c r="DW993" s="30"/>
    </row>
    <row r="994" spans="1:127" ht="13">
      <c r="A994" s="39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  <c r="BJ994" s="30"/>
      <c r="BK994" s="30"/>
      <c r="BL994" s="30"/>
      <c r="BM994" s="30"/>
      <c r="BN994" s="30"/>
      <c r="BO994" s="30"/>
      <c r="BP994" s="30"/>
      <c r="BQ994" s="30"/>
      <c r="BR994" s="30"/>
      <c r="BS994" s="30"/>
      <c r="BT994" s="30"/>
      <c r="BU994" s="30"/>
      <c r="BV994" s="30"/>
      <c r="BW994" s="30"/>
      <c r="BX994" s="30"/>
      <c r="BY994" s="30"/>
      <c r="BZ994" s="30"/>
      <c r="CA994" s="30"/>
      <c r="CB994" s="30"/>
      <c r="CC994" s="30"/>
      <c r="CD994" s="30"/>
      <c r="CE994" s="30"/>
      <c r="CF994" s="30"/>
      <c r="CG994" s="30"/>
      <c r="CH994" s="30"/>
      <c r="CI994" s="30"/>
      <c r="CJ994" s="30"/>
      <c r="CK994" s="30"/>
      <c r="CL994" s="30"/>
      <c r="CM994" s="30"/>
      <c r="CN994" s="30"/>
      <c r="CO994" s="30"/>
      <c r="CP994" s="30"/>
      <c r="CQ994" s="30"/>
      <c r="CR994" s="30"/>
      <c r="CS994" s="30"/>
      <c r="CT994" s="30"/>
      <c r="CU994" s="30"/>
      <c r="CV994" s="30"/>
      <c r="CW994" s="30"/>
      <c r="CX994" s="30"/>
      <c r="CY994" s="30"/>
      <c r="CZ994" s="30"/>
      <c r="DA994" s="30"/>
      <c r="DB994" s="30"/>
      <c r="DC994" s="30"/>
      <c r="DD994" s="30"/>
      <c r="DE994" s="30"/>
      <c r="DF994" s="30"/>
      <c r="DG994" s="30"/>
      <c r="DH994" s="30"/>
      <c r="DI994" s="30"/>
      <c r="DJ994" s="30"/>
      <c r="DK994" s="30"/>
      <c r="DL994" s="30"/>
      <c r="DM994" s="30"/>
      <c r="DN994" s="30"/>
      <c r="DO994" s="30"/>
      <c r="DP994" s="30"/>
      <c r="DQ994" s="30"/>
      <c r="DR994" s="30"/>
      <c r="DS994" s="30"/>
      <c r="DT994" s="30"/>
      <c r="DU994" s="30"/>
      <c r="DV994" s="30"/>
      <c r="DW994" s="30"/>
    </row>
    <row r="995" spans="1:127" ht="13">
      <c r="A995" s="39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  <c r="BJ995" s="30"/>
      <c r="BK995" s="30"/>
      <c r="BL995" s="30"/>
      <c r="BM995" s="30"/>
      <c r="BN995" s="30"/>
      <c r="BO995" s="30"/>
      <c r="BP995" s="30"/>
      <c r="BQ995" s="30"/>
      <c r="BR995" s="30"/>
      <c r="BS995" s="30"/>
      <c r="BT995" s="30"/>
      <c r="BU995" s="30"/>
      <c r="BV995" s="30"/>
      <c r="BW995" s="30"/>
      <c r="BX995" s="30"/>
      <c r="BY995" s="30"/>
      <c r="BZ995" s="30"/>
      <c r="CA995" s="30"/>
      <c r="CB995" s="30"/>
      <c r="CC995" s="30"/>
      <c r="CD995" s="30"/>
      <c r="CE995" s="30"/>
      <c r="CF995" s="30"/>
      <c r="CG995" s="30"/>
      <c r="CH995" s="30"/>
      <c r="CI995" s="30"/>
      <c r="CJ995" s="30"/>
      <c r="CK995" s="30"/>
      <c r="CL995" s="30"/>
      <c r="CM995" s="30"/>
      <c r="CN995" s="30"/>
      <c r="CO995" s="30"/>
      <c r="CP995" s="30"/>
      <c r="CQ995" s="30"/>
      <c r="CR995" s="30"/>
      <c r="CS995" s="30"/>
      <c r="CT995" s="30"/>
      <c r="CU995" s="30"/>
      <c r="CV995" s="30"/>
      <c r="CW995" s="30"/>
      <c r="CX995" s="30"/>
      <c r="CY995" s="30"/>
      <c r="CZ995" s="30"/>
      <c r="DA995" s="30"/>
      <c r="DB995" s="30"/>
      <c r="DC995" s="30"/>
      <c r="DD995" s="30"/>
      <c r="DE995" s="30"/>
      <c r="DF995" s="30"/>
      <c r="DG995" s="30"/>
      <c r="DH995" s="30"/>
      <c r="DI995" s="30"/>
      <c r="DJ995" s="30"/>
      <c r="DK995" s="30"/>
      <c r="DL995" s="30"/>
      <c r="DM995" s="30"/>
      <c r="DN995" s="30"/>
      <c r="DO995" s="30"/>
      <c r="DP995" s="30"/>
      <c r="DQ995" s="30"/>
      <c r="DR995" s="30"/>
      <c r="DS995" s="30"/>
      <c r="DT995" s="30"/>
      <c r="DU995" s="30"/>
      <c r="DV995" s="30"/>
      <c r="DW995" s="30"/>
    </row>
    <row r="996" spans="1:127" ht="13">
      <c r="A996" s="39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  <c r="BJ996" s="30"/>
      <c r="BK996" s="30"/>
      <c r="BL996" s="30"/>
      <c r="BM996" s="30"/>
      <c r="BN996" s="30"/>
      <c r="BO996" s="30"/>
      <c r="BP996" s="30"/>
      <c r="BQ996" s="30"/>
      <c r="BR996" s="30"/>
      <c r="BS996" s="30"/>
      <c r="BT996" s="30"/>
      <c r="BU996" s="30"/>
      <c r="BV996" s="30"/>
      <c r="BW996" s="30"/>
      <c r="BX996" s="30"/>
      <c r="BY996" s="30"/>
      <c r="BZ996" s="30"/>
      <c r="CA996" s="30"/>
      <c r="CB996" s="30"/>
      <c r="CC996" s="30"/>
      <c r="CD996" s="30"/>
      <c r="CE996" s="30"/>
      <c r="CF996" s="30"/>
      <c r="CG996" s="30"/>
      <c r="CH996" s="30"/>
      <c r="CI996" s="30"/>
      <c r="CJ996" s="30"/>
      <c r="CK996" s="30"/>
      <c r="CL996" s="30"/>
      <c r="CM996" s="30"/>
      <c r="CN996" s="30"/>
      <c r="CO996" s="30"/>
      <c r="CP996" s="30"/>
      <c r="CQ996" s="30"/>
      <c r="CR996" s="30"/>
      <c r="CS996" s="30"/>
      <c r="CT996" s="30"/>
      <c r="CU996" s="30"/>
      <c r="CV996" s="30"/>
      <c r="CW996" s="30"/>
      <c r="CX996" s="30"/>
      <c r="CY996" s="30"/>
      <c r="CZ996" s="30"/>
      <c r="DA996" s="30"/>
      <c r="DB996" s="30"/>
      <c r="DC996" s="30"/>
      <c r="DD996" s="30"/>
      <c r="DE996" s="30"/>
      <c r="DF996" s="30"/>
      <c r="DG996" s="30"/>
      <c r="DH996" s="30"/>
      <c r="DI996" s="30"/>
      <c r="DJ996" s="30"/>
      <c r="DK996" s="30"/>
      <c r="DL996" s="30"/>
      <c r="DM996" s="30"/>
      <c r="DN996" s="30"/>
      <c r="DO996" s="30"/>
      <c r="DP996" s="30"/>
      <c r="DQ996" s="30"/>
      <c r="DR996" s="30"/>
      <c r="DS996" s="30"/>
      <c r="DT996" s="30"/>
      <c r="DU996" s="30"/>
      <c r="DV996" s="30"/>
      <c r="DW996" s="30"/>
    </row>
    <row r="997" spans="1:127" ht="13">
      <c r="A997" s="39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  <c r="BJ997" s="30"/>
      <c r="BK997" s="30"/>
      <c r="BL997" s="30"/>
      <c r="BM997" s="30"/>
      <c r="BN997" s="30"/>
      <c r="BO997" s="30"/>
      <c r="BP997" s="30"/>
      <c r="BQ997" s="30"/>
      <c r="BR997" s="30"/>
      <c r="BS997" s="30"/>
      <c r="BT997" s="30"/>
      <c r="BU997" s="30"/>
      <c r="BV997" s="30"/>
      <c r="BW997" s="30"/>
      <c r="BX997" s="30"/>
      <c r="BY997" s="30"/>
      <c r="BZ997" s="30"/>
      <c r="CA997" s="30"/>
      <c r="CB997" s="30"/>
      <c r="CC997" s="30"/>
      <c r="CD997" s="30"/>
      <c r="CE997" s="30"/>
      <c r="CF997" s="30"/>
      <c r="CG997" s="30"/>
      <c r="CH997" s="30"/>
      <c r="CI997" s="30"/>
      <c r="CJ997" s="30"/>
      <c r="CK997" s="30"/>
      <c r="CL997" s="30"/>
      <c r="CM997" s="30"/>
      <c r="CN997" s="30"/>
      <c r="CO997" s="30"/>
      <c r="CP997" s="30"/>
      <c r="CQ997" s="30"/>
      <c r="CR997" s="30"/>
      <c r="CS997" s="30"/>
      <c r="CT997" s="30"/>
      <c r="CU997" s="30"/>
      <c r="CV997" s="30"/>
      <c r="CW997" s="30"/>
      <c r="CX997" s="30"/>
      <c r="CY997" s="30"/>
      <c r="CZ997" s="30"/>
      <c r="DA997" s="30"/>
      <c r="DB997" s="30"/>
      <c r="DC997" s="30"/>
      <c r="DD997" s="30"/>
      <c r="DE997" s="30"/>
      <c r="DF997" s="30"/>
      <c r="DG997" s="30"/>
      <c r="DH997" s="30"/>
      <c r="DI997" s="30"/>
      <c r="DJ997" s="30"/>
      <c r="DK997" s="30"/>
      <c r="DL997" s="30"/>
      <c r="DM997" s="30"/>
      <c r="DN997" s="30"/>
      <c r="DO997" s="30"/>
      <c r="DP997" s="30"/>
      <c r="DQ997" s="30"/>
      <c r="DR997" s="30"/>
      <c r="DS997" s="30"/>
      <c r="DT997" s="30"/>
      <c r="DU997" s="30"/>
      <c r="DV997" s="30"/>
      <c r="DW997" s="30"/>
    </row>
    <row r="998" spans="1:127" ht="13">
      <c r="A998" s="39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  <c r="BJ998" s="30"/>
      <c r="BK998" s="30"/>
      <c r="BL998" s="30"/>
      <c r="BM998" s="30"/>
      <c r="BN998" s="30"/>
      <c r="BO998" s="30"/>
      <c r="BP998" s="30"/>
      <c r="BQ998" s="30"/>
      <c r="BR998" s="30"/>
      <c r="BS998" s="30"/>
      <c r="BT998" s="30"/>
      <c r="BU998" s="30"/>
      <c r="BV998" s="30"/>
      <c r="BW998" s="30"/>
      <c r="BX998" s="30"/>
      <c r="BY998" s="30"/>
      <c r="BZ998" s="30"/>
      <c r="CA998" s="30"/>
      <c r="CB998" s="30"/>
      <c r="CC998" s="30"/>
      <c r="CD998" s="30"/>
      <c r="CE998" s="30"/>
      <c r="CF998" s="30"/>
      <c r="CG998" s="30"/>
      <c r="CH998" s="30"/>
      <c r="CI998" s="30"/>
      <c r="CJ998" s="30"/>
      <c r="CK998" s="30"/>
      <c r="CL998" s="30"/>
      <c r="CM998" s="30"/>
      <c r="CN998" s="30"/>
      <c r="CO998" s="30"/>
      <c r="CP998" s="30"/>
      <c r="CQ998" s="30"/>
      <c r="CR998" s="30"/>
      <c r="CS998" s="30"/>
      <c r="CT998" s="30"/>
      <c r="CU998" s="30"/>
      <c r="CV998" s="30"/>
      <c r="CW998" s="30"/>
      <c r="CX998" s="30"/>
      <c r="CY998" s="30"/>
      <c r="CZ998" s="30"/>
      <c r="DA998" s="30"/>
      <c r="DB998" s="30"/>
      <c r="DC998" s="30"/>
      <c r="DD998" s="30"/>
      <c r="DE998" s="30"/>
      <c r="DF998" s="30"/>
      <c r="DG998" s="30"/>
      <c r="DH998" s="30"/>
      <c r="DI998" s="30"/>
      <c r="DJ998" s="30"/>
      <c r="DK998" s="30"/>
      <c r="DL998" s="30"/>
      <c r="DM998" s="30"/>
      <c r="DN998" s="30"/>
      <c r="DO998" s="30"/>
      <c r="DP998" s="30"/>
      <c r="DQ998" s="30"/>
      <c r="DR998" s="30"/>
      <c r="DS998" s="30"/>
      <c r="DT998" s="30"/>
      <c r="DU998" s="30"/>
      <c r="DV998" s="30"/>
      <c r="DW998" s="30"/>
    </row>
    <row r="999" spans="1:127" ht="13">
      <c r="A999" s="39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  <c r="BJ999" s="30"/>
      <c r="BK999" s="30"/>
      <c r="BL999" s="30"/>
      <c r="BM999" s="30"/>
      <c r="BN999" s="30"/>
      <c r="BO999" s="30"/>
      <c r="BP999" s="30"/>
      <c r="BQ999" s="30"/>
      <c r="BR999" s="30"/>
      <c r="BS999" s="30"/>
      <c r="BT999" s="30"/>
      <c r="BU999" s="30"/>
      <c r="BV999" s="30"/>
      <c r="BW999" s="30"/>
      <c r="BX999" s="30"/>
      <c r="BY999" s="30"/>
      <c r="BZ999" s="30"/>
      <c r="CA999" s="30"/>
      <c r="CB999" s="30"/>
      <c r="CC999" s="30"/>
      <c r="CD999" s="30"/>
      <c r="CE999" s="30"/>
      <c r="CF999" s="30"/>
      <c r="CG999" s="30"/>
      <c r="CH999" s="30"/>
      <c r="CI999" s="30"/>
      <c r="CJ999" s="30"/>
      <c r="CK999" s="30"/>
      <c r="CL999" s="30"/>
      <c r="CM999" s="30"/>
      <c r="CN999" s="30"/>
      <c r="CO999" s="30"/>
      <c r="CP999" s="30"/>
      <c r="CQ999" s="30"/>
      <c r="CR999" s="30"/>
      <c r="CS999" s="30"/>
      <c r="CT999" s="30"/>
      <c r="CU999" s="30"/>
      <c r="CV999" s="30"/>
      <c r="CW999" s="30"/>
      <c r="CX999" s="30"/>
      <c r="CY999" s="30"/>
      <c r="CZ999" s="30"/>
      <c r="DA999" s="30"/>
      <c r="DB999" s="30"/>
      <c r="DC999" s="30"/>
      <c r="DD999" s="30"/>
      <c r="DE999" s="30"/>
      <c r="DF999" s="30"/>
      <c r="DG999" s="30"/>
      <c r="DH999" s="30"/>
      <c r="DI999" s="30"/>
      <c r="DJ999" s="30"/>
      <c r="DK999" s="30"/>
      <c r="DL999" s="30"/>
      <c r="DM999" s="30"/>
      <c r="DN999" s="30"/>
      <c r="DO999" s="30"/>
      <c r="DP999" s="30"/>
      <c r="DQ999" s="30"/>
      <c r="DR999" s="30"/>
      <c r="DS999" s="30"/>
      <c r="DT999" s="30"/>
      <c r="DU999" s="30"/>
      <c r="DV999" s="30"/>
      <c r="DW999" s="30"/>
    </row>
    <row r="1000" spans="1:127" ht="13">
      <c r="A1000" s="39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30"/>
      <c r="BN1000" s="30"/>
      <c r="BO1000" s="30"/>
      <c r="BP1000" s="30"/>
      <c r="BQ1000" s="30"/>
      <c r="BR1000" s="30"/>
      <c r="BS1000" s="30"/>
      <c r="BT1000" s="30"/>
      <c r="BU1000" s="30"/>
      <c r="BV1000" s="30"/>
      <c r="BW1000" s="30"/>
      <c r="BX1000" s="30"/>
      <c r="BY1000" s="30"/>
      <c r="BZ1000" s="30"/>
      <c r="CA1000" s="30"/>
      <c r="CB1000" s="30"/>
      <c r="CC1000" s="30"/>
      <c r="CD1000" s="30"/>
      <c r="CE1000" s="30"/>
      <c r="CF1000" s="30"/>
      <c r="CG1000" s="30"/>
      <c r="CH1000" s="30"/>
      <c r="CI1000" s="30"/>
      <c r="CJ1000" s="30"/>
      <c r="CK1000" s="30"/>
      <c r="CL1000" s="30"/>
      <c r="CM1000" s="30"/>
      <c r="CN1000" s="30"/>
      <c r="CO1000" s="30"/>
      <c r="CP1000" s="30"/>
      <c r="CQ1000" s="30"/>
      <c r="CR1000" s="30"/>
      <c r="CS1000" s="30"/>
      <c r="CT1000" s="30"/>
      <c r="CU1000" s="30"/>
      <c r="CV1000" s="30"/>
      <c r="CW1000" s="30"/>
      <c r="CX1000" s="30"/>
      <c r="CY1000" s="30"/>
      <c r="CZ1000" s="30"/>
      <c r="DA1000" s="30"/>
      <c r="DB1000" s="30"/>
      <c r="DC1000" s="30"/>
      <c r="DD1000" s="30"/>
      <c r="DE1000" s="30"/>
      <c r="DF1000" s="30"/>
      <c r="DG1000" s="30"/>
      <c r="DH1000" s="30"/>
      <c r="DI1000" s="30"/>
      <c r="DJ1000" s="30"/>
      <c r="DK1000" s="30"/>
      <c r="DL1000" s="30"/>
      <c r="DM1000" s="30"/>
      <c r="DN1000" s="30"/>
      <c r="DO1000" s="30"/>
      <c r="DP1000" s="30"/>
      <c r="DQ1000" s="30"/>
      <c r="DR1000" s="30"/>
      <c r="DS1000" s="30"/>
      <c r="DT1000" s="30"/>
      <c r="DU1000" s="30"/>
      <c r="DV1000" s="30"/>
      <c r="DW1000" s="30"/>
    </row>
    <row r="1001" spans="1:127" ht="13">
      <c r="A1001" s="39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  <c r="AJ1001" s="30"/>
      <c r="AK1001" s="30"/>
      <c r="AL1001" s="30"/>
      <c r="AM1001" s="30"/>
      <c r="AN1001" s="30"/>
      <c r="AO1001" s="30"/>
      <c r="AP1001" s="30"/>
      <c r="AQ1001" s="30"/>
      <c r="AR1001" s="30"/>
      <c r="AS1001" s="30"/>
      <c r="AT1001" s="30"/>
      <c r="AU1001" s="30"/>
      <c r="AV1001" s="30"/>
      <c r="AW1001" s="30"/>
      <c r="AX1001" s="30"/>
      <c r="AY1001" s="30"/>
      <c r="AZ1001" s="30"/>
      <c r="BA1001" s="30"/>
      <c r="BB1001" s="30"/>
      <c r="BC1001" s="30"/>
      <c r="BD1001" s="30"/>
      <c r="BE1001" s="30"/>
      <c r="BF1001" s="30"/>
      <c r="BG1001" s="30"/>
      <c r="BH1001" s="30"/>
      <c r="BI1001" s="30"/>
      <c r="BJ1001" s="30"/>
      <c r="BK1001" s="30"/>
      <c r="BL1001" s="30"/>
      <c r="BM1001" s="30"/>
      <c r="BN1001" s="30"/>
      <c r="BO1001" s="30"/>
      <c r="BP1001" s="30"/>
      <c r="BQ1001" s="30"/>
      <c r="BR1001" s="30"/>
      <c r="BS1001" s="30"/>
      <c r="BT1001" s="30"/>
      <c r="BU1001" s="30"/>
      <c r="BV1001" s="30"/>
      <c r="BW1001" s="30"/>
      <c r="BX1001" s="30"/>
      <c r="BY1001" s="30"/>
      <c r="BZ1001" s="30"/>
      <c r="CA1001" s="30"/>
      <c r="CB1001" s="30"/>
      <c r="CC1001" s="30"/>
      <c r="CD1001" s="30"/>
      <c r="CE1001" s="30"/>
      <c r="CF1001" s="30"/>
      <c r="CG1001" s="30"/>
      <c r="CH1001" s="30"/>
      <c r="CI1001" s="30"/>
      <c r="CJ1001" s="30"/>
      <c r="CK1001" s="30"/>
      <c r="CL1001" s="30"/>
      <c r="CM1001" s="30"/>
      <c r="CN1001" s="30"/>
      <c r="CO1001" s="30"/>
      <c r="CP1001" s="30"/>
      <c r="CQ1001" s="30"/>
      <c r="CR1001" s="30"/>
      <c r="CS1001" s="30"/>
      <c r="CT1001" s="30"/>
      <c r="CU1001" s="30"/>
      <c r="CV1001" s="30"/>
      <c r="CW1001" s="30"/>
      <c r="CX1001" s="30"/>
      <c r="CY1001" s="30"/>
      <c r="CZ1001" s="30"/>
      <c r="DA1001" s="30"/>
      <c r="DB1001" s="30"/>
      <c r="DC1001" s="30"/>
      <c r="DD1001" s="30"/>
      <c r="DE1001" s="30"/>
      <c r="DF1001" s="30"/>
      <c r="DG1001" s="30"/>
      <c r="DH1001" s="30"/>
      <c r="DI1001" s="30"/>
      <c r="DJ1001" s="30"/>
      <c r="DK1001" s="30"/>
      <c r="DL1001" s="30"/>
      <c r="DM1001" s="30"/>
      <c r="DN1001" s="30"/>
      <c r="DO1001" s="30"/>
      <c r="DP1001" s="30"/>
      <c r="DQ1001" s="30"/>
      <c r="DR1001" s="30"/>
      <c r="DS1001" s="30"/>
      <c r="DT1001" s="30"/>
      <c r="DU1001" s="30"/>
      <c r="DV1001" s="30"/>
      <c r="DW1001" s="3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P364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1" sqref="F21"/>
    </sheetView>
  </sheetViews>
  <sheetFormatPr baseColWidth="10" defaultColWidth="14.5" defaultRowHeight="15.75" customHeight="1"/>
  <cols>
    <col min="4" max="4" width="28.83203125" customWidth="1"/>
    <col min="5" max="5" width="24.6640625" customWidth="1"/>
    <col min="7" max="7" width="18.33203125" customWidth="1"/>
  </cols>
  <sheetData>
    <row r="1" spans="1:16" ht="15.75" customHeight="1">
      <c r="A1" s="3" t="s">
        <v>4914</v>
      </c>
      <c r="B1" s="3" t="s">
        <v>4915</v>
      </c>
      <c r="C1" s="3" t="s">
        <v>114</v>
      </c>
      <c r="D1" s="3" t="s">
        <v>116</v>
      </c>
      <c r="E1" s="3" t="s">
        <v>1</v>
      </c>
      <c r="F1" s="3" t="s">
        <v>4916</v>
      </c>
      <c r="G1" s="31" t="s">
        <v>304</v>
      </c>
      <c r="H1" s="3" t="s">
        <v>4917</v>
      </c>
      <c r="I1" s="3" t="s">
        <v>4918</v>
      </c>
      <c r="J1" s="3" t="s">
        <v>4919</v>
      </c>
      <c r="K1" s="3" t="s">
        <v>4920</v>
      </c>
      <c r="L1" s="3" t="s">
        <v>4921</v>
      </c>
      <c r="M1" s="1" t="s">
        <v>4922</v>
      </c>
      <c r="N1" s="1" t="s">
        <v>4923</v>
      </c>
      <c r="O1" s="1" t="s">
        <v>4924</v>
      </c>
      <c r="P1" s="1" t="s">
        <v>4925</v>
      </c>
    </row>
    <row r="2" spans="1:16" ht="15.75" customHeight="1">
      <c r="A2" s="4" t="s">
        <v>6256</v>
      </c>
      <c r="B2" s="4" t="s">
        <v>4951</v>
      </c>
      <c r="C2" s="4" t="s">
        <v>108</v>
      </c>
      <c r="D2" s="4" t="s">
        <v>4952</v>
      </c>
      <c r="E2" s="4" t="s">
        <v>18</v>
      </c>
      <c r="F2" s="4" t="s">
        <v>6257</v>
      </c>
      <c r="G2" s="4" t="s">
        <v>6258</v>
      </c>
      <c r="H2" s="4">
        <v>0.64</v>
      </c>
      <c r="I2" s="4">
        <v>1.06</v>
      </c>
      <c r="J2" s="4">
        <v>0.23796</v>
      </c>
      <c r="K2" s="4" t="b">
        <v>1</v>
      </c>
      <c r="L2" s="4" t="b">
        <v>0</v>
      </c>
    </row>
    <row r="3" spans="1:16" ht="15.75" customHeight="1">
      <c r="A3" s="4" t="s">
        <v>6259</v>
      </c>
      <c r="B3" s="4" t="s">
        <v>4951</v>
      </c>
      <c r="C3" s="4" t="s">
        <v>108</v>
      </c>
      <c r="D3" s="4" t="s">
        <v>4952</v>
      </c>
      <c r="E3" s="4" t="s">
        <v>18</v>
      </c>
      <c r="F3" s="4" t="s">
        <v>6260</v>
      </c>
      <c r="G3" s="4" t="s">
        <v>6261</v>
      </c>
      <c r="H3" s="4">
        <v>0.65</v>
      </c>
      <c r="I3" s="4">
        <v>1.1299999999999999</v>
      </c>
      <c r="J3" s="4">
        <v>0.25317000000000001</v>
      </c>
      <c r="K3" s="4" t="b">
        <v>1</v>
      </c>
      <c r="L3" s="4" t="b">
        <v>0</v>
      </c>
    </row>
    <row r="4" spans="1:16" ht="15.75" customHeight="1">
      <c r="A4" s="4" t="s">
        <v>6262</v>
      </c>
      <c r="B4" s="4" t="s">
        <v>4951</v>
      </c>
      <c r="C4" s="4" t="s">
        <v>108</v>
      </c>
      <c r="D4" s="4" t="s">
        <v>4952</v>
      </c>
      <c r="E4" s="4" t="s">
        <v>18</v>
      </c>
      <c r="F4" s="4" t="s">
        <v>6263</v>
      </c>
      <c r="G4" s="4" t="s">
        <v>6264</v>
      </c>
      <c r="H4" s="4">
        <v>0.65</v>
      </c>
      <c r="I4" s="4">
        <v>1.0900000000000001</v>
      </c>
      <c r="J4" s="4">
        <v>0.24853</v>
      </c>
      <c r="K4" s="4" t="b">
        <v>1</v>
      </c>
      <c r="L4" s="4" t="b">
        <v>0</v>
      </c>
    </row>
    <row r="5" spans="1:16" ht="15.75" customHeight="1">
      <c r="A5" s="4" t="s">
        <v>6265</v>
      </c>
      <c r="B5" s="4" t="s">
        <v>4951</v>
      </c>
      <c r="C5" s="4" t="s">
        <v>108</v>
      </c>
      <c r="D5" s="4" t="s">
        <v>4952</v>
      </c>
      <c r="E5" s="4" t="s">
        <v>18</v>
      </c>
      <c r="F5" s="4" t="s">
        <v>6266</v>
      </c>
      <c r="G5" s="4" t="s">
        <v>6267</v>
      </c>
      <c r="H5" s="4">
        <v>0.66</v>
      </c>
      <c r="I5" s="4">
        <v>1.2</v>
      </c>
      <c r="J5" s="4">
        <v>0.25409999999999999</v>
      </c>
      <c r="K5" s="4" t="b">
        <v>1</v>
      </c>
      <c r="L5" s="4" t="b">
        <v>0</v>
      </c>
    </row>
    <row r="6" spans="1:16" ht="15.75" customHeight="1">
      <c r="A6" s="4" t="s">
        <v>6268</v>
      </c>
      <c r="B6" s="4" t="s">
        <v>4951</v>
      </c>
      <c r="C6" s="4" t="s">
        <v>108</v>
      </c>
      <c r="D6" s="4" t="s">
        <v>4952</v>
      </c>
      <c r="E6" s="4" t="s">
        <v>18</v>
      </c>
      <c r="F6" s="4" t="s">
        <v>6269</v>
      </c>
      <c r="G6" s="4" t="s">
        <v>6270</v>
      </c>
      <c r="H6" s="4">
        <v>0.66</v>
      </c>
      <c r="I6" s="4">
        <v>1.17</v>
      </c>
      <c r="J6" s="4">
        <v>0.26030999999999999</v>
      </c>
      <c r="K6" s="4" t="b">
        <v>1</v>
      </c>
      <c r="L6" s="4" t="b">
        <v>0</v>
      </c>
    </row>
    <row r="7" spans="1:16" ht="15.75" customHeight="1">
      <c r="A7" s="4" t="s">
        <v>6271</v>
      </c>
      <c r="B7" s="4" t="s">
        <v>4951</v>
      </c>
      <c r="C7" s="4" t="s">
        <v>108</v>
      </c>
      <c r="D7" s="4" t="s">
        <v>4952</v>
      </c>
      <c r="E7" s="4" t="s">
        <v>18</v>
      </c>
      <c r="F7" s="4" t="s">
        <v>6272</v>
      </c>
      <c r="G7" s="4" t="s">
        <v>6273</v>
      </c>
      <c r="H7" s="4">
        <v>0.67</v>
      </c>
      <c r="I7" s="4">
        <v>1.21</v>
      </c>
      <c r="J7" s="4">
        <v>0.24407000000000001</v>
      </c>
      <c r="K7" s="4" t="b">
        <v>1</v>
      </c>
      <c r="L7" s="4" t="b">
        <v>0</v>
      </c>
    </row>
    <row r="8" spans="1:16" ht="15.75" customHeight="1">
      <c r="A8" s="4" t="s">
        <v>6274</v>
      </c>
      <c r="B8" s="4" t="s">
        <v>4951</v>
      </c>
      <c r="C8" s="4" t="s">
        <v>108</v>
      </c>
      <c r="D8" s="4" t="s">
        <v>4952</v>
      </c>
      <c r="E8" s="4" t="s">
        <v>18</v>
      </c>
      <c r="F8" s="4" t="s">
        <v>6275</v>
      </c>
      <c r="G8" s="4" t="s">
        <v>6276</v>
      </c>
      <c r="H8" s="4">
        <v>0.68</v>
      </c>
      <c r="I8" s="4">
        <v>1.1599999999999999</v>
      </c>
      <c r="J8" s="4">
        <v>0.23710000000000001</v>
      </c>
      <c r="K8" s="4" t="b">
        <v>1</v>
      </c>
      <c r="L8" s="4" t="b">
        <v>0</v>
      </c>
    </row>
    <row r="9" spans="1:16" ht="15.75" customHeight="1">
      <c r="A9" s="4" t="s">
        <v>6277</v>
      </c>
      <c r="B9" s="4" t="s">
        <v>4951</v>
      </c>
      <c r="C9" s="4" t="s">
        <v>108</v>
      </c>
      <c r="D9" s="4" t="s">
        <v>4952</v>
      </c>
      <c r="E9" s="4" t="s">
        <v>18</v>
      </c>
      <c r="F9" s="4" t="s">
        <v>6278</v>
      </c>
      <c r="G9" s="4" t="s">
        <v>6279</v>
      </c>
      <c r="H9" s="4">
        <v>0.68</v>
      </c>
      <c r="I9" s="4">
        <v>1.07</v>
      </c>
      <c r="J9" s="4">
        <v>0.23063</v>
      </c>
      <c r="K9" s="4" t="b">
        <v>1</v>
      </c>
      <c r="L9" s="4" t="b">
        <v>0</v>
      </c>
    </row>
    <row r="10" spans="1:16" ht="15.75" customHeight="1">
      <c r="A10" s="4" t="s">
        <v>6280</v>
      </c>
      <c r="B10" s="4" t="s">
        <v>4951</v>
      </c>
      <c r="C10" s="4" t="s">
        <v>108</v>
      </c>
      <c r="D10" s="4" t="s">
        <v>4952</v>
      </c>
      <c r="E10" s="4" t="s">
        <v>18</v>
      </c>
      <c r="F10" s="4" t="s">
        <v>6281</v>
      </c>
      <c r="G10" s="4" t="s">
        <v>6282</v>
      </c>
      <c r="H10" s="4">
        <v>0.69</v>
      </c>
      <c r="I10" s="4">
        <v>1.05</v>
      </c>
      <c r="J10" s="4">
        <v>0.24729999999999999</v>
      </c>
      <c r="K10" s="4" t="b">
        <v>1</v>
      </c>
      <c r="L10" s="4" t="b">
        <v>0</v>
      </c>
    </row>
    <row r="11" spans="1:16" ht="15.75" customHeight="1">
      <c r="A11" s="4" t="s">
        <v>6283</v>
      </c>
      <c r="B11" s="4" t="s">
        <v>4951</v>
      </c>
      <c r="C11" s="4" t="s">
        <v>108</v>
      </c>
      <c r="D11" s="4" t="s">
        <v>4952</v>
      </c>
      <c r="E11" s="4" t="s">
        <v>18</v>
      </c>
      <c r="F11" s="41" t="s">
        <v>6284</v>
      </c>
      <c r="G11" s="4" t="s">
        <v>6285</v>
      </c>
      <c r="H11" s="4">
        <v>0.69</v>
      </c>
      <c r="I11" s="4">
        <v>1.1000000000000001</v>
      </c>
      <c r="J11" s="4">
        <v>0.24976999999999999</v>
      </c>
      <c r="K11" s="4" t="b">
        <v>1</v>
      </c>
      <c r="L11" s="4" t="b">
        <v>0</v>
      </c>
    </row>
    <row r="12" spans="1:16" ht="15.75" customHeight="1">
      <c r="A12" s="4" t="s">
        <v>6286</v>
      </c>
      <c r="B12" s="4" t="s">
        <v>4951</v>
      </c>
      <c r="C12" s="4" t="s">
        <v>108</v>
      </c>
      <c r="D12" s="4" t="s">
        <v>4952</v>
      </c>
      <c r="E12" s="4" t="s">
        <v>18</v>
      </c>
      <c r="F12" s="41" t="s">
        <v>6287</v>
      </c>
      <c r="G12" s="4" t="s">
        <v>6288</v>
      </c>
      <c r="H12" s="4">
        <v>0.7</v>
      </c>
      <c r="I12" s="4">
        <v>1.1499999999999999</v>
      </c>
      <c r="J12" s="4">
        <v>0.25605</v>
      </c>
      <c r="K12" s="4" t="b">
        <v>1</v>
      </c>
      <c r="L12" s="4" t="b">
        <v>0</v>
      </c>
    </row>
    <row r="13" spans="1:16" ht="15.75" customHeight="1">
      <c r="A13" s="4" t="s">
        <v>6289</v>
      </c>
      <c r="B13" s="4" t="s">
        <v>4951</v>
      </c>
      <c r="C13" s="4" t="s">
        <v>108</v>
      </c>
      <c r="D13" s="4" t="s">
        <v>4952</v>
      </c>
      <c r="E13" s="4" t="s">
        <v>18</v>
      </c>
      <c r="F13" s="4" t="s">
        <v>6290</v>
      </c>
      <c r="G13" s="4" t="s">
        <v>6291</v>
      </c>
      <c r="H13" s="4">
        <v>0.7</v>
      </c>
      <c r="I13" s="4">
        <v>1.27</v>
      </c>
      <c r="J13" s="4">
        <v>0.25907999999999998</v>
      </c>
      <c r="K13" s="4" t="b">
        <v>1</v>
      </c>
      <c r="L13" s="4" t="b">
        <v>0</v>
      </c>
    </row>
    <row r="14" spans="1:16" ht="15.75" customHeight="1">
      <c r="A14" s="4" t="s">
        <v>6292</v>
      </c>
      <c r="B14" s="4" t="s">
        <v>4951</v>
      </c>
      <c r="C14" s="4" t="s">
        <v>108</v>
      </c>
      <c r="D14" s="4" t="s">
        <v>4952</v>
      </c>
      <c r="E14" s="4" t="s">
        <v>18</v>
      </c>
      <c r="F14" s="41" t="s">
        <v>6293</v>
      </c>
      <c r="G14" s="4" t="s">
        <v>6294</v>
      </c>
      <c r="H14" s="4">
        <v>0.7</v>
      </c>
      <c r="I14" s="4">
        <v>1.06</v>
      </c>
      <c r="J14" s="4">
        <v>0.25373000000000001</v>
      </c>
      <c r="K14" s="4" t="b">
        <v>1</v>
      </c>
      <c r="L14" s="4" t="b">
        <v>0</v>
      </c>
    </row>
    <row r="15" spans="1:16" ht="15.75" customHeight="1">
      <c r="A15" s="4" t="s">
        <v>6295</v>
      </c>
      <c r="B15" s="4" t="s">
        <v>4951</v>
      </c>
      <c r="C15" s="4" t="s">
        <v>108</v>
      </c>
      <c r="D15" s="4" t="s">
        <v>4952</v>
      </c>
      <c r="E15" s="4" t="s">
        <v>18</v>
      </c>
      <c r="F15" s="41" t="s">
        <v>6296</v>
      </c>
      <c r="G15" s="4" t="s">
        <v>6297</v>
      </c>
      <c r="H15" s="4">
        <v>0.71</v>
      </c>
      <c r="I15" s="4">
        <v>1.08</v>
      </c>
      <c r="J15" s="4">
        <v>0.25097000000000003</v>
      </c>
      <c r="K15" s="4" t="b">
        <v>1</v>
      </c>
      <c r="L15" s="4" t="b">
        <v>0</v>
      </c>
    </row>
    <row r="16" spans="1:16" ht="15.75" customHeight="1">
      <c r="A16" s="4" t="s">
        <v>6298</v>
      </c>
      <c r="B16" s="4" t="s">
        <v>4951</v>
      </c>
      <c r="C16" s="4" t="s">
        <v>108</v>
      </c>
      <c r="D16" s="4" t="s">
        <v>4952</v>
      </c>
      <c r="E16" s="4" t="s">
        <v>18</v>
      </c>
      <c r="F16" s="41" t="s">
        <v>6299</v>
      </c>
      <c r="G16" s="4" t="s">
        <v>6300</v>
      </c>
      <c r="H16" s="4">
        <v>0.72</v>
      </c>
      <c r="I16" s="4">
        <v>1.0900000000000001</v>
      </c>
      <c r="J16" s="4">
        <v>0.24440999999999999</v>
      </c>
      <c r="K16" s="4" t="b">
        <v>1</v>
      </c>
      <c r="L16" s="4" t="b">
        <v>0</v>
      </c>
    </row>
    <row r="17" spans="1:12" ht="15.75" customHeight="1">
      <c r="A17" s="4" t="s">
        <v>6301</v>
      </c>
      <c r="B17" s="4" t="s">
        <v>4951</v>
      </c>
      <c r="C17" s="4" t="s">
        <v>108</v>
      </c>
      <c r="D17" s="4" t="s">
        <v>4952</v>
      </c>
      <c r="E17" s="4" t="s">
        <v>18</v>
      </c>
      <c r="F17" s="41" t="s">
        <v>6302</v>
      </c>
      <c r="G17" s="4" t="s">
        <v>6303</v>
      </c>
      <c r="H17" s="4">
        <v>0.73</v>
      </c>
      <c r="I17" s="4">
        <v>1.19</v>
      </c>
      <c r="J17" s="4">
        <v>0.25790000000000002</v>
      </c>
      <c r="K17" s="4" t="b">
        <v>1</v>
      </c>
      <c r="L17" s="4" t="b">
        <v>0</v>
      </c>
    </row>
    <row r="18" spans="1:12" ht="15.75" customHeight="1">
      <c r="A18" s="4" t="s">
        <v>6304</v>
      </c>
      <c r="B18" s="4" t="s">
        <v>4951</v>
      </c>
      <c r="C18" s="4" t="s">
        <v>108</v>
      </c>
      <c r="D18" s="4" t="s">
        <v>4952</v>
      </c>
      <c r="E18" s="4" t="s">
        <v>18</v>
      </c>
      <c r="F18" s="4" t="s">
        <v>6305</v>
      </c>
      <c r="G18" s="4" t="s">
        <v>6306</v>
      </c>
      <c r="H18" s="4">
        <v>0.73</v>
      </c>
      <c r="I18" s="4">
        <v>1.1499999999999999</v>
      </c>
      <c r="J18" s="4">
        <v>0.26650000000000001</v>
      </c>
      <c r="K18" s="4" t="b">
        <v>1</v>
      </c>
      <c r="L18" s="4" t="b">
        <v>0</v>
      </c>
    </row>
    <row r="19" spans="1:12" ht="15.75" customHeight="1">
      <c r="A19" s="4" t="s">
        <v>6307</v>
      </c>
      <c r="B19" s="4" t="s">
        <v>4951</v>
      </c>
      <c r="C19" s="4" t="s">
        <v>108</v>
      </c>
      <c r="D19" s="4" t="s">
        <v>4952</v>
      </c>
      <c r="E19" s="4" t="s">
        <v>18</v>
      </c>
      <c r="F19" s="4" t="s">
        <v>6308</v>
      </c>
      <c r="G19" s="4" t="s">
        <v>6309</v>
      </c>
      <c r="H19" s="4">
        <v>0.73</v>
      </c>
      <c r="I19" s="4">
        <v>1.17</v>
      </c>
      <c r="J19" s="4">
        <v>0.24653</v>
      </c>
      <c r="K19" s="4" t="b">
        <v>1</v>
      </c>
      <c r="L19" s="4" t="b">
        <v>0</v>
      </c>
    </row>
    <row r="20" spans="1:12" ht="15.75" customHeight="1">
      <c r="A20" s="4" t="s">
        <v>6310</v>
      </c>
      <c r="B20" s="4" t="s">
        <v>4951</v>
      </c>
      <c r="C20" s="4" t="s">
        <v>108</v>
      </c>
      <c r="D20" s="4" t="s">
        <v>4952</v>
      </c>
      <c r="E20" s="4" t="s">
        <v>18</v>
      </c>
      <c r="F20" s="4" t="s">
        <v>6311</v>
      </c>
      <c r="G20" s="4" t="s">
        <v>6312</v>
      </c>
      <c r="H20" s="4">
        <v>0.74</v>
      </c>
      <c r="I20" s="4">
        <v>1.1599999999999999</v>
      </c>
      <c r="J20" s="4">
        <v>0.23891000000000001</v>
      </c>
      <c r="K20" s="4" t="b">
        <v>1</v>
      </c>
      <c r="L20" s="4" t="b">
        <v>0</v>
      </c>
    </row>
    <row r="21" spans="1:12" ht="15.75" customHeight="1">
      <c r="A21" s="4" t="s">
        <v>6316</v>
      </c>
      <c r="B21" s="4" t="s">
        <v>4951</v>
      </c>
      <c r="C21" s="4" t="s">
        <v>108</v>
      </c>
      <c r="D21" s="4" t="s">
        <v>4952</v>
      </c>
      <c r="E21" s="4" t="s">
        <v>18</v>
      </c>
      <c r="F21" s="4" t="s">
        <v>6317</v>
      </c>
      <c r="G21" s="4" t="s">
        <v>6318</v>
      </c>
      <c r="H21" s="4">
        <v>0.75</v>
      </c>
      <c r="I21" s="4">
        <v>1.34</v>
      </c>
      <c r="J21" s="4">
        <v>0.23243</v>
      </c>
      <c r="K21" s="4" t="b">
        <v>1</v>
      </c>
      <c r="L21" s="4" t="b">
        <v>0</v>
      </c>
    </row>
    <row r="22" spans="1:12" ht="15.75" customHeight="1">
      <c r="A22" s="4" t="s">
        <v>6319</v>
      </c>
      <c r="B22" s="4" t="s">
        <v>4951</v>
      </c>
      <c r="C22" s="4" t="s">
        <v>108</v>
      </c>
      <c r="D22" s="4" t="s">
        <v>4952</v>
      </c>
      <c r="E22" s="4" t="s">
        <v>18</v>
      </c>
      <c r="F22" s="4" t="s">
        <v>6320</v>
      </c>
      <c r="G22" s="4" t="s">
        <v>6321</v>
      </c>
      <c r="H22" s="4">
        <v>0.75</v>
      </c>
      <c r="I22" s="4">
        <v>1.57</v>
      </c>
      <c r="J22" s="4">
        <v>0.26558999999999999</v>
      </c>
      <c r="K22" s="4" t="b">
        <v>1</v>
      </c>
      <c r="L22" s="4" t="b">
        <v>0</v>
      </c>
    </row>
    <row r="23" spans="1:12" ht="15.75" customHeight="1">
      <c r="A23" s="4" t="s">
        <v>6322</v>
      </c>
      <c r="B23" s="4" t="s">
        <v>4951</v>
      </c>
      <c r="C23" s="4" t="s">
        <v>108</v>
      </c>
      <c r="D23" s="4" t="s">
        <v>4952</v>
      </c>
      <c r="E23" s="4" t="s">
        <v>18</v>
      </c>
      <c r="F23" s="4" t="s">
        <v>6323</v>
      </c>
      <c r="G23" s="4" t="s">
        <v>6324</v>
      </c>
      <c r="H23" s="4">
        <v>0.76</v>
      </c>
      <c r="I23" s="4">
        <v>1.03</v>
      </c>
      <c r="J23" s="4">
        <v>0.25452000000000002</v>
      </c>
      <c r="K23" s="4" t="b">
        <v>1</v>
      </c>
      <c r="L23" s="4" t="b">
        <v>0</v>
      </c>
    </row>
    <row r="24" spans="1:12" ht="15.75" customHeight="1">
      <c r="A24" s="4" t="s">
        <v>6325</v>
      </c>
      <c r="B24" s="4" t="s">
        <v>4951</v>
      </c>
      <c r="C24" s="4" t="s">
        <v>108</v>
      </c>
      <c r="D24" s="4" t="s">
        <v>4952</v>
      </c>
      <c r="E24" s="4" t="s">
        <v>18</v>
      </c>
      <c r="F24" s="4" t="s">
        <v>6326</v>
      </c>
      <c r="G24" s="4" t="s">
        <v>6327</v>
      </c>
      <c r="H24" s="4">
        <v>0.76</v>
      </c>
      <c r="I24" s="4">
        <v>1.17</v>
      </c>
      <c r="J24" s="4">
        <v>0.24027999999999999</v>
      </c>
      <c r="K24" s="4" t="b">
        <v>1</v>
      </c>
      <c r="L24" s="4" t="b">
        <v>0</v>
      </c>
    </row>
    <row r="25" spans="1:12" ht="15.75" customHeight="1">
      <c r="A25" s="4" t="s">
        <v>6331</v>
      </c>
      <c r="B25" s="4" t="s">
        <v>4951</v>
      </c>
      <c r="C25" s="4" t="s">
        <v>108</v>
      </c>
      <c r="D25" s="4" t="s">
        <v>4952</v>
      </c>
      <c r="E25" s="4" t="s">
        <v>18</v>
      </c>
      <c r="F25" s="4" t="s">
        <v>6332</v>
      </c>
      <c r="G25" s="4" t="s">
        <v>6333</v>
      </c>
      <c r="H25" s="4">
        <v>0.77</v>
      </c>
      <c r="I25" s="4">
        <v>1.06</v>
      </c>
      <c r="J25" s="4">
        <v>0.24052999999999999</v>
      </c>
      <c r="K25" s="4" t="b">
        <v>1</v>
      </c>
      <c r="L25" s="4" t="b">
        <v>0</v>
      </c>
    </row>
    <row r="26" spans="1:12" ht="15.75" customHeight="1">
      <c r="A26" s="4" t="s">
        <v>6334</v>
      </c>
      <c r="B26" s="4" t="s">
        <v>4951</v>
      </c>
      <c r="C26" s="4" t="s">
        <v>108</v>
      </c>
      <c r="D26" s="4" t="s">
        <v>4952</v>
      </c>
      <c r="E26" s="4" t="s">
        <v>18</v>
      </c>
      <c r="F26" s="4" t="s">
        <v>6335</v>
      </c>
      <c r="G26" s="4" t="s">
        <v>6336</v>
      </c>
      <c r="H26" s="4">
        <v>0.78</v>
      </c>
      <c r="I26" s="4">
        <v>1.07</v>
      </c>
      <c r="J26" s="4">
        <v>0.23873</v>
      </c>
      <c r="K26" s="4" t="b">
        <v>1</v>
      </c>
      <c r="L26" s="4" t="b">
        <v>0</v>
      </c>
    </row>
    <row r="27" spans="1:12" ht="15.75" customHeight="1">
      <c r="A27" s="4" t="s">
        <v>6337</v>
      </c>
      <c r="B27" s="4" t="s">
        <v>4951</v>
      </c>
      <c r="C27" s="4" t="s">
        <v>108</v>
      </c>
      <c r="D27" s="4" t="s">
        <v>4952</v>
      </c>
      <c r="E27" s="4" t="s">
        <v>18</v>
      </c>
      <c r="F27" s="4" t="s">
        <v>6338</v>
      </c>
      <c r="G27" s="4" t="s">
        <v>6339</v>
      </c>
      <c r="H27" s="4">
        <v>0.78</v>
      </c>
      <c r="I27" s="4">
        <v>1.08</v>
      </c>
      <c r="J27" s="4">
        <v>0.23943999999999999</v>
      </c>
      <c r="K27" s="4" t="b">
        <v>1</v>
      </c>
      <c r="L27" s="4" t="b">
        <v>0</v>
      </c>
    </row>
    <row r="28" spans="1:12" ht="15.75" customHeight="1">
      <c r="A28" s="4" t="s">
        <v>6340</v>
      </c>
      <c r="B28" s="4" t="s">
        <v>4951</v>
      </c>
      <c r="C28" s="4" t="s">
        <v>108</v>
      </c>
      <c r="D28" s="4" t="s">
        <v>4952</v>
      </c>
      <c r="E28" s="4" t="s">
        <v>18</v>
      </c>
      <c r="F28" s="4" t="s">
        <v>6341</v>
      </c>
      <c r="G28" s="4" t="s">
        <v>6342</v>
      </c>
      <c r="H28" s="4">
        <v>0.79</v>
      </c>
      <c r="I28" s="4">
        <v>1.21</v>
      </c>
      <c r="J28" s="4">
        <v>0.24990999999999999</v>
      </c>
      <c r="K28" s="4" t="b">
        <v>1</v>
      </c>
      <c r="L28" s="4" t="b">
        <v>0</v>
      </c>
    </row>
    <row r="29" spans="1:12" ht="15.75" customHeight="1">
      <c r="A29" s="4" t="s">
        <v>6343</v>
      </c>
      <c r="B29" s="4" t="s">
        <v>4951</v>
      </c>
      <c r="C29" s="4" t="s">
        <v>108</v>
      </c>
      <c r="D29" s="4" t="s">
        <v>4952</v>
      </c>
      <c r="E29" s="4" t="s">
        <v>18</v>
      </c>
      <c r="F29" s="4" t="s">
        <v>6344</v>
      </c>
      <c r="G29" s="4" t="s">
        <v>6345</v>
      </c>
      <c r="H29" s="4">
        <v>0.79</v>
      </c>
      <c r="I29" s="4">
        <v>1.1100000000000001</v>
      </c>
      <c r="J29" s="4">
        <v>0.24088000000000001</v>
      </c>
      <c r="K29" s="4" t="b">
        <v>1</v>
      </c>
      <c r="L29" s="4" t="b">
        <v>0</v>
      </c>
    </row>
    <row r="30" spans="1:12" ht="15.75" customHeight="1">
      <c r="A30" s="4" t="s">
        <v>6346</v>
      </c>
      <c r="B30" s="4" t="s">
        <v>4951</v>
      </c>
      <c r="C30" s="4" t="s">
        <v>108</v>
      </c>
      <c r="D30" s="4" t="s">
        <v>4952</v>
      </c>
      <c r="E30" s="4" t="s">
        <v>18</v>
      </c>
      <c r="F30" s="4" t="s">
        <v>6347</v>
      </c>
      <c r="G30" s="4" t="s">
        <v>6348</v>
      </c>
      <c r="H30" s="4">
        <v>0.8</v>
      </c>
      <c r="I30" s="4">
        <v>1.21</v>
      </c>
      <c r="J30" s="4">
        <v>0.25168000000000001</v>
      </c>
      <c r="K30" s="4" t="b">
        <v>1</v>
      </c>
      <c r="L30" s="4" t="b">
        <v>0</v>
      </c>
    </row>
    <row r="31" spans="1:12" ht="15.75" customHeight="1">
      <c r="A31" s="4" t="s">
        <v>6349</v>
      </c>
      <c r="B31" s="4" t="s">
        <v>4951</v>
      </c>
      <c r="C31" s="4" t="s">
        <v>108</v>
      </c>
      <c r="D31" s="4" t="s">
        <v>4952</v>
      </c>
      <c r="E31" s="4" t="s">
        <v>18</v>
      </c>
      <c r="F31" s="4" t="s">
        <v>6350</v>
      </c>
      <c r="G31" s="4" t="s">
        <v>6351</v>
      </c>
      <c r="H31" s="4">
        <v>0.8</v>
      </c>
      <c r="I31" s="4">
        <v>1.0900000000000001</v>
      </c>
      <c r="J31" s="4">
        <v>0.24510999999999999</v>
      </c>
      <c r="K31" s="4" t="b">
        <v>1</v>
      </c>
      <c r="L31" s="4" t="b">
        <v>0</v>
      </c>
    </row>
    <row r="32" spans="1:12" ht="15.75" customHeight="1">
      <c r="A32" s="4" t="s">
        <v>6352</v>
      </c>
      <c r="B32" s="4" t="s">
        <v>4951</v>
      </c>
      <c r="C32" s="4" t="s">
        <v>108</v>
      </c>
      <c r="D32" s="4" t="s">
        <v>4952</v>
      </c>
      <c r="E32" s="4" t="s">
        <v>18</v>
      </c>
      <c r="F32" s="4" t="s">
        <v>6353</v>
      </c>
      <c r="G32" s="4" t="s">
        <v>6354</v>
      </c>
      <c r="H32" s="4">
        <v>0.81</v>
      </c>
      <c r="I32" s="4">
        <v>1.1000000000000001</v>
      </c>
      <c r="J32" s="4">
        <v>0.25452999999999998</v>
      </c>
      <c r="K32" s="4" t="b">
        <v>1</v>
      </c>
      <c r="L32" s="4" t="b">
        <v>0</v>
      </c>
    </row>
    <row r="33" spans="1:14" ht="15.75" customHeight="1">
      <c r="A33" s="4" t="s">
        <v>3124</v>
      </c>
      <c r="B33" s="4" t="s">
        <v>4951</v>
      </c>
      <c r="C33" s="4" t="s">
        <v>108</v>
      </c>
      <c r="D33" s="4" t="s">
        <v>4952</v>
      </c>
      <c r="E33" s="4" t="s">
        <v>18</v>
      </c>
      <c r="F33" s="4" t="s">
        <v>4953</v>
      </c>
      <c r="G33" s="4" t="s">
        <v>3020</v>
      </c>
      <c r="H33" s="4">
        <v>0.81</v>
      </c>
      <c r="I33" s="4">
        <v>1.1299999999999999</v>
      </c>
      <c r="J33" s="4">
        <v>0.24796000000000001</v>
      </c>
      <c r="K33" s="4" t="b">
        <v>1</v>
      </c>
      <c r="L33" s="4" t="b">
        <v>1</v>
      </c>
      <c r="M33" s="41" t="s">
        <v>4929</v>
      </c>
    </row>
    <row r="34" spans="1:14" ht="15.75" customHeight="1">
      <c r="A34" s="4" t="s">
        <v>6355</v>
      </c>
      <c r="B34" s="4" t="s">
        <v>4951</v>
      </c>
      <c r="C34" s="4" t="s">
        <v>108</v>
      </c>
      <c r="D34" s="4" t="s">
        <v>4952</v>
      </c>
      <c r="E34" s="4" t="s">
        <v>18</v>
      </c>
      <c r="F34" s="4" t="s">
        <v>6356</v>
      </c>
      <c r="G34" s="4" t="s">
        <v>6357</v>
      </c>
      <c r="H34" s="4">
        <v>0.82</v>
      </c>
      <c r="I34" s="4">
        <v>1.1100000000000001</v>
      </c>
      <c r="J34" s="4">
        <v>0.26485999999999998</v>
      </c>
      <c r="K34" s="4" t="b">
        <v>1</v>
      </c>
      <c r="L34" s="4" t="b">
        <v>0</v>
      </c>
    </row>
    <row r="35" spans="1:14" ht="15.75" customHeight="1">
      <c r="A35" s="4" t="s">
        <v>6358</v>
      </c>
      <c r="B35" s="4" t="s">
        <v>4951</v>
      </c>
      <c r="C35" s="4" t="s">
        <v>108</v>
      </c>
      <c r="D35" s="4" t="s">
        <v>4952</v>
      </c>
      <c r="E35" s="4" t="s">
        <v>18</v>
      </c>
      <c r="F35" s="4" t="s">
        <v>6359</v>
      </c>
      <c r="G35" s="4" t="s">
        <v>6360</v>
      </c>
      <c r="H35" s="4">
        <v>0.82</v>
      </c>
      <c r="I35" s="4">
        <v>1.1299999999999999</v>
      </c>
      <c r="J35" s="4">
        <v>0.27056999999999998</v>
      </c>
      <c r="K35" s="4" t="b">
        <v>1</v>
      </c>
      <c r="L35" s="4" t="b">
        <v>0</v>
      </c>
    </row>
    <row r="36" spans="1:14" ht="15.75" customHeight="1">
      <c r="A36" s="4" t="s">
        <v>6361</v>
      </c>
      <c r="B36" s="4" t="s">
        <v>4951</v>
      </c>
      <c r="C36" s="4" t="s">
        <v>108</v>
      </c>
      <c r="D36" s="4" t="s">
        <v>4952</v>
      </c>
      <c r="E36" s="4" t="s">
        <v>18</v>
      </c>
      <c r="F36" s="4" t="s">
        <v>6362</v>
      </c>
      <c r="G36" s="4" t="s">
        <v>6363</v>
      </c>
      <c r="H36" s="4">
        <v>0.83</v>
      </c>
      <c r="I36" s="4">
        <v>1.1000000000000001</v>
      </c>
      <c r="J36" s="4">
        <v>0.26879999999999998</v>
      </c>
      <c r="K36" s="4" t="b">
        <v>1</v>
      </c>
      <c r="L36" s="4" t="b">
        <v>0</v>
      </c>
    </row>
    <row r="37" spans="1:14" ht="15.75" customHeight="1">
      <c r="A37" s="4" t="s">
        <v>6364</v>
      </c>
      <c r="B37" s="4" t="s">
        <v>4951</v>
      </c>
      <c r="C37" s="4" t="s">
        <v>108</v>
      </c>
      <c r="D37" s="4" t="s">
        <v>4952</v>
      </c>
      <c r="E37" s="4" t="s">
        <v>18</v>
      </c>
      <c r="F37" s="4" t="s">
        <v>6365</v>
      </c>
      <c r="G37" s="4" t="s">
        <v>6366</v>
      </c>
      <c r="H37" s="4">
        <v>0.84</v>
      </c>
      <c r="I37" s="4">
        <v>1.17</v>
      </c>
      <c r="J37" s="4">
        <v>0.25274999999999997</v>
      </c>
      <c r="K37" s="4" t="b">
        <v>1</v>
      </c>
      <c r="L37" s="4" t="b">
        <v>0</v>
      </c>
    </row>
    <row r="38" spans="1:14" ht="15.75" customHeight="1">
      <c r="A38" s="4" t="s">
        <v>6367</v>
      </c>
      <c r="B38" s="4" t="s">
        <v>4951</v>
      </c>
      <c r="C38" s="4" t="s">
        <v>108</v>
      </c>
      <c r="D38" s="4" t="s">
        <v>4952</v>
      </c>
      <c r="E38" s="4" t="s">
        <v>18</v>
      </c>
      <c r="F38" s="41" t="s">
        <v>6368</v>
      </c>
      <c r="G38" s="4" t="s">
        <v>6369</v>
      </c>
      <c r="H38" s="4">
        <v>0.84</v>
      </c>
      <c r="I38" s="4">
        <v>1.1499999999999999</v>
      </c>
      <c r="J38" s="4">
        <v>0.27182000000000001</v>
      </c>
      <c r="K38" s="4" t="b">
        <v>1</v>
      </c>
      <c r="L38" s="4" t="b">
        <v>0</v>
      </c>
    </row>
    <row r="39" spans="1:14" ht="15.75" customHeight="1">
      <c r="A39" s="4" t="s">
        <v>6370</v>
      </c>
      <c r="B39" s="4" t="s">
        <v>4951</v>
      </c>
      <c r="C39" s="4" t="s">
        <v>108</v>
      </c>
      <c r="D39" s="4" t="s">
        <v>4952</v>
      </c>
      <c r="E39" s="4" t="s">
        <v>18</v>
      </c>
      <c r="F39" s="4" t="s">
        <v>6371</v>
      </c>
      <c r="G39" s="4" t="s">
        <v>6372</v>
      </c>
      <c r="H39" s="4">
        <v>0.85</v>
      </c>
      <c r="I39" s="4">
        <v>1.18</v>
      </c>
      <c r="J39" s="4">
        <v>0.28510999999999997</v>
      </c>
      <c r="K39" s="4" t="b">
        <v>1</v>
      </c>
      <c r="L39" s="4" t="b">
        <v>0</v>
      </c>
    </row>
    <row r="40" spans="1:14" ht="15.75" customHeight="1">
      <c r="A40" s="4" t="s">
        <v>6373</v>
      </c>
      <c r="B40" s="4" t="s">
        <v>4951</v>
      </c>
      <c r="C40" s="4" t="s">
        <v>108</v>
      </c>
      <c r="D40" s="4" t="s">
        <v>4952</v>
      </c>
      <c r="E40" s="4" t="s">
        <v>18</v>
      </c>
      <c r="F40" s="4" t="s">
        <v>6374</v>
      </c>
      <c r="G40" s="4" t="s">
        <v>6375</v>
      </c>
      <c r="H40" s="4">
        <v>0.85</v>
      </c>
      <c r="I40" s="4">
        <v>1.07</v>
      </c>
      <c r="J40" s="4">
        <v>0.23907</v>
      </c>
      <c r="K40" s="4" t="b">
        <v>1</v>
      </c>
      <c r="L40" s="4" t="b">
        <v>0</v>
      </c>
    </row>
    <row r="41" spans="1:14" ht="15.75" customHeight="1">
      <c r="A41" s="4" t="s">
        <v>6376</v>
      </c>
      <c r="B41" s="4" t="s">
        <v>4951</v>
      </c>
      <c r="C41" s="4" t="s">
        <v>108</v>
      </c>
      <c r="D41" s="4" t="s">
        <v>4952</v>
      </c>
      <c r="E41" s="4" t="s">
        <v>18</v>
      </c>
      <c r="F41" s="4" t="s">
        <v>6377</v>
      </c>
      <c r="G41" s="4" t="s">
        <v>6378</v>
      </c>
      <c r="H41" s="4">
        <v>0.86</v>
      </c>
      <c r="I41" s="4">
        <v>1.23</v>
      </c>
      <c r="J41" s="4">
        <v>0.25505</v>
      </c>
      <c r="K41" s="4" t="b">
        <v>1</v>
      </c>
      <c r="L41" s="4" t="b">
        <v>0</v>
      </c>
    </row>
    <row r="42" spans="1:14" ht="15.75" customHeight="1">
      <c r="A42" s="4" t="s">
        <v>6379</v>
      </c>
      <c r="B42" s="4" t="s">
        <v>4951</v>
      </c>
      <c r="C42" s="4" t="s">
        <v>108</v>
      </c>
      <c r="D42" s="4" t="s">
        <v>4952</v>
      </c>
      <c r="E42" s="4" t="s">
        <v>18</v>
      </c>
      <c r="F42" s="4" t="s">
        <v>6380</v>
      </c>
      <c r="G42" s="4" t="s">
        <v>6381</v>
      </c>
      <c r="H42" s="4">
        <v>0.87</v>
      </c>
      <c r="I42" s="4">
        <v>1.03</v>
      </c>
      <c r="J42" s="4">
        <v>0.23988999999999999</v>
      </c>
      <c r="K42" s="4" t="b">
        <v>1</v>
      </c>
      <c r="L42" s="4" t="b">
        <v>0</v>
      </c>
    </row>
    <row r="43" spans="1:14" ht="15.75" customHeight="1">
      <c r="A43" s="4" t="s">
        <v>6382</v>
      </c>
      <c r="B43" s="4" t="s">
        <v>4951</v>
      </c>
      <c r="C43" s="4" t="s">
        <v>108</v>
      </c>
      <c r="D43" s="4" t="s">
        <v>4952</v>
      </c>
      <c r="E43" s="4" t="s">
        <v>18</v>
      </c>
      <c r="F43" s="4" t="s">
        <v>6383</v>
      </c>
      <c r="G43" s="4" t="s">
        <v>6384</v>
      </c>
      <c r="H43" s="4">
        <v>0.87</v>
      </c>
      <c r="I43" s="4">
        <v>1.06</v>
      </c>
      <c r="J43" s="4">
        <v>0.2555</v>
      </c>
      <c r="K43" s="4" t="b">
        <v>1</v>
      </c>
      <c r="L43" s="4" t="b">
        <v>0</v>
      </c>
    </row>
    <row r="44" spans="1:14" ht="15.75" customHeight="1">
      <c r="A44" s="4" t="s">
        <v>6385</v>
      </c>
      <c r="B44" s="4" t="s">
        <v>4951</v>
      </c>
      <c r="C44" s="4" t="s">
        <v>108</v>
      </c>
      <c r="D44" s="4" t="s">
        <v>4952</v>
      </c>
      <c r="E44" s="4" t="s">
        <v>18</v>
      </c>
      <c r="F44" s="4" t="s">
        <v>6386</v>
      </c>
      <c r="G44" s="4" t="s">
        <v>6387</v>
      </c>
      <c r="H44" s="4">
        <v>0.88</v>
      </c>
      <c r="I44" s="4">
        <v>1.25</v>
      </c>
      <c r="J44" s="4">
        <v>0.24182000000000001</v>
      </c>
      <c r="K44" s="4" t="b">
        <v>1</v>
      </c>
      <c r="L44" s="4" t="b">
        <v>0</v>
      </c>
    </row>
    <row r="45" spans="1:14" ht="15.75" customHeight="1">
      <c r="A45" s="4" t="s">
        <v>3125</v>
      </c>
      <c r="B45" s="4" t="s">
        <v>4951</v>
      </c>
      <c r="C45" s="4" t="s">
        <v>108</v>
      </c>
      <c r="D45" s="4" t="s">
        <v>4952</v>
      </c>
      <c r="E45" s="4" t="s">
        <v>18</v>
      </c>
      <c r="F45" s="4" t="s">
        <v>4954</v>
      </c>
      <c r="G45" s="4" t="s">
        <v>3021</v>
      </c>
      <c r="H45" s="4">
        <v>0.88</v>
      </c>
      <c r="I45" s="4">
        <v>1.06</v>
      </c>
      <c r="J45" s="4">
        <v>0.24503</v>
      </c>
      <c r="K45" s="4" t="b">
        <v>1</v>
      </c>
      <c r="L45" s="4" t="b">
        <v>1</v>
      </c>
      <c r="M45" s="41" t="s">
        <v>4929</v>
      </c>
      <c r="N45" s="41" t="s">
        <v>4955</v>
      </c>
    </row>
    <row r="46" spans="1:14" ht="15.75" customHeight="1">
      <c r="A46" s="4" t="s">
        <v>6388</v>
      </c>
      <c r="B46" s="4" t="s">
        <v>4951</v>
      </c>
      <c r="C46" s="4" t="s">
        <v>108</v>
      </c>
      <c r="D46" s="4" t="s">
        <v>4952</v>
      </c>
      <c r="E46" s="4" t="s">
        <v>18</v>
      </c>
      <c r="F46" s="4" t="s">
        <v>6389</v>
      </c>
      <c r="G46" s="4" t="s">
        <v>6390</v>
      </c>
      <c r="H46" s="4">
        <v>0.89</v>
      </c>
      <c r="I46" s="4">
        <v>1.1200000000000001</v>
      </c>
      <c r="J46" s="4">
        <v>0.25749</v>
      </c>
      <c r="K46" s="4" t="b">
        <v>1</v>
      </c>
      <c r="L46" s="4" t="b">
        <v>0</v>
      </c>
    </row>
    <row r="47" spans="1:14" ht="15.75" customHeight="1">
      <c r="A47" s="4" t="s">
        <v>6391</v>
      </c>
      <c r="B47" s="4" t="s">
        <v>4951</v>
      </c>
      <c r="C47" s="4" t="s">
        <v>108</v>
      </c>
      <c r="D47" s="4" t="s">
        <v>4952</v>
      </c>
      <c r="E47" s="4" t="s">
        <v>18</v>
      </c>
      <c r="F47" s="4" t="s">
        <v>6392</v>
      </c>
      <c r="G47" s="4" t="s">
        <v>6393</v>
      </c>
      <c r="H47" s="4">
        <v>0.89</v>
      </c>
      <c r="I47" s="4">
        <v>1.06</v>
      </c>
      <c r="J47" s="4">
        <v>0.24038999999999999</v>
      </c>
      <c r="K47" s="4" t="b">
        <v>1</v>
      </c>
      <c r="L47" s="4" t="b">
        <v>0</v>
      </c>
    </row>
    <row r="48" spans="1:14" ht="15.75" customHeight="1">
      <c r="A48" s="4" t="s">
        <v>6394</v>
      </c>
      <c r="B48" s="4" t="s">
        <v>4951</v>
      </c>
      <c r="C48" s="4" t="s">
        <v>108</v>
      </c>
      <c r="D48" s="4" t="s">
        <v>4952</v>
      </c>
      <c r="E48" s="4" t="s">
        <v>18</v>
      </c>
      <c r="F48" s="4" t="s">
        <v>6395</v>
      </c>
      <c r="G48" s="4" t="s">
        <v>6396</v>
      </c>
      <c r="H48" s="4">
        <v>0.91</v>
      </c>
      <c r="I48" s="4">
        <v>1.04</v>
      </c>
      <c r="J48" s="4">
        <v>0.23694000000000001</v>
      </c>
      <c r="K48" s="4" t="b">
        <v>1</v>
      </c>
      <c r="L48" s="4" t="b">
        <v>0</v>
      </c>
    </row>
    <row r="49" spans="1:13" ht="15.75" customHeight="1">
      <c r="A49" s="4" t="s">
        <v>6397</v>
      </c>
      <c r="B49" s="4" t="s">
        <v>4951</v>
      </c>
      <c r="C49" s="4" t="s">
        <v>108</v>
      </c>
      <c r="D49" s="4" t="s">
        <v>4952</v>
      </c>
      <c r="E49" s="4" t="s">
        <v>18</v>
      </c>
      <c r="F49" s="4" t="s">
        <v>6398</v>
      </c>
      <c r="G49" s="4" t="s">
        <v>6399</v>
      </c>
      <c r="H49" s="4">
        <v>0.91</v>
      </c>
      <c r="I49" s="4">
        <v>1.08</v>
      </c>
      <c r="J49" s="4">
        <v>0.24668000000000001</v>
      </c>
      <c r="K49" s="4" t="b">
        <v>1</v>
      </c>
      <c r="L49" s="4" t="b">
        <v>0</v>
      </c>
    </row>
    <row r="50" spans="1:13" ht="15.75" customHeight="1">
      <c r="A50" s="4" t="s">
        <v>6400</v>
      </c>
      <c r="B50" s="4" t="s">
        <v>4951</v>
      </c>
      <c r="C50" s="4" t="s">
        <v>108</v>
      </c>
      <c r="D50" s="4" t="s">
        <v>4952</v>
      </c>
      <c r="E50" s="4" t="s">
        <v>18</v>
      </c>
      <c r="F50" s="4" t="s">
        <v>6401</v>
      </c>
      <c r="G50" s="4" t="s">
        <v>6402</v>
      </c>
      <c r="H50" s="4">
        <v>0.92</v>
      </c>
      <c r="I50" s="4">
        <v>1.17</v>
      </c>
      <c r="J50" s="4">
        <v>0.25452999999999998</v>
      </c>
      <c r="K50" s="4" t="b">
        <v>1</v>
      </c>
      <c r="L50" s="4" t="b">
        <v>0</v>
      </c>
    </row>
    <row r="51" spans="1:13" ht="15.75" customHeight="1">
      <c r="A51" s="4" t="s">
        <v>6403</v>
      </c>
      <c r="B51" s="4" t="s">
        <v>4951</v>
      </c>
      <c r="C51" s="4" t="s">
        <v>108</v>
      </c>
      <c r="D51" s="4" t="s">
        <v>4952</v>
      </c>
      <c r="E51" s="4" t="s">
        <v>18</v>
      </c>
      <c r="F51" s="4" t="s">
        <v>6404</v>
      </c>
      <c r="G51" s="4" t="s">
        <v>6405</v>
      </c>
      <c r="H51" s="4">
        <v>0.93</v>
      </c>
      <c r="I51" s="4">
        <v>1.19</v>
      </c>
      <c r="J51" s="4">
        <v>0.26783000000000001</v>
      </c>
      <c r="K51" s="4" t="b">
        <v>1</v>
      </c>
      <c r="L51" s="4" t="b">
        <v>0</v>
      </c>
    </row>
    <row r="52" spans="1:13" ht="15.75" customHeight="1">
      <c r="A52" s="4" t="s">
        <v>6406</v>
      </c>
      <c r="B52" s="4" t="s">
        <v>4951</v>
      </c>
      <c r="C52" s="4" t="s">
        <v>108</v>
      </c>
      <c r="D52" s="4" t="s">
        <v>4952</v>
      </c>
      <c r="E52" s="4" t="s">
        <v>18</v>
      </c>
      <c r="F52" s="4" t="s">
        <v>6407</v>
      </c>
      <c r="G52" s="4" t="s">
        <v>6408</v>
      </c>
      <c r="H52" s="4">
        <v>0.93</v>
      </c>
      <c r="I52" s="4">
        <v>1.0900000000000001</v>
      </c>
      <c r="J52" s="4">
        <v>0.23569999999999999</v>
      </c>
      <c r="K52" s="4" t="b">
        <v>1</v>
      </c>
      <c r="L52" s="4" t="b">
        <v>0</v>
      </c>
    </row>
    <row r="53" spans="1:13" ht="15.75" customHeight="1">
      <c r="A53" s="4" t="s">
        <v>6409</v>
      </c>
      <c r="B53" s="4" t="s">
        <v>4951</v>
      </c>
      <c r="C53" s="4" t="s">
        <v>108</v>
      </c>
      <c r="D53" s="4" t="s">
        <v>4952</v>
      </c>
      <c r="E53" s="4" t="s">
        <v>18</v>
      </c>
      <c r="F53" s="4" t="s">
        <v>6410</v>
      </c>
      <c r="G53" s="4" t="s">
        <v>6411</v>
      </c>
      <c r="H53" s="4">
        <v>0.93</v>
      </c>
      <c r="I53" s="4">
        <v>1.28</v>
      </c>
      <c r="J53" s="4">
        <v>0.23848</v>
      </c>
      <c r="K53" s="4" t="b">
        <v>1</v>
      </c>
      <c r="L53" s="4" t="b">
        <v>0</v>
      </c>
    </row>
    <row r="54" spans="1:13" ht="15.75" customHeight="1">
      <c r="A54" s="4" t="s">
        <v>6412</v>
      </c>
      <c r="B54" s="4" t="s">
        <v>4951</v>
      </c>
      <c r="C54" s="4" t="s">
        <v>108</v>
      </c>
      <c r="D54" s="4" t="s">
        <v>4952</v>
      </c>
      <c r="E54" s="4" t="s">
        <v>18</v>
      </c>
      <c r="F54" s="4" t="s">
        <v>6413</v>
      </c>
      <c r="G54" s="4" t="s">
        <v>6414</v>
      </c>
      <c r="H54" s="4">
        <v>0.94</v>
      </c>
      <c r="I54" s="4">
        <v>1.08</v>
      </c>
      <c r="J54" s="4">
        <v>0.23730000000000001</v>
      </c>
      <c r="K54" s="4" t="b">
        <v>1</v>
      </c>
      <c r="L54" s="4" t="b">
        <v>0</v>
      </c>
    </row>
    <row r="55" spans="1:13" ht="15.75" customHeight="1">
      <c r="A55" s="4" t="s">
        <v>3126</v>
      </c>
      <c r="B55" s="4" t="s">
        <v>4951</v>
      </c>
      <c r="C55" s="4" t="s">
        <v>108</v>
      </c>
      <c r="D55" s="4" t="s">
        <v>4952</v>
      </c>
      <c r="E55" s="4" t="s">
        <v>18</v>
      </c>
      <c r="F55" s="4" t="s">
        <v>4956</v>
      </c>
      <c r="G55" s="4" t="s">
        <v>3022</v>
      </c>
      <c r="H55" s="4">
        <v>0.94</v>
      </c>
      <c r="I55" s="4">
        <v>1.1200000000000001</v>
      </c>
      <c r="J55" s="4">
        <v>0.23874999999999999</v>
      </c>
      <c r="K55" s="4" t="b">
        <v>1</v>
      </c>
      <c r="L55" s="4" t="b">
        <v>1</v>
      </c>
      <c r="M55" s="41" t="s">
        <v>4929</v>
      </c>
    </row>
    <row r="56" spans="1:13" ht="15.75" customHeight="1">
      <c r="A56" s="4" t="s">
        <v>6418</v>
      </c>
      <c r="B56" s="4" t="s">
        <v>4951</v>
      </c>
      <c r="C56" s="4" t="s">
        <v>108</v>
      </c>
      <c r="D56" s="4" t="s">
        <v>4952</v>
      </c>
      <c r="E56" s="4" t="s">
        <v>18</v>
      </c>
      <c r="F56" s="4" t="s">
        <v>6419</v>
      </c>
      <c r="G56" s="4" t="s">
        <v>6420</v>
      </c>
      <c r="H56" s="4">
        <v>0.95</v>
      </c>
      <c r="I56" s="4">
        <v>1.1100000000000001</v>
      </c>
      <c r="J56" s="4">
        <v>0.23157</v>
      </c>
      <c r="K56" s="4" t="b">
        <v>1</v>
      </c>
      <c r="L56" s="4" t="b">
        <v>0</v>
      </c>
    </row>
    <row r="57" spans="1:13" ht="15.75" customHeight="1">
      <c r="A57" s="4" t="s">
        <v>6421</v>
      </c>
      <c r="B57" s="4" t="s">
        <v>4951</v>
      </c>
      <c r="C57" s="4" t="s">
        <v>108</v>
      </c>
      <c r="D57" s="4" t="s">
        <v>4952</v>
      </c>
      <c r="E57" s="4" t="s">
        <v>18</v>
      </c>
      <c r="F57" s="4" t="s">
        <v>6422</v>
      </c>
      <c r="G57" s="4" t="s">
        <v>6423</v>
      </c>
      <c r="H57" s="4">
        <v>0.95</v>
      </c>
      <c r="I57" s="4">
        <v>1.2</v>
      </c>
      <c r="J57" s="4">
        <v>0.25541999999999998</v>
      </c>
      <c r="K57" s="4" t="b">
        <v>1</v>
      </c>
      <c r="L57" s="4" t="b">
        <v>0</v>
      </c>
    </row>
    <row r="58" spans="1:13" ht="15.75" customHeight="1">
      <c r="A58" s="4" t="s">
        <v>6424</v>
      </c>
      <c r="B58" s="4" t="s">
        <v>4951</v>
      </c>
      <c r="C58" s="4" t="s">
        <v>108</v>
      </c>
      <c r="D58" s="4" t="s">
        <v>4952</v>
      </c>
      <c r="E58" s="4" t="s">
        <v>18</v>
      </c>
      <c r="F58" s="4" t="s">
        <v>6425</v>
      </c>
      <c r="G58" s="4" t="s">
        <v>6426</v>
      </c>
      <c r="H58" s="4">
        <v>0.96</v>
      </c>
      <c r="I58" s="4">
        <v>1.07</v>
      </c>
      <c r="J58" s="4">
        <v>0.25252000000000002</v>
      </c>
      <c r="K58" s="4" t="b">
        <v>1</v>
      </c>
      <c r="L58" s="4" t="b">
        <v>0</v>
      </c>
    </row>
    <row r="59" spans="1:13" ht="15.75" customHeight="1">
      <c r="A59" s="4" t="s">
        <v>6427</v>
      </c>
      <c r="B59" s="4" t="s">
        <v>4951</v>
      </c>
      <c r="C59" s="4" t="s">
        <v>108</v>
      </c>
      <c r="D59" s="4" t="s">
        <v>4952</v>
      </c>
      <c r="E59" s="4" t="s">
        <v>18</v>
      </c>
      <c r="F59" s="4" t="s">
        <v>6428</v>
      </c>
      <c r="G59" s="4" t="s">
        <v>6429</v>
      </c>
      <c r="H59" s="4">
        <v>0.96</v>
      </c>
      <c r="I59" s="4">
        <v>1.1200000000000001</v>
      </c>
      <c r="J59" s="4">
        <v>0.25829999999999997</v>
      </c>
      <c r="K59" s="4" t="b">
        <v>1</v>
      </c>
      <c r="L59" s="4" t="b">
        <v>0</v>
      </c>
    </row>
    <row r="60" spans="1:13" ht="15.75" customHeight="1">
      <c r="A60" s="4" t="s">
        <v>6430</v>
      </c>
      <c r="B60" s="4" t="s">
        <v>4951</v>
      </c>
      <c r="C60" s="4" t="s">
        <v>108</v>
      </c>
      <c r="D60" s="4" t="s">
        <v>4952</v>
      </c>
      <c r="E60" s="4" t="s">
        <v>18</v>
      </c>
      <c r="F60" s="4" t="s">
        <v>6431</v>
      </c>
      <c r="G60" s="4" t="s">
        <v>6432</v>
      </c>
      <c r="H60" s="4">
        <v>0.97</v>
      </c>
      <c r="I60" s="4">
        <v>1.07</v>
      </c>
      <c r="J60" s="4">
        <v>0.24994</v>
      </c>
      <c r="K60" s="4" t="b">
        <v>1</v>
      </c>
      <c r="L60" s="4" t="b">
        <v>0</v>
      </c>
    </row>
    <row r="61" spans="1:13" ht="15.75" customHeight="1">
      <c r="A61" s="4" t="s">
        <v>6433</v>
      </c>
      <c r="B61" s="4" t="s">
        <v>4951</v>
      </c>
      <c r="C61" s="4" t="s">
        <v>108</v>
      </c>
      <c r="D61" s="4" t="s">
        <v>4952</v>
      </c>
      <c r="E61" s="4" t="s">
        <v>18</v>
      </c>
      <c r="F61" s="4" t="s">
        <v>6434</v>
      </c>
      <c r="G61" s="4" t="s">
        <v>6435</v>
      </c>
      <c r="H61" s="4">
        <v>0.97</v>
      </c>
      <c r="I61" s="4">
        <v>1.06</v>
      </c>
      <c r="J61" s="4">
        <v>0.24379999999999999</v>
      </c>
      <c r="K61" s="4" t="b">
        <v>1</v>
      </c>
      <c r="L61" s="4" t="b">
        <v>0</v>
      </c>
    </row>
    <row r="62" spans="1:13" ht="15.75" customHeight="1">
      <c r="A62" s="4" t="s">
        <v>6436</v>
      </c>
      <c r="B62" s="4" t="s">
        <v>4951</v>
      </c>
      <c r="C62" s="4" t="s">
        <v>108</v>
      </c>
      <c r="D62" s="4" t="s">
        <v>4952</v>
      </c>
      <c r="E62" s="4" t="s">
        <v>18</v>
      </c>
      <c r="F62" s="4" t="s">
        <v>6437</v>
      </c>
      <c r="G62" s="4" t="s">
        <v>6438</v>
      </c>
      <c r="H62" s="4">
        <v>0.98</v>
      </c>
      <c r="I62" s="4">
        <v>1.1299999999999999</v>
      </c>
      <c r="J62" s="4">
        <v>0.2525</v>
      </c>
      <c r="K62" s="4" t="b">
        <v>1</v>
      </c>
      <c r="L62" s="4" t="b">
        <v>0</v>
      </c>
    </row>
    <row r="63" spans="1:13" ht="15.75" customHeight="1">
      <c r="A63" s="4" t="s">
        <v>6439</v>
      </c>
      <c r="B63" s="4" t="s">
        <v>4951</v>
      </c>
      <c r="C63" s="4" t="s">
        <v>108</v>
      </c>
      <c r="D63" s="4" t="s">
        <v>4952</v>
      </c>
      <c r="E63" s="4" t="s">
        <v>18</v>
      </c>
      <c r="F63" s="4" t="s">
        <v>6440</v>
      </c>
      <c r="G63" s="4" t="s">
        <v>6441</v>
      </c>
      <c r="H63" s="4">
        <v>0.98</v>
      </c>
      <c r="I63" s="4">
        <v>1.0900000000000001</v>
      </c>
      <c r="J63" s="4">
        <v>0.24013999999999999</v>
      </c>
      <c r="K63" s="4" t="b">
        <v>1</v>
      </c>
      <c r="L63" s="4" t="b">
        <v>0</v>
      </c>
    </row>
    <row r="64" spans="1:13" ht="15.75" customHeight="1">
      <c r="A64" s="4" t="s">
        <v>6442</v>
      </c>
      <c r="B64" s="4" t="s">
        <v>4951</v>
      </c>
      <c r="C64" s="4" t="s">
        <v>108</v>
      </c>
      <c r="D64" s="4" t="s">
        <v>4952</v>
      </c>
      <c r="E64" s="4" t="s">
        <v>18</v>
      </c>
      <c r="F64" s="4" t="s">
        <v>6443</v>
      </c>
      <c r="G64" s="4" t="s">
        <v>6444</v>
      </c>
      <c r="H64" s="4">
        <v>0.99</v>
      </c>
      <c r="I64" s="4">
        <v>1.1200000000000001</v>
      </c>
      <c r="J64" s="4">
        <v>0.25644</v>
      </c>
      <c r="K64" s="4" t="b">
        <v>1</v>
      </c>
      <c r="L64" s="4" t="b">
        <v>0</v>
      </c>
    </row>
    <row r="65" spans="1:12" ht="15.75" customHeight="1">
      <c r="A65" s="4" t="s">
        <v>6445</v>
      </c>
      <c r="B65" s="4" t="s">
        <v>4951</v>
      </c>
      <c r="C65" s="4" t="s">
        <v>108</v>
      </c>
      <c r="D65" s="4" t="s">
        <v>4952</v>
      </c>
      <c r="E65" s="4" t="s">
        <v>18</v>
      </c>
      <c r="F65" s="4" t="s">
        <v>6446</v>
      </c>
      <c r="G65" s="4" t="s">
        <v>6447</v>
      </c>
      <c r="H65" s="4">
        <v>0.99</v>
      </c>
      <c r="I65" s="4">
        <v>1.19</v>
      </c>
      <c r="J65" s="4">
        <v>0.27299000000000001</v>
      </c>
      <c r="K65" s="4" t="b">
        <v>1</v>
      </c>
      <c r="L65" s="4" t="b">
        <v>0</v>
      </c>
    </row>
    <row r="66" spans="1:12" ht="15.75" customHeight="1">
      <c r="A66" s="4" t="s">
        <v>6448</v>
      </c>
      <c r="B66" s="4" t="s">
        <v>4951</v>
      </c>
      <c r="C66" s="4" t="s">
        <v>108</v>
      </c>
      <c r="D66" s="4" t="s">
        <v>4952</v>
      </c>
      <c r="E66" s="4" t="s">
        <v>18</v>
      </c>
      <c r="F66" s="41" t="s">
        <v>6449</v>
      </c>
      <c r="G66" s="4" t="s">
        <v>6450</v>
      </c>
      <c r="H66" s="4">
        <v>0.99</v>
      </c>
      <c r="I66" s="4">
        <v>1.1299999999999999</v>
      </c>
      <c r="J66" s="4">
        <v>0.24002000000000001</v>
      </c>
      <c r="K66" s="4" t="b">
        <v>1</v>
      </c>
      <c r="L66" s="4" t="b">
        <v>0</v>
      </c>
    </row>
    <row r="67" spans="1:12" ht="15.75" customHeight="1">
      <c r="A67" s="4" t="s">
        <v>6451</v>
      </c>
      <c r="B67" s="4" t="s">
        <v>4951</v>
      </c>
      <c r="C67" s="4" t="s">
        <v>108</v>
      </c>
      <c r="D67" s="4" t="s">
        <v>4952</v>
      </c>
      <c r="E67" s="4" t="s">
        <v>18</v>
      </c>
      <c r="F67" s="4" t="s">
        <v>6452</v>
      </c>
      <c r="G67" s="4" t="s">
        <v>6453</v>
      </c>
      <c r="H67" s="4">
        <v>1</v>
      </c>
      <c r="I67" s="4">
        <v>1.32</v>
      </c>
      <c r="J67" s="4">
        <v>0.25523000000000001</v>
      </c>
      <c r="K67" s="4" t="b">
        <v>1</v>
      </c>
      <c r="L67" s="4" t="b">
        <v>0</v>
      </c>
    </row>
    <row r="68" spans="1:12" ht="15.75" customHeight="1">
      <c r="A68" s="4" t="s">
        <v>6454</v>
      </c>
      <c r="B68" s="4" t="s">
        <v>4951</v>
      </c>
      <c r="C68" s="4" t="s">
        <v>108</v>
      </c>
      <c r="D68" s="4" t="s">
        <v>4952</v>
      </c>
      <c r="E68" s="4" t="s">
        <v>18</v>
      </c>
      <c r="F68" s="4" t="s">
        <v>6455</v>
      </c>
      <c r="G68" s="4" t="s">
        <v>6456</v>
      </c>
      <c r="H68" s="4">
        <v>1</v>
      </c>
      <c r="I68" s="4">
        <v>1.1499999999999999</v>
      </c>
      <c r="J68" s="4">
        <v>0.25986999999999999</v>
      </c>
      <c r="K68" s="4" t="b">
        <v>1</v>
      </c>
      <c r="L68" s="4" t="b">
        <v>0</v>
      </c>
    </row>
    <row r="69" spans="1:12" ht="15.75" customHeight="1">
      <c r="A69" s="4" t="s">
        <v>6457</v>
      </c>
      <c r="B69" s="4" t="s">
        <v>4951</v>
      </c>
      <c r="C69" s="4" t="s">
        <v>108</v>
      </c>
      <c r="D69" s="4" t="s">
        <v>4952</v>
      </c>
      <c r="E69" s="4" t="s">
        <v>18</v>
      </c>
      <c r="F69" s="4" t="s">
        <v>6458</v>
      </c>
      <c r="G69" s="4" t="s">
        <v>6459</v>
      </c>
      <c r="H69" s="4">
        <v>1.01</v>
      </c>
      <c r="I69" s="4">
        <v>1.08</v>
      </c>
      <c r="J69" s="4">
        <v>0.23069999999999999</v>
      </c>
      <c r="K69" s="4" t="b">
        <v>1</v>
      </c>
      <c r="L69" s="4" t="b">
        <v>0</v>
      </c>
    </row>
    <row r="70" spans="1:12" ht="15.75" customHeight="1">
      <c r="A70" s="4" t="s">
        <v>6460</v>
      </c>
      <c r="B70" s="4" t="s">
        <v>4951</v>
      </c>
      <c r="C70" s="4" t="s">
        <v>108</v>
      </c>
      <c r="D70" s="4" t="s">
        <v>4952</v>
      </c>
      <c r="E70" s="4" t="s">
        <v>18</v>
      </c>
      <c r="F70" s="4" t="s">
        <v>6461</v>
      </c>
      <c r="G70" s="4" t="s">
        <v>6462</v>
      </c>
      <c r="H70" s="4">
        <v>1.01</v>
      </c>
      <c r="I70" s="4">
        <v>1.2</v>
      </c>
      <c r="J70" s="4">
        <v>0.24062</v>
      </c>
      <c r="K70" s="4" t="b">
        <v>1</v>
      </c>
      <c r="L70" s="4" t="b">
        <v>0</v>
      </c>
    </row>
    <row r="71" spans="1:12" ht="15.75" customHeight="1">
      <c r="A71" s="4" t="s">
        <v>6466</v>
      </c>
      <c r="B71" s="4" t="s">
        <v>4951</v>
      </c>
      <c r="C71" s="4" t="s">
        <v>108</v>
      </c>
      <c r="D71" s="4" t="s">
        <v>4952</v>
      </c>
      <c r="E71" s="4" t="s">
        <v>18</v>
      </c>
      <c r="F71" s="4" t="s">
        <v>6467</v>
      </c>
      <c r="G71" s="4" t="s">
        <v>6468</v>
      </c>
      <c r="H71" s="4">
        <v>1.03</v>
      </c>
      <c r="I71" s="4">
        <v>1.19</v>
      </c>
      <c r="J71" s="4">
        <v>0.26175999999999999</v>
      </c>
      <c r="K71" s="4" t="b">
        <v>1</v>
      </c>
      <c r="L71" s="4" t="b">
        <v>0</v>
      </c>
    </row>
    <row r="72" spans="1:12" ht="15.75" customHeight="1">
      <c r="A72" s="4" t="s">
        <v>6469</v>
      </c>
      <c r="B72" s="4" t="s">
        <v>4951</v>
      </c>
      <c r="C72" s="4" t="s">
        <v>108</v>
      </c>
      <c r="D72" s="4" t="s">
        <v>4952</v>
      </c>
      <c r="E72" s="4" t="s">
        <v>18</v>
      </c>
      <c r="F72" s="4" t="s">
        <v>6470</v>
      </c>
      <c r="G72" s="4" t="s">
        <v>6471</v>
      </c>
      <c r="H72" s="4">
        <v>1.03</v>
      </c>
      <c r="I72" s="4">
        <v>1.18</v>
      </c>
      <c r="J72" s="4">
        <v>0.25025999999999998</v>
      </c>
      <c r="K72" s="4" t="b">
        <v>1</v>
      </c>
      <c r="L72" s="4" t="b">
        <v>0</v>
      </c>
    </row>
    <row r="73" spans="1:12" ht="15.75" customHeight="1">
      <c r="A73" s="4" t="s">
        <v>6472</v>
      </c>
      <c r="B73" s="4" t="s">
        <v>4951</v>
      </c>
      <c r="C73" s="4" t="s">
        <v>108</v>
      </c>
      <c r="D73" s="4" t="s">
        <v>4952</v>
      </c>
      <c r="E73" s="4" t="s">
        <v>18</v>
      </c>
      <c r="F73" s="4" t="s">
        <v>6473</v>
      </c>
      <c r="G73" s="4" t="s">
        <v>6474</v>
      </c>
      <c r="H73" s="4">
        <v>1.04</v>
      </c>
      <c r="I73" s="4">
        <v>1.18</v>
      </c>
      <c r="J73" s="4">
        <v>0.23232</v>
      </c>
      <c r="K73" s="4" t="b">
        <v>1</v>
      </c>
      <c r="L73" s="4" t="b">
        <v>0</v>
      </c>
    </row>
    <row r="74" spans="1:12" ht="15.75" customHeight="1">
      <c r="A74" s="4" t="s">
        <v>6475</v>
      </c>
      <c r="B74" s="4" t="s">
        <v>4951</v>
      </c>
      <c r="C74" s="4" t="s">
        <v>108</v>
      </c>
      <c r="D74" s="4" t="s">
        <v>4952</v>
      </c>
      <c r="E74" s="4" t="s">
        <v>18</v>
      </c>
      <c r="F74" s="4" t="s">
        <v>6476</v>
      </c>
      <c r="G74" s="4" t="s">
        <v>6477</v>
      </c>
      <c r="H74" s="4">
        <v>1.05</v>
      </c>
      <c r="I74" s="4">
        <v>1.25</v>
      </c>
      <c r="J74" s="4">
        <v>0.25319000000000003</v>
      </c>
      <c r="K74" s="4" t="b">
        <v>1</v>
      </c>
      <c r="L74" s="4" t="b">
        <v>0</v>
      </c>
    </row>
    <row r="75" spans="1:12" ht="15.75" customHeight="1">
      <c r="A75" s="4" t="s">
        <v>6478</v>
      </c>
      <c r="B75" s="4" t="s">
        <v>4951</v>
      </c>
      <c r="C75" s="4" t="s">
        <v>108</v>
      </c>
      <c r="D75" s="4" t="s">
        <v>4952</v>
      </c>
      <c r="E75" s="4" t="s">
        <v>18</v>
      </c>
      <c r="F75" s="4" t="s">
        <v>6479</v>
      </c>
      <c r="G75" s="4" t="s">
        <v>6480</v>
      </c>
      <c r="H75" s="4">
        <v>1.06</v>
      </c>
      <c r="I75" s="4">
        <v>1.28</v>
      </c>
      <c r="J75" s="4">
        <v>0.24229999999999999</v>
      </c>
      <c r="K75" s="4" t="b">
        <v>1</v>
      </c>
      <c r="L75" s="4" t="b">
        <v>0</v>
      </c>
    </row>
    <row r="76" spans="1:12" ht="15.75" customHeight="1">
      <c r="A76" s="4" t="s">
        <v>6481</v>
      </c>
      <c r="B76" s="4" t="s">
        <v>4951</v>
      </c>
      <c r="C76" s="4" t="s">
        <v>108</v>
      </c>
      <c r="D76" s="4" t="s">
        <v>4952</v>
      </c>
      <c r="E76" s="4" t="s">
        <v>18</v>
      </c>
      <c r="F76" s="4" t="s">
        <v>6482</v>
      </c>
      <c r="G76" s="4" t="s">
        <v>6483</v>
      </c>
      <c r="H76" s="4">
        <v>1.06</v>
      </c>
      <c r="I76" s="4">
        <v>1.29</v>
      </c>
      <c r="J76" s="4">
        <v>0.25563999999999998</v>
      </c>
      <c r="K76" s="4" t="b">
        <v>1</v>
      </c>
      <c r="L76" s="4" t="b">
        <v>0</v>
      </c>
    </row>
    <row r="77" spans="1:12" ht="15.75" customHeight="1">
      <c r="A77" s="4" t="s">
        <v>6484</v>
      </c>
      <c r="B77" s="4" t="s">
        <v>4951</v>
      </c>
      <c r="C77" s="4" t="s">
        <v>108</v>
      </c>
      <c r="D77" s="4" t="s">
        <v>4952</v>
      </c>
      <c r="E77" s="4" t="s">
        <v>18</v>
      </c>
      <c r="F77" s="4" t="s">
        <v>6485</v>
      </c>
      <c r="G77" s="4" t="s">
        <v>6486</v>
      </c>
      <c r="H77" s="4">
        <v>1.06</v>
      </c>
      <c r="I77" s="4">
        <v>1.19</v>
      </c>
      <c r="J77" s="4">
        <v>0.24473</v>
      </c>
      <c r="K77" s="4" t="b">
        <v>1</v>
      </c>
      <c r="L77" s="4" t="b">
        <v>0</v>
      </c>
    </row>
    <row r="78" spans="1:12" ht="15.75" customHeight="1">
      <c r="A78" s="4" t="s">
        <v>6487</v>
      </c>
      <c r="B78" s="4" t="s">
        <v>4951</v>
      </c>
      <c r="C78" s="4" t="s">
        <v>108</v>
      </c>
      <c r="D78" s="4" t="s">
        <v>4952</v>
      </c>
      <c r="E78" s="4" t="s">
        <v>18</v>
      </c>
      <c r="F78" s="4" t="s">
        <v>6488</v>
      </c>
      <c r="G78" s="4" t="s">
        <v>6489</v>
      </c>
      <c r="H78" s="4">
        <v>1.07</v>
      </c>
      <c r="I78" s="4">
        <v>1.1299999999999999</v>
      </c>
      <c r="J78" s="4">
        <v>0.23946999999999999</v>
      </c>
      <c r="K78" s="4" t="b">
        <v>1</v>
      </c>
      <c r="L78" s="4" t="b">
        <v>0</v>
      </c>
    </row>
    <row r="79" spans="1:12" ht="15.75" customHeight="1">
      <c r="A79" s="4" t="s">
        <v>6490</v>
      </c>
      <c r="B79" s="4" t="s">
        <v>4951</v>
      </c>
      <c r="C79" s="4" t="s">
        <v>108</v>
      </c>
      <c r="D79" s="4" t="s">
        <v>4952</v>
      </c>
      <c r="E79" s="4" t="s">
        <v>18</v>
      </c>
      <c r="F79" s="4" t="s">
        <v>6491</v>
      </c>
      <c r="G79" s="4" t="s">
        <v>6492</v>
      </c>
      <c r="H79" s="4">
        <v>1.07</v>
      </c>
      <c r="I79" s="4">
        <v>1.1399999999999999</v>
      </c>
      <c r="J79" s="4">
        <v>0.24249000000000001</v>
      </c>
      <c r="K79" s="4" t="b">
        <v>1</v>
      </c>
      <c r="L79" s="4" t="b">
        <v>0</v>
      </c>
    </row>
    <row r="80" spans="1:12" ht="15.75" customHeight="1">
      <c r="A80" s="4" t="s">
        <v>6493</v>
      </c>
      <c r="B80" s="4" t="s">
        <v>4951</v>
      </c>
      <c r="C80" s="4" t="s">
        <v>108</v>
      </c>
      <c r="D80" s="41" t="s">
        <v>4952</v>
      </c>
      <c r="E80" s="4" t="s">
        <v>18</v>
      </c>
      <c r="F80" s="4" t="s">
        <v>6494</v>
      </c>
      <c r="G80" s="4" t="s">
        <v>6495</v>
      </c>
      <c r="H80" s="4">
        <v>1.08</v>
      </c>
      <c r="I80" s="4">
        <v>1.08</v>
      </c>
      <c r="J80" s="4">
        <v>0.23499</v>
      </c>
      <c r="K80" s="4" t="b">
        <v>1</v>
      </c>
      <c r="L80" s="4" t="b">
        <v>0</v>
      </c>
    </row>
    <row r="81" spans="1:13" ht="15.75" customHeight="1">
      <c r="A81" s="4" t="s">
        <v>6496</v>
      </c>
      <c r="B81" s="4" t="s">
        <v>4951</v>
      </c>
      <c r="C81" s="4" t="s">
        <v>108</v>
      </c>
      <c r="D81" s="41" t="s">
        <v>4952</v>
      </c>
      <c r="E81" s="4" t="s">
        <v>18</v>
      </c>
      <c r="F81" s="4" t="s">
        <v>6497</v>
      </c>
      <c r="G81" s="4" t="s">
        <v>6498</v>
      </c>
      <c r="H81" s="4">
        <v>1.08</v>
      </c>
      <c r="I81" s="4">
        <v>1.26</v>
      </c>
      <c r="J81" s="4">
        <v>0.26827000000000001</v>
      </c>
      <c r="K81" s="4" t="b">
        <v>1</v>
      </c>
      <c r="L81" s="4" t="b">
        <v>0</v>
      </c>
    </row>
    <row r="82" spans="1:13" ht="15.75" customHeight="1">
      <c r="A82" s="4" t="s">
        <v>6499</v>
      </c>
      <c r="B82" s="4" t="s">
        <v>4951</v>
      </c>
      <c r="C82" s="4" t="s">
        <v>108</v>
      </c>
      <c r="D82" s="41" t="s">
        <v>4952</v>
      </c>
      <c r="E82" s="4" t="s">
        <v>18</v>
      </c>
      <c r="F82" s="4" t="s">
        <v>6500</v>
      </c>
      <c r="G82" s="4" t="s">
        <v>6501</v>
      </c>
      <c r="H82" s="4">
        <v>1.0900000000000001</v>
      </c>
      <c r="I82" s="4">
        <v>1.1399999999999999</v>
      </c>
      <c r="J82" s="4">
        <v>0.25796000000000002</v>
      </c>
      <c r="K82" s="4" t="b">
        <v>1</v>
      </c>
      <c r="L82" s="4" t="b">
        <v>0</v>
      </c>
    </row>
    <row r="83" spans="1:13" ht="15.75" customHeight="1">
      <c r="A83" s="4" t="s">
        <v>6502</v>
      </c>
      <c r="B83" s="4" t="s">
        <v>4951</v>
      </c>
      <c r="C83" s="4" t="s">
        <v>108</v>
      </c>
      <c r="D83" s="41" t="s">
        <v>4952</v>
      </c>
      <c r="E83" s="4" t="s">
        <v>18</v>
      </c>
      <c r="F83" s="4" t="s">
        <v>6503</v>
      </c>
      <c r="G83" s="4" t="s">
        <v>6504</v>
      </c>
      <c r="H83" s="4">
        <v>1.0900000000000001</v>
      </c>
      <c r="I83" s="4">
        <v>1.19</v>
      </c>
      <c r="J83" s="4">
        <v>0.26351000000000002</v>
      </c>
      <c r="K83" s="4" t="b">
        <v>1</v>
      </c>
      <c r="L83" s="4" t="b">
        <v>0</v>
      </c>
    </row>
    <row r="84" spans="1:13" ht="15.75" customHeight="1">
      <c r="A84" s="4" t="s">
        <v>3127</v>
      </c>
      <c r="B84" s="4" t="s">
        <v>4951</v>
      </c>
      <c r="C84" s="4" t="s">
        <v>108</v>
      </c>
      <c r="D84" s="41" t="s">
        <v>4952</v>
      </c>
      <c r="E84" s="4" t="s">
        <v>18</v>
      </c>
      <c r="F84" s="4" t="s">
        <v>4957</v>
      </c>
      <c r="G84" s="4" t="s">
        <v>3023</v>
      </c>
      <c r="H84" s="4">
        <v>1.1000000000000001</v>
      </c>
      <c r="I84" s="4">
        <v>1.1599999999999999</v>
      </c>
      <c r="J84" s="4">
        <v>0.25552000000000002</v>
      </c>
      <c r="K84" s="4" t="b">
        <v>1</v>
      </c>
      <c r="L84" s="4" t="b">
        <v>1</v>
      </c>
      <c r="M84" s="41" t="s">
        <v>4929</v>
      </c>
    </row>
    <row r="85" spans="1:13" ht="15.75" customHeight="1">
      <c r="A85" s="4" t="s">
        <v>6505</v>
      </c>
      <c r="B85" s="4" t="s">
        <v>4951</v>
      </c>
      <c r="C85" s="4" t="s">
        <v>108</v>
      </c>
      <c r="D85" s="41" t="s">
        <v>4952</v>
      </c>
      <c r="E85" s="4" t="s">
        <v>18</v>
      </c>
      <c r="F85" s="4" t="s">
        <v>6506</v>
      </c>
      <c r="G85" s="4" t="s">
        <v>6507</v>
      </c>
      <c r="H85" s="4">
        <v>1.1000000000000001</v>
      </c>
      <c r="I85" s="4">
        <v>1.23</v>
      </c>
      <c r="J85" s="4">
        <v>0.27977000000000002</v>
      </c>
      <c r="K85" s="4" t="b">
        <v>1</v>
      </c>
      <c r="L85" s="4" t="b">
        <v>0</v>
      </c>
    </row>
    <row r="86" spans="1:13" ht="13">
      <c r="A86" s="4" t="s">
        <v>6508</v>
      </c>
      <c r="B86" s="4" t="s">
        <v>4951</v>
      </c>
      <c r="C86" s="4" t="s">
        <v>108</v>
      </c>
      <c r="D86" s="4" t="s">
        <v>4952</v>
      </c>
      <c r="E86" s="4" t="s">
        <v>18</v>
      </c>
      <c r="F86" s="4" t="s">
        <v>6509</v>
      </c>
      <c r="G86" s="4" t="s">
        <v>6510</v>
      </c>
      <c r="H86" s="4">
        <v>1.1100000000000001</v>
      </c>
      <c r="I86" s="4">
        <v>1.1299999999999999</v>
      </c>
      <c r="J86" s="4">
        <v>0.25124999999999997</v>
      </c>
      <c r="K86" s="4" t="b">
        <v>1</v>
      </c>
      <c r="L86" s="4" t="b">
        <v>0</v>
      </c>
    </row>
    <row r="87" spans="1:13" ht="13">
      <c r="A87" s="4" t="s">
        <v>6511</v>
      </c>
      <c r="B87" s="4" t="s">
        <v>4951</v>
      </c>
      <c r="C87" s="4" t="s">
        <v>108</v>
      </c>
      <c r="D87" s="4" t="s">
        <v>4952</v>
      </c>
      <c r="E87" s="4" t="s">
        <v>18</v>
      </c>
      <c r="F87" s="4" t="s">
        <v>6512</v>
      </c>
      <c r="G87" s="4" t="s">
        <v>6513</v>
      </c>
      <c r="H87" s="4">
        <v>1.1100000000000001</v>
      </c>
      <c r="I87" s="4">
        <v>1.1100000000000001</v>
      </c>
      <c r="J87" s="4">
        <v>0.24581</v>
      </c>
      <c r="K87" s="4" t="b">
        <v>1</v>
      </c>
      <c r="L87" s="4" t="b">
        <v>0</v>
      </c>
    </row>
    <row r="88" spans="1:13" ht="13">
      <c r="A88" s="4" t="s">
        <v>6514</v>
      </c>
      <c r="B88" s="4" t="s">
        <v>4951</v>
      </c>
      <c r="C88" s="4" t="s">
        <v>108</v>
      </c>
      <c r="D88" s="4" t="s">
        <v>4952</v>
      </c>
      <c r="E88" s="4" t="s">
        <v>18</v>
      </c>
      <c r="F88" s="4" t="s">
        <v>6515</v>
      </c>
      <c r="G88" s="4" t="s">
        <v>6516</v>
      </c>
      <c r="H88" s="4">
        <v>1.1100000000000001</v>
      </c>
      <c r="I88" s="4">
        <v>1.17</v>
      </c>
      <c r="J88" s="4">
        <v>0.27556999999999998</v>
      </c>
      <c r="K88" s="4" t="b">
        <v>1</v>
      </c>
      <c r="L88" s="4" t="b">
        <v>0</v>
      </c>
    </row>
    <row r="89" spans="1:13" ht="13">
      <c r="A89" s="4" t="s">
        <v>6517</v>
      </c>
      <c r="B89" s="4" t="s">
        <v>4951</v>
      </c>
      <c r="C89" s="4" t="s">
        <v>108</v>
      </c>
      <c r="D89" s="4" t="s">
        <v>4952</v>
      </c>
      <c r="E89" s="4" t="s">
        <v>18</v>
      </c>
      <c r="F89" s="4" t="s">
        <v>6518</v>
      </c>
      <c r="G89" s="4" t="s">
        <v>6519</v>
      </c>
      <c r="H89" s="4">
        <v>1.1200000000000001</v>
      </c>
      <c r="I89" s="4">
        <v>1.1299999999999999</v>
      </c>
      <c r="J89" s="4">
        <v>0.24897</v>
      </c>
      <c r="K89" s="4" t="b">
        <v>1</v>
      </c>
      <c r="L89" s="4" t="b">
        <v>0</v>
      </c>
    </row>
    <row r="90" spans="1:13" ht="13">
      <c r="A90" s="4" t="s">
        <v>6520</v>
      </c>
      <c r="B90" s="4" t="s">
        <v>4951</v>
      </c>
      <c r="C90" s="4" t="s">
        <v>108</v>
      </c>
      <c r="D90" s="4" t="s">
        <v>4952</v>
      </c>
      <c r="E90" s="4" t="s">
        <v>18</v>
      </c>
      <c r="F90" s="4" t="s">
        <v>6521</v>
      </c>
      <c r="G90" s="4" t="s">
        <v>6522</v>
      </c>
      <c r="H90" s="4">
        <v>1.1299999999999999</v>
      </c>
      <c r="I90" s="4">
        <v>1.1100000000000001</v>
      </c>
      <c r="J90" s="4">
        <v>0.25236999999999998</v>
      </c>
      <c r="K90" s="4" t="b">
        <v>1</v>
      </c>
      <c r="L90" s="4" t="b">
        <v>0</v>
      </c>
    </row>
    <row r="91" spans="1:13" ht="13">
      <c r="A91" s="4" t="s">
        <v>6523</v>
      </c>
      <c r="B91" s="4" t="s">
        <v>4951</v>
      </c>
      <c r="C91" s="4" t="s">
        <v>108</v>
      </c>
      <c r="D91" s="4" t="s">
        <v>4952</v>
      </c>
      <c r="E91" s="4" t="s">
        <v>18</v>
      </c>
      <c r="F91" s="4" t="s">
        <v>6524</v>
      </c>
      <c r="G91" s="4" t="s">
        <v>6525</v>
      </c>
      <c r="H91" s="4">
        <v>1.1299999999999999</v>
      </c>
      <c r="I91" s="4">
        <v>1.19</v>
      </c>
      <c r="J91" s="4">
        <v>0.25117</v>
      </c>
      <c r="K91" s="4" t="b">
        <v>1</v>
      </c>
      <c r="L91" s="4" t="b">
        <v>0</v>
      </c>
    </row>
    <row r="92" spans="1:13" ht="13">
      <c r="A92" s="4" t="s">
        <v>6526</v>
      </c>
      <c r="B92" s="4" t="s">
        <v>4951</v>
      </c>
      <c r="C92" s="4" t="s">
        <v>108</v>
      </c>
      <c r="D92" s="4" t="s">
        <v>4952</v>
      </c>
      <c r="E92" s="4" t="s">
        <v>18</v>
      </c>
      <c r="F92" s="4" t="s">
        <v>6527</v>
      </c>
      <c r="G92" s="4" t="s">
        <v>6528</v>
      </c>
      <c r="H92" s="4">
        <v>1.1399999999999999</v>
      </c>
      <c r="I92" s="4">
        <v>1.25</v>
      </c>
      <c r="J92" s="4">
        <v>0.28582000000000002</v>
      </c>
      <c r="K92" s="4" t="b">
        <v>1</v>
      </c>
      <c r="L92" s="4" t="b">
        <v>0</v>
      </c>
    </row>
    <row r="93" spans="1:13" ht="13">
      <c r="A93" s="4" t="s">
        <v>6529</v>
      </c>
      <c r="B93" s="4" t="s">
        <v>4951</v>
      </c>
      <c r="C93" s="4" t="s">
        <v>108</v>
      </c>
      <c r="D93" s="4" t="s">
        <v>4952</v>
      </c>
      <c r="E93" s="4" t="s">
        <v>18</v>
      </c>
      <c r="F93" s="4" t="s">
        <v>6530</v>
      </c>
      <c r="G93" s="4" t="s">
        <v>6531</v>
      </c>
      <c r="H93" s="4">
        <v>1.1399999999999999</v>
      </c>
      <c r="I93" s="4">
        <v>1.1599999999999999</v>
      </c>
      <c r="J93" s="4">
        <v>0.27604000000000001</v>
      </c>
      <c r="K93" s="4" t="b">
        <v>1</v>
      </c>
      <c r="L93" s="4" t="b">
        <v>0</v>
      </c>
    </row>
    <row r="94" spans="1:13" ht="13">
      <c r="A94" s="4" t="s">
        <v>6532</v>
      </c>
      <c r="B94" s="4" t="s">
        <v>4951</v>
      </c>
      <c r="C94" s="4" t="s">
        <v>108</v>
      </c>
      <c r="D94" s="4" t="s">
        <v>4952</v>
      </c>
      <c r="E94" s="4" t="s">
        <v>18</v>
      </c>
      <c r="F94" s="4" t="s">
        <v>6533</v>
      </c>
      <c r="G94" s="4" t="s">
        <v>6534</v>
      </c>
      <c r="H94" s="4">
        <v>1.31</v>
      </c>
      <c r="I94" s="4">
        <v>1.0900000000000001</v>
      </c>
      <c r="J94" s="4">
        <v>0.2457</v>
      </c>
      <c r="K94" s="4" t="b">
        <v>1</v>
      </c>
      <c r="L94" s="4" t="b">
        <v>0</v>
      </c>
    </row>
    <row r="95" spans="1:13" ht="13">
      <c r="A95" s="4" t="s">
        <v>6535</v>
      </c>
      <c r="B95" s="4" t="s">
        <v>4951</v>
      </c>
      <c r="C95" s="4" t="s">
        <v>108</v>
      </c>
      <c r="D95" s="4" t="s">
        <v>4952</v>
      </c>
      <c r="E95" s="4" t="s">
        <v>18</v>
      </c>
      <c r="F95" s="4" t="s">
        <v>6536</v>
      </c>
      <c r="G95" s="4" t="s">
        <v>6537</v>
      </c>
      <c r="H95" s="4">
        <v>1.31</v>
      </c>
      <c r="I95" s="4">
        <v>1.1499999999999999</v>
      </c>
      <c r="J95" s="4">
        <v>0.23704</v>
      </c>
      <c r="K95" s="4" t="b">
        <v>1</v>
      </c>
      <c r="L95" s="4" t="b">
        <v>0</v>
      </c>
    </row>
    <row r="96" spans="1:13" ht="13">
      <c r="A96" s="4" t="s">
        <v>6538</v>
      </c>
      <c r="B96" s="4" t="s">
        <v>4951</v>
      </c>
      <c r="C96" s="4" t="s">
        <v>108</v>
      </c>
      <c r="D96" s="4" t="s">
        <v>4952</v>
      </c>
      <c r="E96" s="4" t="s">
        <v>18</v>
      </c>
      <c r="F96" s="4" t="s">
        <v>6539</v>
      </c>
      <c r="G96" s="4" t="s">
        <v>6540</v>
      </c>
      <c r="H96" s="4">
        <v>1.32</v>
      </c>
      <c r="I96" s="4">
        <v>1.25</v>
      </c>
      <c r="J96" s="4">
        <v>0.24315999999999999</v>
      </c>
      <c r="K96" s="4" t="b">
        <v>1</v>
      </c>
      <c r="L96" s="4" t="b">
        <v>0</v>
      </c>
    </row>
    <row r="97" spans="1:12" ht="13">
      <c r="A97" s="4" t="s">
        <v>6541</v>
      </c>
      <c r="B97" s="4" t="s">
        <v>4951</v>
      </c>
      <c r="C97" s="4" t="s">
        <v>108</v>
      </c>
      <c r="D97" s="4" t="s">
        <v>4952</v>
      </c>
      <c r="E97" s="4" t="s">
        <v>18</v>
      </c>
      <c r="F97" s="4" t="s">
        <v>6542</v>
      </c>
      <c r="G97" s="4" t="s">
        <v>6543</v>
      </c>
      <c r="H97" s="4">
        <v>1.32</v>
      </c>
      <c r="I97" s="4">
        <v>1.1399999999999999</v>
      </c>
      <c r="J97" s="4">
        <v>0.24407999999999999</v>
      </c>
      <c r="K97" s="4" t="b">
        <v>1</v>
      </c>
      <c r="L97" s="4" t="b">
        <v>0</v>
      </c>
    </row>
    <row r="98" spans="1:12" ht="13">
      <c r="A98" s="4" t="s">
        <v>6544</v>
      </c>
      <c r="B98" s="4" t="s">
        <v>4951</v>
      </c>
      <c r="C98" s="4" t="s">
        <v>108</v>
      </c>
      <c r="D98" s="4" t="s">
        <v>4952</v>
      </c>
      <c r="E98" s="4" t="s">
        <v>18</v>
      </c>
      <c r="F98" s="41" t="s">
        <v>6545</v>
      </c>
      <c r="G98" s="4" t="s">
        <v>6546</v>
      </c>
      <c r="H98" s="4">
        <v>1.33</v>
      </c>
      <c r="I98" s="4">
        <v>1.0900000000000001</v>
      </c>
      <c r="J98" s="4">
        <v>0.23971000000000001</v>
      </c>
      <c r="K98" s="4" t="b">
        <v>1</v>
      </c>
      <c r="L98" s="4" t="b">
        <v>0</v>
      </c>
    </row>
    <row r="99" spans="1:12" ht="13">
      <c r="A99" s="4" t="s">
        <v>6547</v>
      </c>
      <c r="B99" s="4" t="s">
        <v>4951</v>
      </c>
      <c r="C99" s="4" t="s">
        <v>108</v>
      </c>
      <c r="D99" s="4" t="s">
        <v>4952</v>
      </c>
      <c r="E99" s="4" t="s">
        <v>18</v>
      </c>
      <c r="F99" s="41" t="s">
        <v>6548</v>
      </c>
      <c r="G99" s="4" t="s">
        <v>6549</v>
      </c>
      <c r="H99" s="4">
        <v>1.33</v>
      </c>
      <c r="I99" s="4">
        <v>1.28</v>
      </c>
      <c r="J99" s="4">
        <v>0.25115999999999999</v>
      </c>
      <c r="K99" s="4" t="b">
        <v>1</v>
      </c>
      <c r="L99" s="4" t="b">
        <v>0</v>
      </c>
    </row>
    <row r="100" spans="1:12" ht="13">
      <c r="A100" s="4" t="s">
        <v>6550</v>
      </c>
      <c r="B100" s="4" t="s">
        <v>4951</v>
      </c>
      <c r="C100" s="4" t="s">
        <v>108</v>
      </c>
      <c r="D100" s="4" t="s">
        <v>4952</v>
      </c>
      <c r="E100" s="4" t="s">
        <v>18</v>
      </c>
      <c r="F100" s="4" t="s">
        <v>6551</v>
      </c>
      <c r="G100" s="4" t="s">
        <v>6552</v>
      </c>
      <c r="H100" s="4">
        <v>1.34</v>
      </c>
      <c r="I100" s="4">
        <v>1.19</v>
      </c>
      <c r="J100" s="4">
        <v>0.23538999999999999</v>
      </c>
      <c r="K100" s="4" t="b">
        <v>1</v>
      </c>
      <c r="L100" s="4" t="b">
        <v>0</v>
      </c>
    </row>
    <row r="101" spans="1:12" ht="13">
      <c r="A101" s="4" t="s">
        <v>6553</v>
      </c>
      <c r="B101" s="4" t="s">
        <v>4951</v>
      </c>
      <c r="C101" s="4" t="s">
        <v>108</v>
      </c>
      <c r="D101" s="4" t="s">
        <v>4952</v>
      </c>
      <c r="E101" s="4" t="s">
        <v>18</v>
      </c>
      <c r="F101" s="4" t="s">
        <v>6554</v>
      </c>
      <c r="G101" s="4" t="s">
        <v>6555</v>
      </c>
      <c r="H101" s="4">
        <v>1.34</v>
      </c>
      <c r="I101" s="4">
        <v>1.1399999999999999</v>
      </c>
      <c r="J101" s="4">
        <v>0.24698999999999999</v>
      </c>
      <c r="K101" s="4" t="b">
        <v>1</v>
      </c>
      <c r="L101" s="4" t="b">
        <v>0</v>
      </c>
    </row>
    <row r="102" spans="1:12" ht="13">
      <c r="A102" s="4" t="s">
        <v>6556</v>
      </c>
      <c r="B102" s="4" t="s">
        <v>4951</v>
      </c>
      <c r="C102" s="4" t="s">
        <v>108</v>
      </c>
      <c r="D102" s="4" t="s">
        <v>4952</v>
      </c>
      <c r="E102" s="4" t="s">
        <v>18</v>
      </c>
      <c r="F102" s="4" t="s">
        <v>6557</v>
      </c>
      <c r="G102" s="4" t="s">
        <v>6558</v>
      </c>
      <c r="H102" s="4">
        <v>1.35</v>
      </c>
      <c r="I102" s="4">
        <v>1.1200000000000001</v>
      </c>
      <c r="J102" s="4">
        <v>0.25986999999999999</v>
      </c>
      <c r="K102" s="4" t="b">
        <v>1</v>
      </c>
      <c r="L102" s="4" t="b">
        <v>0</v>
      </c>
    </row>
    <row r="103" spans="1:12" ht="13">
      <c r="A103" s="4" t="s">
        <v>6559</v>
      </c>
      <c r="B103" s="4" t="s">
        <v>4951</v>
      </c>
      <c r="C103" s="4" t="s">
        <v>108</v>
      </c>
      <c r="D103" s="4" t="s">
        <v>4952</v>
      </c>
      <c r="E103" s="4" t="s">
        <v>18</v>
      </c>
      <c r="F103" s="4" t="s">
        <v>6560</v>
      </c>
      <c r="G103" s="4" t="s">
        <v>6561</v>
      </c>
      <c r="H103" s="4">
        <v>1.35</v>
      </c>
      <c r="I103" s="4">
        <v>1.05</v>
      </c>
      <c r="J103" s="4">
        <v>0.23744000000000001</v>
      </c>
      <c r="K103" s="4" t="b">
        <v>1</v>
      </c>
      <c r="L103" s="4" t="b">
        <v>0</v>
      </c>
    </row>
    <row r="104" spans="1:12" ht="13">
      <c r="A104" s="4" t="s">
        <v>6562</v>
      </c>
      <c r="B104" s="4" t="s">
        <v>4951</v>
      </c>
      <c r="C104" s="4" t="s">
        <v>108</v>
      </c>
      <c r="D104" s="4" t="s">
        <v>4952</v>
      </c>
      <c r="E104" s="4" t="s">
        <v>18</v>
      </c>
      <c r="F104" s="4" t="s">
        <v>6563</v>
      </c>
      <c r="G104" s="4" t="s">
        <v>6564</v>
      </c>
      <c r="H104" s="4">
        <v>1.36</v>
      </c>
      <c r="I104" s="4">
        <v>1.2</v>
      </c>
      <c r="J104" s="4">
        <v>0.24732999999999999</v>
      </c>
      <c r="K104" s="4" t="b">
        <v>1</v>
      </c>
      <c r="L104" s="4" t="b">
        <v>0</v>
      </c>
    </row>
    <row r="105" spans="1:12" ht="13">
      <c r="A105" s="4" t="s">
        <v>6568</v>
      </c>
      <c r="B105" s="4" t="s">
        <v>4951</v>
      </c>
      <c r="C105" s="4" t="s">
        <v>108</v>
      </c>
      <c r="D105" s="4" t="s">
        <v>4952</v>
      </c>
      <c r="E105" s="4" t="s">
        <v>18</v>
      </c>
      <c r="F105" s="4" t="s">
        <v>6569</v>
      </c>
      <c r="G105" s="4" t="s">
        <v>6570</v>
      </c>
      <c r="H105" s="4">
        <v>1.38</v>
      </c>
      <c r="I105" s="4">
        <v>1.08</v>
      </c>
      <c r="J105" s="4">
        <v>0.25263999999999998</v>
      </c>
      <c r="K105" s="4" t="b">
        <v>1</v>
      </c>
      <c r="L105" s="4" t="b">
        <v>0</v>
      </c>
    </row>
    <row r="106" spans="1:12" ht="13">
      <c r="A106" s="4" t="s">
        <v>6571</v>
      </c>
      <c r="B106" s="4" t="s">
        <v>4951</v>
      </c>
      <c r="C106" s="4" t="s">
        <v>108</v>
      </c>
      <c r="D106" s="4" t="s">
        <v>4952</v>
      </c>
      <c r="E106" s="4" t="s">
        <v>18</v>
      </c>
      <c r="F106" s="4" t="s">
        <v>6572</v>
      </c>
      <c r="G106" s="4" t="s">
        <v>6573</v>
      </c>
      <c r="H106" s="4">
        <v>1.38</v>
      </c>
      <c r="I106" s="4">
        <v>1.1399999999999999</v>
      </c>
      <c r="J106" s="4">
        <v>0.25613000000000002</v>
      </c>
      <c r="K106" s="4" t="b">
        <v>1</v>
      </c>
      <c r="L106" s="4" t="b">
        <v>0</v>
      </c>
    </row>
    <row r="107" spans="1:12" ht="13">
      <c r="A107" s="4" t="s">
        <v>6574</v>
      </c>
      <c r="B107" s="4" t="s">
        <v>4951</v>
      </c>
      <c r="C107" s="4" t="s">
        <v>108</v>
      </c>
      <c r="D107" s="4" t="s">
        <v>4952</v>
      </c>
      <c r="E107" s="4" t="s">
        <v>18</v>
      </c>
      <c r="F107" s="4" t="s">
        <v>6575</v>
      </c>
      <c r="G107" s="4" t="s">
        <v>6576</v>
      </c>
      <c r="H107" s="4">
        <v>1.39</v>
      </c>
      <c r="I107" s="4">
        <v>1.2</v>
      </c>
      <c r="J107" s="4">
        <v>0.23680000000000001</v>
      </c>
      <c r="K107" s="4" t="b">
        <v>1</v>
      </c>
      <c r="L107" s="4" t="b">
        <v>0</v>
      </c>
    </row>
    <row r="108" spans="1:12" ht="13">
      <c r="A108" s="4" t="s">
        <v>6577</v>
      </c>
      <c r="B108" s="4" t="s">
        <v>4951</v>
      </c>
      <c r="C108" s="4" t="s">
        <v>108</v>
      </c>
      <c r="D108" s="4" t="s">
        <v>4952</v>
      </c>
      <c r="E108" s="4" t="s">
        <v>18</v>
      </c>
      <c r="F108" s="4" t="s">
        <v>6578</v>
      </c>
      <c r="G108" s="4" t="s">
        <v>6579</v>
      </c>
      <c r="H108" s="4">
        <v>1.39</v>
      </c>
      <c r="I108" s="4">
        <v>1.1000000000000001</v>
      </c>
      <c r="J108" s="4">
        <v>0.2354</v>
      </c>
      <c r="K108" s="4" t="b">
        <v>1</v>
      </c>
      <c r="L108" s="4" t="b">
        <v>0</v>
      </c>
    </row>
    <row r="109" spans="1:12" ht="13">
      <c r="A109" s="4" t="s">
        <v>6580</v>
      </c>
      <c r="B109" s="4" t="s">
        <v>4951</v>
      </c>
      <c r="C109" s="4" t="s">
        <v>108</v>
      </c>
      <c r="D109" s="4" t="s">
        <v>4952</v>
      </c>
      <c r="E109" s="4" t="s">
        <v>18</v>
      </c>
      <c r="F109" s="4" t="s">
        <v>6581</v>
      </c>
      <c r="G109" s="4" t="s">
        <v>6582</v>
      </c>
      <c r="H109" s="4">
        <v>1.4</v>
      </c>
      <c r="I109" s="4">
        <v>1.0900000000000001</v>
      </c>
      <c r="J109" s="4">
        <v>0.23447000000000001</v>
      </c>
      <c r="K109" s="4" t="b">
        <v>1</v>
      </c>
      <c r="L109" s="4" t="b">
        <v>0</v>
      </c>
    </row>
    <row r="110" spans="1:12" ht="13">
      <c r="A110" s="4" t="s">
        <v>6583</v>
      </c>
      <c r="B110" s="4" t="s">
        <v>4951</v>
      </c>
      <c r="C110" s="4" t="s">
        <v>108</v>
      </c>
      <c r="D110" s="4" t="s">
        <v>4952</v>
      </c>
      <c r="E110" s="4" t="s">
        <v>18</v>
      </c>
      <c r="F110" s="4" t="s">
        <v>6584</v>
      </c>
      <c r="G110" s="4" t="s">
        <v>6585</v>
      </c>
      <c r="H110" s="4">
        <v>1.4</v>
      </c>
      <c r="I110" s="4">
        <v>1.0900000000000001</v>
      </c>
      <c r="J110" s="4">
        <v>0.22938</v>
      </c>
      <c r="K110" s="4" t="b">
        <v>1</v>
      </c>
      <c r="L110" s="4" t="b">
        <v>0</v>
      </c>
    </row>
    <row r="111" spans="1:12" ht="13">
      <c r="A111" s="4" t="s">
        <v>6586</v>
      </c>
      <c r="B111" s="4" t="s">
        <v>4951</v>
      </c>
      <c r="C111" s="4" t="s">
        <v>108</v>
      </c>
      <c r="D111" s="4" t="s">
        <v>4952</v>
      </c>
      <c r="E111" s="4" t="s">
        <v>18</v>
      </c>
      <c r="F111" s="4" t="s">
        <v>6587</v>
      </c>
      <c r="G111" s="4" t="s">
        <v>6588</v>
      </c>
      <c r="H111" s="4">
        <v>1.41</v>
      </c>
      <c r="I111" s="4">
        <v>1.29</v>
      </c>
      <c r="J111" s="4">
        <v>0.21709000000000001</v>
      </c>
      <c r="K111" s="4" t="b">
        <v>1</v>
      </c>
      <c r="L111" s="4" t="b">
        <v>0</v>
      </c>
    </row>
    <row r="112" spans="1:12" ht="13">
      <c r="A112" s="4" t="s">
        <v>6589</v>
      </c>
      <c r="B112" s="4" t="s">
        <v>4951</v>
      </c>
      <c r="C112" s="4" t="s">
        <v>108</v>
      </c>
      <c r="D112" s="4" t="s">
        <v>4952</v>
      </c>
      <c r="E112" s="4" t="s">
        <v>18</v>
      </c>
      <c r="F112" s="4" t="s">
        <v>6590</v>
      </c>
      <c r="G112" s="4" t="s">
        <v>6591</v>
      </c>
      <c r="H112" s="4">
        <v>1.42</v>
      </c>
      <c r="I112" s="4">
        <v>1.08</v>
      </c>
      <c r="J112" s="4">
        <v>0.23701</v>
      </c>
      <c r="K112" s="4" t="b">
        <v>1</v>
      </c>
      <c r="L112" s="4" t="b">
        <v>0</v>
      </c>
    </row>
    <row r="113" spans="1:13" ht="13">
      <c r="A113" s="4" t="s">
        <v>6592</v>
      </c>
      <c r="B113" s="4" t="s">
        <v>4951</v>
      </c>
      <c r="C113" s="4" t="s">
        <v>108</v>
      </c>
      <c r="D113" s="4" t="s">
        <v>4952</v>
      </c>
      <c r="E113" s="4" t="s">
        <v>18</v>
      </c>
      <c r="F113" s="4" t="s">
        <v>6593</v>
      </c>
      <c r="G113" s="4" t="s">
        <v>6594</v>
      </c>
      <c r="H113" s="4">
        <v>1.43</v>
      </c>
      <c r="I113" s="4">
        <v>1.28</v>
      </c>
      <c r="J113" s="4">
        <v>0.24476999999999999</v>
      </c>
      <c r="K113" s="4" t="b">
        <v>1</v>
      </c>
      <c r="L113" s="4" t="b">
        <v>0</v>
      </c>
    </row>
    <row r="114" spans="1:13" ht="13">
      <c r="A114" s="4" t="s">
        <v>6595</v>
      </c>
      <c r="B114" s="4" t="s">
        <v>4951</v>
      </c>
      <c r="C114" s="4" t="s">
        <v>108</v>
      </c>
      <c r="D114" s="4" t="s">
        <v>4952</v>
      </c>
      <c r="E114" s="4" t="s">
        <v>18</v>
      </c>
      <c r="F114" s="4" t="s">
        <v>6596</v>
      </c>
      <c r="G114" s="4" t="s">
        <v>6597</v>
      </c>
      <c r="H114" s="4">
        <v>1.43</v>
      </c>
      <c r="I114" s="4">
        <v>1.96</v>
      </c>
      <c r="J114" s="4">
        <v>0.27594000000000002</v>
      </c>
      <c r="K114" s="4" t="b">
        <v>1</v>
      </c>
      <c r="L114" s="4" t="b">
        <v>0</v>
      </c>
    </row>
    <row r="115" spans="1:13" ht="13">
      <c r="A115" s="4" t="s">
        <v>6598</v>
      </c>
      <c r="B115" s="4" t="s">
        <v>4951</v>
      </c>
      <c r="C115" s="4" t="s">
        <v>108</v>
      </c>
      <c r="D115" s="4" t="s">
        <v>4952</v>
      </c>
      <c r="E115" s="4" t="s">
        <v>18</v>
      </c>
      <c r="F115" s="4" t="s">
        <v>6599</v>
      </c>
      <c r="G115" s="4" t="s">
        <v>6600</v>
      </c>
      <c r="H115" s="4">
        <v>1.44</v>
      </c>
      <c r="I115" s="4">
        <v>1.27</v>
      </c>
      <c r="J115" s="4">
        <v>0.23019999999999999</v>
      </c>
      <c r="K115" s="4" t="b">
        <v>1</v>
      </c>
      <c r="L115" s="4" t="b">
        <v>0</v>
      </c>
    </row>
    <row r="116" spans="1:13" ht="13">
      <c r="A116" s="4" t="s">
        <v>6601</v>
      </c>
      <c r="B116" s="4" t="s">
        <v>4951</v>
      </c>
      <c r="C116" s="4" t="s">
        <v>108</v>
      </c>
      <c r="D116" s="4" t="s">
        <v>4952</v>
      </c>
      <c r="E116" s="4" t="s">
        <v>18</v>
      </c>
      <c r="F116" s="4" t="s">
        <v>6602</v>
      </c>
      <c r="G116" s="4" t="s">
        <v>6603</v>
      </c>
      <c r="H116" s="4">
        <v>1.44</v>
      </c>
      <c r="I116" s="4">
        <v>1.21</v>
      </c>
      <c r="J116" s="4">
        <v>0.25063000000000002</v>
      </c>
      <c r="K116" s="4" t="b">
        <v>1</v>
      </c>
      <c r="L116" s="4" t="b">
        <v>0</v>
      </c>
    </row>
    <row r="117" spans="1:13" ht="13">
      <c r="A117" s="4" t="s">
        <v>6604</v>
      </c>
      <c r="B117" s="4" t="s">
        <v>4951</v>
      </c>
      <c r="C117" s="4" t="s">
        <v>108</v>
      </c>
      <c r="D117" s="4" t="s">
        <v>4952</v>
      </c>
      <c r="E117" s="4" t="s">
        <v>18</v>
      </c>
      <c r="F117" s="4" t="s">
        <v>6605</v>
      </c>
      <c r="G117" s="4" t="s">
        <v>6606</v>
      </c>
      <c r="H117" s="4">
        <v>1.45</v>
      </c>
      <c r="I117" s="4">
        <v>1.07</v>
      </c>
      <c r="J117" s="4">
        <v>0.23236000000000001</v>
      </c>
      <c r="K117" s="4" t="b">
        <v>1</v>
      </c>
      <c r="L117" s="4" t="b">
        <v>0</v>
      </c>
    </row>
    <row r="118" spans="1:13" ht="13">
      <c r="A118" s="4" t="s">
        <v>6607</v>
      </c>
      <c r="B118" s="4" t="s">
        <v>4951</v>
      </c>
      <c r="C118" s="4" t="s">
        <v>108</v>
      </c>
      <c r="D118" s="4" t="s">
        <v>4952</v>
      </c>
      <c r="E118" s="4" t="s">
        <v>18</v>
      </c>
      <c r="F118" s="4" t="s">
        <v>6608</v>
      </c>
      <c r="G118" s="4" t="s">
        <v>6609</v>
      </c>
      <c r="H118" s="4">
        <v>1.46</v>
      </c>
      <c r="I118" s="4">
        <v>1.1100000000000001</v>
      </c>
      <c r="J118" s="4">
        <v>0.25107000000000002</v>
      </c>
      <c r="K118" s="4" t="b">
        <v>1</v>
      </c>
      <c r="L118" s="4" t="b">
        <v>0</v>
      </c>
    </row>
    <row r="119" spans="1:13" ht="13">
      <c r="A119" s="4" t="s">
        <v>3128</v>
      </c>
      <c r="B119" s="4" t="s">
        <v>4951</v>
      </c>
      <c r="C119" s="4" t="s">
        <v>108</v>
      </c>
      <c r="D119" s="4" t="s">
        <v>4952</v>
      </c>
      <c r="E119" s="4" t="s">
        <v>18</v>
      </c>
      <c r="F119" s="4" t="s">
        <v>4958</v>
      </c>
      <c r="G119" s="4" t="s">
        <v>3024</v>
      </c>
      <c r="H119" s="4">
        <v>1.46</v>
      </c>
      <c r="I119" s="4">
        <v>1.06</v>
      </c>
      <c r="J119" s="4">
        <v>0.23246</v>
      </c>
      <c r="K119" s="4" t="b">
        <v>1</v>
      </c>
      <c r="L119" s="4" t="b">
        <v>1</v>
      </c>
      <c r="M119" s="41" t="s">
        <v>4929</v>
      </c>
    </row>
    <row r="120" spans="1:13" ht="13">
      <c r="A120" s="4" t="s">
        <v>6610</v>
      </c>
      <c r="B120" s="4" t="s">
        <v>4951</v>
      </c>
      <c r="C120" s="4" t="s">
        <v>108</v>
      </c>
      <c r="D120" s="4" t="s">
        <v>4952</v>
      </c>
      <c r="E120" s="4" t="s">
        <v>18</v>
      </c>
      <c r="F120" s="4" t="s">
        <v>6611</v>
      </c>
      <c r="G120" s="4" t="s">
        <v>6612</v>
      </c>
      <c r="H120" s="4">
        <v>1.47</v>
      </c>
      <c r="I120" s="4">
        <v>1.05</v>
      </c>
      <c r="J120" s="4">
        <v>0.23974999999999999</v>
      </c>
      <c r="K120" s="4" t="b">
        <v>1</v>
      </c>
      <c r="L120" s="4" t="b">
        <v>0</v>
      </c>
    </row>
    <row r="121" spans="1:13" ht="13">
      <c r="A121" s="4" t="s">
        <v>6613</v>
      </c>
      <c r="B121" s="4" t="s">
        <v>4951</v>
      </c>
      <c r="C121" s="4" t="s">
        <v>108</v>
      </c>
      <c r="D121" s="4" t="s">
        <v>4952</v>
      </c>
      <c r="E121" s="4" t="s">
        <v>18</v>
      </c>
      <c r="F121" s="4" t="s">
        <v>6614</v>
      </c>
      <c r="G121" s="4" t="s">
        <v>6615</v>
      </c>
      <c r="H121" s="4">
        <v>1.47</v>
      </c>
      <c r="I121" s="4">
        <v>1.18</v>
      </c>
      <c r="J121" s="4">
        <v>0.25957999999999998</v>
      </c>
      <c r="K121" s="4" t="b">
        <v>1</v>
      </c>
      <c r="L121" s="4" t="b">
        <v>0</v>
      </c>
    </row>
    <row r="122" spans="1:13" ht="13">
      <c r="A122" s="4" t="s">
        <v>6616</v>
      </c>
      <c r="B122" s="4" t="s">
        <v>4951</v>
      </c>
      <c r="C122" s="4" t="s">
        <v>108</v>
      </c>
      <c r="D122" s="4" t="s">
        <v>4952</v>
      </c>
      <c r="E122" s="4" t="s">
        <v>18</v>
      </c>
      <c r="F122" s="4" t="s">
        <v>6617</v>
      </c>
      <c r="G122" s="4" t="s">
        <v>6618</v>
      </c>
      <c r="H122" s="4">
        <v>1.48</v>
      </c>
      <c r="I122" s="4">
        <v>1.17</v>
      </c>
      <c r="J122" s="4">
        <v>0.24729999999999999</v>
      </c>
      <c r="K122" s="4" t="b">
        <v>1</v>
      </c>
      <c r="L122" s="4" t="b">
        <v>0</v>
      </c>
    </row>
    <row r="123" spans="1:13" ht="13">
      <c r="A123" s="4" t="s">
        <v>6622</v>
      </c>
      <c r="B123" s="4" t="s">
        <v>4951</v>
      </c>
      <c r="C123" s="4" t="s">
        <v>108</v>
      </c>
      <c r="D123" s="4" t="s">
        <v>4952</v>
      </c>
      <c r="E123" s="4" t="s">
        <v>18</v>
      </c>
      <c r="F123" s="4" t="s">
        <v>6623</v>
      </c>
      <c r="G123" s="4" t="s">
        <v>6624</v>
      </c>
      <c r="H123" s="4">
        <v>1.49</v>
      </c>
      <c r="I123" s="4">
        <v>1.19</v>
      </c>
      <c r="J123" s="4">
        <v>0.24288999999999999</v>
      </c>
      <c r="K123" s="4" t="b">
        <v>1</v>
      </c>
      <c r="L123" s="4" t="b">
        <v>0</v>
      </c>
    </row>
    <row r="124" spans="1:13" ht="13">
      <c r="A124" s="4" t="s">
        <v>6625</v>
      </c>
      <c r="B124" s="4" t="s">
        <v>4951</v>
      </c>
      <c r="C124" s="4" t="s">
        <v>108</v>
      </c>
      <c r="D124" s="4" t="s">
        <v>4952</v>
      </c>
      <c r="E124" s="4" t="s">
        <v>18</v>
      </c>
      <c r="F124" s="41" t="s">
        <v>6626</v>
      </c>
      <c r="G124" s="4" t="s">
        <v>6627</v>
      </c>
      <c r="H124" s="4">
        <v>1.5</v>
      </c>
      <c r="I124" s="4">
        <v>1.1599999999999999</v>
      </c>
      <c r="J124" s="4">
        <v>0.23461000000000001</v>
      </c>
      <c r="K124" s="4" t="b">
        <v>1</v>
      </c>
      <c r="L124" s="4" t="b">
        <v>0</v>
      </c>
    </row>
    <row r="125" spans="1:13" ht="13">
      <c r="A125" s="4" t="s">
        <v>6628</v>
      </c>
      <c r="B125" s="4" t="s">
        <v>4951</v>
      </c>
      <c r="C125" s="4" t="s">
        <v>108</v>
      </c>
      <c r="D125" s="4" t="s">
        <v>4952</v>
      </c>
      <c r="E125" s="4" t="s">
        <v>18</v>
      </c>
      <c r="F125" s="41" t="s">
        <v>6629</v>
      </c>
      <c r="G125" s="4" t="s">
        <v>6630</v>
      </c>
      <c r="H125" s="4">
        <v>1.5</v>
      </c>
      <c r="I125" s="4">
        <v>1</v>
      </c>
      <c r="J125" s="4">
        <v>0.22908999999999999</v>
      </c>
      <c r="K125" s="4" t="b">
        <v>1</v>
      </c>
      <c r="L125" s="4" t="b">
        <v>0</v>
      </c>
    </row>
    <row r="126" spans="1:13" ht="13">
      <c r="A126" s="4" t="s">
        <v>6631</v>
      </c>
      <c r="B126" s="4" t="s">
        <v>4951</v>
      </c>
      <c r="C126" s="4" t="s">
        <v>108</v>
      </c>
      <c r="D126" s="4" t="s">
        <v>4952</v>
      </c>
      <c r="E126" s="4" t="s">
        <v>18</v>
      </c>
      <c r="F126" s="4" t="s">
        <v>6632</v>
      </c>
      <c r="G126" s="4" t="s">
        <v>6633</v>
      </c>
      <c r="H126" s="4">
        <v>1.51</v>
      </c>
      <c r="I126" s="4">
        <v>1.0900000000000001</v>
      </c>
      <c r="J126" s="4">
        <v>0.23893</v>
      </c>
      <c r="K126" s="4" t="b">
        <v>1</v>
      </c>
      <c r="L126" s="4" t="b">
        <v>0</v>
      </c>
    </row>
    <row r="127" spans="1:13" ht="13">
      <c r="A127" s="4" t="s">
        <v>6634</v>
      </c>
      <c r="B127" s="4" t="s">
        <v>4951</v>
      </c>
      <c r="C127" s="4" t="s">
        <v>108</v>
      </c>
      <c r="D127" s="4" t="s">
        <v>4952</v>
      </c>
      <c r="E127" s="4" t="s">
        <v>18</v>
      </c>
      <c r="F127" s="4" t="s">
        <v>6635</v>
      </c>
      <c r="G127" s="4" t="s">
        <v>6636</v>
      </c>
      <c r="H127" s="4">
        <v>1.51</v>
      </c>
      <c r="I127" s="4">
        <v>1.1299999999999999</v>
      </c>
      <c r="J127" s="4">
        <v>0.23261999999999999</v>
      </c>
      <c r="K127" s="4" t="b">
        <v>1</v>
      </c>
      <c r="L127" s="4" t="b">
        <v>0</v>
      </c>
    </row>
    <row r="128" spans="1:13" ht="13">
      <c r="A128" s="4" t="s">
        <v>6637</v>
      </c>
      <c r="B128" s="4" t="s">
        <v>4951</v>
      </c>
      <c r="C128" s="4" t="s">
        <v>108</v>
      </c>
      <c r="D128" s="4" t="s">
        <v>4952</v>
      </c>
      <c r="E128" s="4" t="s">
        <v>18</v>
      </c>
      <c r="F128" s="4" t="s">
        <v>6638</v>
      </c>
      <c r="G128" s="4" t="s">
        <v>6639</v>
      </c>
      <c r="H128" s="4">
        <v>1.52</v>
      </c>
      <c r="I128" s="4">
        <v>1.07</v>
      </c>
      <c r="J128" s="4">
        <v>0.23732</v>
      </c>
      <c r="K128" s="4" t="b">
        <v>1</v>
      </c>
      <c r="L128" s="4" t="b">
        <v>0</v>
      </c>
    </row>
    <row r="129" spans="1:13" ht="13">
      <c r="A129" s="4" t="s">
        <v>6640</v>
      </c>
      <c r="B129" s="4" t="s">
        <v>4951</v>
      </c>
      <c r="C129" s="4" t="s">
        <v>108</v>
      </c>
      <c r="D129" s="4" t="s">
        <v>4952</v>
      </c>
      <c r="E129" s="4" t="s">
        <v>18</v>
      </c>
      <c r="F129" s="4" t="s">
        <v>6641</v>
      </c>
      <c r="G129" s="4" t="s">
        <v>6642</v>
      </c>
      <c r="H129" s="4">
        <v>1.52</v>
      </c>
      <c r="I129" s="4">
        <v>1.1299999999999999</v>
      </c>
      <c r="J129" s="4">
        <v>0.22846</v>
      </c>
      <c r="K129" s="4" t="b">
        <v>1</v>
      </c>
      <c r="L129" s="4" t="b">
        <v>0</v>
      </c>
    </row>
    <row r="130" spans="1:13" ht="13">
      <c r="A130" s="4" t="s">
        <v>6643</v>
      </c>
      <c r="B130" s="4" t="s">
        <v>4951</v>
      </c>
      <c r="C130" s="4" t="s">
        <v>108</v>
      </c>
      <c r="D130" s="4" t="s">
        <v>4952</v>
      </c>
      <c r="E130" s="4" t="s">
        <v>18</v>
      </c>
      <c r="F130" s="4" t="s">
        <v>6644</v>
      </c>
      <c r="G130" s="4" t="s">
        <v>6645</v>
      </c>
      <c r="H130" s="4">
        <v>1.53</v>
      </c>
      <c r="I130" s="4">
        <v>1.07</v>
      </c>
      <c r="J130" s="4">
        <v>0.25578000000000001</v>
      </c>
      <c r="K130" s="4" t="b">
        <v>1</v>
      </c>
      <c r="L130" s="4" t="b">
        <v>0</v>
      </c>
    </row>
    <row r="131" spans="1:13" ht="13">
      <c r="A131" s="4" t="s">
        <v>6646</v>
      </c>
      <c r="B131" s="4" t="s">
        <v>4951</v>
      </c>
      <c r="C131" s="4" t="s">
        <v>108</v>
      </c>
      <c r="D131" s="4" t="s">
        <v>4952</v>
      </c>
      <c r="E131" s="4" t="s">
        <v>18</v>
      </c>
      <c r="F131" s="4" t="s">
        <v>6647</v>
      </c>
      <c r="G131" s="4" t="s">
        <v>6648</v>
      </c>
      <c r="H131" s="4">
        <v>1.53</v>
      </c>
      <c r="I131" s="4">
        <v>1.2</v>
      </c>
      <c r="J131" s="4">
        <v>0.23172999999999999</v>
      </c>
      <c r="K131" s="4" t="b">
        <v>1</v>
      </c>
      <c r="L131" s="4" t="b">
        <v>0</v>
      </c>
    </row>
    <row r="132" spans="1:13" ht="13">
      <c r="A132" s="4" t="s">
        <v>6649</v>
      </c>
      <c r="B132" s="4" t="s">
        <v>4951</v>
      </c>
      <c r="C132" s="4" t="s">
        <v>108</v>
      </c>
      <c r="D132" s="4" t="s">
        <v>4952</v>
      </c>
      <c r="E132" s="4" t="s">
        <v>18</v>
      </c>
      <c r="F132" s="4" t="s">
        <v>6650</v>
      </c>
      <c r="G132" s="4" t="s">
        <v>6651</v>
      </c>
      <c r="H132" s="4">
        <v>1.54</v>
      </c>
      <c r="I132" s="4">
        <v>1.17</v>
      </c>
      <c r="J132" s="4">
        <v>0.22706999999999999</v>
      </c>
      <c r="K132" s="4" t="b">
        <v>1</v>
      </c>
      <c r="L132" s="4" t="b">
        <v>0</v>
      </c>
    </row>
    <row r="133" spans="1:13" ht="13">
      <c r="A133" s="4" t="s">
        <v>6652</v>
      </c>
      <c r="B133" s="4" t="s">
        <v>4951</v>
      </c>
      <c r="C133" s="4" t="s">
        <v>108</v>
      </c>
      <c r="D133" s="4" t="s">
        <v>4952</v>
      </c>
      <c r="E133" s="4" t="s">
        <v>18</v>
      </c>
      <c r="F133" s="4" t="s">
        <v>6653</v>
      </c>
      <c r="G133" s="4" t="s">
        <v>6654</v>
      </c>
      <c r="H133" s="4">
        <v>1.54</v>
      </c>
      <c r="I133" s="4">
        <v>1.1299999999999999</v>
      </c>
      <c r="J133" s="4">
        <v>0.22927</v>
      </c>
      <c r="K133" s="4" t="b">
        <v>1</v>
      </c>
      <c r="L133" s="4" t="b">
        <v>0</v>
      </c>
    </row>
    <row r="134" spans="1:13" ht="13">
      <c r="A134" s="4" t="s">
        <v>6655</v>
      </c>
      <c r="B134" s="4" t="s">
        <v>4951</v>
      </c>
      <c r="C134" s="4" t="s">
        <v>108</v>
      </c>
      <c r="D134" s="4" t="s">
        <v>4952</v>
      </c>
      <c r="E134" s="4" t="s">
        <v>18</v>
      </c>
      <c r="F134" s="4" t="s">
        <v>6656</v>
      </c>
      <c r="G134" s="4" t="s">
        <v>6657</v>
      </c>
      <c r="H134" s="4">
        <v>1.55</v>
      </c>
      <c r="I134" s="4">
        <v>1.1000000000000001</v>
      </c>
      <c r="J134" s="4">
        <v>0.26067000000000001</v>
      </c>
      <c r="K134" s="4" t="b">
        <v>1</v>
      </c>
      <c r="L134" s="4" t="b">
        <v>0</v>
      </c>
    </row>
    <row r="135" spans="1:13" ht="13">
      <c r="A135" s="4" t="s">
        <v>6658</v>
      </c>
      <c r="B135" s="4" t="s">
        <v>4951</v>
      </c>
      <c r="C135" s="4" t="s">
        <v>108</v>
      </c>
      <c r="D135" s="4" t="s">
        <v>4952</v>
      </c>
      <c r="E135" s="4" t="s">
        <v>18</v>
      </c>
      <c r="F135" s="4" t="s">
        <v>6659</v>
      </c>
      <c r="G135" s="4" t="s">
        <v>6660</v>
      </c>
      <c r="H135" s="4">
        <v>1.56</v>
      </c>
      <c r="I135" s="4">
        <v>1.1499999999999999</v>
      </c>
      <c r="J135" s="4">
        <v>0.26838000000000001</v>
      </c>
      <c r="K135" s="4" t="b">
        <v>1</v>
      </c>
      <c r="L135" s="4" t="b">
        <v>0</v>
      </c>
    </row>
    <row r="136" spans="1:13" ht="13">
      <c r="A136" s="4" t="s">
        <v>6661</v>
      </c>
      <c r="B136" s="4" t="s">
        <v>4951</v>
      </c>
      <c r="C136" s="4" t="s">
        <v>108</v>
      </c>
      <c r="D136" s="4" t="s">
        <v>4952</v>
      </c>
      <c r="E136" s="4" t="s">
        <v>18</v>
      </c>
      <c r="F136" s="4" t="s">
        <v>6662</v>
      </c>
      <c r="G136" s="4" t="s">
        <v>6663</v>
      </c>
      <c r="H136" s="4">
        <v>1.56</v>
      </c>
      <c r="I136" s="4">
        <v>1.1399999999999999</v>
      </c>
      <c r="J136" s="4">
        <v>0.24296000000000001</v>
      </c>
      <c r="K136" s="4" t="b">
        <v>1</v>
      </c>
      <c r="L136" s="4" t="b">
        <v>0</v>
      </c>
    </row>
    <row r="137" spans="1:13" ht="13">
      <c r="A137" s="4" t="s">
        <v>6664</v>
      </c>
      <c r="B137" s="4" t="s">
        <v>4951</v>
      </c>
      <c r="C137" s="4" t="s">
        <v>108</v>
      </c>
      <c r="D137" s="4" t="s">
        <v>4952</v>
      </c>
      <c r="E137" s="4" t="s">
        <v>18</v>
      </c>
      <c r="F137" s="4" t="s">
        <v>6665</v>
      </c>
      <c r="G137" s="4" t="s">
        <v>6666</v>
      </c>
      <c r="H137" s="4">
        <v>1.57</v>
      </c>
      <c r="I137" s="4">
        <v>1.1100000000000001</v>
      </c>
      <c r="J137" s="4">
        <v>0.24837999999999999</v>
      </c>
      <c r="K137" s="4" t="b">
        <v>1</v>
      </c>
      <c r="L137" s="4" t="b">
        <v>0</v>
      </c>
    </row>
    <row r="138" spans="1:13" ht="13">
      <c r="A138" s="4" t="s">
        <v>6667</v>
      </c>
      <c r="B138" s="4" t="s">
        <v>4951</v>
      </c>
      <c r="C138" s="4" t="s">
        <v>108</v>
      </c>
      <c r="D138" s="4" t="s">
        <v>4952</v>
      </c>
      <c r="E138" s="4" t="s">
        <v>18</v>
      </c>
      <c r="F138" s="4" t="s">
        <v>6668</v>
      </c>
      <c r="G138" s="4" t="s">
        <v>6669</v>
      </c>
      <c r="H138" s="4">
        <v>1.57</v>
      </c>
      <c r="I138" s="4">
        <v>1.1599999999999999</v>
      </c>
      <c r="J138" s="4">
        <v>0.25283</v>
      </c>
      <c r="K138" s="4" t="b">
        <v>1</v>
      </c>
      <c r="L138" s="4" t="b">
        <v>0</v>
      </c>
    </row>
    <row r="139" spans="1:13" ht="13">
      <c r="A139" s="4" t="s">
        <v>3129</v>
      </c>
      <c r="B139" s="4" t="s">
        <v>4951</v>
      </c>
      <c r="C139" s="4" t="s">
        <v>108</v>
      </c>
      <c r="D139" s="4" t="s">
        <v>4952</v>
      </c>
      <c r="E139" s="4" t="s">
        <v>18</v>
      </c>
      <c r="F139" s="4" t="s">
        <v>4959</v>
      </c>
      <c r="G139" s="4" t="s">
        <v>3025</v>
      </c>
      <c r="H139" s="4">
        <v>1.58</v>
      </c>
      <c r="I139" s="4">
        <v>1.03</v>
      </c>
      <c r="J139" s="4">
        <v>0.22997999999999999</v>
      </c>
      <c r="K139" s="4" t="b">
        <v>1</v>
      </c>
      <c r="L139" s="4" t="b">
        <v>1</v>
      </c>
      <c r="M139" s="41" t="s">
        <v>4929</v>
      </c>
    </row>
    <row r="140" spans="1:13" ht="13">
      <c r="A140" s="4" t="s">
        <v>6670</v>
      </c>
      <c r="B140" s="4" t="s">
        <v>4951</v>
      </c>
      <c r="C140" s="4" t="s">
        <v>108</v>
      </c>
      <c r="D140" s="4" t="s">
        <v>4952</v>
      </c>
      <c r="E140" s="4" t="s">
        <v>18</v>
      </c>
      <c r="F140" s="4" t="s">
        <v>6671</v>
      </c>
      <c r="G140" s="4" t="s">
        <v>6672</v>
      </c>
      <c r="H140" s="4">
        <v>1.58</v>
      </c>
      <c r="I140" s="4">
        <v>1.22</v>
      </c>
      <c r="J140" s="4">
        <v>0.24026</v>
      </c>
      <c r="K140" s="4" t="b">
        <v>1</v>
      </c>
      <c r="L140" s="4" t="b">
        <v>0</v>
      </c>
    </row>
    <row r="141" spans="1:13" ht="13">
      <c r="A141" s="4" t="s">
        <v>6673</v>
      </c>
      <c r="B141" s="4" t="s">
        <v>4951</v>
      </c>
      <c r="C141" s="4" t="s">
        <v>108</v>
      </c>
      <c r="D141" s="4" t="s">
        <v>4952</v>
      </c>
      <c r="E141" s="4" t="s">
        <v>18</v>
      </c>
      <c r="F141" s="4" t="s">
        <v>6674</v>
      </c>
      <c r="G141" s="4" t="s">
        <v>6675</v>
      </c>
      <c r="H141" s="4">
        <v>1.59</v>
      </c>
      <c r="I141" s="4">
        <v>1.0900000000000001</v>
      </c>
      <c r="J141" s="4">
        <v>0.25958999999999999</v>
      </c>
      <c r="K141" s="4" t="b">
        <v>1</v>
      </c>
      <c r="L141" s="4" t="b">
        <v>0</v>
      </c>
    </row>
    <row r="142" spans="1:13" ht="13">
      <c r="A142" s="4" t="s">
        <v>6679</v>
      </c>
      <c r="B142" s="4" t="s">
        <v>4951</v>
      </c>
      <c r="C142" s="4" t="s">
        <v>108</v>
      </c>
      <c r="D142" s="4" t="s">
        <v>4952</v>
      </c>
      <c r="E142" s="4" t="s">
        <v>18</v>
      </c>
      <c r="F142" s="4" t="s">
        <v>6680</v>
      </c>
      <c r="G142" s="4" t="s">
        <v>6681</v>
      </c>
      <c r="H142" s="4">
        <v>1.6</v>
      </c>
      <c r="I142" s="4">
        <v>1.1200000000000001</v>
      </c>
      <c r="J142" s="4">
        <v>0.25756000000000001</v>
      </c>
      <c r="K142" s="4" t="b">
        <v>1</v>
      </c>
      <c r="L142" s="4" t="b">
        <v>0</v>
      </c>
    </row>
    <row r="143" spans="1:13" ht="13">
      <c r="A143" s="4" t="s">
        <v>6682</v>
      </c>
      <c r="B143" s="4" t="s">
        <v>4951</v>
      </c>
      <c r="C143" s="4" t="s">
        <v>108</v>
      </c>
      <c r="D143" s="4" t="s">
        <v>4952</v>
      </c>
      <c r="E143" s="4" t="s">
        <v>18</v>
      </c>
      <c r="F143" s="4" t="s">
        <v>6683</v>
      </c>
      <c r="G143" s="4" t="s">
        <v>6684</v>
      </c>
      <c r="H143" s="4">
        <v>1.61</v>
      </c>
      <c r="I143" s="4">
        <v>1.08</v>
      </c>
      <c r="J143" s="4">
        <v>0.24079999999999999</v>
      </c>
      <c r="K143" s="4" t="b">
        <v>1</v>
      </c>
      <c r="L143" s="4" t="b">
        <v>0</v>
      </c>
    </row>
    <row r="144" spans="1:13" ht="13">
      <c r="A144" s="4" t="s">
        <v>6685</v>
      </c>
      <c r="B144" s="4" t="s">
        <v>4951</v>
      </c>
      <c r="C144" s="4" t="s">
        <v>108</v>
      </c>
      <c r="D144" s="4" t="s">
        <v>4952</v>
      </c>
      <c r="E144" s="4" t="s">
        <v>18</v>
      </c>
      <c r="F144" s="4" t="s">
        <v>6686</v>
      </c>
      <c r="G144" s="4" t="s">
        <v>6687</v>
      </c>
      <c r="H144" s="4">
        <v>1.61</v>
      </c>
      <c r="I144" s="4">
        <v>1.1599999999999999</v>
      </c>
      <c r="J144" s="4">
        <v>0.24598999999999999</v>
      </c>
      <c r="K144" s="4" t="b">
        <v>1</v>
      </c>
      <c r="L144" s="4" t="b">
        <v>0</v>
      </c>
    </row>
    <row r="145" spans="1:12" ht="13">
      <c r="A145" s="4" t="s">
        <v>6691</v>
      </c>
      <c r="B145" s="4" t="s">
        <v>4951</v>
      </c>
      <c r="C145" s="4" t="s">
        <v>108</v>
      </c>
      <c r="D145" s="4" t="s">
        <v>4952</v>
      </c>
      <c r="E145" s="4" t="s">
        <v>18</v>
      </c>
      <c r="F145" s="4" t="s">
        <v>6692</v>
      </c>
      <c r="G145" s="4" t="s">
        <v>6693</v>
      </c>
      <c r="H145" s="4">
        <v>1.62</v>
      </c>
      <c r="I145" s="4">
        <v>1.07</v>
      </c>
      <c r="J145" s="4">
        <v>0.24865999999999999</v>
      </c>
      <c r="K145" s="4" t="b">
        <v>1</v>
      </c>
      <c r="L145" s="4" t="b">
        <v>0</v>
      </c>
    </row>
    <row r="146" spans="1:12" ht="13">
      <c r="A146" s="4" t="s">
        <v>6694</v>
      </c>
      <c r="B146" s="4" t="s">
        <v>4951</v>
      </c>
      <c r="C146" s="4" t="s">
        <v>108</v>
      </c>
      <c r="D146" s="4" t="s">
        <v>4952</v>
      </c>
      <c r="E146" s="4" t="s">
        <v>18</v>
      </c>
      <c r="F146" s="4" t="s">
        <v>6695</v>
      </c>
      <c r="G146" s="4" t="s">
        <v>6696</v>
      </c>
      <c r="H146" s="4">
        <v>1.63</v>
      </c>
      <c r="I146" s="4">
        <v>1.03</v>
      </c>
      <c r="J146" s="4">
        <v>0.25119000000000002</v>
      </c>
      <c r="K146" s="4" t="b">
        <v>1</v>
      </c>
      <c r="L146" s="4" t="b">
        <v>0</v>
      </c>
    </row>
    <row r="147" spans="1:12" ht="13">
      <c r="A147" s="4" t="s">
        <v>6697</v>
      </c>
      <c r="B147" s="4" t="s">
        <v>4951</v>
      </c>
      <c r="C147" s="4" t="s">
        <v>108</v>
      </c>
      <c r="D147" s="4" t="s">
        <v>4952</v>
      </c>
      <c r="E147" s="4" t="s">
        <v>18</v>
      </c>
      <c r="F147" s="4" t="s">
        <v>6698</v>
      </c>
      <c r="G147" s="4" t="s">
        <v>6699</v>
      </c>
      <c r="H147" s="4">
        <v>1.63</v>
      </c>
      <c r="I147" s="4">
        <v>1.06</v>
      </c>
      <c r="J147" s="4">
        <v>0.22491</v>
      </c>
      <c r="K147" s="4" t="b">
        <v>1</v>
      </c>
      <c r="L147" s="4" t="b">
        <v>0</v>
      </c>
    </row>
    <row r="148" spans="1:12" ht="13">
      <c r="A148" s="4" t="s">
        <v>6700</v>
      </c>
      <c r="B148" s="4" t="s">
        <v>4951</v>
      </c>
      <c r="C148" s="4" t="s">
        <v>108</v>
      </c>
      <c r="D148" s="4" t="s">
        <v>4952</v>
      </c>
      <c r="E148" s="4" t="s">
        <v>18</v>
      </c>
      <c r="F148" s="4" t="s">
        <v>6701</v>
      </c>
      <c r="G148" s="4" t="s">
        <v>6702</v>
      </c>
      <c r="H148" s="4">
        <v>1.64</v>
      </c>
      <c r="I148" s="4">
        <v>1.05</v>
      </c>
      <c r="J148" s="4">
        <v>0.24601000000000001</v>
      </c>
      <c r="K148" s="4" t="b">
        <v>1</v>
      </c>
      <c r="L148" s="4" t="b">
        <v>0</v>
      </c>
    </row>
    <row r="149" spans="1:12" ht="13">
      <c r="A149" s="4" t="s">
        <v>6703</v>
      </c>
      <c r="B149" s="4" t="s">
        <v>4951</v>
      </c>
      <c r="C149" s="4" t="s">
        <v>108</v>
      </c>
      <c r="D149" s="4" t="s">
        <v>4952</v>
      </c>
      <c r="E149" s="4" t="s">
        <v>18</v>
      </c>
      <c r="F149" s="4" t="s">
        <v>6704</v>
      </c>
      <c r="G149" s="4" t="s">
        <v>6705</v>
      </c>
      <c r="H149" s="4">
        <v>1.64</v>
      </c>
      <c r="I149" s="4">
        <v>1.03</v>
      </c>
      <c r="J149" s="4">
        <v>0.24329000000000001</v>
      </c>
      <c r="K149" s="4" t="b">
        <v>1</v>
      </c>
      <c r="L149" s="4" t="b">
        <v>0</v>
      </c>
    </row>
    <row r="150" spans="1:12" ht="13">
      <c r="A150" s="4" t="s">
        <v>6706</v>
      </c>
      <c r="B150" s="4" t="s">
        <v>4951</v>
      </c>
      <c r="C150" s="4" t="s">
        <v>108</v>
      </c>
      <c r="D150" s="4" t="s">
        <v>4952</v>
      </c>
      <c r="E150" s="4" t="s">
        <v>18</v>
      </c>
      <c r="F150" s="4" t="s">
        <v>6707</v>
      </c>
      <c r="G150" s="4" t="s">
        <v>6708</v>
      </c>
      <c r="H150" s="4">
        <v>1.64</v>
      </c>
      <c r="I150" s="4">
        <v>1.05</v>
      </c>
      <c r="J150" s="4">
        <v>0.24210000000000001</v>
      </c>
      <c r="K150" s="4" t="b">
        <v>1</v>
      </c>
      <c r="L150" s="4" t="b">
        <v>0</v>
      </c>
    </row>
    <row r="151" spans="1:12" ht="13">
      <c r="A151" s="4" t="s">
        <v>6709</v>
      </c>
      <c r="B151" s="4" t="s">
        <v>4951</v>
      </c>
      <c r="C151" s="4" t="s">
        <v>108</v>
      </c>
      <c r="D151" s="4" t="s">
        <v>4952</v>
      </c>
      <c r="E151" s="4" t="s">
        <v>18</v>
      </c>
      <c r="F151" s="4" t="s">
        <v>6710</v>
      </c>
      <c r="G151" s="4" t="s">
        <v>6711</v>
      </c>
      <c r="H151" s="4">
        <v>1.65</v>
      </c>
      <c r="I151" s="4">
        <v>1.2</v>
      </c>
      <c r="J151" s="4">
        <v>0.26501999999999998</v>
      </c>
      <c r="K151" s="4" t="b">
        <v>1</v>
      </c>
      <c r="L151" s="4" t="b">
        <v>0</v>
      </c>
    </row>
    <row r="152" spans="1:12" ht="13">
      <c r="A152" s="4" t="s">
        <v>6712</v>
      </c>
      <c r="B152" s="4" t="s">
        <v>4951</v>
      </c>
      <c r="C152" s="4" t="s">
        <v>108</v>
      </c>
      <c r="D152" s="4" t="s">
        <v>4952</v>
      </c>
      <c r="E152" s="4" t="s">
        <v>18</v>
      </c>
      <c r="F152" s="4" t="s">
        <v>6713</v>
      </c>
      <c r="G152" s="4" t="s">
        <v>6714</v>
      </c>
      <c r="H152" s="4">
        <v>1.66</v>
      </c>
      <c r="I152" s="4">
        <v>1.17</v>
      </c>
      <c r="J152" s="4">
        <v>0.23871000000000001</v>
      </c>
      <c r="K152" s="4" t="b">
        <v>1</v>
      </c>
      <c r="L152" s="4" t="b">
        <v>0</v>
      </c>
    </row>
    <row r="153" spans="1:12" ht="13">
      <c r="A153" s="4" t="s">
        <v>6715</v>
      </c>
      <c r="B153" s="4" t="s">
        <v>4951</v>
      </c>
      <c r="C153" s="4" t="s">
        <v>108</v>
      </c>
      <c r="D153" s="4" t="s">
        <v>4952</v>
      </c>
      <c r="E153" s="4" t="s">
        <v>18</v>
      </c>
      <c r="F153" s="4" t="s">
        <v>6716</v>
      </c>
      <c r="G153" s="4" t="s">
        <v>6717</v>
      </c>
      <c r="H153" s="4">
        <v>1.66</v>
      </c>
      <c r="I153" s="4">
        <v>1.25</v>
      </c>
      <c r="J153" s="4">
        <v>0.25085000000000002</v>
      </c>
      <c r="K153" s="4" t="b">
        <v>1</v>
      </c>
      <c r="L153" s="4" t="b">
        <v>0</v>
      </c>
    </row>
    <row r="154" spans="1:12" ht="13">
      <c r="A154" s="4" t="s">
        <v>6718</v>
      </c>
      <c r="B154" s="4" t="s">
        <v>4951</v>
      </c>
      <c r="C154" s="4" t="s">
        <v>108</v>
      </c>
      <c r="D154" s="4" t="s">
        <v>4952</v>
      </c>
      <c r="E154" s="4" t="s">
        <v>18</v>
      </c>
      <c r="F154" s="4" t="s">
        <v>6719</v>
      </c>
      <c r="G154" s="4" t="s">
        <v>6720</v>
      </c>
      <c r="H154" s="4">
        <v>1.67</v>
      </c>
      <c r="I154" s="4">
        <v>1.1399999999999999</v>
      </c>
      <c r="J154" s="4">
        <v>0.24637000000000001</v>
      </c>
      <c r="K154" s="4" t="b">
        <v>1</v>
      </c>
      <c r="L154" s="4" t="b">
        <v>0</v>
      </c>
    </row>
    <row r="155" spans="1:12" ht="13">
      <c r="A155" s="4" t="s">
        <v>6721</v>
      </c>
      <c r="B155" s="4" t="s">
        <v>4951</v>
      </c>
      <c r="C155" s="4" t="s">
        <v>108</v>
      </c>
      <c r="D155" s="4" t="s">
        <v>4952</v>
      </c>
      <c r="E155" s="4" t="s">
        <v>18</v>
      </c>
      <c r="F155" s="4" t="s">
        <v>6722</v>
      </c>
      <c r="G155" s="4" t="s">
        <v>6723</v>
      </c>
      <c r="H155" s="4">
        <v>1.68</v>
      </c>
      <c r="I155" s="4">
        <v>1.0900000000000001</v>
      </c>
      <c r="J155" s="4">
        <v>0.24412</v>
      </c>
      <c r="K155" s="4" t="b">
        <v>1</v>
      </c>
      <c r="L155" s="4" t="b">
        <v>0</v>
      </c>
    </row>
    <row r="156" spans="1:12" ht="13">
      <c r="A156" s="4" t="s">
        <v>6724</v>
      </c>
      <c r="B156" s="4" t="s">
        <v>4951</v>
      </c>
      <c r="C156" s="4" t="s">
        <v>108</v>
      </c>
      <c r="D156" s="4" t="s">
        <v>4952</v>
      </c>
      <c r="E156" s="4" t="s">
        <v>18</v>
      </c>
      <c r="F156" s="4" t="s">
        <v>6725</v>
      </c>
      <c r="G156" s="4" t="s">
        <v>6726</v>
      </c>
      <c r="H156" s="4">
        <v>1.68</v>
      </c>
      <c r="I156" s="4">
        <v>1.06</v>
      </c>
      <c r="J156" s="4">
        <v>0.24951999999999999</v>
      </c>
      <c r="K156" s="4" t="b">
        <v>1</v>
      </c>
      <c r="L156" s="4" t="b">
        <v>0</v>
      </c>
    </row>
    <row r="157" spans="1:12" ht="13">
      <c r="A157" s="4" t="s">
        <v>6727</v>
      </c>
      <c r="B157" s="4" t="s">
        <v>4951</v>
      </c>
      <c r="C157" s="4" t="s">
        <v>108</v>
      </c>
      <c r="D157" s="4" t="s">
        <v>4952</v>
      </c>
      <c r="E157" s="4" t="s">
        <v>18</v>
      </c>
      <c r="F157" s="4" t="s">
        <v>6728</v>
      </c>
      <c r="G157" s="4" t="s">
        <v>6729</v>
      </c>
      <c r="H157" s="4">
        <v>1.68</v>
      </c>
      <c r="I157" s="4">
        <v>1.1399999999999999</v>
      </c>
      <c r="J157" s="4">
        <v>0.30817</v>
      </c>
      <c r="K157" s="4" t="b">
        <v>1</v>
      </c>
      <c r="L157" s="4" t="b">
        <v>0</v>
      </c>
    </row>
    <row r="158" spans="1:12" ht="13">
      <c r="A158" s="4" t="s">
        <v>6730</v>
      </c>
      <c r="B158" s="4" t="s">
        <v>4951</v>
      </c>
      <c r="C158" s="4" t="s">
        <v>108</v>
      </c>
      <c r="D158" s="4" t="s">
        <v>4952</v>
      </c>
      <c r="E158" s="4" t="s">
        <v>18</v>
      </c>
      <c r="F158" s="4" t="s">
        <v>6731</v>
      </c>
      <c r="G158" s="4" t="s">
        <v>6732</v>
      </c>
      <c r="H158" s="4">
        <v>1.69</v>
      </c>
      <c r="I158" s="4">
        <v>1.1200000000000001</v>
      </c>
      <c r="J158" s="4">
        <v>0.26217000000000001</v>
      </c>
      <c r="K158" s="4" t="b">
        <v>1</v>
      </c>
      <c r="L158" s="4" t="b">
        <v>0</v>
      </c>
    </row>
    <row r="159" spans="1:12" ht="13">
      <c r="A159" s="4" t="s">
        <v>6733</v>
      </c>
      <c r="B159" s="4" t="s">
        <v>4951</v>
      </c>
      <c r="C159" s="4" t="s">
        <v>108</v>
      </c>
      <c r="D159" s="4" t="s">
        <v>4952</v>
      </c>
      <c r="E159" s="4" t="s">
        <v>18</v>
      </c>
      <c r="F159" s="4" t="s">
        <v>6734</v>
      </c>
      <c r="G159" s="4" t="s">
        <v>6735</v>
      </c>
      <c r="H159" s="4">
        <v>1.69</v>
      </c>
      <c r="I159" s="4">
        <v>1.1200000000000001</v>
      </c>
      <c r="J159" s="4">
        <v>0.26618999999999998</v>
      </c>
      <c r="K159" s="4" t="b">
        <v>1</v>
      </c>
      <c r="L159" s="4" t="b">
        <v>0</v>
      </c>
    </row>
    <row r="160" spans="1:12" ht="13">
      <c r="A160" s="4" t="s">
        <v>6736</v>
      </c>
      <c r="B160" s="4" t="s">
        <v>4951</v>
      </c>
      <c r="C160" s="4" t="s">
        <v>108</v>
      </c>
      <c r="D160" s="4" t="s">
        <v>4952</v>
      </c>
      <c r="E160" s="4" t="s">
        <v>18</v>
      </c>
      <c r="F160" s="4" t="s">
        <v>6737</v>
      </c>
      <c r="G160" s="4" t="s">
        <v>6738</v>
      </c>
      <c r="H160" s="4">
        <v>1.69</v>
      </c>
      <c r="I160" s="4">
        <v>1.08</v>
      </c>
      <c r="J160" s="4">
        <v>0.24195</v>
      </c>
      <c r="K160" s="4" t="b">
        <v>1</v>
      </c>
      <c r="L160" s="4" t="b">
        <v>0</v>
      </c>
    </row>
    <row r="161" spans="1:13" ht="13">
      <c r="A161" s="4" t="s">
        <v>6739</v>
      </c>
      <c r="B161" s="4" t="s">
        <v>4951</v>
      </c>
      <c r="C161" s="4" t="s">
        <v>108</v>
      </c>
      <c r="D161" s="4" t="s">
        <v>4952</v>
      </c>
      <c r="E161" s="4" t="s">
        <v>18</v>
      </c>
      <c r="F161" s="4" t="s">
        <v>6740</v>
      </c>
      <c r="G161" s="4" t="s">
        <v>6741</v>
      </c>
      <c r="H161" s="4">
        <v>1.7</v>
      </c>
      <c r="I161" s="4">
        <v>1.04</v>
      </c>
      <c r="J161" s="4">
        <v>0.23835000000000001</v>
      </c>
      <c r="K161" s="4" t="b">
        <v>1</v>
      </c>
      <c r="L161" s="4" t="b">
        <v>0</v>
      </c>
    </row>
    <row r="162" spans="1:13" ht="13">
      <c r="A162" s="4" t="s">
        <v>6742</v>
      </c>
      <c r="B162" s="4" t="s">
        <v>4951</v>
      </c>
      <c r="C162" s="4" t="s">
        <v>108</v>
      </c>
      <c r="D162" s="4" t="s">
        <v>4952</v>
      </c>
      <c r="E162" s="4" t="s">
        <v>18</v>
      </c>
      <c r="F162" s="4" t="s">
        <v>6743</v>
      </c>
      <c r="G162" s="4" t="s">
        <v>6744</v>
      </c>
      <c r="H162" s="4">
        <v>1.7</v>
      </c>
      <c r="I162" s="4">
        <v>1.18</v>
      </c>
      <c r="J162" s="4">
        <v>0.26207000000000003</v>
      </c>
      <c r="K162" s="4" t="b">
        <v>1</v>
      </c>
      <c r="L162" s="4" t="b">
        <v>0</v>
      </c>
    </row>
    <row r="163" spans="1:13" ht="13">
      <c r="A163" s="4" t="s">
        <v>6745</v>
      </c>
      <c r="B163" s="4" t="s">
        <v>4951</v>
      </c>
      <c r="C163" s="4" t="s">
        <v>108</v>
      </c>
      <c r="D163" s="4" t="s">
        <v>4952</v>
      </c>
      <c r="E163" s="4" t="s">
        <v>18</v>
      </c>
      <c r="F163" s="4" t="s">
        <v>6746</v>
      </c>
      <c r="G163" s="4" t="s">
        <v>6747</v>
      </c>
      <c r="H163" s="4">
        <v>1.7</v>
      </c>
      <c r="I163" s="4">
        <v>1.56</v>
      </c>
      <c r="J163" s="4">
        <v>0.28016000000000002</v>
      </c>
      <c r="K163" s="4" t="b">
        <v>1</v>
      </c>
      <c r="L163" s="4" t="b">
        <v>0</v>
      </c>
    </row>
    <row r="164" spans="1:13" ht="13">
      <c r="A164" s="4" t="s">
        <v>6748</v>
      </c>
      <c r="B164" s="4" t="s">
        <v>4951</v>
      </c>
      <c r="C164" s="4" t="s">
        <v>108</v>
      </c>
      <c r="D164" s="41" t="s">
        <v>4952</v>
      </c>
      <c r="E164" s="4" t="s">
        <v>18</v>
      </c>
      <c r="F164" s="4" t="s">
        <v>6749</v>
      </c>
      <c r="G164" s="4" t="s">
        <v>6750</v>
      </c>
      <c r="H164" s="4">
        <v>1.71</v>
      </c>
      <c r="I164" s="4">
        <v>1.08</v>
      </c>
      <c r="J164" s="4">
        <v>0.23172000000000001</v>
      </c>
      <c r="K164" s="4" t="b">
        <v>1</v>
      </c>
      <c r="L164" s="4" t="b">
        <v>0</v>
      </c>
    </row>
    <row r="165" spans="1:13" ht="13">
      <c r="A165" s="4" t="s">
        <v>3130</v>
      </c>
      <c r="B165" s="4" t="s">
        <v>4951</v>
      </c>
      <c r="C165" s="4" t="s">
        <v>108</v>
      </c>
      <c r="D165" s="4" t="s">
        <v>4952</v>
      </c>
      <c r="E165" s="4" t="s">
        <v>18</v>
      </c>
      <c r="F165" s="4" t="s">
        <v>4960</v>
      </c>
      <c r="G165" s="4" t="s">
        <v>3026</v>
      </c>
      <c r="H165" s="4">
        <v>1.72</v>
      </c>
      <c r="I165" s="4">
        <v>1.06</v>
      </c>
      <c r="J165" s="4">
        <v>0.24385000000000001</v>
      </c>
      <c r="K165" s="4" t="b">
        <v>1</v>
      </c>
      <c r="L165" s="4" t="b">
        <v>1</v>
      </c>
      <c r="M165" s="41" t="s">
        <v>4929</v>
      </c>
    </row>
    <row r="166" spans="1:13" ht="13">
      <c r="A166" s="4" t="s">
        <v>6751</v>
      </c>
      <c r="B166" s="4" t="s">
        <v>4951</v>
      </c>
      <c r="C166" s="4" t="s">
        <v>108</v>
      </c>
      <c r="D166" s="4" t="s">
        <v>4952</v>
      </c>
      <c r="E166" s="4" t="s">
        <v>18</v>
      </c>
      <c r="F166" s="4" t="s">
        <v>6752</v>
      </c>
      <c r="G166" s="4" t="s">
        <v>6753</v>
      </c>
      <c r="H166" s="4">
        <v>1.72</v>
      </c>
      <c r="I166" s="4">
        <v>1.03</v>
      </c>
      <c r="J166" s="4">
        <v>0.24539</v>
      </c>
      <c r="K166" s="4" t="b">
        <v>1</v>
      </c>
      <c r="L166" s="4" t="b">
        <v>0</v>
      </c>
    </row>
    <row r="167" spans="1:13" ht="13">
      <c r="A167" s="4" t="s">
        <v>6754</v>
      </c>
      <c r="B167" s="4" t="s">
        <v>4951</v>
      </c>
      <c r="C167" s="4" t="s">
        <v>108</v>
      </c>
      <c r="D167" s="4" t="s">
        <v>4952</v>
      </c>
      <c r="E167" s="4" t="s">
        <v>18</v>
      </c>
      <c r="F167" s="4" t="s">
        <v>6755</v>
      </c>
      <c r="G167" s="4" t="s">
        <v>6756</v>
      </c>
      <c r="H167" s="4">
        <v>1.73</v>
      </c>
      <c r="I167" s="4">
        <v>1.03</v>
      </c>
      <c r="J167" s="4">
        <v>0.24088000000000001</v>
      </c>
      <c r="K167" s="4" t="b">
        <v>1</v>
      </c>
      <c r="L167" s="4" t="b">
        <v>0</v>
      </c>
    </row>
    <row r="168" spans="1:13" ht="13">
      <c r="A168" s="4" t="s">
        <v>6757</v>
      </c>
      <c r="B168" s="4" t="s">
        <v>4951</v>
      </c>
      <c r="C168" s="4" t="s">
        <v>108</v>
      </c>
      <c r="D168" s="4" t="s">
        <v>4952</v>
      </c>
      <c r="E168" s="4" t="s">
        <v>18</v>
      </c>
      <c r="F168" s="4" t="s">
        <v>6758</v>
      </c>
      <c r="G168" s="4" t="s">
        <v>6759</v>
      </c>
      <c r="H168" s="4">
        <v>1.73</v>
      </c>
      <c r="I168" s="4">
        <v>1.08</v>
      </c>
      <c r="J168" s="4">
        <v>0.24129999999999999</v>
      </c>
      <c r="K168" s="4" t="b">
        <v>1</v>
      </c>
      <c r="L168" s="4" t="b">
        <v>0</v>
      </c>
    </row>
    <row r="169" spans="1:13" ht="13">
      <c r="A169" s="4" t="s">
        <v>6760</v>
      </c>
      <c r="B169" s="4" t="s">
        <v>4951</v>
      </c>
      <c r="C169" s="4" t="s">
        <v>108</v>
      </c>
      <c r="D169" s="4" t="s">
        <v>4952</v>
      </c>
      <c r="E169" s="4" t="s">
        <v>18</v>
      </c>
      <c r="F169" s="4" t="s">
        <v>6761</v>
      </c>
      <c r="G169" s="4" t="s">
        <v>6762</v>
      </c>
      <c r="H169" s="4">
        <v>1.74</v>
      </c>
      <c r="I169" s="4">
        <v>1.03</v>
      </c>
      <c r="J169" s="4">
        <v>0.23830000000000001</v>
      </c>
      <c r="K169" s="4" t="b">
        <v>1</v>
      </c>
      <c r="L169" s="4" t="b">
        <v>0</v>
      </c>
    </row>
    <row r="170" spans="1:13" ht="13">
      <c r="A170" s="4" t="s">
        <v>6763</v>
      </c>
      <c r="B170" s="4" t="s">
        <v>4951</v>
      </c>
      <c r="C170" s="4" t="s">
        <v>108</v>
      </c>
      <c r="D170" s="4" t="s">
        <v>4952</v>
      </c>
      <c r="E170" s="4" t="s">
        <v>18</v>
      </c>
      <c r="F170" s="4" t="s">
        <v>6764</v>
      </c>
      <c r="G170" s="4" t="s">
        <v>6765</v>
      </c>
      <c r="H170" s="4">
        <v>1.74</v>
      </c>
      <c r="I170" s="4">
        <v>1.29</v>
      </c>
      <c r="J170" s="4">
        <v>0.24135999999999999</v>
      </c>
      <c r="K170" s="4" t="b">
        <v>1</v>
      </c>
      <c r="L170" s="4" t="b">
        <v>0</v>
      </c>
    </row>
    <row r="171" spans="1:13" ht="13">
      <c r="A171" s="4" t="s">
        <v>6766</v>
      </c>
      <c r="B171" s="4" t="s">
        <v>4951</v>
      </c>
      <c r="C171" s="4" t="s">
        <v>108</v>
      </c>
      <c r="D171" s="4" t="s">
        <v>4952</v>
      </c>
      <c r="E171" s="4" t="s">
        <v>18</v>
      </c>
      <c r="F171" s="4" t="s">
        <v>6767</v>
      </c>
      <c r="G171" s="4" t="s">
        <v>6768</v>
      </c>
      <c r="H171" s="4">
        <v>1.75</v>
      </c>
      <c r="I171" s="4">
        <v>1.1200000000000001</v>
      </c>
      <c r="J171" s="4">
        <v>0.23324</v>
      </c>
      <c r="K171" s="4" t="b">
        <v>1</v>
      </c>
      <c r="L171" s="4" t="b">
        <v>0</v>
      </c>
    </row>
    <row r="172" spans="1:13" ht="13">
      <c r="A172" s="4" t="s">
        <v>6769</v>
      </c>
      <c r="B172" s="4" t="s">
        <v>4951</v>
      </c>
      <c r="C172" s="4" t="s">
        <v>108</v>
      </c>
      <c r="D172" s="4" t="s">
        <v>4952</v>
      </c>
      <c r="E172" s="4" t="s">
        <v>18</v>
      </c>
      <c r="F172" s="4" t="s">
        <v>6770</v>
      </c>
      <c r="G172" s="4" t="s">
        <v>6771</v>
      </c>
      <c r="H172" s="4">
        <v>1.75</v>
      </c>
      <c r="I172" s="4">
        <v>1.0900000000000001</v>
      </c>
      <c r="J172" s="4">
        <v>0.24801000000000001</v>
      </c>
      <c r="K172" s="4" t="b">
        <v>1</v>
      </c>
      <c r="L172" s="4" t="b">
        <v>0</v>
      </c>
    </row>
    <row r="173" spans="1:13" ht="13">
      <c r="A173" s="4" t="s">
        <v>6772</v>
      </c>
      <c r="B173" s="4" t="s">
        <v>4951</v>
      </c>
      <c r="C173" s="4" t="s">
        <v>108</v>
      </c>
      <c r="D173" s="4" t="s">
        <v>4952</v>
      </c>
      <c r="E173" s="4" t="s">
        <v>18</v>
      </c>
      <c r="F173" s="4" t="s">
        <v>6773</v>
      </c>
      <c r="G173" s="4" t="s">
        <v>6774</v>
      </c>
      <c r="H173" s="4">
        <v>1.76</v>
      </c>
      <c r="I173" s="4">
        <v>1.1100000000000001</v>
      </c>
      <c r="J173" s="4">
        <v>0.24034</v>
      </c>
      <c r="K173" s="4" t="b">
        <v>1</v>
      </c>
      <c r="L173" s="4" t="b">
        <v>0</v>
      </c>
    </row>
    <row r="174" spans="1:13" ht="13">
      <c r="A174" s="4" t="s">
        <v>6775</v>
      </c>
      <c r="B174" s="4" t="s">
        <v>4951</v>
      </c>
      <c r="C174" s="4" t="s">
        <v>108</v>
      </c>
      <c r="D174" s="4" t="s">
        <v>4952</v>
      </c>
      <c r="E174" s="4" t="s">
        <v>18</v>
      </c>
      <c r="F174" s="4" t="s">
        <v>6776</v>
      </c>
      <c r="G174" s="4" t="s">
        <v>6777</v>
      </c>
      <c r="H174" s="4">
        <v>1.76</v>
      </c>
      <c r="I174" s="4">
        <v>1.1599999999999999</v>
      </c>
      <c r="J174" s="4">
        <v>0.23669999999999999</v>
      </c>
      <c r="K174" s="4" t="b">
        <v>1</v>
      </c>
      <c r="L174" s="4" t="b">
        <v>0</v>
      </c>
    </row>
    <row r="175" spans="1:13" ht="13">
      <c r="A175" s="4" t="s">
        <v>6778</v>
      </c>
      <c r="B175" s="4" t="s">
        <v>4951</v>
      </c>
      <c r="C175" s="4" t="s">
        <v>108</v>
      </c>
      <c r="D175" s="4" t="s">
        <v>4952</v>
      </c>
      <c r="E175" s="4" t="s">
        <v>18</v>
      </c>
      <c r="F175" s="4" t="s">
        <v>6779</v>
      </c>
      <c r="G175" s="4" t="s">
        <v>6780</v>
      </c>
      <c r="H175" s="4">
        <v>1.76</v>
      </c>
      <c r="I175" s="4">
        <v>1.03</v>
      </c>
      <c r="J175" s="4">
        <v>0.24145</v>
      </c>
      <c r="K175" s="4" t="b">
        <v>1</v>
      </c>
      <c r="L175" s="4" t="b">
        <v>0</v>
      </c>
    </row>
    <row r="176" spans="1:13" ht="13">
      <c r="A176" s="4" t="s">
        <v>6781</v>
      </c>
      <c r="B176" s="4" t="s">
        <v>4951</v>
      </c>
      <c r="C176" s="4" t="s">
        <v>108</v>
      </c>
      <c r="D176" s="4" t="s">
        <v>4952</v>
      </c>
      <c r="E176" s="4" t="s">
        <v>18</v>
      </c>
      <c r="F176" s="4" t="s">
        <v>6782</v>
      </c>
      <c r="G176" s="4" t="s">
        <v>6783</v>
      </c>
      <c r="H176" s="4">
        <v>1.77</v>
      </c>
      <c r="I176" s="4">
        <v>1.17</v>
      </c>
      <c r="J176" s="4">
        <v>0.24878</v>
      </c>
      <c r="K176" s="4" t="b">
        <v>1</v>
      </c>
      <c r="L176" s="4" t="b">
        <v>0</v>
      </c>
    </row>
    <row r="177" spans="1:12" ht="13">
      <c r="A177" s="4" t="s">
        <v>6784</v>
      </c>
      <c r="B177" s="4" t="s">
        <v>4951</v>
      </c>
      <c r="C177" s="4" t="s">
        <v>108</v>
      </c>
      <c r="D177" s="4" t="s">
        <v>4952</v>
      </c>
      <c r="E177" s="4" t="s">
        <v>18</v>
      </c>
      <c r="F177" s="4" t="s">
        <v>6785</v>
      </c>
      <c r="G177" s="4" t="s">
        <v>6786</v>
      </c>
      <c r="H177" s="4">
        <v>1.77</v>
      </c>
      <c r="I177" s="4">
        <v>1.36</v>
      </c>
      <c r="J177" s="4">
        <v>0.24879000000000001</v>
      </c>
      <c r="K177" s="4" t="b">
        <v>1</v>
      </c>
      <c r="L177" s="4" t="b">
        <v>0</v>
      </c>
    </row>
    <row r="178" spans="1:12" ht="13">
      <c r="A178" s="4" t="s">
        <v>6787</v>
      </c>
      <c r="B178" s="4" t="s">
        <v>4951</v>
      </c>
      <c r="C178" s="4" t="s">
        <v>108</v>
      </c>
      <c r="D178" s="4" t="s">
        <v>4952</v>
      </c>
      <c r="E178" s="4" t="s">
        <v>18</v>
      </c>
      <c r="F178" s="4" t="s">
        <v>6788</v>
      </c>
      <c r="G178" s="4" t="s">
        <v>6789</v>
      </c>
      <c r="H178" s="4">
        <v>1.78</v>
      </c>
      <c r="I178" s="4">
        <v>1.37</v>
      </c>
      <c r="J178" s="4">
        <v>0.22036</v>
      </c>
      <c r="K178" s="4" t="b">
        <v>1</v>
      </c>
      <c r="L178" s="4" t="b">
        <v>0</v>
      </c>
    </row>
    <row r="179" spans="1:12" ht="13">
      <c r="A179" s="4" t="s">
        <v>6790</v>
      </c>
      <c r="B179" s="4" t="s">
        <v>4951</v>
      </c>
      <c r="C179" s="4" t="s">
        <v>108</v>
      </c>
      <c r="D179" s="4" t="s">
        <v>4952</v>
      </c>
      <c r="E179" s="4" t="s">
        <v>18</v>
      </c>
      <c r="F179" s="4" t="s">
        <v>6791</v>
      </c>
      <c r="G179" s="4" t="s">
        <v>6792</v>
      </c>
      <c r="H179" s="4">
        <v>1.78</v>
      </c>
      <c r="I179" s="4">
        <v>1.08</v>
      </c>
      <c r="J179" s="4">
        <v>0.23798</v>
      </c>
      <c r="K179" s="4" t="b">
        <v>1</v>
      </c>
      <c r="L179" s="4" t="b">
        <v>0</v>
      </c>
    </row>
    <row r="180" spans="1:12" ht="13">
      <c r="A180" s="4" t="s">
        <v>6793</v>
      </c>
      <c r="B180" s="4" t="s">
        <v>4951</v>
      </c>
      <c r="C180" s="4" t="s">
        <v>108</v>
      </c>
      <c r="D180" s="4" t="s">
        <v>4952</v>
      </c>
      <c r="E180" s="4" t="s">
        <v>18</v>
      </c>
      <c r="F180" s="4" t="s">
        <v>6794</v>
      </c>
      <c r="G180" s="4" t="s">
        <v>6795</v>
      </c>
      <c r="H180" s="4">
        <v>1.79</v>
      </c>
      <c r="I180" s="4">
        <v>1.06</v>
      </c>
      <c r="J180" s="4">
        <v>0.2374</v>
      </c>
      <c r="K180" s="4" t="b">
        <v>1</v>
      </c>
      <c r="L180" s="4" t="b">
        <v>0</v>
      </c>
    </row>
    <row r="181" spans="1:12" ht="13">
      <c r="A181" s="4" t="s">
        <v>6799</v>
      </c>
      <c r="B181" s="4" t="s">
        <v>4951</v>
      </c>
      <c r="C181" s="4" t="s">
        <v>108</v>
      </c>
      <c r="D181" s="4" t="s">
        <v>4952</v>
      </c>
      <c r="E181" s="4" t="s">
        <v>18</v>
      </c>
      <c r="F181" s="4" t="s">
        <v>6800</v>
      </c>
      <c r="G181" s="4" t="s">
        <v>6801</v>
      </c>
      <c r="H181" s="4">
        <v>1.8</v>
      </c>
      <c r="I181" s="4">
        <v>1.06</v>
      </c>
      <c r="J181" s="4">
        <v>0.24063000000000001</v>
      </c>
      <c r="K181" s="4" t="b">
        <v>1</v>
      </c>
      <c r="L181" s="4" t="b">
        <v>0</v>
      </c>
    </row>
    <row r="182" spans="1:12" ht="13">
      <c r="A182" s="4" t="s">
        <v>6802</v>
      </c>
      <c r="B182" s="4" t="s">
        <v>4951</v>
      </c>
      <c r="C182" s="4" t="s">
        <v>108</v>
      </c>
      <c r="D182" s="4" t="s">
        <v>4952</v>
      </c>
      <c r="E182" s="4" t="s">
        <v>18</v>
      </c>
      <c r="F182" s="4" t="s">
        <v>6803</v>
      </c>
      <c r="G182" s="4" t="s">
        <v>6804</v>
      </c>
      <c r="H182" s="4">
        <v>1.8</v>
      </c>
      <c r="I182" s="4">
        <v>1.07</v>
      </c>
      <c r="J182" s="4">
        <v>0.23463000000000001</v>
      </c>
      <c r="K182" s="4" t="b">
        <v>1</v>
      </c>
      <c r="L182" s="4" t="b">
        <v>0</v>
      </c>
    </row>
    <row r="183" spans="1:12" ht="13">
      <c r="A183" s="4" t="s">
        <v>6805</v>
      </c>
      <c r="B183" s="4" t="s">
        <v>4951</v>
      </c>
      <c r="C183" s="4" t="s">
        <v>108</v>
      </c>
      <c r="D183" s="4" t="s">
        <v>4952</v>
      </c>
      <c r="E183" s="4" t="s">
        <v>18</v>
      </c>
      <c r="F183" s="4" t="s">
        <v>6806</v>
      </c>
      <c r="G183" s="4" t="s">
        <v>6807</v>
      </c>
      <c r="H183" s="4">
        <v>1.81</v>
      </c>
      <c r="I183" s="4">
        <v>1.1100000000000001</v>
      </c>
      <c r="J183" s="4">
        <v>0.23598</v>
      </c>
      <c r="K183" s="4" t="b">
        <v>1</v>
      </c>
      <c r="L183" s="4" t="b">
        <v>0</v>
      </c>
    </row>
    <row r="184" spans="1:12" ht="13">
      <c r="A184" s="4" t="s">
        <v>6808</v>
      </c>
      <c r="B184" s="4" t="s">
        <v>4951</v>
      </c>
      <c r="C184" s="4" t="s">
        <v>108</v>
      </c>
      <c r="D184" s="4" t="s">
        <v>4952</v>
      </c>
      <c r="E184" s="4" t="s">
        <v>18</v>
      </c>
      <c r="F184" s="4" t="s">
        <v>6809</v>
      </c>
      <c r="G184" s="4" t="s">
        <v>6810</v>
      </c>
      <c r="H184" s="4">
        <v>1.81</v>
      </c>
      <c r="I184" s="4">
        <v>1.06</v>
      </c>
      <c r="J184" s="4">
        <v>0.24218000000000001</v>
      </c>
      <c r="K184" s="4" t="b">
        <v>1</v>
      </c>
      <c r="L184" s="4" t="b">
        <v>0</v>
      </c>
    </row>
    <row r="185" spans="1:12" ht="13">
      <c r="A185" s="4" t="s">
        <v>6811</v>
      </c>
      <c r="B185" s="4" t="s">
        <v>4951</v>
      </c>
      <c r="C185" s="4" t="s">
        <v>108</v>
      </c>
      <c r="D185" s="4" t="s">
        <v>4952</v>
      </c>
      <c r="E185" s="4" t="s">
        <v>18</v>
      </c>
      <c r="F185" s="4" t="s">
        <v>6812</v>
      </c>
      <c r="G185" s="4" t="s">
        <v>6813</v>
      </c>
      <c r="H185" s="4">
        <v>1.92</v>
      </c>
      <c r="I185" s="4">
        <v>1.07</v>
      </c>
      <c r="J185" s="4">
        <v>0.25067</v>
      </c>
      <c r="K185" s="4" t="b">
        <v>1</v>
      </c>
      <c r="L185" s="4" t="b">
        <v>0</v>
      </c>
    </row>
    <row r="186" spans="1:12" ht="13">
      <c r="A186" s="4" t="s">
        <v>6814</v>
      </c>
      <c r="B186" s="4" t="s">
        <v>4951</v>
      </c>
      <c r="C186" s="4" t="s">
        <v>108</v>
      </c>
      <c r="D186" s="4" t="s">
        <v>4952</v>
      </c>
      <c r="E186" s="4" t="s">
        <v>18</v>
      </c>
      <c r="F186" s="4" t="s">
        <v>6815</v>
      </c>
      <c r="G186" s="4" t="s">
        <v>6816</v>
      </c>
      <c r="H186" s="4">
        <v>1.93</v>
      </c>
      <c r="I186" s="4">
        <v>1.1599999999999999</v>
      </c>
      <c r="J186" s="4">
        <v>0.23177</v>
      </c>
      <c r="K186" s="4" t="b">
        <v>1</v>
      </c>
      <c r="L186" s="4" t="b">
        <v>0</v>
      </c>
    </row>
    <row r="187" spans="1:12" ht="13">
      <c r="A187" s="4" t="s">
        <v>6817</v>
      </c>
      <c r="B187" s="4" t="s">
        <v>4951</v>
      </c>
      <c r="C187" s="4" t="s">
        <v>108</v>
      </c>
      <c r="D187" s="4" t="s">
        <v>4952</v>
      </c>
      <c r="E187" s="4" t="s">
        <v>18</v>
      </c>
      <c r="F187" s="4" t="s">
        <v>6818</v>
      </c>
      <c r="G187" s="4" t="s">
        <v>6819</v>
      </c>
      <c r="H187" s="4">
        <v>1.93</v>
      </c>
      <c r="I187" s="4">
        <v>1.1399999999999999</v>
      </c>
      <c r="J187" s="4">
        <v>0.23902999999999999</v>
      </c>
      <c r="K187" s="4" t="b">
        <v>1</v>
      </c>
      <c r="L187" s="4" t="b">
        <v>0</v>
      </c>
    </row>
    <row r="188" spans="1:12" ht="13">
      <c r="A188" s="4" t="s">
        <v>6820</v>
      </c>
      <c r="B188" s="4" t="s">
        <v>4951</v>
      </c>
      <c r="C188" s="4" t="s">
        <v>108</v>
      </c>
      <c r="D188" s="4" t="s">
        <v>4952</v>
      </c>
      <c r="E188" s="4" t="s">
        <v>18</v>
      </c>
      <c r="F188" s="4" t="s">
        <v>6821</v>
      </c>
      <c r="G188" s="4" t="s">
        <v>6822</v>
      </c>
      <c r="H188" s="4">
        <v>1.93</v>
      </c>
      <c r="I188" s="4">
        <v>1.05</v>
      </c>
      <c r="J188" s="4">
        <v>0.25777</v>
      </c>
      <c r="K188" s="4" t="b">
        <v>1</v>
      </c>
      <c r="L188" s="4" t="b">
        <v>0</v>
      </c>
    </row>
    <row r="189" spans="1:12" ht="13">
      <c r="A189" s="4" t="s">
        <v>6823</v>
      </c>
      <c r="B189" s="4" t="s">
        <v>4951</v>
      </c>
      <c r="C189" s="4" t="s">
        <v>108</v>
      </c>
      <c r="D189" s="4" t="s">
        <v>4952</v>
      </c>
      <c r="E189" s="4" t="s">
        <v>18</v>
      </c>
      <c r="F189" s="4" t="s">
        <v>6824</v>
      </c>
      <c r="G189" s="4" t="s">
        <v>6825</v>
      </c>
      <c r="H189" s="4">
        <v>1.94</v>
      </c>
      <c r="I189" s="4">
        <v>1.2</v>
      </c>
      <c r="J189" s="4">
        <v>0.25389</v>
      </c>
      <c r="K189" s="4" t="b">
        <v>1</v>
      </c>
      <c r="L189" s="4" t="b">
        <v>0</v>
      </c>
    </row>
    <row r="190" spans="1:12" ht="13">
      <c r="A190" s="4" t="s">
        <v>6826</v>
      </c>
      <c r="B190" s="4" t="s">
        <v>4951</v>
      </c>
      <c r="C190" s="4" t="s">
        <v>108</v>
      </c>
      <c r="D190" s="4" t="s">
        <v>4952</v>
      </c>
      <c r="E190" s="4" t="s">
        <v>18</v>
      </c>
      <c r="F190" s="4" t="s">
        <v>6827</v>
      </c>
      <c r="G190" s="4" t="s">
        <v>6828</v>
      </c>
      <c r="H190" s="4">
        <v>1.94</v>
      </c>
      <c r="I190" s="4">
        <v>1.03</v>
      </c>
      <c r="J190" s="4">
        <v>0.24887999999999999</v>
      </c>
      <c r="K190" s="4" t="b">
        <v>1</v>
      </c>
      <c r="L190" s="4" t="b">
        <v>0</v>
      </c>
    </row>
    <row r="191" spans="1:12" ht="13">
      <c r="A191" s="4" t="s">
        <v>6829</v>
      </c>
      <c r="B191" s="4" t="s">
        <v>4951</v>
      </c>
      <c r="C191" s="4" t="s">
        <v>108</v>
      </c>
      <c r="D191" s="4" t="s">
        <v>4952</v>
      </c>
      <c r="E191" s="4" t="s">
        <v>18</v>
      </c>
      <c r="F191" s="4" t="s">
        <v>6830</v>
      </c>
      <c r="G191" s="4" t="s">
        <v>6831</v>
      </c>
      <c r="H191" s="4">
        <v>1.95</v>
      </c>
      <c r="I191" s="4">
        <v>1.0900000000000001</v>
      </c>
      <c r="J191" s="4">
        <v>0.23341000000000001</v>
      </c>
      <c r="K191" s="4" t="b">
        <v>1</v>
      </c>
      <c r="L191" s="4" t="b">
        <v>0</v>
      </c>
    </row>
    <row r="192" spans="1:12" ht="13">
      <c r="A192" s="4" t="s">
        <v>6832</v>
      </c>
      <c r="B192" s="4" t="s">
        <v>4951</v>
      </c>
      <c r="C192" s="4" t="s">
        <v>108</v>
      </c>
      <c r="D192" s="4" t="s">
        <v>4952</v>
      </c>
      <c r="E192" s="4" t="s">
        <v>18</v>
      </c>
      <c r="F192" s="4" t="s">
        <v>6833</v>
      </c>
      <c r="G192" s="4" t="s">
        <v>6834</v>
      </c>
      <c r="H192" s="4">
        <v>1.95</v>
      </c>
      <c r="I192" s="4">
        <v>1.04</v>
      </c>
      <c r="J192" s="4">
        <v>0.23954</v>
      </c>
      <c r="K192" s="4" t="b">
        <v>1</v>
      </c>
      <c r="L192" s="4" t="b">
        <v>0</v>
      </c>
    </row>
    <row r="193" spans="1:12" ht="13">
      <c r="A193" s="4" t="s">
        <v>6835</v>
      </c>
      <c r="B193" s="4" t="s">
        <v>4951</v>
      </c>
      <c r="C193" s="4" t="s">
        <v>108</v>
      </c>
      <c r="D193" s="4" t="s">
        <v>4952</v>
      </c>
      <c r="E193" s="4" t="s">
        <v>18</v>
      </c>
      <c r="F193" s="4" t="s">
        <v>6836</v>
      </c>
      <c r="G193" s="4" t="s">
        <v>6837</v>
      </c>
      <c r="H193" s="4">
        <v>1.95</v>
      </c>
      <c r="I193" s="4">
        <v>1.05</v>
      </c>
      <c r="J193" s="4">
        <v>0.23860999999999999</v>
      </c>
      <c r="K193" s="4" t="b">
        <v>1</v>
      </c>
      <c r="L193" s="4" t="b">
        <v>0</v>
      </c>
    </row>
    <row r="194" spans="1:12" ht="13">
      <c r="A194" s="4" t="s">
        <v>6841</v>
      </c>
      <c r="B194" s="4" t="s">
        <v>4951</v>
      </c>
      <c r="C194" s="4" t="s">
        <v>108</v>
      </c>
      <c r="D194" s="4" t="s">
        <v>4952</v>
      </c>
      <c r="E194" s="4" t="s">
        <v>18</v>
      </c>
      <c r="F194" s="4" t="s">
        <v>6842</v>
      </c>
      <c r="G194" s="4" t="s">
        <v>6843</v>
      </c>
      <c r="H194" s="4">
        <v>1.96</v>
      </c>
      <c r="I194" s="4">
        <v>1.33</v>
      </c>
      <c r="J194" s="4">
        <v>0.23324</v>
      </c>
      <c r="K194" s="4" t="b">
        <v>1</v>
      </c>
      <c r="L194" s="4" t="b">
        <v>0</v>
      </c>
    </row>
    <row r="195" spans="1:12" ht="13">
      <c r="A195" s="4" t="s">
        <v>6844</v>
      </c>
      <c r="B195" s="4" t="s">
        <v>4951</v>
      </c>
      <c r="C195" s="4" t="s">
        <v>108</v>
      </c>
      <c r="D195" s="4" t="s">
        <v>4952</v>
      </c>
      <c r="E195" s="4" t="s">
        <v>18</v>
      </c>
      <c r="F195" s="4" t="s">
        <v>6845</v>
      </c>
      <c r="G195" s="4" t="s">
        <v>6846</v>
      </c>
      <c r="H195" s="4">
        <v>1.96</v>
      </c>
      <c r="I195" s="4">
        <v>1.0900000000000001</v>
      </c>
      <c r="J195" s="4">
        <v>0.24382999999999999</v>
      </c>
      <c r="K195" s="4" t="b">
        <v>1</v>
      </c>
      <c r="L195" s="4" t="b">
        <v>0</v>
      </c>
    </row>
    <row r="196" spans="1:12" ht="13">
      <c r="A196" s="4" t="s">
        <v>6847</v>
      </c>
      <c r="B196" s="4" t="s">
        <v>4951</v>
      </c>
      <c r="C196" s="4" t="s">
        <v>108</v>
      </c>
      <c r="D196" s="4" t="s">
        <v>4952</v>
      </c>
      <c r="E196" s="4" t="s">
        <v>18</v>
      </c>
      <c r="F196" s="4" t="s">
        <v>6848</v>
      </c>
      <c r="G196" s="4" t="s">
        <v>6849</v>
      </c>
      <c r="H196" s="4">
        <v>1.97</v>
      </c>
      <c r="I196" s="4">
        <v>1.21</v>
      </c>
      <c r="J196" s="4">
        <v>0.24604999999999999</v>
      </c>
      <c r="K196" s="4" t="b">
        <v>1</v>
      </c>
      <c r="L196" s="4" t="b">
        <v>0</v>
      </c>
    </row>
    <row r="197" spans="1:12" ht="13">
      <c r="A197" s="4" t="s">
        <v>6850</v>
      </c>
      <c r="B197" s="4" t="s">
        <v>4951</v>
      </c>
      <c r="C197" s="4" t="s">
        <v>108</v>
      </c>
      <c r="D197" s="4" t="s">
        <v>4952</v>
      </c>
      <c r="E197" s="4" t="s">
        <v>18</v>
      </c>
      <c r="F197" s="4" t="s">
        <v>6851</v>
      </c>
      <c r="G197" s="4" t="s">
        <v>6852</v>
      </c>
      <c r="H197" s="4">
        <v>1.98</v>
      </c>
      <c r="I197" s="4">
        <v>1.0900000000000001</v>
      </c>
      <c r="J197" s="4">
        <v>0.24152999999999999</v>
      </c>
      <c r="K197" s="4" t="b">
        <v>1</v>
      </c>
      <c r="L197" s="4" t="b">
        <v>0</v>
      </c>
    </row>
    <row r="198" spans="1:12" ht="13">
      <c r="A198" s="4" t="s">
        <v>6856</v>
      </c>
      <c r="B198" s="4" t="s">
        <v>4951</v>
      </c>
      <c r="C198" s="4" t="s">
        <v>108</v>
      </c>
      <c r="D198" s="4" t="s">
        <v>4952</v>
      </c>
      <c r="E198" s="4" t="s">
        <v>18</v>
      </c>
      <c r="F198" s="4" t="s">
        <v>6857</v>
      </c>
      <c r="G198" s="4" t="s">
        <v>6858</v>
      </c>
      <c r="H198" s="4">
        <v>1.98</v>
      </c>
      <c r="I198" s="4">
        <v>1.1200000000000001</v>
      </c>
      <c r="J198" s="4">
        <v>0.2339</v>
      </c>
      <c r="K198" s="4" t="b">
        <v>1</v>
      </c>
      <c r="L198" s="4" t="b">
        <v>0</v>
      </c>
    </row>
    <row r="199" spans="1:12" ht="13">
      <c r="A199" s="4" t="s">
        <v>6859</v>
      </c>
      <c r="B199" s="4" t="s">
        <v>4951</v>
      </c>
      <c r="C199" s="4" t="s">
        <v>108</v>
      </c>
      <c r="D199" s="4" t="s">
        <v>4952</v>
      </c>
      <c r="E199" s="4" t="s">
        <v>18</v>
      </c>
      <c r="F199" s="4" t="s">
        <v>6860</v>
      </c>
      <c r="G199" s="4" t="s">
        <v>6861</v>
      </c>
      <c r="H199" s="4">
        <v>1.99</v>
      </c>
      <c r="I199" s="4">
        <v>1.18</v>
      </c>
      <c r="J199" s="4">
        <v>0.22897999999999999</v>
      </c>
      <c r="K199" s="4" t="b">
        <v>1</v>
      </c>
      <c r="L199" s="4" t="b">
        <v>0</v>
      </c>
    </row>
    <row r="200" spans="1:12" ht="13">
      <c r="A200" s="4" t="s">
        <v>6865</v>
      </c>
      <c r="B200" s="4" t="s">
        <v>4951</v>
      </c>
      <c r="C200" s="4" t="s">
        <v>108</v>
      </c>
      <c r="D200" s="4" t="s">
        <v>4952</v>
      </c>
      <c r="E200" s="4" t="s">
        <v>18</v>
      </c>
      <c r="F200" s="4" t="s">
        <v>6866</v>
      </c>
      <c r="G200" s="4" t="s">
        <v>6867</v>
      </c>
      <c r="H200" s="4">
        <v>2</v>
      </c>
      <c r="I200" s="4">
        <v>1.1299999999999999</v>
      </c>
      <c r="J200" s="4">
        <v>0.23783000000000001</v>
      </c>
      <c r="K200" s="4" t="b">
        <v>1</v>
      </c>
      <c r="L200" s="4" t="b">
        <v>0</v>
      </c>
    </row>
    <row r="201" spans="1:12" ht="13">
      <c r="A201" s="4" t="s">
        <v>6868</v>
      </c>
      <c r="B201" s="4" t="s">
        <v>4951</v>
      </c>
      <c r="C201" s="4" t="s">
        <v>108</v>
      </c>
      <c r="D201" s="4" t="s">
        <v>4952</v>
      </c>
      <c r="E201" s="4" t="s">
        <v>18</v>
      </c>
      <c r="F201" s="4" t="s">
        <v>6869</v>
      </c>
      <c r="G201" s="4" t="s">
        <v>6870</v>
      </c>
      <c r="H201" s="4">
        <v>2</v>
      </c>
      <c r="I201" s="4">
        <v>1.1200000000000001</v>
      </c>
      <c r="J201" s="4">
        <v>0.25819999999999999</v>
      </c>
      <c r="K201" s="4" t="b">
        <v>1</v>
      </c>
      <c r="L201" s="4" t="b">
        <v>0</v>
      </c>
    </row>
    <row r="202" spans="1:12" ht="13">
      <c r="A202" s="4" t="s">
        <v>6871</v>
      </c>
      <c r="B202" s="4" t="s">
        <v>4951</v>
      </c>
      <c r="C202" s="4" t="s">
        <v>108</v>
      </c>
      <c r="D202" s="4" t="s">
        <v>4952</v>
      </c>
      <c r="E202" s="4" t="s">
        <v>18</v>
      </c>
      <c r="F202" s="4" t="s">
        <v>6872</v>
      </c>
      <c r="G202" s="4" t="s">
        <v>6873</v>
      </c>
      <c r="H202" s="4">
        <v>2.0099999999999998</v>
      </c>
      <c r="I202" s="4">
        <v>1.3</v>
      </c>
      <c r="J202" s="4">
        <v>0.25955</v>
      </c>
      <c r="K202" s="4" t="b">
        <v>1</v>
      </c>
      <c r="L202" s="4" t="b">
        <v>0</v>
      </c>
    </row>
    <row r="203" spans="1:12" ht="13">
      <c r="A203" s="4" t="s">
        <v>6877</v>
      </c>
      <c r="B203" s="4" t="s">
        <v>4951</v>
      </c>
      <c r="C203" s="4" t="s">
        <v>108</v>
      </c>
      <c r="D203" s="4" t="s">
        <v>4952</v>
      </c>
      <c r="E203" s="4" t="s">
        <v>18</v>
      </c>
      <c r="F203" s="4" t="s">
        <v>6878</v>
      </c>
      <c r="G203" s="4" t="s">
        <v>6879</v>
      </c>
      <c r="H203" s="4">
        <v>2.0099999999999998</v>
      </c>
      <c r="I203" s="4">
        <v>1.26</v>
      </c>
      <c r="J203" s="4">
        <v>0.26188</v>
      </c>
      <c r="K203" s="4" t="b">
        <v>1</v>
      </c>
      <c r="L203" s="4" t="b">
        <v>0</v>
      </c>
    </row>
    <row r="204" spans="1:12" ht="13">
      <c r="A204" s="4" t="s">
        <v>6880</v>
      </c>
      <c r="B204" s="4" t="s">
        <v>4951</v>
      </c>
      <c r="C204" s="4" t="s">
        <v>108</v>
      </c>
      <c r="D204" s="4" t="s">
        <v>4952</v>
      </c>
      <c r="E204" s="4" t="s">
        <v>18</v>
      </c>
      <c r="F204" s="4" t="s">
        <v>6881</v>
      </c>
      <c r="G204" s="4" t="s">
        <v>6882</v>
      </c>
      <c r="H204" s="4">
        <v>2.02</v>
      </c>
      <c r="I204" s="4">
        <v>1.06</v>
      </c>
      <c r="J204" s="4">
        <v>0.23519999999999999</v>
      </c>
      <c r="K204" s="4" t="b">
        <v>1</v>
      </c>
      <c r="L204" s="4" t="b">
        <v>0</v>
      </c>
    </row>
    <row r="205" spans="1:12" ht="13">
      <c r="A205" s="4" t="s">
        <v>6883</v>
      </c>
      <c r="B205" s="4" t="s">
        <v>4951</v>
      </c>
      <c r="C205" s="4" t="s">
        <v>108</v>
      </c>
      <c r="D205" s="4" t="s">
        <v>4952</v>
      </c>
      <c r="E205" s="4" t="s">
        <v>18</v>
      </c>
      <c r="F205" s="4" t="s">
        <v>6884</v>
      </c>
      <c r="G205" s="4" t="s">
        <v>6885</v>
      </c>
      <c r="H205" s="4">
        <v>2.0299999999999998</v>
      </c>
      <c r="I205" s="4">
        <v>1.19</v>
      </c>
      <c r="J205" s="4">
        <v>0.23877999999999999</v>
      </c>
      <c r="K205" s="4" t="b">
        <v>1</v>
      </c>
      <c r="L205" s="4" t="b">
        <v>0</v>
      </c>
    </row>
    <row r="206" spans="1:12" ht="13">
      <c r="A206" s="4" t="s">
        <v>6886</v>
      </c>
      <c r="B206" s="4" t="s">
        <v>4951</v>
      </c>
      <c r="C206" s="4" t="s">
        <v>108</v>
      </c>
      <c r="D206" s="4" t="s">
        <v>4952</v>
      </c>
      <c r="E206" s="4" t="s">
        <v>18</v>
      </c>
      <c r="F206" s="4" t="s">
        <v>6887</v>
      </c>
      <c r="G206" s="4" t="s">
        <v>6888</v>
      </c>
      <c r="H206" s="4">
        <v>2.0299999999999998</v>
      </c>
      <c r="I206" s="4">
        <v>1.2</v>
      </c>
      <c r="J206" s="4">
        <v>0.23660999999999999</v>
      </c>
      <c r="K206" s="4" t="b">
        <v>1</v>
      </c>
      <c r="L206" s="4" t="b">
        <v>0</v>
      </c>
    </row>
    <row r="207" spans="1:12" ht="13">
      <c r="A207" s="4" t="s">
        <v>6889</v>
      </c>
      <c r="B207" s="4" t="s">
        <v>4951</v>
      </c>
      <c r="C207" s="4" t="s">
        <v>108</v>
      </c>
      <c r="D207" s="4" t="s">
        <v>4952</v>
      </c>
      <c r="E207" s="4" t="s">
        <v>18</v>
      </c>
      <c r="F207" s="4" t="s">
        <v>6890</v>
      </c>
      <c r="G207" s="4" t="s">
        <v>6891</v>
      </c>
      <c r="H207" s="4">
        <v>2.04</v>
      </c>
      <c r="I207" s="4">
        <v>1.28</v>
      </c>
      <c r="J207" s="4">
        <v>0.24845</v>
      </c>
      <c r="K207" s="4" t="b">
        <v>1</v>
      </c>
      <c r="L207" s="4" t="b">
        <v>0</v>
      </c>
    </row>
    <row r="208" spans="1:12" ht="13">
      <c r="A208" s="4" t="s">
        <v>6892</v>
      </c>
      <c r="B208" s="4" t="s">
        <v>4951</v>
      </c>
      <c r="C208" s="4" t="s">
        <v>108</v>
      </c>
      <c r="D208" s="4" t="s">
        <v>4952</v>
      </c>
      <c r="E208" s="4" t="s">
        <v>18</v>
      </c>
      <c r="F208" s="41" t="s">
        <v>6893</v>
      </c>
      <c r="G208" s="4" t="s">
        <v>6894</v>
      </c>
      <c r="H208" s="4">
        <v>2.04</v>
      </c>
      <c r="I208" s="4">
        <v>1.1000000000000001</v>
      </c>
      <c r="J208" s="4">
        <v>0.23826</v>
      </c>
      <c r="K208" s="4" t="b">
        <v>1</v>
      </c>
      <c r="L208" s="4" t="b">
        <v>0</v>
      </c>
    </row>
    <row r="209" spans="1:12" ht="13">
      <c r="A209" s="4" t="s">
        <v>6895</v>
      </c>
      <c r="B209" s="4" t="s">
        <v>4951</v>
      </c>
      <c r="C209" s="4" t="s">
        <v>108</v>
      </c>
      <c r="D209" s="4" t="s">
        <v>4952</v>
      </c>
      <c r="E209" s="4" t="s">
        <v>18</v>
      </c>
      <c r="F209" s="41" t="s">
        <v>6896</v>
      </c>
      <c r="G209" s="4" t="s">
        <v>6897</v>
      </c>
      <c r="H209" s="4">
        <v>2.0499999999999998</v>
      </c>
      <c r="I209" s="4">
        <v>1.1000000000000001</v>
      </c>
      <c r="J209" s="4">
        <v>0.24260999999999999</v>
      </c>
      <c r="K209" s="4" t="b">
        <v>1</v>
      </c>
      <c r="L209" s="4" t="b">
        <v>0</v>
      </c>
    </row>
    <row r="210" spans="1:12" ht="13">
      <c r="A210" s="4" t="s">
        <v>6898</v>
      </c>
      <c r="B210" s="4" t="s">
        <v>4951</v>
      </c>
      <c r="C210" s="4" t="s">
        <v>108</v>
      </c>
      <c r="D210" s="4" t="s">
        <v>4952</v>
      </c>
      <c r="E210" s="4" t="s">
        <v>18</v>
      </c>
      <c r="F210" s="4" t="s">
        <v>6899</v>
      </c>
      <c r="G210" s="4" t="s">
        <v>6900</v>
      </c>
      <c r="H210" s="4">
        <v>2.0499999999999998</v>
      </c>
      <c r="I210" s="4">
        <v>1.03</v>
      </c>
      <c r="J210" s="4">
        <v>0.23371</v>
      </c>
      <c r="K210" s="4" t="b">
        <v>1</v>
      </c>
      <c r="L210" s="4" t="b">
        <v>0</v>
      </c>
    </row>
    <row r="211" spans="1:12" ht="13">
      <c r="A211" s="4" t="s">
        <v>6901</v>
      </c>
      <c r="B211" s="4" t="s">
        <v>4951</v>
      </c>
      <c r="C211" s="4" t="s">
        <v>108</v>
      </c>
      <c r="D211" s="4" t="s">
        <v>4952</v>
      </c>
      <c r="E211" s="4" t="s">
        <v>18</v>
      </c>
      <c r="F211" s="4" t="s">
        <v>6902</v>
      </c>
      <c r="G211" s="4" t="s">
        <v>6903</v>
      </c>
      <c r="H211" s="4">
        <v>2.06</v>
      </c>
      <c r="I211" s="4">
        <v>1.08</v>
      </c>
      <c r="J211" s="4">
        <v>0.24465000000000001</v>
      </c>
      <c r="K211" s="4" t="b">
        <v>1</v>
      </c>
      <c r="L211" s="4" t="b">
        <v>0</v>
      </c>
    </row>
    <row r="212" spans="1:12" ht="13">
      <c r="A212" s="4" t="s">
        <v>6904</v>
      </c>
      <c r="B212" s="4" t="s">
        <v>4951</v>
      </c>
      <c r="C212" s="4" t="s">
        <v>108</v>
      </c>
      <c r="D212" s="4" t="s">
        <v>4952</v>
      </c>
      <c r="E212" s="4" t="s">
        <v>18</v>
      </c>
      <c r="F212" s="4" t="s">
        <v>6905</v>
      </c>
      <c r="G212" s="4" t="s">
        <v>6906</v>
      </c>
      <c r="H212" s="4">
        <v>2.06</v>
      </c>
      <c r="I212" s="4">
        <v>1.17</v>
      </c>
      <c r="J212" s="4">
        <v>0.24052000000000001</v>
      </c>
      <c r="K212" s="4" t="b">
        <v>1</v>
      </c>
      <c r="L212" s="4" t="b">
        <v>0</v>
      </c>
    </row>
    <row r="213" spans="1:12" ht="13">
      <c r="A213" s="4" t="s">
        <v>6907</v>
      </c>
      <c r="B213" s="4" t="s">
        <v>4951</v>
      </c>
      <c r="C213" s="4" t="s">
        <v>108</v>
      </c>
      <c r="D213" s="4" t="s">
        <v>4952</v>
      </c>
      <c r="E213" s="4" t="s">
        <v>18</v>
      </c>
      <c r="F213" s="4" t="s">
        <v>6908</v>
      </c>
      <c r="G213" s="4" t="s">
        <v>6909</v>
      </c>
      <c r="H213" s="4">
        <v>2.06</v>
      </c>
      <c r="I213" s="4">
        <v>1.1100000000000001</v>
      </c>
      <c r="J213" s="4">
        <v>0.23732</v>
      </c>
      <c r="K213" s="4" t="b">
        <v>1</v>
      </c>
      <c r="L213" s="4" t="b">
        <v>0</v>
      </c>
    </row>
    <row r="214" spans="1:12" ht="13">
      <c r="A214" s="4" t="s">
        <v>6910</v>
      </c>
      <c r="B214" s="4" t="s">
        <v>4951</v>
      </c>
      <c r="C214" s="4" t="s">
        <v>108</v>
      </c>
      <c r="D214" s="4" t="s">
        <v>4952</v>
      </c>
      <c r="E214" s="4" t="s">
        <v>18</v>
      </c>
      <c r="F214" s="4" t="s">
        <v>6911</v>
      </c>
      <c r="G214" s="4" t="s">
        <v>6912</v>
      </c>
      <c r="H214" s="4">
        <v>2.0699999999999998</v>
      </c>
      <c r="I214" s="4">
        <v>1.32</v>
      </c>
      <c r="J214" s="4">
        <v>0.24085999999999999</v>
      </c>
      <c r="K214" s="4" t="b">
        <v>1</v>
      </c>
      <c r="L214" s="4" t="b">
        <v>0</v>
      </c>
    </row>
    <row r="215" spans="1:12" ht="13">
      <c r="A215" s="4" t="s">
        <v>6913</v>
      </c>
      <c r="B215" s="4" t="s">
        <v>4951</v>
      </c>
      <c r="C215" s="4" t="s">
        <v>108</v>
      </c>
      <c r="D215" s="4" t="s">
        <v>4952</v>
      </c>
      <c r="E215" s="4" t="s">
        <v>18</v>
      </c>
      <c r="F215" s="4" t="s">
        <v>6914</v>
      </c>
      <c r="G215" s="4" t="s">
        <v>6915</v>
      </c>
      <c r="H215" s="4">
        <v>2.0699999999999998</v>
      </c>
      <c r="I215" s="4">
        <v>1.0900000000000001</v>
      </c>
      <c r="J215" s="4">
        <v>0.24243999999999999</v>
      </c>
      <c r="K215" s="4" t="b">
        <v>1</v>
      </c>
      <c r="L215" s="4" t="b">
        <v>0</v>
      </c>
    </row>
    <row r="216" spans="1:12" ht="13">
      <c r="A216" s="4" t="s">
        <v>6916</v>
      </c>
      <c r="B216" s="4" t="s">
        <v>4951</v>
      </c>
      <c r="C216" s="4" t="s">
        <v>108</v>
      </c>
      <c r="D216" s="4" t="s">
        <v>4952</v>
      </c>
      <c r="E216" s="4" t="s">
        <v>18</v>
      </c>
      <c r="F216" s="4" t="s">
        <v>6917</v>
      </c>
      <c r="G216" s="4" t="s">
        <v>6918</v>
      </c>
      <c r="H216" s="4">
        <v>2.0699999999999998</v>
      </c>
      <c r="I216" s="4">
        <v>1.08</v>
      </c>
      <c r="J216" s="4">
        <v>0.24357999999999999</v>
      </c>
      <c r="K216" s="4" t="b">
        <v>1</v>
      </c>
      <c r="L216" s="4" t="b">
        <v>0</v>
      </c>
    </row>
    <row r="217" spans="1:12" ht="13">
      <c r="A217" s="4" t="s">
        <v>6919</v>
      </c>
      <c r="B217" s="4" t="s">
        <v>4951</v>
      </c>
      <c r="C217" s="4" t="s">
        <v>108</v>
      </c>
      <c r="D217" s="4" t="s">
        <v>4952</v>
      </c>
      <c r="E217" s="4" t="s">
        <v>18</v>
      </c>
      <c r="F217" s="4" t="s">
        <v>6920</v>
      </c>
      <c r="G217" s="4" t="s">
        <v>6921</v>
      </c>
      <c r="H217" s="4">
        <v>2.08</v>
      </c>
      <c r="I217" s="4">
        <v>1.1499999999999999</v>
      </c>
      <c r="J217" s="4">
        <v>0.25470999999999999</v>
      </c>
      <c r="K217" s="4" t="b">
        <v>1</v>
      </c>
      <c r="L217" s="4" t="b">
        <v>0</v>
      </c>
    </row>
    <row r="218" spans="1:12" ht="13">
      <c r="A218" s="4" t="s">
        <v>6922</v>
      </c>
      <c r="B218" s="4" t="s">
        <v>4951</v>
      </c>
      <c r="C218" s="4" t="s">
        <v>108</v>
      </c>
      <c r="D218" s="4" t="s">
        <v>4952</v>
      </c>
      <c r="E218" s="4" t="s">
        <v>18</v>
      </c>
      <c r="F218" s="4" t="s">
        <v>6923</v>
      </c>
      <c r="G218" s="4" t="s">
        <v>6924</v>
      </c>
      <c r="H218" s="4">
        <v>2.08</v>
      </c>
      <c r="I218" s="4">
        <v>1.08</v>
      </c>
      <c r="J218" s="4">
        <v>0.24920999999999999</v>
      </c>
      <c r="K218" s="4" t="b">
        <v>1</v>
      </c>
      <c r="L218" s="4" t="b">
        <v>0</v>
      </c>
    </row>
    <row r="219" spans="1:12" ht="13">
      <c r="A219" s="4" t="s">
        <v>6925</v>
      </c>
      <c r="B219" s="4" t="s">
        <v>4951</v>
      </c>
      <c r="C219" s="4" t="s">
        <v>108</v>
      </c>
      <c r="D219" s="4" t="s">
        <v>4952</v>
      </c>
      <c r="E219" s="4" t="s">
        <v>18</v>
      </c>
      <c r="F219" s="4" t="s">
        <v>6926</v>
      </c>
      <c r="G219" s="4" t="s">
        <v>6927</v>
      </c>
      <c r="H219" s="4">
        <v>2.09</v>
      </c>
      <c r="I219" s="4">
        <v>1.1100000000000001</v>
      </c>
      <c r="J219" s="4">
        <v>0.25063000000000002</v>
      </c>
      <c r="K219" s="4" t="b">
        <v>1</v>
      </c>
      <c r="L219" s="4" t="b">
        <v>0</v>
      </c>
    </row>
    <row r="220" spans="1:12" ht="13">
      <c r="A220" s="4" t="s">
        <v>6928</v>
      </c>
      <c r="B220" s="4" t="s">
        <v>4951</v>
      </c>
      <c r="C220" s="4" t="s">
        <v>108</v>
      </c>
      <c r="D220" s="4" t="s">
        <v>4952</v>
      </c>
      <c r="E220" s="4" t="s">
        <v>18</v>
      </c>
      <c r="F220" s="4" t="s">
        <v>6929</v>
      </c>
      <c r="G220" s="4" t="s">
        <v>6930</v>
      </c>
      <c r="H220" s="4">
        <v>2.09</v>
      </c>
      <c r="I220" s="4">
        <v>1.41</v>
      </c>
      <c r="J220" s="4">
        <v>0.23871999999999999</v>
      </c>
      <c r="K220" s="4" t="b">
        <v>1</v>
      </c>
      <c r="L220" s="4" t="b">
        <v>0</v>
      </c>
    </row>
    <row r="221" spans="1:12" ht="13">
      <c r="A221" s="4" t="s">
        <v>6931</v>
      </c>
      <c r="B221" s="4" t="s">
        <v>4951</v>
      </c>
      <c r="C221" s="4" t="s">
        <v>108</v>
      </c>
      <c r="D221" s="4" t="s">
        <v>4952</v>
      </c>
      <c r="E221" s="4" t="s">
        <v>18</v>
      </c>
      <c r="F221" s="4" t="s">
        <v>6932</v>
      </c>
      <c r="G221" s="4" t="s">
        <v>6933</v>
      </c>
      <c r="H221" s="4">
        <v>2.1</v>
      </c>
      <c r="I221" s="4">
        <v>1.05</v>
      </c>
      <c r="J221" s="4">
        <v>0.23416000000000001</v>
      </c>
      <c r="K221" s="4" t="b">
        <v>1</v>
      </c>
      <c r="L221" s="4" t="b">
        <v>0</v>
      </c>
    </row>
    <row r="222" spans="1:12" ht="13">
      <c r="A222" s="4" t="s">
        <v>6934</v>
      </c>
      <c r="B222" s="4" t="s">
        <v>4951</v>
      </c>
      <c r="C222" s="4" t="s">
        <v>108</v>
      </c>
      <c r="D222" s="4" t="s">
        <v>4952</v>
      </c>
      <c r="E222" s="4" t="s">
        <v>18</v>
      </c>
      <c r="F222" s="4" t="s">
        <v>6935</v>
      </c>
      <c r="G222" s="4" t="s">
        <v>6936</v>
      </c>
      <c r="H222" s="4">
        <v>2.11</v>
      </c>
      <c r="I222" s="4">
        <v>1.1299999999999999</v>
      </c>
      <c r="J222" s="4">
        <v>0.22749</v>
      </c>
      <c r="K222" s="4" t="b">
        <v>1</v>
      </c>
      <c r="L222" s="4" t="b">
        <v>0</v>
      </c>
    </row>
    <row r="223" spans="1:12" ht="13">
      <c r="A223" s="4" t="s">
        <v>6937</v>
      </c>
      <c r="B223" s="4" t="s">
        <v>4951</v>
      </c>
      <c r="C223" s="4" t="s">
        <v>108</v>
      </c>
      <c r="D223" s="4" t="s">
        <v>4952</v>
      </c>
      <c r="E223" s="4" t="s">
        <v>18</v>
      </c>
      <c r="F223" s="4" t="s">
        <v>6938</v>
      </c>
      <c r="G223" s="4" t="s">
        <v>6939</v>
      </c>
      <c r="H223" s="4">
        <v>2.11</v>
      </c>
      <c r="I223" s="4">
        <v>1.1299999999999999</v>
      </c>
      <c r="J223" s="4">
        <v>0.23466000000000001</v>
      </c>
      <c r="K223" s="4" t="b">
        <v>1</v>
      </c>
      <c r="L223" s="4" t="b">
        <v>0</v>
      </c>
    </row>
    <row r="224" spans="1:12" ht="13">
      <c r="A224" s="4" t="s">
        <v>6940</v>
      </c>
      <c r="B224" s="4" t="s">
        <v>4951</v>
      </c>
      <c r="C224" s="4" t="s">
        <v>108</v>
      </c>
      <c r="D224" s="4" t="s">
        <v>4952</v>
      </c>
      <c r="E224" s="4" t="s">
        <v>18</v>
      </c>
      <c r="F224" s="4" t="s">
        <v>6941</v>
      </c>
      <c r="G224" s="4" t="s">
        <v>6942</v>
      </c>
      <c r="H224" s="4">
        <v>2.12</v>
      </c>
      <c r="I224" s="4">
        <v>1.19</v>
      </c>
      <c r="J224" s="4">
        <v>0.23907999999999999</v>
      </c>
      <c r="K224" s="4" t="b">
        <v>1</v>
      </c>
      <c r="L224" s="4" t="b">
        <v>0</v>
      </c>
    </row>
    <row r="225" spans="1:13" ht="13">
      <c r="A225" s="4" t="s">
        <v>6943</v>
      </c>
      <c r="B225" s="4" t="s">
        <v>4951</v>
      </c>
      <c r="C225" s="4" t="s">
        <v>108</v>
      </c>
      <c r="D225" s="4" t="s">
        <v>4952</v>
      </c>
      <c r="E225" s="4" t="s">
        <v>18</v>
      </c>
      <c r="F225" s="4" t="s">
        <v>6944</v>
      </c>
      <c r="G225" s="4" t="s">
        <v>6945</v>
      </c>
      <c r="H225" s="4">
        <v>2.13</v>
      </c>
      <c r="I225" s="4">
        <v>1.23</v>
      </c>
      <c r="J225" s="4">
        <v>0.22491</v>
      </c>
      <c r="K225" s="4" t="b">
        <v>1</v>
      </c>
      <c r="L225" s="4" t="b">
        <v>0</v>
      </c>
    </row>
    <row r="226" spans="1:13" ht="13">
      <c r="A226" s="4" t="s">
        <v>3131</v>
      </c>
      <c r="B226" s="4" t="s">
        <v>4951</v>
      </c>
      <c r="C226" s="4" t="s">
        <v>108</v>
      </c>
      <c r="D226" s="4" t="s">
        <v>4952</v>
      </c>
      <c r="E226" s="4" t="s">
        <v>18</v>
      </c>
      <c r="F226" s="4" t="s">
        <v>4961</v>
      </c>
      <c r="G226" s="4" t="s">
        <v>3027</v>
      </c>
      <c r="H226" s="4">
        <v>2.13</v>
      </c>
      <c r="I226" s="4">
        <v>1.1399999999999999</v>
      </c>
      <c r="J226" s="4">
        <v>0.23932</v>
      </c>
      <c r="K226" s="4" t="b">
        <v>1</v>
      </c>
      <c r="L226" s="4" t="b">
        <v>1</v>
      </c>
      <c r="M226" s="41" t="s">
        <v>4929</v>
      </c>
    </row>
    <row r="227" spans="1:13" ht="13">
      <c r="A227" s="4" t="s">
        <v>6946</v>
      </c>
      <c r="B227" s="4" t="s">
        <v>4951</v>
      </c>
      <c r="C227" s="4" t="s">
        <v>108</v>
      </c>
      <c r="D227" s="4" t="s">
        <v>4952</v>
      </c>
      <c r="E227" s="4" t="s">
        <v>18</v>
      </c>
      <c r="F227" s="4" t="s">
        <v>6947</v>
      </c>
      <c r="G227" s="4" t="s">
        <v>6948</v>
      </c>
      <c r="H227" s="4">
        <v>2.13</v>
      </c>
      <c r="I227" s="4">
        <v>1.1000000000000001</v>
      </c>
      <c r="J227" s="4">
        <v>0.26122000000000001</v>
      </c>
      <c r="K227" s="4" t="b">
        <v>1</v>
      </c>
      <c r="L227" s="4" t="b">
        <v>0</v>
      </c>
    </row>
    <row r="228" spans="1:13" ht="13">
      <c r="A228" s="4" t="s">
        <v>6949</v>
      </c>
      <c r="B228" s="4" t="s">
        <v>4951</v>
      </c>
      <c r="C228" s="4" t="s">
        <v>108</v>
      </c>
      <c r="D228" s="4" t="s">
        <v>4952</v>
      </c>
      <c r="E228" s="4" t="s">
        <v>18</v>
      </c>
      <c r="F228" s="4" t="s">
        <v>6950</v>
      </c>
      <c r="G228" s="4" t="s">
        <v>6951</v>
      </c>
      <c r="H228" s="4">
        <v>2.14</v>
      </c>
      <c r="I228" s="4">
        <v>1.1299999999999999</v>
      </c>
      <c r="J228" s="4">
        <v>0.24351</v>
      </c>
      <c r="K228" s="4" t="b">
        <v>1</v>
      </c>
      <c r="L228" s="4" t="b">
        <v>0</v>
      </c>
    </row>
    <row r="229" spans="1:13" ht="13">
      <c r="A229" s="4" t="s">
        <v>3132</v>
      </c>
      <c r="B229" s="4" t="s">
        <v>4951</v>
      </c>
      <c r="C229" s="4" t="s">
        <v>108</v>
      </c>
      <c r="D229" s="4" t="s">
        <v>4952</v>
      </c>
      <c r="E229" s="4" t="s">
        <v>18</v>
      </c>
      <c r="F229" s="4" t="s">
        <v>4962</v>
      </c>
      <c r="G229" s="4" t="s">
        <v>3028</v>
      </c>
      <c r="H229" s="4">
        <v>2.14</v>
      </c>
      <c r="I229" s="4">
        <v>1.0900000000000001</v>
      </c>
      <c r="J229" s="4">
        <v>0.25902999999999998</v>
      </c>
      <c r="K229" s="4" t="b">
        <v>1</v>
      </c>
      <c r="L229" s="4" t="b">
        <v>1</v>
      </c>
      <c r="M229" s="41" t="s">
        <v>4929</v>
      </c>
    </row>
    <row r="230" spans="1:13" ht="13">
      <c r="A230" s="4" t="s">
        <v>6952</v>
      </c>
      <c r="B230" s="4" t="s">
        <v>4951</v>
      </c>
      <c r="C230" s="4" t="s">
        <v>108</v>
      </c>
      <c r="D230" s="4" t="s">
        <v>4952</v>
      </c>
      <c r="E230" s="4" t="s">
        <v>18</v>
      </c>
      <c r="F230" s="4" t="s">
        <v>6953</v>
      </c>
      <c r="G230" s="4" t="s">
        <v>6954</v>
      </c>
      <c r="H230" s="4">
        <v>2.15</v>
      </c>
      <c r="I230" s="4">
        <v>1.1000000000000001</v>
      </c>
      <c r="J230" s="4">
        <v>0.23416000000000001</v>
      </c>
      <c r="K230" s="4" t="b">
        <v>1</v>
      </c>
      <c r="L230" s="4" t="b">
        <v>0</v>
      </c>
    </row>
    <row r="231" spans="1:13" ht="13">
      <c r="A231" s="4" t="s">
        <v>6955</v>
      </c>
      <c r="B231" s="4" t="s">
        <v>4951</v>
      </c>
      <c r="C231" s="4" t="s">
        <v>108</v>
      </c>
      <c r="D231" s="4" t="s">
        <v>4952</v>
      </c>
      <c r="E231" s="4" t="s">
        <v>18</v>
      </c>
      <c r="F231" s="4" t="s">
        <v>6956</v>
      </c>
      <c r="G231" s="4" t="s">
        <v>6957</v>
      </c>
      <c r="H231" s="4">
        <v>2.16</v>
      </c>
      <c r="I231" s="4">
        <v>2.0699999999999998</v>
      </c>
      <c r="J231" s="4">
        <v>0.21329999999999999</v>
      </c>
      <c r="K231" s="4" t="b">
        <v>1</v>
      </c>
      <c r="L231" s="4" t="b">
        <v>0</v>
      </c>
    </row>
    <row r="232" spans="1:13" ht="13">
      <c r="A232" s="4" t="s">
        <v>6958</v>
      </c>
      <c r="B232" s="4" t="s">
        <v>4951</v>
      </c>
      <c r="C232" s="4" t="s">
        <v>108</v>
      </c>
      <c r="D232" s="4" t="s">
        <v>4952</v>
      </c>
      <c r="E232" s="4" t="s">
        <v>18</v>
      </c>
      <c r="F232" s="4" t="s">
        <v>6959</v>
      </c>
      <c r="G232" s="4" t="s">
        <v>6960</v>
      </c>
      <c r="H232" s="4">
        <v>2.16</v>
      </c>
      <c r="I232" s="4">
        <v>1.22</v>
      </c>
      <c r="J232" s="4">
        <v>0.23097999999999999</v>
      </c>
      <c r="K232" s="4" t="b">
        <v>1</v>
      </c>
      <c r="L232" s="4" t="b">
        <v>0</v>
      </c>
    </row>
    <row r="233" spans="1:13" ht="13">
      <c r="A233" s="4" t="s">
        <v>6961</v>
      </c>
      <c r="B233" s="4" t="s">
        <v>4951</v>
      </c>
      <c r="C233" s="4" t="s">
        <v>108</v>
      </c>
      <c r="D233" s="4" t="s">
        <v>4952</v>
      </c>
      <c r="E233" s="4" t="s">
        <v>18</v>
      </c>
      <c r="F233" s="4" t="s">
        <v>6962</v>
      </c>
      <c r="G233" s="4" t="s">
        <v>6963</v>
      </c>
      <c r="H233" s="4">
        <v>2.17</v>
      </c>
      <c r="I233" s="4">
        <v>1.07</v>
      </c>
      <c r="J233" s="4">
        <v>0.25929000000000002</v>
      </c>
      <c r="K233" s="4" t="b">
        <v>1</v>
      </c>
      <c r="L233" s="4" t="b">
        <v>0</v>
      </c>
    </row>
    <row r="234" spans="1:13" ht="13">
      <c r="A234" s="4" t="s">
        <v>6964</v>
      </c>
      <c r="B234" s="4" t="s">
        <v>4951</v>
      </c>
      <c r="C234" s="4" t="s">
        <v>108</v>
      </c>
      <c r="D234" s="4" t="s">
        <v>4952</v>
      </c>
      <c r="E234" s="4" t="s">
        <v>18</v>
      </c>
      <c r="F234" s="41" t="s">
        <v>6965</v>
      </c>
      <c r="G234" s="4" t="s">
        <v>6966</v>
      </c>
      <c r="H234" s="4">
        <v>2.17</v>
      </c>
      <c r="I234" s="4">
        <v>1.08</v>
      </c>
      <c r="J234" s="4">
        <v>0.24521000000000001</v>
      </c>
      <c r="K234" s="4" t="b">
        <v>1</v>
      </c>
      <c r="L234" s="4" t="b">
        <v>0</v>
      </c>
    </row>
    <row r="235" spans="1:13" ht="13">
      <c r="A235" s="4" t="s">
        <v>6967</v>
      </c>
      <c r="B235" s="4" t="s">
        <v>4951</v>
      </c>
      <c r="C235" s="4" t="s">
        <v>108</v>
      </c>
      <c r="D235" s="4" t="s">
        <v>4952</v>
      </c>
      <c r="E235" s="4" t="s">
        <v>18</v>
      </c>
      <c r="F235" s="4" t="s">
        <v>6968</v>
      </c>
      <c r="G235" s="4" t="s">
        <v>6969</v>
      </c>
      <c r="H235" s="4">
        <v>2.1800000000000002</v>
      </c>
      <c r="I235" s="4">
        <v>1.31</v>
      </c>
      <c r="J235" s="4">
        <v>0.23698</v>
      </c>
      <c r="K235" s="4" t="b">
        <v>1</v>
      </c>
      <c r="L235" s="4" t="b">
        <v>0</v>
      </c>
    </row>
    <row r="236" spans="1:13" ht="13">
      <c r="A236" s="4" t="s">
        <v>6970</v>
      </c>
      <c r="B236" s="4" t="s">
        <v>4951</v>
      </c>
      <c r="C236" s="4" t="s">
        <v>108</v>
      </c>
      <c r="D236" s="4" t="s">
        <v>4952</v>
      </c>
      <c r="E236" s="4" t="s">
        <v>18</v>
      </c>
      <c r="F236" s="4" t="s">
        <v>6971</v>
      </c>
      <c r="G236" s="4" t="s">
        <v>6972</v>
      </c>
      <c r="H236" s="4">
        <v>2.1800000000000002</v>
      </c>
      <c r="I236" s="4">
        <v>1.08</v>
      </c>
      <c r="J236" s="4">
        <v>0.24424999999999999</v>
      </c>
      <c r="K236" s="4" t="b">
        <v>1</v>
      </c>
      <c r="L236" s="4" t="b">
        <v>0</v>
      </c>
    </row>
    <row r="237" spans="1:13" ht="13">
      <c r="A237" s="4" t="s">
        <v>6973</v>
      </c>
      <c r="B237" s="4" t="s">
        <v>4951</v>
      </c>
      <c r="C237" s="4" t="s">
        <v>108</v>
      </c>
      <c r="D237" s="4" t="s">
        <v>4952</v>
      </c>
      <c r="E237" s="4" t="s">
        <v>18</v>
      </c>
      <c r="F237" s="4" t="s">
        <v>6974</v>
      </c>
      <c r="G237" s="4" t="s">
        <v>6975</v>
      </c>
      <c r="H237" s="4">
        <v>2.19</v>
      </c>
      <c r="I237" s="4">
        <v>1.1200000000000001</v>
      </c>
      <c r="J237" s="4">
        <v>0.26085999999999998</v>
      </c>
      <c r="K237" s="4" t="b">
        <v>1</v>
      </c>
      <c r="L237" s="4" t="b">
        <v>0</v>
      </c>
    </row>
    <row r="238" spans="1:13" ht="13">
      <c r="A238" s="4" t="s">
        <v>6976</v>
      </c>
      <c r="B238" s="4" t="s">
        <v>4951</v>
      </c>
      <c r="C238" s="4" t="s">
        <v>108</v>
      </c>
      <c r="D238" s="4" t="s">
        <v>4952</v>
      </c>
      <c r="E238" s="4" t="s">
        <v>18</v>
      </c>
      <c r="F238" s="4" t="s">
        <v>6977</v>
      </c>
      <c r="G238" s="4" t="s">
        <v>6978</v>
      </c>
      <c r="H238" s="4">
        <v>2.19</v>
      </c>
      <c r="I238" s="4">
        <v>1.19</v>
      </c>
      <c r="J238" s="4">
        <v>0.24804000000000001</v>
      </c>
      <c r="K238" s="4" t="b">
        <v>1</v>
      </c>
      <c r="L238" s="4" t="b">
        <v>0</v>
      </c>
    </row>
    <row r="239" spans="1:13" ht="13">
      <c r="A239" s="4" t="s">
        <v>6979</v>
      </c>
      <c r="B239" s="4" t="s">
        <v>4951</v>
      </c>
      <c r="C239" s="4" t="s">
        <v>108</v>
      </c>
      <c r="D239" s="4" t="s">
        <v>4952</v>
      </c>
      <c r="E239" s="4" t="s">
        <v>18</v>
      </c>
      <c r="F239" s="4" t="s">
        <v>6980</v>
      </c>
      <c r="G239" s="4" t="s">
        <v>6981</v>
      </c>
      <c r="H239" s="4">
        <v>2.19</v>
      </c>
      <c r="I239" s="4">
        <v>1.08</v>
      </c>
      <c r="J239" s="4">
        <v>0.23816999999999999</v>
      </c>
      <c r="K239" s="4" t="b">
        <v>1</v>
      </c>
      <c r="L239" s="4" t="b">
        <v>0</v>
      </c>
    </row>
    <row r="240" spans="1:13" ht="13">
      <c r="A240" s="4" t="s">
        <v>6982</v>
      </c>
      <c r="B240" s="4" t="s">
        <v>4951</v>
      </c>
      <c r="C240" s="4" t="s">
        <v>108</v>
      </c>
      <c r="D240" s="4" t="s">
        <v>4952</v>
      </c>
      <c r="E240" s="4" t="s">
        <v>18</v>
      </c>
      <c r="F240" s="4" t="s">
        <v>6983</v>
      </c>
      <c r="G240" s="4" t="s">
        <v>6984</v>
      </c>
      <c r="H240" s="4">
        <v>2.2000000000000002</v>
      </c>
      <c r="I240" s="4">
        <v>1.1299999999999999</v>
      </c>
      <c r="J240" s="4">
        <v>0.25223000000000001</v>
      </c>
      <c r="K240" s="4" t="b">
        <v>1</v>
      </c>
      <c r="L240" s="4" t="b">
        <v>0</v>
      </c>
    </row>
    <row r="241" spans="1:12" ht="13">
      <c r="A241" s="4" t="s">
        <v>6985</v>
      </c>
      <c r="B241" s="4" t="s">
        <v>4951</v>
      </c>
      <c r="C241" s="4" t="s">
        <v>108</v>
      </c>
      <c r="D241" s="4" t="s">
        <v>4952</v>
      </c>
      <c r="E241" s="4" t="s">
        <v>18</v>
      </c>
      <c r="F241" s="4" t="s">
        <v>6986</v>
      </c>
      <c r="G241" s="4" t="s">
        <v>6987</v>
      </c>
      <c r="H241" s="4">
        <v>2.2000000000000002</v>
      </c>
      <c r="I241" s="4">
        <v>1.1499999999999999</v>
      </c>
      <c r="J241" s="4">
        <v>0.25335000000000002</v>
      </c>
      <c r="K241" s="4" t="b">
        <v>1</v>
      </c>
      <c r="L241" s="4" t="b">
        <v>0</v>
      </c>
    </row>
    <row r="242" spans="1:12" ht="13">
      <c r="A242" s="4" t="s">
        <v>6988</v>
      </c>
      <c r="B242" s="4" t="s">
        <v>4951</v>
      </c>
      <c r="C242" s="4" t="s">
        <v>108</v>
      </c>
      <c r="D242" s="4" t="s">
        <v>4952</v>
      </c>
      <c r="E242" s="4" t="s">
        <v>18</v>
      </c>
      <c r="F242" s="4" t="s">
        <v>6989</v>
      </c>
      <c r="G242" s="4" t="s">
        <v>6990</v>
      </c>
      <c r="H242" s="4">
        <v>2.21</v>
      </c>
      <c r="I242" s="4">
        <v>1.1399999999999999</v>
      </c>
      <c r="J242" s="4">
        <v>0.22595999999999999</v>
      </c>
      <c r="K242" s="4" t="b">
        <v>1</v>
      </c>
      <c r="L242" s="4" t="b">
        <v>0</v>
      </c>
    </row>
    <row r="243" spans="1:12" ht="13">
      <c r="A243" s="4" t="s">
        <v>6991</v>
      </c>
      <c r="B243" s="4" t="s">
        <v>4951</v>
      </c>
      <c r="C243" s="4" t="s">
        <v>108</v>
      </c>
      <c r="D243" s="41" t="s">
        <v>4952</v>
      </c>
      <c r="E243" s="4" t="s">
        <v>18</v>
      </c>
      <c r="F243" s="4" t="s">
        <v>6992</v>
      </c>
      <c r="G243" s="4" t="s">
        <v>6993</v>
      </c>
      <c r="H243" s="4">
        <v>2.21</v>
      </c>
      <c r="I243" s="4">
        <v>1.19</v>
      </c>
      <c r="J243" s="4">
        <v>0.25334000000000001</v>
      </c>
      <c r="K243" s="4" t="b">
        <v>1</v>
      </c>
      <c r="L243" s="4" t="b">
        <v>0</v>
      </c>
    </row>
    <row r="244" spans="1:12" ht="13">
      <c r="A244" s="4" t="s">
        <v>6994</v>
      </c>
      <c r="B244" s="4" t="s">
        <v>4951</v>
      </c>
      <c r="C244" s="4" t="s">
        <v>108</v>
      </c>
      <c r="D244" s="4" t="s">
        <v>4952</v>
      </c>
      <c r="E244" s="4" t="s">
        <v>18</v>
      </c>
      <c r="F244" s="4" t="s">
        <v>6995</v>
      </c>
      <c r="G244" s="4" t="s">
        <v>6996</v>
      </c>
      <c r="H244" s="4">
        <v>2.2200000000000002</v>
      </c>
      <c r="I244" s="4">
        <v>1.29</v>
      </c>
      <c r="J244" s="4">
        <v>0.26196000000000003</v>
      </c>
      <c r="K244" s="4" t="b">
        <v>1</v>
      </c>
      <c r="L244" s="4" t="b">
        <v>0</v>
      </c>
    </row>
    <row r="245" spans="1:12" ht="13">
      <c r="A245" s="4" t="s">
        <v>6997</v>
      </c>
      <c r="B245" s="4" t="s">
        <v>4951</v>
      </c>
      <c r="C245" s="4" t="s">
        <v>108</v>
      </c>
      <c r="D245" s="4" t="s">
        <v>4952</v>
      </c>
      <c r="E245" s="4" t="s">
        <v>18</v>
      </c>
      <c r="F245" s="4" t="s">
        <v>6998</v>
      </c>
      <c r="G245" s="4" t="s">
        <v>6999</v>
      </c>
      <c r="H245" s="4">
        <v>2.2200000000000002</v>
      </c>
      <c r="I245" s="4">
        <v>1.18</v>
      </c>
      <c r="J245" s="4">
        <v>0.23737</v>
      </c>
      <c r="K245" s="4" t="b">
        <v>1</v>
      </c>
      <c r="L245" s="4" t="b">
        <v>0</v>
      </c>
    </row>
    <row r="246" spans="1:12" ht="13">
      <c r="A246" s="4" t="s">
        <v>7000</v>
      </c>
      <c r="B246" s="4" t="s">
        <v>4951</v>
      </c>
      <c r="C246" s="4" t="s">
        <v>108</v>
      </c>
      <c r="D246" s="4" t="s">
        <v>4952</v>
      </c>
      <c r="E246" s="4" t="s">
        <v>18</v>
      </c>
      <c r="F246" s="4" t="s">
        <v>7001</v>
      </c>
      <c r="G246" s="4" t="s">
        <v>7002</v>
      </c>
      <c r="H246" s="4">
        <v>2.23</v>
      </c>
      <c r="I246" s="4">
        <v>1.22</v>
      </c>
      <c r="J246" s="4">
        <v>0.26827000000000001</v>
      </c>
      <c r="K246" s="4" t="b">
        <v>1</v>
      </c>
      <c r="L246" s="4" t="b">
        <v>0</v>
      </c>
    </row>
    <row r="247" spans="1:12" ht="13">
      <c r="A247" s="4" t="s">
        <v>7003</v>
      </c>
      <c r="B247" s="4" t="s">
        <v>4951</v>
      </c>
      <c r="C247" s="4" t="s">
        <v>108</v>
      </c>
      <c r="D247" s="4" t="s">
        <v>4952</v>
      </c>
      <c r="E247" s="4" t="s">
        <v>18</v>
      </c>
      <c r="F247" s="4" t="s">
        <v>7004</v>
      </c>
      <c r="G247" s="4" t="s">
        <v>7005</v>
      </c>
      <c r="H247" s="4">
        <v>2.23</v>
      </c>
      <c r="I247" s="4">
        <v>1.05</v>
      </c>
      <c r="J247" s="4">
        <v>0.24346999999999999</v>
      </c>
      <c r="K247" s="4" t="b">
        <v>1</v>
      </c>
      <c r="L247" s="4" t="b">
        <v>0</v>
      </c>
    </row>
    <row r="248" spans="1:12" ht="13">
      <c r="A248" s="4" t="s">
        <v>7006</v>
      </c>
      <c r="B248" s="4" t="s">
        <v>4951</v>
      </c>
      <c r="C248" s="4" t="s">
        <v>108</v>
      </c>
      <c r="D248" s="4" t="s">
        <v>4952</v>
      </c>
      <c r="E248" s="4" t="s">
        <v>18</v>
      </c>
      <c r="F248" s="4" t="s">
        <v>7007</v>
      </c>
      <c r="G248" s="4" t="s">
        <v>7008</v>
      </c>
      <c r="H248" s="4">
        <v>2.23</v>
      </c>
      <c r="I248" s="4">
        <v>1.1000000000000001</v>
      </c>
      <c r="J248" s="4">
        <v>0.24471999999999999</v>
      </c>
      <c r="K248" s="4" t="b">
        <v>1</v>
      </c>
      <c r="L248" s="4" t="b">
        <v>0</v>
      </c>
    </row>
    <row r="249" spans="1:12" ht="13">
      <c r="A249" s="4" t="s">
        <v>7009</v>
      </c>
      <c r="B249" s="4" t="s">
        <v>4951</v>
      </c>
      <c r="C249" s="4" t="s">
        <v>108</v>
      </c>
      <c r="D249" s="4" t="s">
        <v>4952</v>
      </c>
      <c r="E249" s="4" t="s">
        <v>18</v>
      </c>
      <c r="F249" s="4" t="s">
        <v>7010</v>
      </c>
      <c r="G249" s="4" t="s">
        <v>7011</v>
      </c>
      <c r="H249" s="4">
        <v>2.2400000000000002</v>
      </c>
      <c r="I249" s="4">
        <v>1.32</v>
      </c>
      <c r="J249" s="4">
        <v>0.27701999999999999</v>
      </c>
      <c r="K249" s="4" t="b">
        <v>1</v>
      </c>
      <c r="L249" s="4" t="b">
        <v>0</v>
      </c>
    </row>
    <row r="250" spans="1:12" ht="13">
      <c r="A250" s="4" t="s">
        <v>7012</v>
      </c>
      <c r="B250" s="4" t="s">
        <v>4951</v>
      </c>
      <c r="C250" s="4" t="s">
        <v>108</v>
      </c>
      <c r="D250" s="4" t="s">
        <v>4952</v>
      </c>
      <c r="E250" s="4" t="s">
        <v>18</v>
      </c>
      <c r="F250" s="4" t="s">
        <v>7013</v>
      </c>
      <c r="G250" s="4" t="s">
        <v>7014</v>
      </c>
      <c r="H250" s="4">
        <v>2.2400000000000002</v>
      </c>
      <c r="I250" s="4">
        <v>1.1599999999999999</v>
      </c>
      <c r="J250" s="4">
        <v>0.29410999999999998</v>
      </c>
      <c r="K250" s="4" t="b">
        <v>1</v>
      </c>
      <c r="L250" s="4" t="b">
        <v>0</v>
      </c>
    </row>
    <row r="251" spans="1:12" ht="13">
      <c r="A251" s="4" t="s">
        <v>7015</v>
      </c>
      <c r="B251" s="4" t="s">
        <v>4951</v>
      </c>
      <c r="C251" s="4" t="s">
        <v>108</v>
      </c>
      <c r="D251" s="4" t="s">
        <v>4952</v>
      </c>
      <c r="E251" s="4" t="s">
        <v>18</v>
      </c>
      <c r="F251" s="4" t="s">
        <v>7016</v>
      </c>
      <c r="G251" s="4" t="s">
        <v>7017</v>
      </c>
      <c r="H251" s="4">
        <v>2.25</v>
      </c>
      <c r="I251" s="4">
        <v>1.23</v>
      </c>
      <c r="J251" s="4">
        <v>0.25818999999999998</v>
      </c>
      <c r="K251" s="4" t="b">
        <v>1</v>
      </c>
      <c r="L251" s="4" t="b">
        <v>0</v>
      </c>
    </row>
    <row r="252" spans="1:12" ht="13">
      <c r="A252" s="4" t="s">
        <v>7018</v>
      </c>
      <c r="B252" s="4" t="s">
        <v>4951</v>
      </c>
      <c r="C252" s="4" t="s">
        <v>108</v>
      </c>
      <c r="D252" s="4" t="s">
        <v>4952</v>
      </c>
      <c r="E252" s="4" t="s">
        <v>18</v>
      </c>
      <c r="F252" s="4" t="s">
        <v>7019</v>
      </c>
      <c r="G252" s="4" t="s">
        <v>7020</v>
      </c>
      <c r="H252" s="4">
        <v>2.25</v>
      </c>
      <c r="I252" s="4">
        <v>1.07</v>
      </c>
      <c r="J252" s="4">
        <v>0.24199000000000001</v>
      </c>
      <c r="K252" s="4" t="b">
        <v>1</v>
      </c>
      <c r="L252" s="4" t="b">
        <v>0</v>
      </c>
    </row>
    <row r="253" spans="1:12" ht="13">
      <c r="A253" s="4" t="s">
        <v>7021</v>
      </c>
      <c r="B253" s="4" t="s">
        <v>4951</v>
      </c>
      <c r="C253" s="4" t="s">
        <v>108</v>
      </c>
      <c r="D253" s="4" t="s">
        <v>4952</v>
      </c>
      <c r="E253" s="4" t="s">
        <v>18</v>
      </c>
      <c r="F253" s="4" t="s">
        <v>7022</v>
      </c>
      <c r="G253" s="4" t="s">
        <v>7023</v>
      </c>
      <c r="H253" s="4">
        <v>2.2599999999999998</v>
      </c>
      <c r="I253" s="4">
        <v>1.1200000000000001</v>
      </c>
      <c r="J253" s="4">
        <v>0.23926</v>
      </c>
      <c r="K253" s="4" t="b">
        <v>1</v>
      </c>
      <c r="L253" s="4" t="b">
        <v>0</v>
      </c>
    </row>
    <row r="254" spans="1:12" ht="13">
      <c r="A254" s="4" t="s">
        <v>7024</v>
      </c>
      <c r="B254" s="4" t="s">
        <v>4951</v>
      </c>
      <c r="C254" s="4" t="s">
        <v>108</v>
      </c>
      <c r="D254" s="4" t="s">
        <v>4952</v>
      </c>
      <c r="E254" s="4" t="s">
        <v>18</v>
      </c>
      <c r="F254" s="4" t="s">
        <v>7025</v>
      </c>
      <c r="G254" s="4" t="s">
        <v>7026</v>
      </c>
      <c r="H254" s="4">
        <v>2.2599999999999998</v>
      </c>
      <c r="I254" s="4">
        <v>1.2</v>
      </c>
      <c r="J254" s="4">
        <v>0.26885999999999999</v>
      </c>
      <c r="K254" s="4" t="b">
        <v>1</v>
      </c>
      <c r="L254" s="4" t="b">
        <v>0</v>
      </c>
    </row>
    <row r="255" spans="1:12" ht="13">
      <c r="A255" s="4" t="s">
        <v>7027</v>
      </c>
      <c r="B255" s="4" t="s">
        <v>4951</v>
      </c>
      <c r="C255" s="4" t="s">
        <v>108</v>
      </c>
      <c r="D255" s="4" t="s">
        <v>4952</v>
      </c>
      <c r="E255" s="4" t="s">
        <v>18</v>
      </c>
      <c r="F255" s="4" t="s">
        <v>7028</v>
      </c>
      <c r="G255" s="4" t="s">
        <v>7029</v>
      </c>
      <c r="H255" s="4">
        <v>2.27</v>
      </c>
      <c r="I255" s="4">
        <v>1.1100000000000001</v>
      </c>
      <c r="J255" s="4">
        <v>0.23147999999999999</v>
      </c>
      <c r="K255" s="4" t="b">
        <v>1</v>
      </c>
      <c r="L255" s="4" t="b">
        <v>0</v>
      </c>
    </row>
    <row r="256" spans="1:12" ht="13">
      <c r="A256" s="4" t="s">
        <v>7030</v>
      </c>
      <c r="B256" s="4" t="s">
        <v>4951</v>
      </c>
      <c r="C256" s="4" t="s">
        <v>108</v>
      </c>
      <c r="D256" s="4" t="s">
        <v>4952</v>
      </c>
      <c r="E256" s="4" t="s">
        <v>18</v>
      </c>
      <c r="F256" s="4" t="s">
        <v>7031</v>
      </c>
      <c r="G256" s="4" t="s">
        <v>7032</v>
      </c>
      <c r="H256" s="4">
        <v>2.27</v>
      </c>
      <c r="I256" s="4">
        <v>1.0900000000000001</v>
      </c>
      <c r="J256" s="4">
        <v>0.25553999999999999</v>
      </c>
      <c r="K256" s="4" t="b">
        <v>1</v>
      </c>
      <c r="L256" s="4" t="b">
        <v>0</v>
      </c>
    </row>
    <row r="257" spans="1:12" ht="13">
      <c r="A257" s="4" t="s">
        <v>7033</v>
      </c>
      <c r="B257" s="4" t="s">
        <v>4951</v>
      </c>
      <c r="C257" s="4" t="s">
        <v>108</v>
      </c>
      <c r="D257" s="4" t="s">
        <v>4952</v>
      </c>
      <c r="E257" s="4" t="s">
        <v>18</v>
      </c>
      <c r="F257" s="4" t="s">
        <v>7034</v>
      </c>
      <c r="G257" s="4" t="s">
        <v>7035</v>
      </c>
      <c r="H257" s="4">
        <v>2.2799999999999998</v>
      </c>
      <c r="I257" s="4">
        <v>1.21</v>
      </c>
      <c r="J257" s="4">
        <v>0.25907000000000002</v>
      </c>
      <c r="K257" s="4" t="b">
        <v>1</v>
      </c>
      <c r="L257" s="4" t="b">
        <v>0</v>
      </c>
    </row>
    <row r="258" spans="1:12" ht="13">
      <c r="A258" s="4" t="s">
        <v>7036</v>
      </c>
      <c r="B258" s="4" t="s">
        <v>4951</v>
      </c>
      <c r="C258" s="4" t="s">
        <v>108</v>
      </c>
      <c r="D258" s="4" t="s">
        <v>4952</v>
      </c>
      <c r="E258" s="4" t="s">
        <v>18</v>
      </c>
      <c r="F258" s="4" t="s">
        <v>7037</v>
      </c>
      <c r="G258" s="4" t="s">
        <v>7038</v>
      </c>
      <c r="H258" s="4">
        <v>2.2799999999999998</v>
      </c>
      <c r="I258" s="4">
        <v>1.0900000000000001</v>
      </c>
      <c r="J258" s="4">
        <v>0.23596</v>
      </c>
      <c r="K258" s="4" t="b">
        <v>1</v>
      </c>
      <c r="L258" s="4" t="b">
        <v>0</v>
      </c>
    </row>
    <row r="259" spans="1:12" ht="13">
      <c r="A259" s="4" t="s">
        <v>7039</v>
      </c>
      <c r="B259" s="4" t="s">
        <v>4951</v>
      </c>
      <c r="C259" s="4" t="s">
        <v>108</v>
      </c>
      <c r="D259" s="4" t="s">
        <v>4952</v>
      </c>
      <c r="E259" s="4" t="s">
        <v>18</v>
      </c>
      <c r="F259" s="4" t="s">
        <v>7040</v>
      </c>
      <c r="G259" s="4" t="s">
        <v>7041</v>
      </c>
      <c r="H259" s="4">
        <v>2.2799999999999998</v>
      </c>
      <c r="I259" s="4">
        <v>1.0900000000000001</v>
      </c>
      <c r="J259" s="4">
        <v>0.25496999999999997</v>
      </c>
      <c r="K259" s="4" t="b">
        <v>1</v>
      </c>
      <c r="L259" s="4" t="b">
        <v>0</v>
      </c>
    </row>
    <row r="260" spans="1:12" ht="13">
      <c r="A260" s="4" t="s">
        <v>7042</v>
      </c>
      <c r="B260" s="4" t="s">
        <v>4951</v>
      </c>
      <c r="C260" s="4" t="s">
        <v>108</v>
      </c>
      <c r="D260" s="4" t="s">
        <v>4952</v>
      </c>
      <c r="E260" s="4" t="s">
        <v>18</v>
      </c>
      <c r="F260" s="4" t="s">
        <v>7043</v>
      </c>
      <c r="G260" s="4" t="s">
        <v>7044</v>
      </c>
      <c r="H260" s="4">
        <v>2.29</v>
      </c>
      <c r="I260" s="4">
        <v>1.07</v>
      </c>
      <c r="J260" s="4">
        <v>0.23602999999999999</v>
      </c>
      <c r="K260" s="4" t="b">
        <v>1</v>
      </c>
      <c r="L260" s="4" t="b">
        <v>0</v>
      </c>
    </row>
    <row r="261" spans="1:12" ht="13">
      <c r="A261" s="4" t="s">
        <v>7045</v>
      </c>
      <c r="B261" s="4" t="s">
        <v>4951</v>
      </c>
      <c r="C261" s="4" t="s">
        <v>108</v>
      </c>
      <c r="D261" s="4" t="s">
        <v>4952</v>
      </c>
      <c r="E261" s="4" t="s">
        <v>18</v>
      </c>
      <c r="F261" s="4" t="s">
        <v>7046</v>
      </c>
      <c r="G261" s="4" t="s">
        <v>7047</v>
      </c>
      <c r="H261" s="4">
        <v>2.29</v>
      </c>
      <c r="I261" s="4">
        <v>1.07</v>
      </c>
      <c r="J261" s="4">
        <v>0.24</v>
      </c>
      <c r="K261" s="4" t="b">
        <v>1</v>
      </c>
      <c r="L261" s="4" t="b">
        <v>0</v>
      </c>
    </row>
    <row r="262" spans="1:12" ht="13">
      <c r="A262" s="4" t="s">
        <v>7048</v>
      </c>
      <c r="B262" s="4" t="s">
        <v>4951</v>
      </c>
      <c r="C262" s="4" t="s">
        <v>108</v>
      </c>
      <c r="D262" s="4" t="s">
        <v>4952</v>
      </c>
      <c r="E262" s="4" t="s">
        <v>18</v>
      </c>
      <c r="F262" s="4" t="s">
        <v>7049</v>
      </c>
      <c r="G262" s="4" t="s">
        <v>7050</v>
      </c>
      <c r="H262" s="4">
        <v>2.2999999999999998</v>
      </c>
      <c r="I262" s="4">
        <v>1.18</v>
      </c>
      <c r="J262" s="4">
        <v>0.24226</v>
      </c>
      <c r="K262" s="4" t="b">
        <v>1</v>
      </c>
      <c r="L262" s="4" t="b">
        <v>0</v>
      </c>
    </row>
    <row r="263" spans="1:12" ht="13">
      <c r="A263" s="4" t="s">
        <v>7051</v>
      </c>
      <c r="B263" s="4" t="s">
        <v>4951</v>
      </c>
      <c r="C263" s="4" t="s">
        <v>108</v>
      </c>
      <c r="D263" s="4" t="s">
        <v>4952</v>
      </c>
      <c r="E263" s="4" t="s">
        <v>18</v>
      </c>
      <c r="F263" s="4" t="s">
        <v>7052</v>
      </c>
      <c r="G263" s="4" t="s">
        <v>7053</v>
      </c>
      <c r="H263" s="4">
        <v>2.2999999999999998</v>
      </c>
      <c r="I263" s="4">
        <v>1.25</v>
      </c>
      <c r="J263" s="4">
        <v>0.24248</v>
      </c>
      <c r="K263" s="4" t="b">
        <v>1</v>
      </c>
      <c r="L263" s="4" t="b">
        <v>0</v>
      </c>
    </row>
    <row r="264" spans="1:12" ht="13">
      <c r="A264" s="4" t="s">
        <v>7054</v>
      </c>
      <c r="B264" s="4" t="s">
        <v>4951</v>
      </c>
      <c r="C264" s="4" t="s">
        <v>108</v>
      </c>
      <c r="D264" s="4" t="s">
        <v>4952</v>
      </c>
      <c r="E264" s="4" t="s">
        <v>18</v>
      </c>
      <c r="F264" s="4" t="s">
        <v>7055</v>
      </c>
      <c r="G264" s="4" t="s">
        <v>7056</v>
      </c>
      <c r="H264" s="4">
        <v>2.31</v>
      </c>
      <c r="I264" s="4">
        <v>1.1299999999999999</v>
      </c>
      <c r="J264" s="4">
        <v>0.25059999999999999</v>
      </c>
      <c r="K264" s="4" t="b">
        <v>1</v>
      </c>
      <c r="L264" s="4" t="b">
        <v>0</v>
      </c>
    </row>
    <row r="265" spans="1:12" ht="13">
      <c r="A265" s="4" t="s">
        <v>7057</v>
      </c>
      <c r="B265" s="4" t="s">
        <v>4951</v>
      </c>
      <c r="C265" s="4" t="s">
        <v>108</v>
      </c>
      <c r="D265" s="4" t="s">
        <v>4952</v>
      </c>
      <c r="E265" s="4" t="s">
        <v>18</v>
      </c>
      <c r="F265" s="4" t="s">
        <v>7058</v>
      </c>
      <c r="G265" s="4" t="s">
        <v>7059</v>
      </c>
      <c r="H265" s="4">
        <v>2.31</v>
      </c>
      <c r="I265" s="4">
        <v>1.05</v>
      </c>
      <c r="J265" s="4">
        <v>0.23644999999999999</v>
      </c>
      <c r="K265" s="4" t="b">
        <v>1</v>
      </c>
      <c r="L265" s="4" t="b">
        <v>0</v>
      </c>
    </row>
    <row r="266" spans="1:12" ht="13">
      <c r="A266" s="4" t="s">
        <v>7060</v>
      </c>
      <c r="B266" s="4" t="s">
        <v>4951</v>
      </c>
      <c r="C266" s="4" t="s">
        <v>108</v>
      </c>
      <c r="D266" s="4" t="s">
        <v>4952</v>
      </c>
      <c r="E266" s="4" t="s">
        <v>18</v>
      </c>
      <c r="F266" s="4" t="s">
        <v>7061</v>
      </c>
      <c r="G266" s="4" t="s">
        <v>7062</v>
      </c>
      <c r="H266" s="4">
        <v>2.3199999999999998</v>
      </c>
      <c r="I266" s="4">
        <v>1.29</v>
      </c>
      <c r="J266" s="4">
        <v>0.22853000000000001</v>
      </c>
      <c r="K266" s="4" t="b">
        <v>1</v>
      </c>
      <c r="L266" s="4" t="b">
        <v>0</v>
      </c>
    </row>
    <row r="267" spans="1:12" ht="13">
      <c r="A267" s="4" t="s">
        <v>7063</v>
      </c>
      <c r="B267" s="4" t="s">
        <v>4951</v>
      </c>
      <c r="C267" s="4" t="s">
        <v>108</v>
      </c>
      <c r="D267" s="4" t="s">
        <v>4952</v>
      </c>
      <c r="E267" s="4" t="s">
        <v>18</v>
      </c>
      <c r="F267" s="4" t="s">
        <v>7064</v>
      </c>
      <c r="G267" s="4" t="s">
        <v>7065</v>
      </c>
      <c r="H267" s="4">
        <v>2.3199999999999998</v>
      </c>
      <c r="I267" s="4">
        <v>1.23</v>
      </c>
      <c r="J267" s="4">
        <v>0.22342999999999999</v>
      </c>
      <c r="K267" s="4" t="b">
        <v>1</v>
      </c>
      <c r="L267" s="4" t="b">
        <v>0</v>
      </c>
    </row>
    <row r="268" spans="1:12" ht="13">
      <c r="A268" s="4" t="s">
        <v>7066</v>
      </c>
      <c r="B268" s="4" t="s">
        <v>4951</v>
      </c>
      <c r="C268" s="4" t="s">
        <v>108</v>
      </c>
      <c r="D268" s="4" t="s">
        <v>4952</v>
      </c>
      <c r="E268" s="4" t="s">
        <v>18</v>
      </c>
      <c r="F268" s="4" t="s">
        <v>7067</v>
      </c>
      <c r="G268" s="4" t="s">
        <v>7068</v>
      </c>
      <c r="H268" s="4">
        <v>1.01</v>
      </c>
      <c r="I268" s="4">
        <v>1.0900000000000001</v>
      </c>
      <c r="J268" s="4">
        <v>0.27113999999999999</v>
      </c>
      <c r="K268" s="4" t="b">
        <v>1</v>
      </c>
      <c r="L268" s="4" t="b">
        <v>0</v>
      </c>
    </row>
    <row r="269" spans="1:12" ht="13">
      <c r="A269" s="4" t="s">
        <v>7069</v>
      </c>
      <c r="B269" s="4" t="s">
        <v>4951</v>
      </c>
      <c r="C269" s="4" t="s">
        <v>108</v>
      </c>
      <c r="D269" s="4" t="s">
        <v>4952</v>
      </c>
      <c r="E269" s="4" t="s">
        <v>18</v>
      </c>
      <c r="F269" s="4" t="s">
        <v>7070</v>
      </c>
      <c r="G269" s="4" t="s">
        <v>7071</v>
      </c>
      <c r="H269" s="4">
        <v>1.02</v>
      </c>
      <c r="I269" s="4">
        <v>1.04</v>
      </c>
      <c r="J269" s="4">
        <v>0.25076999999999999</v>
      </c>
      <c r="K269" s="4" t="b">
        <v>1</v>
      </c>
      <c r="L269" s="4" t="b">
        <v>0</v>
      </c>
    </row>
    <row r="270" spans="1:12" ht="13">
      <c r="A270" s="4" t="s">
        <v>7075</v>
      </c>
      <c r="B270" s="4" t="s">
        <v>4951</v>
      </c>
      <c r="C270" s="4" t="s">
        <v>108</v>
      </c>
      <c r="D270" s="4" t="s">
        <v>4952</v>
      </c>
      <c r="E270" s="4" t="s">
        <v>18</v>
      </c>
      <c r="F270" s="4" t="s">
        <v>7076</v>
      </c>
      <c r="G270" s="4" t="s">
        <v>7077</v>
      </c>
      <c r="H270" s="4">
        <v>1.03</v>
      </c>
      <c r="I270" s="4">
        <v>0.99</v>
      </c>
      <c r="J270" s="4">
        <v>0.23752999999999999</v>
      </c>
      <c r="K270" s="4" t="b">
        <v>1</v>
      </c>
      <c r="L270" s="4" t="b">
        <v>0</v>
      </c>
    </row>
    <row r="271" spans="1:12" ht="13">
      <c r="A271" s="4" t="s">
        <v>7078</v>
      </c>
      <c r="B271" s="4" t="s">
        <v>4951</v>
      </c>
      <c r="C271" s="4" t="s">
        <v>108</v>
      </c>
      <c r="D271" s="4" t="s">
        <v>4952</v>
      </c>
      <c r="E271" s="4" t="s">
        <v>18</v>
      </c>
      <c r="F271" s="4" t="s">
        <v>7079</v>
      </c>
      <c r="G271" s="4" t="s">
        <v>7080</v>
      </c>
      <c r="H271" s="4">
        <v>1.03</v>
      </c>
      <c r="I271" s="4">
        <v>1.0900000000000001</v>
      </c>
      <c r="J271" s="4">
        <v>0.24992</v>
      </c>
      <c r="K271" s="4" t="b">
        <v>1</v>
      </c>
      <c r="L271" s="4" t="b">
        <v>0</v>
      </c>
    </row>
    <row r="272" spans="1:12" ht="13">
      <c r="A272" s="4" t="s">
        <v>7081</v>
      </c>
      <c r="B272" s="4" t="s">
        <v>4951</v>
      </c>
      <c r="C272" s="4" t="s">
        <v>108</v>
      </c>
      <c r="D272" s="4" t="s">
        <v>4952</v>
      </c>
      <c r="E272" s="4" t="s">
        <v>18</v>
      </c>
      <c r="F272" s="4" t="s">
        <v>7082</v>
      </c>
      <c r="G272" s="4" t="s">
        <v>7083</v>
      </c>
      <c r="H272" s="4">
        <v>1.04</v>
      </c>
      <c r="I272" s="4">
        <v>1.1499999999999999</v>
      </c>
      <c r="J272" s="4">
        <v>0.26696999999999999</v>
      </c>
      <c r="K272" s="4" t="b">
        <v>1</v>
      </c>
      <c r="L272" s="4" t="b">
        <v>0</v>
      </c>
    </row>
    <row r="273" spans="1:13" ht="13">
      <c r="A273" s="4" t="s">
        <v>7084</v>
      </c>
      <c r="B273" s="4" t="s">
        <v>4951</v>
      </c>
      <c r="C273" s="4" t="s">
        <v>108</v>
      </c>
      <c r="D273" s="4" t="s">
        <v>4952</v>
      </c>
      <c r="E273" s="4" t="s">
        <v>18</v>
      </c>
      <c r="F273" s="4" t="s">
        <v>7085</v>
      </c>
      <c r="G273" s="4" t="s">
        <v>7086</v>
      </c>
      <c r="H273" s="4">
        <v>1.04</v>
      </c>
      <c r="I273" s="4">
        <v>1.0900000000000001</v>
      </c>
      <c r="J273" s="4">
        <v>0.24942</v>
      </c>
      <c r="K273" s="4" t="b">
        <v>1</v>
      </c>
      <c r="L273" s="4" t="b">
        <v>0</v>
      </c>
    </row>
    <row r="274" spans="1:13" ht="13">
      <c r="A274" s="4" t="s">
        <v>7087</v>
      </c>
      <c r="B274" s="4" t="s">
        <v>4951</v>
      </c>
      <c r="C274" s="4" t="s">
        <v>108</v>
      </c>
      <c r="D274" s="4" t="s">
        <v>4952</v>
      </c>
      <c r="E274" s="4" t="s">
        <v>18</v>
      </c>
      <c r="F274" s="4" t="s">
        <v>7088</v>
      </c>
      <c r="G274" s="4" t="s">
        <v>7089</v>
      </c>
      <c r="H274" s="4">
        <v>1.05</v>
      </c>
      <c r="I274" s="4">
        <v>1.28</v>
      </c>
      <c r="J274" s="4">
        <v>0.25725999999999999</v>
      </c>
      <c r="K274" s="4" t="b">
        <v>1</v>
      </c>
      <c r="L274" s="4" t="b">
        <v>0</v>
      </c>
    </row>
    <row r="275" spans="1:13" ht="13">
      <c r="A275" s="4" t="s">
        <v>7090</v>
      </c>
      <c r="B275" s="4" t="s">
        <v>4951</v>
      </c>
      <c r="C275" s="4" t="s">
        <v>108</v>
      </c>
      <c r="D275" s="4" t="s">
        <v>4952</v>
      </c>
      <c r="E275" s="4" t="s">
        <v>18</v>
      </c>
      <c r="F275" s="4" t="s">
        <v>7091</v>
      </c>
      <c r="G275" s="4" t="s">
        <v>7092</v>
      </c>
      <c r="H275" s="4">
        <v>1.05</v>
      </c>
      <c r="I275" s="4">
        <v>1.0900000000000001</v>
      </c>
      <c r="J275" s="4">
        <v>0.24102000000000001</v>
      </c>
      <c r="K275" s="4" t="b">
        <v>1</v>
      </c>
      <c r="L275" s="4" t="b">
        <v>0</v>
      </c>
    </row>
    <row r="276" spans="1:13" ht="13">
      <c r="A276" s="4" t="s">
        <v>7093</v>
      </c>
      <c r="B276" s="4" t="s">
        <v>4951</v>
      </c>
      <c r="C276" s="4" t="s">
        <v>108</v>
      </c>
      <c r="D276" s="4" t="s">
        <v>4952</v>
      </c>
      <c r="E276" s="4" t="s">
        <v>18</v>
      </c>
      <c r="F276" s="4" t="s">
        <v>7094</v>
      </c>
      <c r="G276" s="4" t="s">
        <v>7095</v>
      </c>
      <c r="H276" s="4">
        <v>1.06</v>
      </c>
      <c r="I276" s="4">
        <v>1.0900000000000001</v>
      </c>
      <c r="J276" s="4">
        <v>0.23618</v>
      </c>
      <c r="K276" s="4" t="b">
        <v>1</v>
      </c>
      <c r="L276" s="4" t="b">
        <v>0</v>
      </c>
    </row>
    <row r="277" spans="1:13" ht="13">
      <c r="A277" s="4" t="s">
        <v>7096</v>
      </c>
      <c r="B277" s="4" t="s">
        <v>4951</v>
      </c>
      <c r="C277" s="4" t="s">
        <v>108</v>
      </c>
      <c r="D277" s="4" t="s">
        <v>4952</v>
      </c>
      <c r="E277" s="4" t="s">
        <v>18</v>
      </c>
      <c r="F277" s="4" t="s">
        <v>7097</v>
      </c>
      <c r="G277" s="4" t="s">
        <v>7098</v>
      </c>
      <c r="H277" s="4">
        <v>1.07</v>
      </c>
      <c r="I277" s="4">
        <v>1.06</v>
      </c>
      <c r="J277" s="4">
        <v>0.25222</v>
      </c>
      <c r="K277" s="4" t="b">
        <v>1</v>
      </c>
      <c r="L277" s="4" t="b">
        <v>0</v>
      </c>
    </row>
    <row r="278" spans="1:13" ht="13">
      <c r="A278" s="4" t="s">
        <v>3133</v>
      </c>
      <c r="B278" s="4" t="s">
        <v>4951</v>
      </c>
      <c r="C278" s="4" t="s">
        <v>108</v>
      </c>
      <c r="D278" s="4" t="s">
        <v>4952</v>
      </c>
      <c r="E278" s="4" t="s">
        <v>18</v>
      </c>
      <c r="F278" s="4" t="s">
        <v>4963</v>
      </c>
      <c r="G278" s="4" t="s">
        <v>3029</v>
      </c>
      <c r="H278" s="4">
        <v>1.07</v>
      </c>
      <c r="I278" s="4">
        <v>1.1100000000000001</v>
      </c>
      <c r="J278" s="4">
        <v>0.24826000000000001</v>
      </c>
      <c r="K278" s="4" t="b">
        <v>1</v>
      </c>
      <c r="L278" s="4" t="b">
        <v>1</v>
      </c>
      <c r="M278" s="41" t="s">
        <v>4929</v>
      </c>
    </row>
    <row r="279" spans="1:13" ht="13">
      <c r="A279" s="4" t="s">
        <v>7099</v>
      </c>
      <c r="B279" s="4" t="s">
        <v>4951</v>
      </c>
      <c r="C279" s="4" t="s">
        <v>108</v>
      </c>
      <c r="D279" s="4" t="s">
        <v>4952</v>
      </c>
      <c r="E279" s="4" t="s">
        <v>18</v>
      </c>
      <c r="F279" s="4" t="s">
        <v>7100</v>
      </c>
      <c r="G279" s="4" t="s">
        <v>7101</v>
      </c>
      <c r="H279" s="4">
        <v>1.08</v>
      </c>
      <c r="I279" s="4">
        <v>1.3</v>
      </c>
      <c r="J279" s="4">
        <v>0.24695</v>
      </c>
      <c r="K279" s="4" t="b">
        <v>1</v>
      </c>
      <c r="L279" s="4" t="b">
        <v>0</v>
      </c>
    </row>
    <row r="280" spans="1:13" ht="13">
      <c r="A280" s="4" t="s">
        <v>3134</v>
      </c>
      <c r="B280" s="4" t="s">
        <v>4951</v>
      </c>
      <c r="C280" s="4" t="s">
        <v>108</v>
      </c>
      <c r="D280" s="4" t="s">
        <v>4952</v>
      </c>
      <c r="E280" s="4" t="s">
        <v>18</v>
      </c>
      <c r="F280" s="4" t="s">
        <v>4964</v>
      </c>
      <c r="G280" s="4" t="s">
        <v>3030</v>
      </c>
      <c r="H280" s="4">
        <v>1.08</v>
      </c>
      <c r="I280" s="4">
        <v>1.1100000000000001</v>
      </c>
      <c r="J280" s="4">
        <v>0.24740999999999999</v>
      </c>
      <c r="K280" s="4" t="b">
        <v>1</v>
      </c>
      <c r="L280" s="4" t="b">
        <v>1</v>
      </c>
      <c r="M280" s="41" t="s">
        <v>4929</v>
      </c>
    </row>
    <row r="281" spans="1:13" ht="13">
      <c r="A281" s="4" t="s">
        <v>7102</v>
      </c>
      <c r="B281" s="4" t="s">
        <v>4951</v>
      </c>
      <c r="C281" s="4" t="s">
        <v>108</v>
      </c>
      <c r="D281" s="4" t="s">
        <v>4952</v>
      </c>
      <c r="E281" s="4" t="s">
        <v>18</v>
      </c>
      <c r="F281" s="4" t="s">
        <v>7103</v>
      </c>
      <c r="G281" s="4" t="s">
        <v>7104</v>
      </c>
      <c r="H281" s="4">
        <v>1.0900000000000001</v>
      </c>
      <c r="I281" s="4">
        <v>1.21</v>
      </c>
      <c r="J281" s="4">
        <v>0.24765000000000001</v>
      </c>
      <c r="K281" s="4" t="b">
        <v>1</v>
      </c>
      <c r="L281" s="4" t="b">
        <v>0</v>
      </c>
    </row>
    <row r="282" spans="1:13" ht="13">
      <c r="A282" s="4" t="s">
        <v>7105</v>
      </c>
      <c r="B282" s="4" t="s">
        <v>4951</v>
      </c>
      <c r="C282" s="4" t="s">
        <v>108</v>
      </c>
      <c r="D282" s="4" t="s">
        <v>4952</v>
      </c>
      <c r="E282" s="4" t="s">
        <v>18</v>
      </c>
      <c r="F282" s="4" t="s">
        <v>7106</v>
      </c>
      <c r="G282" s="4" t="s">
        <v>7107</v>
      </c>
      <c r="H282" s="4">
        <v>1.0900000000000001</v>
      </c>
      <c r="I282" s="4">
        <v>1.05</v>
      </c>
      <c r="J282" s="4">
        <v>0.23569000000000001</v>
      </c>
      <c r="K282" s="4" t="b">
        <v>1</v>
      </c>
      <c r="L282" s="4" t="b">
        <v>0</v>
      </c>
    </row>
    <row r="283" spans="1:13" ht="13">
      <c r="A283" s="4" t="s">
        <v>7108</v>
      </c>
      <c r="B283" s="4" t="s">
        <v>4951</v>
      </c>
      <c r="C283" s="4" t="s">
        <v>108</v>
      </c>
      <c r="D283" s="4" t="s">
        <v>4952</v>
      </c>
      <c r="E283" s="4" t="s">
        <v>18</v>
      </c>
      <c r="F283" s="4" t="s">
        <v>7109</v>
      </c>
      <c r="G283" s="4" t="s">
        <v>7110</v>
      </c>
      <c r="H283" s="4">
        <v>1.1000000000000001</v>
      </c>
      <c r="I283" s="4">
        <v>1.1399999999999999</v>
      </c>
      <c r="J283" s="4">
        <v>0.24629000000000001</v>
      </c>
      <c r="K283" s="4" t="b">
        <v>1</v>
      </c>
      <c r="L283" s="4" t="b">
        <v>0</v>
      </c>
    </row>
    <row r="284" spans="1:13" ht="13">
      <c r="A284" s="4" t="s">
        <v>7111</v>
      </c>
      <c r="B284" s="4" t="s">
        <v>4951</v>
      </c>
      <c r="C284" s="4" t="s">
        <v>108</v>
      </c>
      <c r="D284" s="4" t="s">
        <v>4952</v>
      </c>
      <c r="E284" s="4" t="s">
        <v>18</v>
      </c>
      <c r="F284" s="4" t="s">
        <v>7112</v>
      </c>
      <c r="G284" s="4" t="s">
        <v>7113</v>
      </c>
      <c r="H284" s="4">
        <v>1.1000000000000001</v>
      </c>
      <c r="I284" s="4">
        <v>1.17</v>
      </c>
      <c r="J284" s="4">
        <v>0.25141000000000002</v>
      </c>
      <c r="K284" s="4" t="b">
        <v>1</v>
      </c>
      <c r="L284" s="4" t="b">
        <v>0</v>
      </c>
    </row>
    <row r="285" spans="1:13" ht="13">
      <c r="A285" s="4" t="s">
        <v>7114</v>
      </c>
      <c r="B285" s="4" t="s">
        <v>4951</v>
      </c>
      <c r="C285" s="4" t="s">
        <v>108</v>
      </c>
      <c r="D285" s="4" t="s">
        <v>4952</v>
      </c>
      <c r="E285" s="4" t="s">
        <v>18</v>
      </c>
      <c r="F285" s="4" t="s">
        <v>7115</v>
      </c>
      <c r="G285" s="4" t="s">
        <v>7116</v>
      </c>
      <c r="H285" s="4">
        <v>1.1000000000000001</v>
      </c>
      <c r="I285" s="4">
        <v>1.2</v>
      </c>
      <c r="J285" s="4">
        <v>0.24834000000000001</v>
      </c>
      <c r="K285" s="4" t="b">
        <v>1</v>
      </c>
      <c r="L285" s="4" t="b">
        <v>0</v>
      </c>
    </row>
    <row r="286" spans="1:13" ht="13">
      <c r="A286" s="4" t="s">
        <v>7117</v>
      </c>
      <c r="B286" s="4" t="s">
        <v>4951</v>
      </c>
      <c r="C286" s="4" t="s">
        <v>108</v>
      </c>
      <c r="D286" s="4" t="s">
        <v>4952</v>
      </c>
      <c r="E286" s="4" t="s">
        <v>18</v>
      </c>
      <c r="F286" s="4" t="s">
        <v>7118</v>
      </c>
      <c r="G286" s="4" t="s">
        <v>7119</v>
      </c>
      <c r="H286" s="4">
        <v>1.1100000000000001</v>
      </c>
      <c r="I286" s="4">
        <v>1.08</v>
      </c>
      <c r="J286" s="4">
        <v>0.24228</v>
      </c>
      <c r="K286" s="4" t="b">
        <v>1</v>
      </c>
      <c r="L286" s="4" t="b">
        <v>0</v>
      </c>
    </row>
    <row r="287" spans="1:13" ht="13">
      <c r="A287" s="4" t="s">
        <v>7120</v>
      </c>
      <c r="B287" s="4" t="s">
        <v>4951</v>
      </c>
      <c r="C287" s="4" t="s">
        <v>108</v>
      </c>
      <c r="D287" s="4" t="s">
        <v>4952</v>
      </c>
      <c r="E287" s="4" t="s">
        <v>18</v>
      </c>
      <c r="F287" s="4" t="s">
        <v>7121</v>
      </c>
      <c r="G287" s="4" t="s">
        <v>7122</v>
      </c>
      <c r="H287" s="4">
        <v>1.1100000000000001</v>
      </c>
      <c r="I287" s="4">
        <v>1.1399999999999999</v>
      </c>
      <c r="J287" s="4">
        <v>0.29870999999999998</v>
      </c>
      <c r="K287" s="4" t="b">
        <v>1</v>
      </c>
      <c r="L287" s="4" t="b">
        <v>0</v>
      </c>
    </row>
    <row r="288" spans="1:13" ht="13">
      <c r="A288" s="4" t="s">
        <v>7126</v>
      </c>
      <c r="B288" s="4" t="s">
        <v>4951</v>
      </c>
      <c r="C288" s="4" t="s">
        <v>108</v>
      </c>
      <c r="D288" s="4" t="s">
        <v>4952</v>
      </c>
      <c r="E288" s="4" t="s">
        <v>18</v>
      </c>
      <c r="F288" s="4" t="s">
        <v>7127</v>
      </c>
      <c r="G288" s="4" t="s">
        <v>7128</v>
      </c>
      <c r="H288" s="4">
        <v>1.1200000000000001</v>
      </c>
      <c r="I288" s="4">
        <v>1.1100000000000001</v>
      </c>
      <c r="J288" s="4">
        <v>0.25402999999999998</v>
      </c>
      <c r="K288" s="4" t="b">
        <v>1</v>
      </c>
      <c r="L288" s="4" t="b">
        <v>0</v>
      </c>
    </row>
    <row r="289" spans="1:12" ht="13">
      <c r="A289" s="4" t="s">
        <v>7129</v>
      </c>
      <c r="B289" s="4" t="s">
        <v>4951</v>
      </c>
      <c r="C289" s="4" t="s">
        <v>108</v>
      </c>
      <c r="D289" s="4" t="s">
        <v>4952</v>
      </c>
      <c r="E289" s="4" t="s">
        <v>18</v>
      </c>
      <c r="F289" s="4" t="s">
        <v>7130</v>
      </c>
      <c r="G289" s="4" t="s">
        <v>7131</v>
      </c>
      <c r="H289" s="4">
        <v>1.1200000000000001</v>
      </c>
      <c r="I289" s="4">
        <v>1.26</v>
      </c>
      <c r="J289" s="4">
        <v>0.2152</v>
      </c>
      <c r="K289" s="4" t="b">
        <v>1</v>
      </c>
      <c r="L289" s="4" t="b">
        <v>0</v>
      </c>
    </row>
    <row r="290" spans="1:12" ht="13">
      <c r="A290" s="4" t="s">
        <v>7132</v>
      </c>
      <c r="B290" s="4" t="s">
        <v>4951</v>
      </c>
      <c r="C290" s="4" t="s">
        <v>108</v>
      </c>
      <c r="D290" s="4" t="s">
        <v>4952</v>
      </c>
      <c r="E290" s="4" t="s">
        <v>18</v>
      </c>
      <c r="F290" s="4" t="s">
        <v>7133</v>
      </c>
      <c r="G290" s="4" t="s">
        <v>7134</v>
      </c>
      <c r="H290" s="4">
        <v>1.1200000000000001</v>
      </c>
      <c r="I290" s="4">
        <v>1.0900000000000001</v>
      </c>
      <c r="J290" s="4">
        <v>0.25553999999999999</v>
      </c>
      <c r="K290" s="4" t="b">
        <v>1</v>
      </c>
      <c r="L290" s="4" t="b">
        <v>0</v>
      </c>
    </row>
    <row r="291" spans="1:12" ht="13">
      <c r="A291" s="4" t="s">
        <v>7135</v>
      </c>
      <c r="B291" s="4" t="s">
        <v>4951</v>
      </c>
      <c r="C291" s="4" t="s">
        <v>108</v>
      </c>
      <c r="D291" s="4" t="s">
        <v>4952</v>
      </c>
      <c r="E291" s="4" t="s">
        <v>18</v>
      </c>
      <c r="F291" s="4" t="s">
        <v>7136</v>
      </c>
      <c r="G291" s="4" t="s">
        <v>7137</v>
      </c>
      <c r="H291" s="4">
        <v>1.1200000000000001</v>
      </c>
      <c r="I291" s="4">
        <v>1.06</v>
      </c>
      <c r="J291" s="4">
        <v>0.24079999999999999</v>
      </c>
      <c r="K291" s="4" t="b">
        <v>1</v>
      </c>
      <c r="L291" s="4" t="b">
        <v>0</v>
      </c>
    </row>
    <row r="292" spans="1:12" ht="13">
      <c r="A292" s="4" t="s">
        <v>7138</v>
      </c>
      <c r="B292" s="4" t="s">
        <v>4951</v>
      </c>
      <c r="C292" s="4" t="s">
        <v>108</v>
      </c>
      <c r="D292" s="4" t="s">
        <v>4952</v>
      </c>
      <c r="E292" s="4" t="s">
        <v>18</v>
      </c>
      <c r="F292" s="4" t="s">
        <v>7139</v>
      </c>
      <c r="G292" s="4" t="s">
        <v>7140</v>
      </c>
      <c r="H292" s="4">
        <v>1.1299999999999999</v>
      </c>
      <c r="I292" s="4">
        <v>1.22</v>
      </c>
      <c r="J292" s="4">
        <v>0.29110000000000003</v>
      </c>
      <c r="K292" s="4" t="b">
        <v>1</v>
      </c>
      <c r="L292" s="4" t="b">
        <v>0</v>
      </c>
    </row>
    <row r="293" spans="1:12" ht="13">
      <c r="A293" s="4" t="s">
        <v>7141</v>
      </c>
      <c r="B293" s="4" t="s">
        <v>4951</v>
      </c>
      <c r="C293" s="4" t="s">
        <v>108</v>
      </c>
      <c r="D293" s="4" t="s">
        <v>4952</v>
      </c>
      <c r="E293" s="4" t="s">
        <v>18</v>
      </c>
      <c r="F293" s="4" t="s">
        <v>7142</v>
      </c>
      <c r="G293" s="4" t="s">
        <v>7143</v>
      </c>
      <c r="H293" s="4">
        <v>1.1299999999999999</v>
      </c>
      <c r="I293" s="4">
        <v>1.1100000000000001</v>
      </c>
      <c r="J293" s="4">
        <v>0.24031</v>
      </c>
      <c r="K293" s="4" t="b">
        <v>1</v>
      </c>
      <c r="L293" s="4" t="b">
        <v>0</v>
      </c>
    </row>
    <row r="294" spans="1:12" ht="13">
      <c r="A294" s="4" t="s">
        <v>7144</v>
      </c>
      <c r="B294" s="4" t="s">
        <v>4951</v>
      </c>
      <c r="C294" s="4" t="s">
        <v>108</v>
      </c>
      <c r="D294" s="4" t="s">
        <v>4952</v>
      </c>
      <c r="E294" s="4" t="s">
        <v>18</v>
      </c>
      <c r="F294" s="4" t="s">
        <v>7145</v>
      </c>
      <c r="G294" s="4" t="s">
        <v>7146</v>
      </c>
      <c r="H294" s="4">
        <v>1.1399999999999999</v>
      </c>
      <c r="I294" s="4">
        <v>1.06</v>
      </c>
      <c r="J294" s="4">
        <v>0.2412</v>
      </c>
      <c r="K294" s="4" t="b">
        <v>1</v>
      </c>
      <c r="L294" s="4" t="b">
        <v>0</v>
      </c>
    </row>
    <row r="295" spans="1:12" ht="13">
      <c r="A295" s="4" t="s">
        <v>7147</v>
      </c>
      <c r="B295" s="4" t="s">
        <v>4951</v>
      </c>
      <c r="C295" s="4" t="s">
        <v>108</v>
      </c>
      <c r="D295" s="4" t="s">
        <v>4952</v>
      </c>
      <c r="E295" s="4" t="s">
        <v>18</v>
      </c>
      <c r="F295" s="4" t="s">
        <v>7148</v>
      </c>
      <c r="G295" s="4" t="s">
        <v>7149</v>
      </c>
      <c r="H295" s="4">
        <v>1.1399999999999999</v>
      </c>
      <c r="I295" s="4">
        <v>1.1299999999999999</v>
      </c>
      <c r="J295" s="4">
        <v>0.23422000000000001</v>
      </c>
      <c r="K295" s="4" t="b">
        <v>1</v>
      </c>
      <c r="L295" s="4" t="b">
        <v>0</v>
      </c>
    </row>
    <row r="296" spans="1:12" ht="13">
      <c r="A296" s="4" t="s">
        <v>7150</v>
      </c>
      <c r="B296" s="4" t="s">
        <v>4951</v>
      </c>
      <c r="C296" s="4" t="s">
        <v>108</v>
      </c>
      <c r="D296" s="4" t="s">
        <v>4952</v>
      </c>
      <c r="E296" s="4" t="s">
        <v>18</v>
      </c>
      <c r="F296" s="4" t="s">
        <v>7151</v>
      </c>
      <c r="G296" s="4" t="s">
        <v>7152</v>
      </c>
      <c r="H296" s="4">
        <v>1.1499999999999999</v>
      </c>
      <c r="I296" s="4">
        <v>1.07</v>
      </c>
      <c r="J296" s="4">
        <v>0.24609</v>
      </c>
      <c r="K296" s="4" t="b">
        <v>1</v>
      </c>
      <c r="L296" s="4" t="b">
        <v>0</v>
      </c>
    </row>
    <row r="297" spans="1:12" ht="13">
      <c r="A297" s="4" t="s">
        <v>7153</v>
      </c>
      <c r="B297" s="4" t="s">
        <v>4951</v>
      </c>
      <c r="C297" s="4" t="s">
        <v>108</v>
      </c>
      <c r="D297" s="4" t="s">
        <v>4952</v>
      </c>
      <c r="E297" s="4" t="s">
        <v>18</v>
      </c>
      <c r="F297" s="4" t="s">
        <v>7154</v>
      </c>
      <c r="G297" s="4" t="s">
        <v>7155</v>
      </c>
      <c r="H297" s="4">
        <v>1.1499999999999999</v>
      </c>
      <c r="I297" s="4">
        <v>1.06</v>
      </c>
      <c r="J297" s="4">
        <v>0.23419999999999999</v>
      </c>
      <c r="K297" s="4" t="b">
        <v>1</v>
      </c>
      <c r="L297" s="4" t="b">
        <v>0</v>
      </c>
    </row>
    <row r="298" spans="1:12" ht="13">
      <c r="A298" s="4" t="s">
        <v>7159</v>
      </c>
      <c r="B298" s="4" t="s">
        <v>4951</v>
      </c>
      <c r="C298" s="4" t="s">
        <v>108</v>
      </c>
      <c r="D298" s="4" t="s">
        <v>4952</v>
      </c>
      <c r="E298" s="4" t="s">
        <v>18</v>
      </c>
      <c r="F298" s="4" t="s">
        <v>7160</v>
      </c>
      <c r="G298" s="4" t="s">
        <v>7161</v>
      </c>
      <c r="H298" s="4">
        <v>1.1599999999999999</v>
      </c>
      <c r="I298" s="4">
        <v>1.05</v>
      </c>
      <c r="J298" s="4">
        <v>0.23880000000000001</v>
      </c>
      <c r="K298" s="4" t="b">
        <v>1</v>
      </c>
      <c r="L298" s="4" t="b">
        <v>0</v>
      </c>
    </row>
    <row r="299" spans="1:12" ht="13">
      <c r="A299" s="4" t="s">
        <v>7162</v>
      </c>
      <c r="B299" s="4" t="s">
        <v>4951</v>
      </c>
      <c r="C299" s="4" t="s">
        <v>108</v>
      </c>
      <c r="D299" s="4" t="s">
        <v>4952</v>
      </c>
      <c r="E299" s="4" t="s">
        <v>18</v>
      </c>
      <c r="F299" s="4" t="s">
        <v>7163</v>
      </c>
      <c r="G299" s="4" t="s">
        <v>7164</v>
      </c>
      <c r="H299" s="4">
        <v>1.1599999999999999</v>
      </c>
      <c r="I299" s="4">
        <v>1.1000000000000001</v>
      </c>
      <c r="J299" s="4">
        <v>0.24526000000000001</v>
      </c>
      <c r="K299" s="4" t="b">
        <v>1</v>
      </c>
      <c r="L299" s="4" t="b">
        <v>0</v>
      </c>
    </row>
    <row r="300" spans="1:12" ht="13">
      <c r="A300" s="4" t="s">
        <v>7165</v>
      </c>
      <c r="B300" s="4" t="s">
        <v>4951</v>
      </c>
      <c r="C300" s="4" t="s">
        <v>108</v>
      </c>
      <c r="D300" s="4" t="s">
        <v>4952</v>
      </c>
      <c r="E300" s="4" t="s">
        <v>18</v>
      </c>
      <c r="F300" s="4" t="s">
        <v>7166</v>
      </c>
      <c r="G300" s="4" t="s">
        <v>7167</v>
      </c>
      <c r="H300" s="4">
        <v>1.1599999999999999</v>
      </c>
      <c r="I300" s="4">
        <v>1.04</v>
      </c>
      <c r="J300" s="4">
        <v>0.24288999999999999</v>
      </c>
      <c r="K300" s="4" t="b">
        <v>1</v>
      </c>
      <c r="L300" s="4" t="b">
        <v>0</v>
      </c>
    </row>
    <row r="301" spans="1:12" ht="13">
      <c r="A301" s="4" t="s">
        <v>7168</v>
      </c>
      <c r="B301" s="4" t="s">
        <v>4951</v>
      </c>
      <c r="C301" s="4" t="s">
        <v>108</v>
      </c>
      <c r="D301" s="4" t="s">
        <v>4952</v>
      </c>
      <c r="E301" s="4" t="s">
        <v>18</v>
      </c>
      <c r="F301" s="4" t="s">
        <v>7169</v>
      </c>
      <c r="G301" s="4" t="s">
        <v>7170</v>
      </c>
      <c r="H301" s="4">
        <v>1.17</v>
      </c>
      <c r="I301" s="4">
        <v>1.03</v>
      </c>
      <c r="J301" s="4">
        <v>0.24238000000000001</v>
      </c>
      <c r="K301" s="4" t="b">
        <v>1</v>
      </c>
      <c r="L301" s="4" t="b">
        <v>0</v>
      </c>
    </row>
    <row r="302" spans="1:12" ht="13">
      <c r="A302" s="4" t="s">
        <v>7171</v>
      </c>
      <c r="B302" s="4" t="s">
        <v>4951</v>
      </c>
      <c r="C302" s="4" t="s">
        <v>108</v>
      </c>
      <c r="D302" s="4" t="s">
        <v>4952</v>
      </c>
      <c r="E302" s="4" t="s">
        <v>18</v>
      </c>
      <c r="F302" s="4" t="s">
        <v>7172</v>
      </c>
      <c r="G302" s="4" t="s">
        <v>7173</v>
      </c>
      <c r="H302" s="4">
        <v>1.18</v>
      </c>
      <c r="I302" s="4">
        <v>1.22</v>
      </c>
      <c r="J302" s="4">
        <v>0.27895999999999999</v>
      </c>
      <c r="K302" s="4" t="b">
        <v>1</v>
      </c>
      <c r="L302" s="4" t="b">
        <v>0</v>
      </c>
    </row>
    <row r="303" spans="1:12" ht="13">
      <c r="A303" s="4" t="s">
        <v>7177</v>
      </c>
      <c r="B303" s="4" t="s">
        <v>4951</v>
      </c>
      <c r="C303" s="4" t="s">
        <v>108</v>
      </c>
      <c r="D303" s="4" t="s">
        <v>4952</v>
      </c>
      <c r="E303" s="4" t="s">
        <v>18</v>
      </c>
      <c r="F303" s="4" t="s">
        <v>7178</v>
      </c>
      <c r="G303" s="4" t="s">
        <v>7179</v>
      </c>
      <c r="H303" s="4">
        <v>1.18</v>
      </c>
      <c r="I303" s="4">
        <v>1.1100000000000001</v>
      </c>
      <c r="J303" s="4">
        <v>0.24965999999999999</v>
      </c>
      <c r="K303" s="4" t="b">
        <v>1</v>
      </c>
      <c r="L303" s="4" t="b">
        <v>0</v>
      </c>
    </row>
    <row r="304" spans="1:12" ht="13">
      <c r="A304" s="4" t="s">
        <v>7180</v>
      </c>
      <c r="B304" s="4" t="s">
        <v>4951</v>
      </c>
      <c r="C304" s="4" t="s">
        <v>108</v>
      </c>
      <c r="D304" s="4" t="s">
        <v>4952</v>
      </c>
      <c r="E304" s="4" t="s">
        <v>18</v>
      </c>
      <c r="F304" s="4" t="s">
        <v>7181</v>
      </c>
      <c r="G304" s="4" t="s">
        <v>7182</v>
      </c>
      <c r="H304" s="4">
        <v>1.19</v>
      </c>
      <c r="I304" s="4">
        <v>1.1299999999999999</v>
      </c>
      <c r="J304" s="4">
        <v>0.24537999999999999</v>
      </c>
      <c r="K304" s="4" t="b">
        <v>1</v>
      </c>
      <c r="L304" s="4" t="b">
        <v>0</v>
      </c>
    </row>
    <row r="305" spans="1:12" ht="13">
      <c r="A305" s="4" t="s">
        <v>7186</v>
      </c>
      <c r="B305" s="4" t="s">
        <v>4951</v>
      </c>
      <c r="C305" s="4" t="s">
        <v>108</v>
      </c>
      <c r="D305" s="4" t="s">
        <v>4952</v>
      </c>
      <c r="E305" s="4" t="s">
        <v>18</v>
      </c>
      <c r="F305" s="4" t="s">
        <v>7187</v>
      </c>
      <c r="G305" s="4" t="s">
        <v>7188</v>
      </c>
      <c r="H305" s="4">
        <v>1.2</v>
      </c>
      <c r="I305" s="4">
        <v>1.05</v>
      </c>
      <c r="J305" s="4">
        <v>0.24260999999999999</v>
      </c>
      <c r="K305" s="4" t="b">
        <v>1</v>
      </c>
      <c r="L305" s="4" t="b">
        <v>0</v>
      </c>
    </row>
    <row r="306" spans="1:12" ht="13">
      <c r="A306" s="4" t="s">
        <v>7189</v>
      </c>
      <c r="B306" s="4" t="s">
        <v>4951</v>
      </c>
      <c r="C306" s="4" t="s">
        <v>108</v>
      </c>
      <c r="D306" s="4" t="s">
        <v>4952</v>
      </c>
      <c r="E306" s="4" t="s">
        <v>18</v>
      </c>
      <c r="F306" s="4" t="s">
        <v>7190</v>
      </c>
      <c r="G306" s="4" t="s">
        <v>7191</v>
      </c>
      <c r="H306" s="4">
        <v>1.2</v>
      </c>
      <c r="I306" s="4">
        <v>1.04</v>
      </c>
      <c r="J306" s="4">
        <v>0.24160999999999999</v>
      </c>
      <c r="K306" s="4" t="b">
        <v>1</v>
      </c>
      <c r="L306" s="4" t="b">
        <v>0</v>
      </c>
    </row>
    <row r="307" spans="1:12" ht="13">
      <c r="A307" s="4" t="s">
        <v>7195</v>
      </c>
      <c r="B307" s="4" t="s">
        <v>4951</v>
      </c>
      <c r="C307" s="4" t="s">
        <v>108</v>
      </c>
      <c r="D307" s="4" t="s">
        <v>4952</v>
      </c>
      <c r="E307" s="4" t="s">
        <v>18</v>
      </c>
      <c r="F307" s="4" t="s">
        <v>7196</v>
      </c>
      <c r="G307" s="4" t="s">
        <v>7197</v>
      </c>
      <c r="H307" s="4">
        <v>1.21</v>
      </c>
      <c r="I307" s="4">
        <v>1.02</v>
      </c>
      <c r="J307" s="4">
        <v>0.22988</v>
      </c>
      <c r="K307" s="4" t="b">
        <v>1</v>
      </c>
      <c r="L307" s="4" t="b">
        <v>0</v>
      </c>
    </row>
    <row r="308" spans="1:12" ht="13">
      <c r="A308" s="4" t="s">
        <v>7198</v>
      </c>
      <c r="B308" s="4" t="s">
        <v>4951</v>
      </c>
      <c r="C308" s="4" t="s">
        <v>108</v>
      </c>
      <c r="D308" s="4" t="s">
        <v>4952</v>
      </c>
      <c r="E308" s="4" t="s">
        <v>18</v>
      </c>
      <c r="F308" s="4" t="s">
        <v>7199</v>
      </c>
      <c r="G308" s="4" t="s">
        <v>7200</v>
      </c>
      <c r="H308" s="4">
        <v>1.21</v>
      </c>
      <c r="I308" s="4">
        <v>1.1100000000000001</v>
      </c>
      <c r="J308" s="4">
        <v>0.24462</v>
      </c>
      <c r="K308" s="4" t="b">
        <v>1</v>
      </c>
      <c r="L308" s="4" t="b">
        <v>0</v>
      </c>
    </row>
    <row r="309" spans="1:12" ht="13">
      <c r="A309" s="4" t="s">
        <v>7201</v>
      </c>
      <c r="B309" s="4" t="s">
        <v>4951</v>
      </c>
      <c r="C309" s="4" t="s">
        <v>108</v>
      </c>
      <c r="D309" s="4" t="s">
        <v>4952</v>
      </c>
      <c r="E309" s="4" t="s">
        <v>18</v>
      </c>
      <c r="F309" s="4" t="s">
        <v>7202</v>
      </c>
      <c r="G309" s="4" t="s">
        <v>7203</v>
      </c>
      <c r="H309" s="4">
        <v>1.22</v>
      </c>
      <c r="I309" s="4">
        <v>1.22</v>
      </c>
      <c r="J309" s="4">
        <v>0.26791999999999999</v>
      </c>
      <c r="K309" s="4" t="b">
        <v>1</v>
      </c>
      <c r="L309" s="4" t="b">
        <v>0</v>
      </c>
    </row>
    <row r="310" spans="1:12" ht="13">
      <c r="A310" s="4" t="s">
        <v>7204</v>
      </c>
      <c r="B310" s="4" t="s">
        <v>4951</v>
      </c>
      <c r="C310" s="4" t="s">
        <v>108</v>
      </c>
      <c r="D310" s="4" t="s">
        <v>4952</v>
      </c>
      <c r="E310" s="4" t="s">
        <v>18</v>
      </c>
      <c r="F310" s="4" t="s">
        <v>7205</v>
      </c>
      <c r="G310" s="4" t="s">
        <v>7206</v>
      </c>
      <c r="H310" s="4">
        <v>1.22</v>
      </c>
      <c r="I310" s="4">
        <v>1.04</v>
      </c>
      <c r="J310" s="4">
        <v>0.2364</v>
      </c>
      <c r="K310" s="4" t="b">
        <v>1</v>
      </c>
      <c r="L310" s="4" t="b">
        <v>0</v>
      </c>
    </row>
    <row r="311" spans="1:12" ht="13">
      <c r="A311" s="4" t="s">
        <v>7207</v>
      </c>
      <c r="B311" s="4" t="s">
        <v>4951</v>
      </c>
      <c r="C311" s="4" t="s">
        <v>108</v>
      </c>
      <c r="D311" s="4" t="s">
        <v>4952</v>
      </c>
      <c r="E311" s="4" t="s">
        <v>18</v>
      </c>
      <c r="F311" s="4" t="s">
        <v>7208</v>
      </c>
      <c r="G311" s="4" t="s">
        <v>7209</v>
      </c>
      <c r="H311" s="4">
        <v>1.23</v>
      </c>
      <c r="I311" s="4">
        <v>1.1299999999999999</v>
      </c>
      <c r="J311" s="4">
        <v>0.26151000000000002</v>
      </c>
      <c r="K311" s="4" t="b">
        <v>1</v>
      </c>
      <c r="L311" s="4" t="b">
        <v>0</v>
      </c>
    </row>
    <row r="312" spans="1:12" ht="13">
      <c r="A312" s="4" t="s">
        <v>7210</v>
      </c>
      <c r="B312" s="4" t="s">
        <v>4951</v>
      </c>
      <c r="C312" s="4" t="s">
        <v>108</v>
      </c>
      <c r="D312" s="4" t="s">
        <v>4952</v>
      </c>
      <c r="E312" s="4" t="s">
        <v>18</v>
      </c>
      <c r="F312" s="4" t="s">
        <v>7211</v>
      </c>
      <c r="G312" s="4" t="s">
        <v>7212</v>
      </c>
      <c r="H312" s="4">
        <v>1.23</v>
      </c>
      <c r="I312" s="4">
        <v>1.21</v>
      </c>
      <c r="J312" s="4">
        <v>0.25294</v>
      </c>
      <c r="K312" s="4" t="b">
        <v>1</v>
      </c>
      <c r="L312" s="4" t="b">
        <v>0</v>
      </c>
    </row>
    <row r="313" spans="1:12" ht="13">
      <c r="A313" s="4" t="s">
        <v>7216</v>
      </c>
      <c r="B313" s="4" t="s">
        <v>4951</v>
      </c>
      <c r="C313" s="4" t="s">
        <v>108</v>
      </c>
      <c r="D313" s="4" t="s">
        <v>4952</v>
      </c>
      <c r="E313" s="4" t="s">
        <v>18</v>
      </c>
      <c r="F313" s="4" t="s">
        <v>7217</v>
      </c>
      <c r="G313" s="4" t="s">
        <v>7218</v>
      </c>
      <c r="H313" s="4">
        <v>1.24</v>
      </c>
      <c r="I313" s="4">
        <v>1.27</v>
      </c>
      <c r="J313" s="4">
        <v>0.28473999999999999</v>
      </c>
      <c r="K313" s="4" t="b">
        <v>1</v>
      </c>
      <c r="L313" s="4" t="b">
        <v>0</v>
      </c>
    </row>
    <row r="314" spans="1:12" ht="13">
      <c r="A314" s="4" t="s">
        <v>7219</v>
      </c>
      <c r="B314" s="4" t="s">
        <v>4951</v>
      </c>
      <c r="C314" s="4" t="s">
        <v>108</v>
      </c>
      <c r="D314" s="4" t="s">
        <v>4952</v>
      </c>
      <c r="E314" s="4" t="s">
        <v>18</v>
      </c>
      <c r="F314" s="4" t="s">
        <v>7220</v>
      </c>
      <c r="G314" s="4" t="s">
        <v>7221</v>
      </c>
      <c r="H314" s="4">
        <v>1.24</v>
      </c>
      <c r="I314" s="4">
        <v>1.1299999999999999</v>
      </c>
      <c r="J314" s="4">
        <v>0.23719999999999999</v>
      </c>
      <c r="K314" s="4" t="b">
        <v>1</v>
      </c>
      <c r="L314" s="4" t="b">
        <v>0</v>
      </c>
    </row>
    <row r="315" spans="1:12" ht="13">
      <c r="A315" s="4" t="s">
        <v>7222</v>
      </c>
      <c r="B315" s="4" t="s">
        <v>4951</v>
      </c>
      <c r="C315" s="4" t="s">
        <v>108</v>
      </c>
      <c r="D315" s="4" t="s">
        <v>4952</v>
      </c>
      <c r="E315" s="4" t="s">
        <v>18</v>
      </c>
      <c r="F315" s="4" t="s">
        <v>7223</v>
      </c>
      <c r="G315" s="4" t="s">
        <v>7224</v>
      </c>
      <c r="H315" s="4">
        <v>1.24</v>
      </c>
      <c r="I315" s="4">
        <v>1.1499999999999999</v>
      </c>
      <c r="J315" s="4">
        <v>0.23821999999999999</v>
      </c>
      <c r="K315" s="4" t="b">
        <v>1</v>
      </c>
      <c r="L315" s="4" t="b">
        <v>0</v>
      </c>
    </row>
    <row r="316" spans="1:12" ht="13">
      <c r="A316" s="4" t="s">
        <v>7225</v>
      </c>
      <c r="B316" s="4" t="s">
        <v>4951</v>
      </c>
      <c r="C316" s="4" t="s">
        <v>108</v>
      </c>
      <c r="D316" s="4" t="s">
        <v>4952</v>
      </c>
      <c r="E316" s="4" t="s">
        <v>18</v>
      </c>
      <c r="F316" s="4" t="s">
        <v>7226</v>
      </c>
      <c r="G316" s="4" t="s">
        <v>7227</v>
      </c>
      <c r="H316" s="4">
        <v>1.24</v>
      </c>
      <c r="I316" s="4">
        <v>1.1200000000000001</v>
      </c>
      <c r="J316" s="4">
        <v>0.22958999999999999</v>
      </c>
      <c r="K316" s="4" t="b">
        <v>1</v>
      </c>
      <c r="L316" s="4" t="b">
        <v>0</v>
      </c>
    </row>
    <row r="317" spans="1:12" ht="13">
      <c r="A317" s="4" t="s">
        <v>7228</v>
      </c>
      <c r="B317" s="4" t="s">
        <v>4951</v>
      </c>
      <c r="C317" s="4" t="s">
        <v>108</v>
      </c>
      <c r="D317" s="4" t="s">
        <v>4952</v>
      </c>
      <c r="E317" s="4" t="s">
        <v>18</v>
      </c>
      <c r="F317" s="4" t="s">
        <v>7229</v>
      </c>
      <c r="G317" s="4" t="s">
        <v>7230</v>
      </c>
      <c r="H317" s="4">
        <v>1.25</v>
      </c>
      <c r="I317" s="4">
        <v>1.0900000000000001</v>
      </c>
      <c r="J317" s="4">
        <v>0.24512999999999999</v>
      </c>
      <c r="K317" s="4" t="b">
        <v>1</v>
      </c>
      <c r="L317" s="4" t="b">
        <v>0</v>
      </c>
    </row>
    <row r="318" spans="1:12" ht="13">
      <c r="A318" s="4" t="s">
        <v>7231</v>
      </c>
      <c r="B318" s="4" t="s">
        <v>4951</v>
      </c>
      <c r="C318" s="4" t="s">
        <v>108</v>
      </c>
      <c r="D318" s="4" t="s">
        <v>4952</v>
      </c>
      <c r="E318" s="4" t="s">
        <v>18</v>
      </c>
      <c r="F318" s="4" t="s">
        <v>7232</v>
      </c>
      <c r="G318" s="4" t="s">
        <v>7233</v>
      </c>
      <c r="H318" s="4">
        <v>1.25</v>
      </c>
      <c r="I318" s="4">
        <v>1.05</v>
      </c>
      <c r="J318" s="4">
        <v>0.2336</v>
      </c>
      <c r="K318" s="4" t="b">
        <v>1</v>
      </c>
      <c r="L318" s="4" t="b">
        <v>0</v>
      </c>
    </row>
    <row r="319" spans="1:12" ht="13">
      <c r="A319" s="4" t="s">
        <v>7234</v>
      </c>
      <c r="B319" s="4" t="s">
        <v>4951</v>
      </c>
      <c r="C319" s="4" t="s">
        <v>108</v>
      </c>
      <c r="D319" s="4" t="s">
        <v>4952</v>
      </c>
      <c r="E319" s="4" t="s">
        <v>18</v>
      </c>
      <c r="F319" s="4" t="s">
        <v>7235</v>
      </c>
      <c r="G319" s="4" t="s">
        <v>7236</v>
      </c>
      <c r="H319" s="4">
        <v>1.26</v>
      </c>
      <c r="I319" s="4">
        <v>1.04</v>
      </c>
      <c r="J319" s="4">
        <v>0.24440999999999999</v>
      </c>
      <c r="K319" s="4" t="b">
        <v>1</v>
      </c>
      <c r="L319" s="4" t="b">
        <v>0</v>
      </c>
    </row>
    <row r="320" spans="1:12" ht="13">
      <c r="A320" s="4" t="s">
        <v>7237</v>
      </c>
      <c r="B320" s="4" t="s">
        <v>4951</v>
      </c>
      <c r="C320" s="4" t="s">
        <v>108</v>
      </c>
      <c r="D320" s="4" t="s">
        <v>4952</v>
      </c>
      <c r="E320" s="4" t="s">
        <v>18</v>
      </c>
      <c r="F320" s="4" t="s">
        <v>7238</v>
      </c>
      <c r="G320" s="4" t="s">
        <v>7239</v>
      </c>
      <c r="H320" s="4">
        <v>1.26</v>
      </c>
      <c r="I320" s="4">
        <v>1.1399999999999999</v>
      </c>
      <c r="J320" s="4">
        <v>0.23305999999999999</v>
      </c>
      <c r="K320" s="4" t="b">
        <v>1</v>
      </c>
      <c r="L320" s="4" t="b">
        <v>0</v>
      </c>
    </row>
    <row r="321" spans="1:13" ht="13">
      <c r="A321" s="4" t="s">
        <v>7240</v>
      </c>
      <c r="B321" s="4" t="s">
        <v>4951</v>
      </c>
      <c r="C321" s="4" t="s">
        <v>108</v>
      </c>
      <c r="D321" s="4" t="s">
        <v>4952</v>
      </c>
      <c r="E321" s="4" t="s">
        <v>18</v>
      </c>
      <c r="F321" s="4" t="s">
        <v>7241</v>
      </c>
      <c r="G321" s="4" t="s">
        <v>7242</v>
      </c>
      <c r="H321" s="4">
        <v>1.27</v>
      </c>
      <c r="I321" s="4">
        <v>1.1499999999999999</v>
      </c>
      <c r="J321" s="4">
        <v>0.28465000000000001</v>
      </c>
      <c r="K321" s="4" t="b">
        <v>1</v>
      </c>
      <c r="L321" s="4" t="b">
        <v>0</v>
      </c>
    </row>
    <row r="322" spans="1:13" ht="13">
      <c r="A322" s="4" t="s">
        <v>7243</v>
      </c>
      <c r="B322" s="4" t="s">
        <v>4951</v>
      </c>
      <c r="C322" s="4" t="s">
        <v>108</v>
      </c>
      <c r="D322" s="4" t="s">
        <v>4952</v>
      </c>
      <c r="E322" s="4" t="s">
        <v>18</v>
      </c>
      <c r="F322" s="4" t="s">
        <v>7244</v>
      </c>
      <c r="G322" s="4" t="s">
        <v>7245</v>
      </c>
      <c r="H322" s="4">
        <v>1.27</v>
      </c>
      <c r="I322" s="4">
        <v>1.1299999999999999</v>
      </c>
      <c r="J322" s="4">
        <v>0.30574000000000001</v>
      </c>
      <c r="K322" s="4" t="b">
        <v>1</v>
      </c>
      <c r="L322" s="4" t="b">
        <v>0</v>
      </c>
    </row>
    <row r="323" spans="1:13" ht="13">
      <c r="A323" s="4" t="s">
        <v>3135</v>
      </c>
      <c r="B323" s="4" t="s">
        <v>4951</v>
      </c>
      <c r="C323" s="4" t="s">
        <v>108</v>
      </c>
      <c r="D323" s="4" t="s">
        <v>4952</v>
      </c>
      <c r="E323" s="4" t="s">
        <v>18</v>
      </c>
      <c r="F323" s="4" t="s">
        <v>4965</v>
      </c>
      <c r="G323" s="4" t="s">
        <v>3031</v>
      </c>
      <c r="H323" s="4">
        <v>1.28</v>
      </c>
      <c r="I323" s="4">
        <v>1.01</v>
      </c>
      <c r="J323" s="4">
        <v>0.23408000000000001</v>
      </c>
      <c r="K323" s="4" t="b">
        <v>1</v>
      </c>
      <c r="L323" s="4" t="b">
        <v>1</v>
      </c>
      <c r="M323" s="41" t="s">
        <v>4929</v>
      </c>
    </row>
    <row r="324" spans="1:13" ht="13">
      <c r="A324" s="4" t="s">
        <v>7246</v>
      </c>
      <c r="B324" s="4" t="s">
        <v>4951</v>
      </c>
      <c r="C324" s="4" t="s">
        <v>108</v>
      </c>
      <c r="D324" s="4" t="s">
        <v>4952</v>
      </c>
      <c r="E324" s="4" t="s">
        <v>18</v>
      </c>
      <c r="F324" s="4" t="s">
        <v>7247</v>
      </c>
      <c r="G324" s="4" t="s">
        <v>7248</v>
      </c>
      <c r="H324" s="4">
        <v>1.28</v>
      </c>
      <c r="I324" s="4">
        <v>1.1599999999999999</v>
      </c>
      <c r="J324" s="4">
        <v>0.28086</v>
      </c>
      <c r="K324" s="4" t="b">
        <v>1</v>
      </c>
      <c r="L324" s="4" t="b">
        <v>0</v>
      </c>
    </row>
    <row r="325" spans="1:13" ht="13">
      <c r="A325" s="4" t="s">
        <v>7249</v>
      </c>
      <c r="B325" s="4" t="s">
        <v>4951</v>
      </c>
      <c r="C325" s="4" t="s">
        <v>108</v>
      </c>
      <c r="D325" s="4" t="s">
        <v>4952</v>
      </c>
      <c r="E325" s="4" t="s">
        <v>18</v>
      </c>
      <c r="F325" s="4" t="s">
        <v>7250</v>
      </c>
      <c r="G325" s="4" t="s">
        <v>7251</v>
      </c>
      <c r="H325" s="4">
        <v>1.28</v>
      </c>
      <c r="I325" s="4">
        <v>1.2</v>
      </c>
      <c r="J325" s="4">
        <v>0.23910000000000001</v>
      </c>
      <c r="K325" s="4" t="b">
        <v>1</v>
      </c>
      <c r="L325" s="4" t="b">
        <v>0</v>
      </c>
    </row>
    <row r="326" spans="1:13" ht="13">
      <c r="A326" s="4" t="s">
        <v>7252</v>
      </c>
      <c r="B326" s="4" t="s">
        <v>4951</v>
      </c>
      <c r="C326" s="4" t="s">
        <v>108</v>
      </c>
      <c r="D326" s="4" t="s">
        <v>4952</v>
      </c>
      <c r="E326" s="4" t="s">
        <v>18</v>
      </c>
      <c r="F326" s="4" t="s">
        <v>7253</v>
      </c>
      <c r="G326" s="4" t="s">
        <v>7254</v>
      </c>
      <c r="H326" s="4">
        <v>1.29</v>
      </c>
      <c r="I326" s="4">
        <v>1.19</v>
      </c>
      <c r="J326" s="4">
        <v>0.25824000000000003</v>
      </c>
      <c r="K326" s="4" t="b">
        <v>1</v>
      </c>
      <c r="L326" s="4" t="b">
        <v>0</v>
      </c>
    </row>
    <row r="327" spans="1:13" ht="13">
      <c r="A327" s="4" t="s">
        <v>7255</v>
      </c>
      <c r="B327" s="4" t="s">
        <v>4951</v>
      </c>
      <c r="C327" s="4" t="s">
        <v>108</v>
      </c>
      <c r="D327" s="4" t="s">
        <v>4952</v>
      </c>
      <c r="E327" s="4" t="s">
        <v>18</v>
      </c>
      <c r="F327" s="4" t="s">
        <v>7256</v>
      </c>
      <c r="G327" s="4" t="s">
        <v>7257</v>
      </c>
      <c r="H327" s="4">
        <v>1.29</v>
      </c>
      <c r="I327" s="4">
        <v>1.1499999999999999</v>
      </c>
      <c r="J327" s="4">
        <v>0.25724000000000002</v>
      </c>
      <c r="K327" s="4" t="b">
        <v>1</v>
      </c>
      <c r="L327" s="4" t="b">
        <v>0</v>
      </c>
    </row>
    <row r="328" spans="1:13" ht="13">
      <c r="A328" s="4" t="s">
        <v>7258</v>
      </c>
      <c r="B328" s="4" t="s">
        <v>4951</v>
      </c>
      <c r="C328" s="4" t="s">
        <v>108</v>
      </c>
      <c r="D328" s="4" t="s">
        <v>4952</v>
      </c>
      <c r="E328" s="4" t="s">
        <v>18</v>
      </c>
      <c r="F328" s="4" t="s">
        <v>7259</v>
      </c>
      <c r="G328" s="4" t="s">
        <v>7260</v>
      </c>
      <c r="H328" s="4">
        <v>1.29</v>
      </c>
      <c r="I328" s="4">
        <v>1.18</v>
      </c>
      <c r="J328" s="4">
        <v>0.26240999999999998</v>
      </c>
      <c r="K328" s="4" t="b">
        <v>1</v>
      </c>
      <c r="L328" s="4" t="b">
        <v>0</v>
      </c>
    </row>
    <row r="329" spans="1:13" ht="13">
      <c r="A329" s="4" t="s">
        <v>7261</v>
      </c>
      <c r="B329" s="4" t="s">
        <v>4951</v>
      </c>
      <c r="C329" s="4" t="s">
        <v>108</v>
      </c>
      <c r="D329" s="4" t="s">
        <v>4952</v>
      </c>
      <c r="E329" s="4" t="s">
        <v>18</v>
      </c>
      <c r="F329" s="4" t="s">
        <v>7262</v>
      </c>
      <c r="G329" s="4" t="s">
        <v>7263</v>
      </c>
      <c r="H329" s="4">
        <v>1.3</v>
      </c>
      <c r="I329" s="4">
        <v>1.1000000000000001</v>
      </c>
      <c r="J329" s="4">
        <v>0.25262000000000001</v>
      </c>
      <c r="K329" s="4" t="b">
        <v>1</v>
      </c>
      <c r="L329" s="4" t="b">
        <v>0</v>
      </c>
    </row>
    <row r="330" spans="1:13" ht="13">
      <c r="A330" s="4" t="s">
        <v>7264</v>
      </c>
      <c r="B330" s="4" t="s">
        <v>4951</v>
      </c>
      <c r="C330" s="4" t="s">
        <v>108</v>
      </c>
      <c r="D330" s="4" t="s">
        <v>4952</v>
      </c>
      <c r="E330" s="4" t="s">
        <v>18</v>
      </c>
      <c r="F330" s="4" t="s">
        <v>7265</v>
      </c>
      <c r="G330" s="4" t="s">
        <v>7266</v>
      </c>
      <c r="H330" s="4">
        <v>1.3</v>
      </c>
      <c r="I330" s="4">
        <v>1.05</v>
      </c>
      <c r="J330" s="4">
        <v>0.22617999999999999</v>
      </c>
      <c r="K330" s="4" t="b">
        <v>1</v>
      </c>
      <c r="L330" s="4" t="b">
        <v>0</v>
      </c>
    </row>
    <row r="331" spans="1:13" ht="13">
      <c r="A331" s="4" t="s">
        <v>7267</v>
      </c>
      <c r="B331" s="4" t="s">
        <v>4951</v>
      </c>
      <c r="C331" s="4" t="s">
        <v>108</v>
      </c>
      <c r="D331" s="4" t="s">
        <v>4952</v>
      </c>
      <c r="E331" s="4" t="s">
        <v>18</v>
      </c>
      <c r="F331" s="4" t="s">
        <v>7268</v>
      </c>
      <c r="G331" s="4" t="s">
        <v>7269</v>
      </c>
      <c r="H331" s="4">
        <v>1.3</v>
      </c>
      <c r="I331" s="4">
        <v>1.17</v>
      </c>
      <c r="J331" s="4">
        <v>0.27168999999999999</v>
      </c>
      <c r="K331" s="4" t="b">
        <v>1</v>
      </c>
      <c r="L331" s="4" t="b">
        <v>0</v>
      </c>
    </row>
    <row r="332" spans="1:13" ht="13">
      <c r="A332" s="4" t="s">
        <v>7270</v>
      </c>
      <c r="B332" s="4" t="s">
        <v>4951</v>
      </c>
      <c r="C332" s="4" t="s">
        <v>108</v>
      </c>
      <c r="D332" s="4" t="s">
        <v>4952</v>
      </c>
      <c r="E332" s="4" t="s">
        <v>18</v>
      </c>
      <c r="F332" s="4" t="s">
        <v>7271</v>
      </c>
      <c r="G332" s="4" t="s">
        <v>7272</v>
      </c>
      <c r="H332" s="4">
        <v>1.31</v>
      </c>
      <c r="I332" s="4">
        <v>1.1200000000000001</v>
      </c>
      <c r="J332" s="4">
        <v>0.25028</v>
      </c>
      <c r="K332" s="4" t="b">
        <v>1</v>
      </c>
      <c r="L332" s="4" t="b">
        <v>0</v>
      </c>
    </row>
    <row r="333" spans="1:13" ht="13">
      <c r="A333" s="4" t="s">
        <v>7273</v>
      </c>
      <c r="B333" s="4" t="s">
        <v>4951</v>
      </c>
      <c r="C333" s="4" t="s">
        <v>108</v>
      </c>
      <c r="D333" s="4" t="s">
        <v>4952</v>
      </c>
      <c r="E333" s="4" t="s">
        <v>18</v>
      </c>
      <c r="F333" s="4" t="s">
        <v>7274</v>
      </c>
      <c r="G333" s="4" t="s">
        <v>7275</v>
      </c>
      <c r="H333" s="4">
        <v>1.31</v>
      </c>
      <c r="I333" s="4">
        <v>1.05</v>
      </c>
      <c r="J333" s="4">
        <v>0.23680000000000001</v>
      </c>
      <c r="K333" s="4" t="b">
        <v>1</v>
      </c>
      <c r="L333" s="4" t="b">
        <v>0</v>
      </c>
    </row>
    <row r="334" spans="1:13" ht="13">
      <c r="A334" s="4" t="s">
        <v>7276</v>
      </c>
      <c r="B334" s="4" t="s">
        <v>4951</v>
      </c>
      <c r="C334" s="4" t="s">
        <v>108</v>
      </c>
      <c r="D334" s="4" t="s">
        <v>4952</v>
      </c>
      <c r="E334" s="4" t="s">
        <v>18</v>
      </c>
      <c r="F334" s="4" t="s">
        <v>7277</v>
      </c>
      <c r="G334" s="4" t="s">
        <v>7278</v>
      </c>
      <c r="H334" s="4">
        <v>1.32</v>
      </c>
      <c r="I334" s="4">
        <v>1.04</v>
      </c>
      <c r="J334" s="4">
        <v>0.24964</v>
      </c>
      <c r="K334" s="4" t="b">
        <v>1</v>
      </c>
      <c r="L334" s="4" t="b">
        <v>0</v>
      </c>
    </row>
    <row r="335" spans="1:13" ht="13">
      <c r="A335" s="4" t="s">
        <v>7279</v>
      </c>
      <c r="B335" s="4" t="s">
        <v>4951</v>
      </c>
      <c r="C335" s="4" t="s">
        <v>108</v>
      </c>
      <c r="D335" s="4" t="s">
        <v>4952</v>
      </c>
      <c r="E335" s="4" t="s">
        <v>18</v>
      </c>
      <c r="F335" s="4" t="s">
        <v>7280</v>
      </c>
      <c r="G335" s="4" t="s">
        <v>7281</v>
      </c>
      <c r="H335" s="4">
        <v>1.33</v>
      </c>
      <c r="I335" s="4">
        <v>1.02</v>
      </c>
      <c r="J335" s="4">
        <v>0.23757</v>
      </c>
      <c r="K335" s="4" t="b">
        <v>1</v>
      </c>
      <c r="L335" s="4" t="b">
        <v>0</v>
      </c>
    </row>
    <row r="336" spans="1:13" ht="13">
      <c r="A336" s="4" t="s">
        <v>7282</v>
      </c>
      <c r="B336" s="4" t="s">
        <v>4951</v>
      </c>
      <c r="C336" s="4" t="s">
        <v>108</v>
      </c>
      <c r="D336" s="4" t="s">
        <v>4952</v>
      </c>
      <c r="E336" s="4" t="s">
        <v>18</v>
      </c>
      <c r="F336" s="4" t="s">
        <v>7283</v>
      </c>
      <c r="G336" s="4" t="s">
        <v>7284</v>
      </c>
      <c r="H336" s="4">
        <v>1.33</v>
      </c>
      <c r="I336" s="4">
        <v>1.04</v>
      </c>
      <c r="J336" s="4">
        <v>0.25645000000000001</v>
      </c>
      <c r="K336" s="4" t="b">
        <v>1</v>
      </c>
      <c r="L336" s="4" t="b">
        <v>0</v>
      </c>
    </row>
    <row r="337" spans="1:12" ht="13">
      <c r="A337" s="4" t="s">
        <v>7285</v>
      </c>
      <c r="B337" s="4" t="s">
        <v>4951</v>
      </c>
      <c r="C337" s="4" t="s">
        <v>108</v>
      </c>
      <c r="D337" s="4" t="s">
        <v>4952</v>
      </c>
      <c r="E337" s="4" t="s">
        <v>18</v>
      </c>
      <c r="F337" s="4" t="s">
        <v>7286</v>
      </c>
      <c r="G337" s="4" t="s">
        <v>7287</v>
      </c>
      <c r="H337" s="4">
        <v>1.33</v>
      </c>
      <c r="I337" s="4">
        <v>1.23</v>
      </c>
      <c r="J337" s="4">
        <v>0.26772000000000001</v>
      </c>
      <c r="K337" s="4" t="b">
        <v>1</v>
      </c>
      <c r="L337" s="4" t="b">
        <v>0</v>
      </c>
    </row>
    <row r="338" spans="1:12" ht="13">
      <c r="A338" s="4" t="s">
        <v>7288</v>
      </c>
      <c r="B338" s="4" t="s">
        <v>4951</v>
      </c>
      <c r="C338" s="4" t="s">
        <v>108</v>
      </c>
      <c r="D338" s="4" t="s">
        <v>4952</v>
      </c>
      <c r="E338" s="4" t="s">
        <v>18</v>
      </c>
      <c r="F338" s="4" t="s">
        <v>7289</v>
      </c>
      <c r="G338" s="4" t="s">
        <v>7290</v>
      </c>
      <c r="H338" s="4">
        <v>1.34</v>
      </c>
      <c r="I338" s="4">
        <v>1.1599999999999999</v>
      </c>
      <c r="J338" s="4">
        <v>0.22872999999999999</v>
      </c>
      <c r="K338" s="4" t="b">
        <v>1</v>
      </c>
      <c r="L338" s="4" t="b">
        <v>0</v>
      </c>
    </row>
    <row r="339" spans="1:12" ht="13">
      <c r="A339" s="4" t="s">
        <v>7291</v>
      </c>
      <c r="B339" s="4" t="s">
        <v>4951</v>
      </c>
      <c r="C339" s="4" t="s">
        <v>108</v>
      </c>
      <c r="D339" s="4" t="s">
        <v>4952</v>
      </c>
      <c r="E339" s="4" t="s">
        <v>18</v>
      </c>
      <c r="F339" s="4" t="s">
        <v>7292</v>
      </c>
      <c r="G339" s="4" t="s">
        <v>7293</v>
      </c>
      <c r="H339" s="4">
        <v>1.34</v>
      </c>
      <c r="I339" s="4">
        <v>1.06</v>
      </c>
      <c r="J339" s="4">
        <v>0.24113000000000001</v>
      </c>
      <c r="K339" s="4" t="b">
        <v>1</v>
      </c>
      <c r="L339" s="4" t="b">
        <v>0</v>
      </c>
    </row>
    <row r="340" spans="1:12" ht="13">
      <c r="A340" s="4" t="s">
        <v>7294</v>
      </c>
      <c r="B340" s="4" t="s">
        <v>4951</v>
      </c>
      <c r="C340" s="4" t="s">
        <v>108</v>
      </c>
      <c r="D340" s="4" t="s">
        <v>4952</v>
      </c>
      <c r="E340" s="4" t="s">
        <v>18</v>
      </c>
      <c r="F340" s="4" t="s">
        <v>7295</v>
      </c>
      <c r="G340" s="4" t="s">
        <v>7296</v>
      </c>
      <c r="H340" s="4">
        <v>1.35</v>
      </c>
      <c r="I340" s="4">
        <v>1.04</v>
      </c>
      <c r="J340" s="4">
        <v>0.23350000000000001</v>
      </c>
      <c r="K340" s="4" t="b">
        <v>1</v>
      </c>
      <c r="L340" s="4" t="b">
        <v>0</v>
      </c>
    </row>
    <row r="341" spans="1:12" ht="13">
      <c r="A341" s="4" t="s">
        <v>7297</v>
      </c>
      <c r="B341" s="4" t="s">
        <v>4951</v>
      </c>
      <c r="C341" s="4" t="s">
        <v>108</v>
      </c>
      <c r="D341" s="4" t="s">
        <v>4952</v>
      </c>
      <c r="E341" s="4" t="s">
        <v>18</v>
      </c>
      <c r="F341" s="4" t="s">
        <v>7298</v>
      </c>
      <c r="G341" s="4" t="s">
        <v>7299</v>
      </c>
      <c r="H341" s="4">
        <v>1.35</v>
      </c>
      <c r="I341" s="4">
        <v>1.1299999999999999</v>
      </c>
      <c r="J341" s="4">
        <v>0.26390999999999998</v>
      </c>
      <c r="K341" s="4" t="b">
        <v>1</v>
      </c>
      <c r="L341" s="4" t="b">
        <v>0</v>
      </c>
    </row>
    <row r="342" spans="1:12" ht="13">
      <c r="A342" s="4" t="s">
        <v>7300</v>
      </c>
      <c r="B342" s="4" t="s">
        <v>4951</v>
      </c>
      <c r="C342" s="4" t="s">
        <v>108</v>
      </c>
      <c r="D342" s="4" t="s">
        <v>4952</v>
      </c>
      <c r="E342" s="4" t="s">
        <v>18</v>
      </c>
      <c r="F342" s="4" t="s">
        <v>7301</v>
      </c>
      <c r="G342" s="4" t="s">
        <v>7302</v>
      </c>
      <c r="H342" s="4">
        <v>1.36</v>
      </c>
      <c r="I342" s="4">
        <v>1.05</v>
      </c>
      <c r="J342" s="4">
        <v>0.24032999999999999</v>
      </c>
      <c r="K342" s="4" t="b">
        <v>1</v>
      </c>
      <c r="L342" s="4" t="b">
        <v>0</v>
      </c>
    </row>
    <row r="343" spans="1:12" ht="13">
      <c r="A343" s="4" t="s">
        <v>7303</v>
      </c>
      <c r="B343" s="4" t="s">
        <v>4951</v>
      </c>
      <c r="C343" s="4" t="s">
        <v>108</v>
      </c>
      <c r="D343" s="4" t="s">
        <v>4952</v>
      </c>
      <c r="E343" s="4" t="s">
        <v>18</v>
      </c>
      <c r="F343" s="4" t="s">
        <v>7304</v>
      </c>
      <c r="G343" s="4" t="s">
        <v>7305</v>
      </c>
      <c r="H343" s="4">
        <v>1.36</v>
      </c>
      <c r="I343" s="4">
        <v>1.2</v>
      </c>
      <c r="J343" s="4">
        <v>0.26284999999999997</v>
      </c>
      <c r="K343" s="4" t="b">
        <v>1</v>
      </c>
      <c r="L343" s="4" t="b">
        <v>0</v>
      </c>
    </row>
    <row r="344" spans="1:12" ht="13">
      <c r="A344" s="4" t="s">
        <v>7306</v>
      </c>
      <c r="B344" s="4" t="s">
        <v>4951</v>
      </c>
      <c r="C344" s="4" t="s">
        <v>108</v>
      </c>
      <c r="D344" s="4" t="s">
        <v>4952</v>
      </c>
      <c r="E344" s="4" t="s">
        <v>18</v>
      </c>
      <c r="F344" s="4" t="s">
        <v>7307</v>
      </c>
      <c r="G344" s="4" t="s">
        <v>7308</v>
      </c>
      <c r="H344" s="4">
        <v>1.37</v>
      </c>
      <c r="I344" s="4">
        <v>1.04</v>
      </c>
      <c r="J344" s="4">
        <v>0.24268000000000001</v>
      </c>
      <c r="K344" s="4" t="b">
        <v>1</v>
      </c>
      <c r="L344" s="4" t="b">
        <v>0</v>
      </c>
    </row>
    <row r="345" spans="1:12" ht="13">
      <c r="A345" s="4" t="s">
        <v>7309</v>
      </c>
      <c r="B345" s="4" t="s">
        <v>4951</v>
      </c>
      <c r="C345" s="4" t="s">
        <v>108</v>
      </c>
      <c r="D345" s="4" t="s">
        <v>4952</v>
      </c>
      <c r="E345" s="4" t="s">
        <v>18</v>
      </c>
      <c r="F345" s="4" t="s">
        <v>7310</v>
      </c>
      <c r="G345" s="4" t="s">
        <v>7311</v>
      </c>
      <c r="H345" s="4">
        <v>1.37</v>
      </c>
      <c r="I345" s="4">
        <v>1.22</v>
      </c>
      <c r="J345" s="4">
        <v>0.29652000000000001</v>
      </c>
      <c r="K345" s="4" t="b">
        <v>1</v>
      </c>
      <c r="L345" s="4" t="b">
        <v>0</v>
      </c>
    </row>
    <row r="346" spans="1:12" ht="13">
      <c r="A346" s="4" t="s">
        <v>7312</v>
      </c>
      <c r="B346" s="4" t="s">
        <v>4951</v>
      </c>
      <c r="C346" s="4" t="s">
        <v>108</v>
      </c>
      <c r="D346" s="4" t="s">
        <v>4952</v>
      </c>
      <c r="E346" s="4" t="s">
        <v>18</v>
      </c>
      <c r="F346" s="4" t="s">
        <v>7313</v>
      </c>
      <c r="G346" s="4" t="s">
        <v>7314</v>
      </c>
      <c r="H346" s="4">
        <v>1.38</v>
      </c>
      <c r="I346" s="4">
        <v>1.0900000000000001</v>
      </c>
      <c r="J346" s="4">
        <v>0.25811000000000001</v>
      </c>
      <c r="K346" s="4" t="b">
        <v>1</v>
      </c>
      <c r="L346" s="4" t="b">
        <v>0</v>
      </c>
    </row>
    <row r="347" spans="1:12" ht="13">
      <c r="A347" s="4" t="s">
        <v>7315</v>
      </c>
      <c r="B347" s="4" t="s">
        <v>4951</v>
      </c>
      <c r="C347" s="4" t="s">
        <v>108</v>
      </c>
      <c r="D347" s="4" t="s">
        <v>4952</v>
      </c>
      <c r="E347" s="4" t="s">
        <v>18</v>
      </c>
      <c r="F347" s="4" t="s">
        <v>7316</v>
      </c>
      <c r="G347" s="4" t="s">
        <v>7317</v>
      </c>
      <c r="H347" s="4">
        <v>1.38</v>
      </c>
      <c r="I347" s="4">
        <v>1.1599999999999999</v>
      </c>
      <c r="J347" s="4">
        <v>0.28100000000000003</v>
      </c>
      <c r="K347" s="4" t="b">
        <v>1</v>
      </c>
      <c r="L347" s="4" t="b">
        <v>0</v>
      </c>
    </row>
    <row r="348" spans="1:12" ht="13">
      <c r="A348" s="4" t="s">
        <v>7318</v>
      </c>
      <c r="B348" s="4" t="s">
        <v>4951</v>
      </c>
      <c r="C348" s="4" t="s">
        <v>108</v>
      </c>
      <c r="D348" s="4" t="s">
        <v>4952</v>
      </c>
      <c r="E348" s="4" t="s">
        <v>18</v>
      </c>
      <c r="F348" s="4" t="s">
        <v>7319</v>
      </c>
      <c r="G348" s="4" t="s">
        <v>7320</v>
      </c>
      <c r="H348" s="4">
        <v>1.39</v>
      </c>
      <c r="I348" s="4">
        <v>1.07</v>
      </c>
      <c r="J348" s="4">
        <v>0.26046000000000002</v>
      </c>
      <c r="K348" s="4" t="b">
        <v>1</v>
      </c>
      <c r="L348" s="4" t="b">
        <v>0</v>
      </c>
    </row>
    <row r="349" spans="1:12" ht="13">
      <c r="A349" s="4" t="s">
        <v>7324</v>
      </c>
      <c r="B349" s="4" t="s">
        <v>4951</v>
      </c>
      <c r="C349" s="4" t="s">
        <v>108</v>
      </c>
      <c r="D349" s="4" t="s">
        <v>4952</v>
      </c>
      <c r="E349" s="4" t="s">
        <v>18</v>
      </c>
      <c r="F349" s="4" t="s">
        <v>7325</v>
      </c>
      <c r="G349" s="4" t="s">
        <v>7326</v>
      </c>
      <c r="H349" s="4">
        <v>1.4</v>
      </c>
      <c r="I349" s="4">
        <v>1.1399999999999999</v>
      </c>
      <c r="J349" s="4">
        <v>0.253</v>
      </c>
      <c r="K349" s="4" t="b">
        <v>1</v>
      </c>
      <c r="L349" s="4" t="b">
        <v>0</v>
      </c>
    </row>
    <row r="350" spans="1:12" ht="13">
      <c r="A350" s="4" t="s">
        <v>7327</v>
      </c>
      <c r="B350" s="4" t="s">
        <v>4951</v>
      </c>
      <c r="C350" s="4" t="s">
        <v>108</v>
      </c>
      <c r="D350" s="4" t="s">
        <v>4952</v>
      </c>
      <c r="E350" s="4" t="s">
        <v>18</v>
      </c>
      <c r="F350" s="4" t="s">
        <v>7328</v>
      </c>
      <c r="G350" s="4" t="s">
        <v>7329</v>
      </c>
      <c r="H350" s="4">
        <v>1.4</v>
      </c>
      <c r="I350" s="4">
        <v>1.04</v>
      </c>
      <c r="J350" s="4">
        <v>0.24027000000000001</v>
      </c>
      <c r="K350" s="4" t="b">
        <v>1</v>
      </c>
      <c r="L350" s="4" t="b">
        <v>0</v>
      </c>
    </row>
    <row r="351" spans="1:12" ht="13">
      <c r="A351" s="4" t="s">
        <v>7330</v>
      </c>
      <c r="B351" s="4" t="s">
        <v>4951</v>
      </c>
      <c r="C351" s="4" t="s">
        <v>108</v>
      </c>
      <c r="D351" s="4" t="s">
        <v>4952</v>
      </c>
      <c r="E351" s="4" t="s">
        <v>18</v>
      </c>
      <c r="F351" s="4" t="s">
        <v>7331</v>
      </c>
      <c r="G351" s="4" t="s">
        <v>7332</v>
      </c>
      <c r="H351" s="4">
        <v>1.4</v>
      </c>
      <c r="I351" s="4">
        <v>1.19</v>
      </c>
      <c r="J351" s="4">
        <v>0.27803</v>
      </c>
      <c r="K351" s="4" t="b">
        <v>1</v>
      </c>
      <c r="L351" s="4" t="b">
        <v>0</v>
      </c>
    </row>
    <row r="352" spans="1:12" ht="13">
      <c r="A352" s="4" t="s">
        <v>7333</v>
      </c>
      <c r="B352" s="4" t="s">
        <v>4951</v>
      </c>
      <c r="C352" s="4" t="s">
        <v>108</v>
      </c>
      <c r="D352" s="4" t="s">
        <v>4952</v>
      </c>
      <c r="E352" s="4" t="s">
        <v>18</v>
      </c>
      <c r="F352" s="4" t="s">
        <v>7334</v>
      </c>
      <c r="G352" s="4" t="s">
        <v>7335</v>
      </c>
      <c r="H352" s="4">
        <v>1.41</v>
      </c>
      <c r="I352" s="4">
        <v>1.0900000000000001</v>
      </c>
      <c r="J352" s="4">
        <v>0.24339</v>
      </c>
      <c r="K352" s="4" t="b">
        <v>1</v>
      </c>
      <c r="L352" s="4" t="b">
        <v>0</v>
      </c>
    </row>
    <row r="353" spans="1:12" ht="13">
      <c r="A353" s="4" t="s">
        <v>7336</v>
      </c>
      <c r="B353" s="4" t="s">
        <v>4951</v>
      </c>
      <c r="C353" s="4" t="s">
        <v>108</v>
      </c>
      <c r="D353" s="4" t="s">
        <v>4952</v>
      </c>
      <c r="E353" s="4" t="s">
        <v>18</v>
      </c>
      <c r="F353" s="4" t="s">
        <v>7337</v>
      </c>
      <c r="G353" s="4" t="s">
        <v>7338</v>
      </c>
      <c r="H353" s="4">
        <v>1.41</v>
      </c>
      <c r="I353" s="4">
        <v>1.0900000000000001</v>
      </c>
      <c r="J353" s="4">
        <v>0.23477999999999999</v>
      </c>
      <c r="K353" s="4" t="b">
        <v>1</v>
      </c>
      <c r="L353" s="4" t="b">
        <v>0</v>
      </c>
    </row>
    <row r="354" spans="1:12" ht="13">
      <c r="A354" s="4" t="s">
        <v>7339</v>
      </c>
      <c r="B354" s="4" t="s">
        <v>4951</v>
      </c>
      <c r="C354" s="4" t="s">
        <v>108</v>
      </c>
      <c r="D354" s="4" t="s">
        <v>4952</v>
      </c>
      <c r="E354" s="4" t="s">
        <v>18</v>
      </c>
      <c r="F354" s="4" t="s">
        <v>7340</v>
      </c>
      <c r="G354" s="4" t="s">
        <v>7341</v>
      </c>
      <c r="H354" s="4">
        <v>1.42</v>
      </c>
      <c r="I354" s="4">
        <v>1.05</v>
      </c>
      <c r="J354" s="4">
        <v>0.23744000000000001</v>
      </c>
      <c r="K354" s="4" t="b">
        <v>1</v>
      </c>
      <c r="L354" s="4" t="b">
        <v>0</v>
      </c>
    </row>
    <row r="355" spans="1:12" ht="13">
      <c r="A355" s="4" t="s">
        <v>7342</v>
      </c>
      <c r="B355" s="4" t="s">
        <v>4951</v>
      </c>
      <c r="C355" s="4" t="s">
        <v>108</v>
      </c>
      <c r="D355" s="4" t="s">
        <v>4952</v>
      </c>
      <c r="E355" s="4" t="s">
        <v>18</v>
      </c>
      <c r="F355" s="4" t="s">
        <v>7343</v>
      </c>
      <c r="G355" s="4" t="s">
        <v>7344</v>
      </c>
      <c r="H355" s="4">
        <v>1.42</v>
      </c>
      <c r="I355" s="4">
        <v>1.06</v>
      </c>
      <c r="J355" s="4">
        <v>0.25377</v>
      </c>
      <c r="K355" s="4" t="b">
        <v>1</v>
      </c>
      <c r="L355" s="4" t="b">
        <v>0</v>
      </c>
    </row>
    <row r="356" spans="1:12" ht="13">
      <c r="A356" s="4" t="s">
        <v>7345</v>
      </c>
      <c r="B356" s="4" t="s">
        <v>4951</v>
      </c>
      <c r="C356" s="4" t="s">
        <v>108</v>
      </c>
      <c r="D356" s="4" t="s">
        <v>4952</v>
      </c>
      <c r="E356" s="4" t="s">
        <v>18</v>
      </c>
      <c r="F356" s="4" t="s">
        <v>7346</v>
      </c>
      <c r="G356" s="4" t="s">
        <v>7347</v>
      </c>
      <c r="H356" s="4">
        <v>1.57</v>
      </c>
      <c r="I356" s="4">
        <v>1.1599999999999999</v>
      </c>
      <c r="J356" s="4">
        <v>0.27413999999999999</v>
      </c>
      <c r="K356" s="4" t="b">
        <v>1</v>
      </c>
      <c r="L356" s="4" t="b">
        <v>0</v>
      </c>
    </row>
    <row r="357" spans="1:12" ht="13">
      <c r="A357" s="4" t="s">
        <v>7348</v>
      </c>
      <c r="B357" s="4" t="s">
        <v>4951</v>
      </c>
      <c r="C357" s="4" t="s">
        <v>108</v>
      </c>
      <c r="D357" s="4" t="s">
        <v>4952</v>
      </c>
      <c r="E357" s="4" t="s">
        <v>18</v>
      </c>
      <c r="F357" s="4" t="s">
        <v>7349</v>
      </c>
      <c r="G357" s="4" t="s">
        <v>7350</v>
      </c>
      <c r="H357" s="4">
        <v>1.57</v>
      </c>
      <c r="I357" s="4">
        <v>1.18</v>
      </c>
      <c r="J357" s="4">
        <v>0.25936999999999999</v>
      </c>
      <c r="K357" s="4" t="b">
        <v>1</v>
      </c>
      <c r="L357" s="4" t="b">
        <v>0</v>
      </c>
    </row>
    <row r="358" spans="1:12" ht="13">
      <c r="A358" s="4" t="s">
        <v>7351</v>
      </c>
      <c r="B358" s="4" t="s">
        <v>4951</v>
      </c>
      <c r="C358" s="4" t="s">
        <v>108</v>
      </c>
      <c r="D358" s="4" t="s">
        <v>4952</v>
      </c>
      <c r="E358" s="4" t="s">
        <v>18</v>
      </c>
      <c r="F358" s="4" t="s">
        <v>7352</v>
      </c>
      <c r="G358" s="4" t="s">
        <v>7353</v>
      </c>
      <c r="H358" s="4">
        <v>1.58</v>
      </c>
      <c r="I358" s="4">
        <v>1.06</v>
      </c>
      <c r="J358" s="4">
        <v>0.23788000000000001</v>
      </c>
      <c r="K358" s="4" t="b">
        <v>1</v>
      </c>
      <c r="L358" s="4" t="b">
        <v>0</v>
      </c>
    </row>
    <row r="359" spans="1:12" ht="13">
      <c r="A359" s="4" t="s">
        <v>7354</v>
      </c>
      <c r="B359" s="4" t="s">
        <v>4951</v>
      </c>
      <c r="C359" s="4" t="s">
        <v>108</v>
      </c>
      <c r="D359" s="4" t="s">
        <v>4952</v>
      </c>
      <c r="E359" s="4" t="s">
        <v>18</v>
      </c>
      <c r="F359" s="4" t="s">
        <v>7355</v>
      </c>
      <c r="G359" s="4" t="s">
        <v>7356</v>
      </c>
      <c r="H359" s="4">
        <v>1.58</v>
      </c>
      <c r="I359" s="4">
        <v>1.04</v>
      </c>
      <c r="J359" s="4">
        <v>0.2349</v>
      </c>
      <c r="K359" s="4" t="b">
        <v>1</v>
      </c>
      <c r="L359" s="4" t="b">
        <v>0</v>
      </c>
    </row>
    <row r="360" spans="1:12" ht="13">
      <c r="A360" s="4" t="s">
        <v>7357</v>
      </c>
      <c r="B360" s="4" t="s">
        <v>4951</v>
      </c>
      <c r="C360" s="4" t="s">
        <v>108</v>
      </c>
      <c r="D360" s="4" t="s">
        <v>4952</v>
      </c>
      <c r="E360" s="4" t="s">
        <v>18</v>
      </c>
      <c r="F360" s="4" t="s">
        <v>7358</v>
      </c>
      <c r="G360" s="4" t="s">
        <v>7359</v>
      </c>
      <c r="H360" s="4">
        <v>1.59</v>
      </c>
      <c r="I360" s="4">
        <v>1.04</v>
      </c>
      <c r="J360" s="4">
        <v>0.23923</v>
      </c>
      <c r="K360" s="4" t="b">
        <v>1</v>
      </c>
      <c r="L360" s="4" t="b">
        <v>0</v>
      </c>
    </row>
    <row r="361" spans="1:12" ht="13">
      <c r="A361" s="4" t="s">
        <v>7360</v>
      </c>
      <c r="B361" s="4" t="s">
        <v>4951</v>
      </c>
      <c r="C361" s="4" t="s">
        <v>108</v>
      </c>
      <c r="D361" s="4" t="s">
        <v>4952</v>
      </c>
      <c r="E361" s="4" t="s">
        <v>18</v>
      </c>
      <c r="F361" s="4" t="s">
        <v>7361</v>
      </c>
      <c r="G361" s="4" t="s">
        <v>7362</v>
      </c>
      <c r="H361" s="4">
        <v>1.59</v>
      </c>
      <c r="I361" s="4">
        <v>1.06</v>
      </c>
      <c r="J361" s="4">
        <v>0.25283</v>
      </c>
      <c r="K361" s="4" t="b">
        <v>1</v>
      </c>
      <c r="L361" s="4" t="b">
        <v>0</v>
      </c>
    </row>
    <row r="362" spans="1:12" ht="13">
      <c r="A362" s="4" t="s">
        <v>7366</v>
      </c>
      <c r="B362" s="4" t="s">
        <v>4951</v>
      </c>
      <c r="C362" s="4" t="s">
        <v>108</v>
      </c>
      <c r="D362" s="4" t="s">
        <v>4952</v>
      </c>
      <c r="E362" s="4" t="s">
        <v>18</v>
      </c>
      <c r="F362" s="4" t="s">
        <v>7367</v>
      </c>
      <c r="G362" s="4" t="s">
        <v>7368</v>
      </c>
      <c r="H362" s="4">
        <v>1.6</v>
      </c>
      <c r="I362" s="4">
        <v>1.03</v>
      </c>
      <c r="J362" s="4">
        <v>0.25572</v>
      </c>
      <c r="K362" s="4" t="b">
        <v>1</v>
      </c>
      <c r="L362" s="4" t="b">
        <v>0</v>
      </c>
    </row>
    <row r="363" spans="1:12" ht="13">
      <c r="A363" s="4" t="s">
        <v>7369</v>
      </c>
      <c r="B363" s="4" t="s">
        <v>4951</v>
      </c>
      <c r="C363" s="4" t="s">
        <v>108</v>
      </c>
      <c r="D363" s="4" t="s">
        <v>4952</v>
      </c>
      <c r="E363" s="4" t="s">
        <v>18</v>
      </c>
      <c r="F363" s="4" t="s">
        <v>7370</v>
      </c>
      <c r="G363" s="4" t="s">
        <v>7371</v>
      </c>
      <c r="H363" s="4">
        <v>1.6</v>
      </c>
      <c r="I363" s="4">
        <v>1.1399999999999999</v>
      </c>
      <c r="J363" s="4">
        <v>0.25083</v>
      </c>
      <c r="K363" s="4" t="b">
        <v>1</v>
      </c>
      <c r="L363" s="4" t="b">
        <v>0</v>
      </c>
    </row>
    <row r="364" spans="1:12" ht="13">
      <c r="A364" s="4" t="s">
        <v>7372</v>
      </c>
      <c r="B364" s="4" t="s">
        <v>4951</v>
      </c>
      <c r="C364" s="4" t="s">
        <v>108</v>
      </c>
      <c r="D364" s="4" t="s">
        <v>4952</v>
      </c>
      <c r="E364" s="4" t="s">
        <v>18</v>
      </c>
      <c r="F364" s="4" t="s">
        <v>7373</v>
      </c>
      <c r="G364" s="4" t="s">
        <v>7374</v>
      </c>
      <c r="H364" s="4">
        <v>1.61</v>
      </c>
      <c r="I364" s="4">
        <v>1.1399999999999999</v>
      </c>
      <c r="J364" s="4">
        <v>0.24296999999999999</v>
      </c>
      <c r="K364" s="4" t="b">
        <v>1</v>
      </c>
      <c r="L364" s="4" t="b">
        <v>0</v>
      </c>
    </row>
    <row r="365" spans="1:12" ht="13">
      <c r="A365" s="4" t="s">
        <v>7375</v>
      </c>
      <c r="B365" s="4" t="s">
        <v>4951</v>
      </c>
      <c r="C365" s="4" t="s">
        <v>108</v>
      </c>
      <c r="D365" s="4" t="s">
        <v>4952</v>
      </c>
      <c r="E365" s="4" t="s">
        <v>18</v>
      </c>
      <c r="F365" s="4" t="s">
        <v>7376</v>
      </c>
      <c r="G365" s="4" t="s">
        <v>7377</v>
      </c>
      <c r="H365" s="4">
        <v>1.61</v>
      </c>
      <c r="I365" s="4">
        <v>1.1200000000000001</v>
      </c>
      <c r="J365" s="4">
        <v>0.23802000000000001</v>
      </c>
      <c r="K365" s="4" t="b">
        <v>1</v>
      </c>
      <c r="L365" s="4" t="b">
        <v>0</v>
      </c>
    </row>
    <row r="366" spans="1:12" ht="13">
      <c r="A366" s="4" t="s">
        <v>7378</v>
      </c>
      <c r="B366" s="4" t="s">
        <v>4951</v>
      </c>
      <c r="C366" s="4" t="s">
        <v>108</v>
      </c>
      <c r="D366" s="4" t="s">
        <v>4952</v>
      </c>
      <c r="E366" s="4" t="s">
        <v>18</v>
      </c>
      <c r="F366" s="4" t="s">
        <v>7379</v>
      </c>
      <c r="G366" s="4" t="s">
        <v>7380</v>
      </c>
      <c r="H366" s="4">
        <v>1.61</v>
      </c>
      <c r="I366" s="4">
        <v>1.35</v>
      </c>
      <c r="J366" s="4">
        <v>0.23111000000000001</v>
      </c>
      <c r="K366" s="4" t="b">
        <v>1</v>
      </c>
      <c r="L366" s="4" t="b">
        <v>0</v>
      </c>
    </row>
    <row r="367" spans="1:12" ht="13">
      <c r="A367" s="4" t="s">
        <v>7381</v>
      </c>
      <c r="B367" s="4" t="s">
        <v>4951</v>
      </c>
      <c r="C367" s="4" t="s">
        <v>108</v>
      </c>
      <c r="D367" s="4" t="s">
        <v>4952</v>
      </c>
      <c r="E367" s="4" t="s">
        <v>18</v>
      </c>
      <c r="F367" s="4" t="s">
        <v>7382</v>
      </c>
      <c r="G367" s="4" t="s">
        <v>7383</v>
      </c>
      <c r="H367" s="4">
        <v>1.62</v>
      </c>
      <c r="I367" s="4">
        <v>1.1100000000000001</v>
      </c>
      <c r="J367" s="4">
        <v>0.23300999999999999</v>
      </c>
      <c r="K367" s="4" t="b">
        <v>1</v>
      </c>
      <c r="L367" s="4" t="b">
        <v>0</v>
      </c>
    </row>
    <row r="368" spans="1:12" ht="13">
      <c r="A368" s="4" t="s">
        <v>7384</v>
      </c>
      <c r="B368" s="4" t="s">
        <v>4951</v>
      </c>
      <c r="C368" s="4" t="s">
        <v>108</v>
      </c>
      <c r="D368" s="4" t="s">
        <v>4952</v>
      </c>
      <c r="E368" s="4" t="s">
        <v>18</v>
      </c>
      <c r="F368" s="4" t="s">
        <v>7385</v>
      </c>
      <c r="G368" s="4" t="s">
        <v>7386</v>
      </c>
      <c r="H368" s="4">
        <v>1.62</v>
      </c>
      <c r="I368" s="4">
        <v>1.36</v>
      </c>
      <c r="J368" s="4">
        <v>0.246</v>
      </c>
      <c r="K368" s="4" t="b">
        <v>1</v>
      </c>
      <c r="L368" s="4" t="b">
        <v>0</v>
      </c>
    </row>
    <row r="369" spans="1:12" ht="13">
      <c r="A369" s="4" t="s">
        <v>7390</v>
      </c>
      <c r="B369" s="4" t="s">
        <v>4951</v>
      </c>
      <c r="C369" s="4" t="s">
        <v>108</v>
      </c>
      <c r="D369" s="4" t="s">
        <v>4952</v>
      </c>
      <c r="E369" s="4" t="s">
        <v>18</v>
      </c>
      <c r="F369" s="4" t="s">
        <v>7391</v>
      </c>
      <c r="G369" s="4" t="s">
        <v>7392</v>
      </c>
      <c r="H369" s="4">
        <v>1.62</v>
      </c>
      <c r="I369" s="4">
        <v>1.1599999999999999</v>
      </c>
      <c r="J369" s="4">
        <v>0.23798</v>
      </c>
      <c r="K369" s="4" t="b">
        <v>1</v>
      </c>
      <c r="L369" s="4" t="b">
        <v>0</v>
      </c>
    </row>
    <row r="370" spans="1:12" ht="13">
      <c r="A370" s="4" t="s">
        <v>7393</v>
      </c>
      <c r="B370" s="4" t="s">
        <v>4951</v>
      </c>
      <c r="C370" s="4" t="s">
        <v>108</v>
      </c>
      <c r="D370" s="4" t="s">
        <v>4952</v>
      </c>
      <c r="E370" s="4" t="s">
        <v>18</v>
      </c>
      <c r="F370" s="4" t="s">
        <v>7394</v>
      </c>
      <c r="G370" s="4" t="s">
        <v>7395</v>
      </c>
      <c r="H370" s="4">
        <v>1.63</v>
      </c>
      <c r="I370" s="4">
        <v>1.1200000000000001</v>
      </c>
      <c r="J370" s="4">
        <v>0.24343999999999999</v>
      </c>
      <c r="K370" s="4" t="b">
        <v>1</v>
      </c>
      <c r="L370" s="4" t="b">
        <v>0</v>
      </c>
    </row>
    <row r="371" spans="1:12" ht="13">
      <c r="A371" s="4" t="s">
        <v>7396</v>
      </c>
      <c r="B371" s="4" t="s">
        <v>4951</v>
      </c>
      <c r="C371" s="4" t="s">
        <v>108</v>
      </c>
      <c r="D371" s="4" t="s">
        <v>4952</v>
      </c>
      <c r="E371" s="4" t="s">
        <v>18</v>
      </c>
      <c r="F371" s="4" t="s">
        <v>7397</v>
      </c>
      <c r="G371" s="4" t="s">
        <v>7398</v>
      </c>
      <c r="H371" s="4">
        <v>1.63</v>
      </c>
      <c r="I371" s="4">
        <v>1.1399999999999999</v>
      </c>
      <c r="J371" s="4">
        <v>0.24903</v>
      </c>
      <c r="K371" s="4" t="b">
        <v>1</v>
      </c>
      <c r="L371" s="4" t="b">
        <v>0</v>
      </c>
    </row>
    <row r="372" spans="1:12" ht="13">
      <c r="A372" s="4" t="s">
        <v>7399</v>
      </c>
      <c r="B372" s="4" t="s">
        <v>4951</v>
      </c>
      <c r="C372" s="4" t="s">
        <v>108</v>
      </c>
      <c r="D372" s="4" t="s">
        <v>4952</v>
      </c>
      <c r="E372" s="4" t="s">
        <v>18</v>
      </c>
      <c r="F372" s="4" t="s">
        <v>7400</v>
      </c>
      <c r="G372" s="4" t="s">
        <v>7401</v>
      </c>
      <c r="H372" s="4">
        <v>1.64</v>
      </c>
      <c r="I372" s="4">
        <v>1.02</v>
      </c>
      <c r="J372" s="4">
        <v>0.24454999999999999</v>
      </c>
      <c r="K372" s="4" t="b">
        <v>1</v>
      </c>
      <c r="L372" s="4" t="b">
        <v>0</v>
      </c>
    </row>
    <row r="373" spans="1:12" ht="13">
      <c r="A373" s="4" t="s">
        <v>7402</v>
      </c>
      <c r="B373" s="4" t="s">
        <v>4951</v>
      </c>
      <c r="C373" s="4" t="s">
        <v>108</v>
      </c>
      <c r="D373" s="4" t="s">
        <v>4952</v>
      </c>
      <c r="E373" s="4" t="s">
        <v>18</v>
      </c>
      <c r="F373" s="4" t="s">
        <v>7403</v>
      </c>
      <c r="G373" s="4" t="s">
        <v>7404</v>
      </c>
      <c r="H373" s="4">
        <v>1.64</v>
      </c>
      <c r="I373" s="4">
        <v>1.1200000000000001</v>
      </c>
      <c r="J373" s="4">
        <v>0.24110000000000001</v>
      </c>
      <c r="K373" s="4" t="b">
        <v>1</v>
      </c>
      <c r="L373" s="4" t="b">
        <v>0</v>
      </c>
    </row>
    <row r="374" spans="1:12" ht="13">
      <c r="A374" s="4" t="s">
        <v>7405</v>
      </c>
      <c r="B374" s="4" t="s">
        <v>4951</v>
      </c>
      <c r="C374" s="4" t="s">
        <v>108</v>
      </c>
      <c r="D374" s="4" t="s">
        <v>4952</v>
      </c>
      <c r="E374" s="4" t="s">
        <v>18</v>
      </c>
      <c r="F374" s="4" t="s">
        <v>7406</v>
      </c>
      <c r="G374" s="4" t="s">
        <v>7407</v>
      </c>
      <c r="H374" s="4">
        <v>1.65</v>
      </c>
      <c r="I374" s="4">
        <v>1.2</v>
      </c>
      <c r="J374" s="4">
        <v>0.28826000000000002</v>
      </c>
      <c r="K374" s="4" t="b">
        <v>1</v>
      </c>
      <c r="L374" s="4" t="b">
        <v>0</v>
      </c>
    </row>
    <row r="375" spans="1:12" ht="13">
      <c r="A375" s="4" t="s">
        <v>7408</v>
      </c>
      <c r="B375" s="4" t="s">
        <v>4951</v>
      </c>
      <c r="C375" s="4" t="s">
        <v>108</v>
      </c>
      <c r="D375" s="4" t="s">
        <v>4952</v>
      </c>
      <c r="E375" s="4" t="s">
        <v>18</v>
      </c>
      <c r="F375" s="4" t="s">
        <v>7409</v>
      </c>
      <c r="G375" s="4" t="s">
        <v>7410</v>
      </c>
      <c r="H375" s="4">
        <v>1.65</v>
      </c>
      <c r="I375" s="4">
        <v>1.08</v>
      </c>
      <c r="J375" s="4">
        <v>0.23762</v>
      </c>
      <c r="K375" s="4" t="b">
        <v>1</v>
      </c>
      <c r="L375" s="4" t="b">
        <v>0</v>
      </c>
    </row>
    <row r="376" spans="1:12" ht="13">
      <c r="A376" s="4" t="s">
        <v>7411</v>
      </c>
      <c r="B376" s="4" t="s">
        <v>4951</v>
      </c>
      <c r="C376" s="4" t="s">
        <v>108</v>
      </c>
      <c r="D376" s="4" t="s">
        <v>4952</v>
      </c>
      <c r="E376" s="4" t="s">
        <v>18</v>
      </c>
      <c r="F376" s="4" t="s">
        <v>7412</v>
      </c>
      <c r="G376" s="4" t="s">
        <v>7413</v>
      </c>
      <c r="H376" s="4">
        <v>1.66</v>
      </c>
      <c r="I376" s="4">
        <v>1.03</v>
      </c>
      <c r="J376" s="4">
        <v>0.23715</v>
      </c>
      <c r="K376" s="4" t="b">
        <v>1</v>
      </c>
      <c r="L376" s="4" t="b">
        <v>0</v>
      </c>
    </row>
    <row r="377" spans="1:12" ht="13">
      <c r="A377" s="4" t="s">
        <v>7414</v>
      </c>
      <c r="B377" s="4" t="s">
        <v>4951</v>
      </c>
      <c r="C377" s="4" t="s">
        <v>108</v>
      </c>
      <c r="D377" s="4" t="s">
        <v>4952</v>
      </c>
      <c r="E377" s="4" t="s">
        <v>18</v>
      </c>
      <c r="F377" s="4" t="s">
        <v>7415</v>
      </c>
      <c r="G377" s="4" t="s">
        <v>7416</v>
      </c>
      <c r="H377" s="4">
        <v>1.66</v>
      </c>
      <c r="I377" s="4">
        <v>1.1000000000000001</v>
      </c>
      <c r="J377" s="4">
        <v>0.26122000000000001</v>
      </c>
      <c r="K377" s="4" t="b">
        <v>1</v>
      </c>
      <c r="L377" s="4" t="b">
        <v>0</v>
      </c>
    </row>
    <row r="378" spans="1:12" ht="13">
      <c r="A378" s="4" t="s">
        <v>7417</v>
      </c>
      <c r="B378" s="4" t="s">
        <v>4951</v>
      </c>
      <c r="C378" s="4" t="s">
        <v>108</v>
      </c>
      <c r="D378" s="4" t="s">
        <v>4952</v>
      </c>
      <c r="E378" s="4" t="s">
        <v>18</v>
      </c>
      <c r="F378" s="4" t="s">
        <v>7418</v>
      </c>
      <c r="G378" s="4" t="s">
        <v>7419</v>
      </c>
      <c r="H378" s="4">
        <v>1.66</v>
      </c>
      <c r="I378" s="4">
        <v>1.1200000000000001</v>
      </c>
      <c r="J378" s="4">
        <v>0.24765000000000001</v>
      </c>
      <c r="K378" s="4" t="b">
        <v>1</v>
      </c>
      <c r="L378" s="4" t="b">
        <v>0</v>
      </c>
    </row>
    <row r="379" spans="1:12" ht="13">
      <c r="A379" s="4" t="s">
        <v>7420</v>
      </c>
      <c r="B379" s="4" t="s">
        <v>4951</v>
      </c>
      <c r="C379" s="4" t="s">
        <v>108</v>
      </c>
      <c r="D379" s="4" t="s">
        <v>4952</v>
      </c>
      <c r="E379" s="4" t="s">
        <v>18</v>
      </c>
      <c r="F379" s="41" t="s">
        <v>7421</v>
      </c>
      <c r="G379" s="4" t="s">
        <v>7422</v>
      </c>
      <c r="H379" s="4">
        <v>1.67</v>
      </c>
      <c r="I379" s="4">
        <v>1.1299999999999999</v>
      </c>
      <c r="J379" s="4">
        <v>0.24473</v>
      </c>
      <c r="K379" s="4" t="b">
        <v>1</v>
      </c>
      <c r="L379" s="4" t="b">
        <v>0</v>
      </c>
    </row>
    <row r="380" spans="1:12" ht="13">
      <c r="A380" s="4" t="s">
        <v>7423</v>
      </c>
      <c r="B380" s="4" t="s">
        <v>4951</v>
      </c>
      <c r="C380" s="4" t="s">
        <v>108</v>
      </c>
      <c r="D380" s="4" t="s">
        <v>4952</v>
      </c>
      <c r="E380" s="4" t="s">
        <v>18</v>
      </c>
      <c r="F380" s="4" t="s">
        <v>7424</v>
      </c>
      <c r="G380" s="4" t="s">
        <v>7425</v>
      </c>
      <c r="H380" s="4">
        <v>1.67</v>
      </c>
      <c r="I380" s="4">
        <v>1.1200000000000001</v>
      </c>
      <c r="J380" s="4">
        <v>0.23949000000000001</v>
      </c>
      <c r="K380" s="4" t="b">
        <v>1</v>
      </c>
      <c r="L380" s="4" t="b">
        <v>0</v>
      </c>
    </row>
    <row r="381" spans="1:12" ht="13">
      <c r="A381" s="4" t="s">
        <v>7426</v>
      </c>
      <c r="B381" s="4" t="s">
        <v>4951</v>
      </c>
      <c r="C381" s="4" t="s">
        <v>108</v>
      </c>
      <c r="D381" s="4" t="s">
        <v>4952</v>
      </c>
      <c r="E381" s="4" t="s">
        <v>18</v>
      </c>
      <c r="F381" s="4" t="s">
        <v>7427</v>
      </c>
      <c r="G381" s="4" t="s">
        <v>7428</v>
      </c>
      <c r="H381" s="4">
        <v>1.68</v>
      </c>
      <c r="I381" s="4">
        <v>1.0900000000000001</v>
      </c>
      <c r="J381" s="4">
        <v>0.24295</v>
      </c>
      <c r="K381" s="4" t="b">
        <v>1</v>
      </c>
      <c r="L381" s="4" t="b">
        <v>0</v>
      </c>
    </row>
    <row r="382" spans="1:12" ht="13">
      <c r="A382" s="4" t="s">
        <v>7429</v>
      </c>
      <c r="B382" s="4" t="s">
        <v>4951</v>
      </c>
      <c r="C382" s="4" t="s">
        <v>108</v>
      </c>
      <c r="D382" s="4" t="s">
        <v>4952</v>
      </c>
      <c r="E382" s="4" t="s">
        <v>18</v>
      </c>
      <c r="F382" s="4" t="s">
        <v>7430</v>
      </c>
      <c r="G382" s="4" t="s">
        <v>7431</v>
      </c>
      <c r="H382" s="4">
        <v>1.68</v>
      </c>
      <c r="I382" s="4">
        <v>1.18</v>
      </c>
      <c r="J382" s="4">
        <v>0.26948</v>
      </c>
      <c r="K382" s="4" t="b">
        <v>1</v>
      </c>
      <c r="L382" s="4" t="b">
        <v>0</v>
      </c>
    </row>
    <row r="383" spans="1:12" ht="13">
      <c r="A383" s="4" t="s">
        <v>7432</v>
      </c>
      <c r="B383" s="4" t="s">
        <v>4951</v>
      </c>
      <c r="C383" s="4" t="s">
        <v>108</v>
      </c>
      <c r="D383" s="4" t="s">
        <v>4952</v>
      </c>
      <c r="E383" s="4" t="s">
        <v>18</v>
      </c>
      <c r="F383" s="4" t="s">
        <v>7433</v>
      </c>
      <c r="G383" s="4" t="s">
        <v>7434</v>
      </c>
      <c r="H383" s="4">
        <v>1.68</v>
      </c>
      <c r="I383" s="4">
        <v>1.2</v>
      </c>
      <c r="J383" s="4">
        <v>0.24579000000000001</v>
      </c>
      <c r="K383" s="4" t="b">
        <v>1</v>
      </c>
      <c r="L383" s="4" t="b">
        <v>0</v>
      </c>
    </row>
    <row r="384" spans="1:12" ht="13">
      <c r="A384" s="4" t="s">
        <v>7435</v>
      </c>
      <c r="B384" s="4" t="s">
        <v>4951</v>
      </c>
      <c r="C384" s="4" t="s">
        <v>108</v>
      </c>
      <c r="D384" s="4" t="s">
        <v>4952</v>
      </c>
      <c r="E384" s="4" t="s">
        <v>18</v>
      </c>
      <c r="F384" s="4" t="s">
        <v>7436</v>
      </c>
      <c r="G384" s="4" t="s">
        <v>7437</v>
      </c>
      <c r="H384" s="4">
        <v>1.69</v>
      </c>
      <c r="I384" s="4">
        <v>1.05</v>
      </c>
      <c r="J384" s="4">
        <v>0.23998</v>
      </c>
      <c r="K384" s="4" t="b">
        <v>1</v>
      </c>
      <c r="L384" s="4" t="b">
        <v>0</v>
      </c>
    </row>
    <row r="385" spans="1:13" ht="13">
      <c r="A385" s="4" t="s">
        <v>7438</v>
      </c>
      <c r="B385" s="4" t="s">
        <v>4951</v>
      </c>
      <c r="C385" s="4" t="s">
        <v>108</v>
      </c>
      <c r="D385" s="4" t="s">
        <v>4952</v>
      </c>
      <c r="E385" s="4" t="s">
        <v>18</v>
      </c>
      <c r="F385" s="4" t="s">
        <v>7439</v>
      </c>
      <c r="G385" s="4" t="s">
        <v>7440</v>
      </c>
      <c r="H385" s="4">
        <v>1.69</v>
      </c>
      <c r="I385" s="4">
        <v>1.08</v>
      </c>
      <c r="J385" s="4">
        <v>0.24265</v>
      </c>
      <c r="K385" s="4" t="b">
        <v>1</v>
      </c>
      <c r="L385" s="4" t="b">
        <v>0</v>
      </c>
    </row>
    <row r="386" spans="1:13" ht="13">
      <c r="A386" s="4" t="s">
        <v>7441</v>
      </c>
      <c r="B386" s="4" t="s">
        <v>4951</v>
      </c>
      <c r="C386" s="4" t="s">
        <v>108</v>
      </c>
      <c r="D386" s="4" t="s">
        <v>4952</v>
      </c>
      <c r="E386" s="4" t="s">
        <v>18</v>
      </c>
      <c r="F386" s="4" t="s">
        <v>7442</v>
      </c>
      <c r="G386" s="4" t="s">
        <v>7443</v>
      </c>
      <c r="H386" s="4">
        <v>1.7</v>
      </c>
      <c r="I386" s="4">
        <v>1.1000000000000001</v>
      </c>
      <c r="J386" s="4">
        <v>0.27078000000000002</v>
      </c>
      <c r="K386" s="4" t="b">
        <v>1</v>
      </c>
      <c r="L386" s="4" t="b">
        <v>0</v>
      </c>
    </row>
    <row r="387" spans="1:13" ht="13">
      <c r="A387" s="4" t="s">
        <v>7447</v>
      </c>
      <c r="B387" s="4" t="s">
        <v>4951</v>
      </c>
      <c r="C387" s="4" t="s">
        <v>108</v>
      </c>
      <c r="D387" s="4" t="s">
        <v>4952</v>
      </c>
      <c r="E387" s="4" t="s">
        <v>18</v>
      </c>
      <c r="F387" s="4" t="s">
        <v>7448</v>
      </c>
      <c r="G387" s="4" t="s">
        <v>7449</v>
      </c>
      <c r="H387" s="4">
        <v>1.71</v>
      </c>
      <c r="I387" s="4">
        <v>1.1100000000000001</v>
      </c>
      <c r="J387" s="4">
        <v>0.24401</v>
      </c>
      <c r="K387" s="4" t="b">
        <v>1</v>
      </c>
      <c r="L387" s="4" t="b">
        <v>0</v>
      </c>
    </row>
    <row r="388" spans="1:13" ht="13">
      <c r="A388" s="4" t="s">
        <v>7453</v>
      </c>
      <c r="B388" s="4" t="s">
        <v>4951</v>
      </c>
      <c r="C388" s="4" t="s">
        <v>108</v>
      </c>
      <c r="D388" s="4" t="s">
        <v>4952</v>
      </c>
      <c r="E388" s="4" t="s">
        <v>18</v>
      </c>
      <c r="F388" s="4" t="s">
        <v>7454</v>
      </c>
      <c r="G388" s="4" t="s">
        <v>7455</v>
      </c>
      <c r="H388" s="4">
        <v>1.72</v>
      </c>
      <c r="I388" s="4">
        <v>1.06</v>
      </c>
      <c r="J388" s="4">
        <v>0.24415000000000001</v>
      </c>
      <c r="K388" s="4" t="b">
        <v>1</v>
      </c>
      <c r="L388" s="4" t="b">
        <v>0</v>
      </c>
    </row>
    <row r="389" spans="1:13" ht="13">
      <c r="A389" s="4" t="s">
        <v>7456</v>
      </c>
      <c r="B389" s="4" t="s">
        <v>4951</v>
      </c>
      <c r="C389" s="4" t="s">
        <v>108</v>
      </c>
      <c r="D389" s="4" t="s">
        <v>4952</v>
      </c>
      <c r="E389" s="4" t="s">
        <v>18</v>
      </c>
      <c r="F389" s="4" t="s">
        <v>7457</v>
      </c>
      <c r="G389" s="4" t="s">
        <v>7458</v>
      </c>
      <c r="H389" s="4">
        <v>1.72</v>
      </c>
      <c r="I389" s="4">
        <v>1.22</v>
      </c>
      <c r="J389" s="4">
        <v>0.2253</v>
      </c>
      <c r="K389" s="4" t="b">
        <v>1</v>
      </c>
      <c r="L389" s="4" t="b">
        <v>0</v>
      </c>
    </row>
    <row r="390" spans="1:13" ht="13">
      <c r="A390" s="4" t="s">
        <v>7459</v>
      </c>
      <c r="B390" s="4" t="s">
        <v>4951</v>
      </c>
      <c r="C390" s="4" t="s">
        <v>108</v>
      </c>
      <c r="D390" s="4" t="s">
        <v>4952</v>
      </c>
      <c r="E390" s="4" t="s">
        <v>18</v>
      </c>
      <c r="F390" s="4" t="s">
        <v>7460</v>
      </c>
      <c r="G390" s="4" t="s">
        <v>7461</v>
      </c>
      <c r="H390" s="4">
        <v>1.73</v>
      </c>
      <c r="I390" s="4">
        <v>1.21</v>
      </c>
      <c r="J390" s="4">
        <v>0.23236999999999999</v>
      </c>
      <c r="K390" s="4" t="b">
        <v>1</v>
      </c>
      <c r="L390" s="4" t="b">
        <v>0</v>
      </c>
    </row>
    <row r="391" spans="1:13" ht="13">
      <c r="A391" s="4" t="s">
        <v>7462</v>
      </c>
      <c r="B391" s="4" t="s">
        <v>4951</v>
      </c>
      <c r="C391" s="4" t="s">
        <v>108</v>
      </c>
      <c r="D391" s="4" t="s">
        <v>4952</v>
      </c>
      <c r="E391" s="4" t="s">
        <v>18</v>
      </c>
      <c r="F391" s="4" t="s">
        <v>7463</v>
      </c>
      <c r="G391" s="4" t="s">
        <v>7464</v>
      </c>
      <c r="H391" s="4">
        <v>1.74</v>
      </c>
      <c r="I391" s="4">
        <v>1.06</v>
      </c>
      <c r="J391" s="4">
        <v>0.22925999999999999</v>
      </c>
      <c r="K391" s="4" t="b">
        <v>1</v>
      </c>
      <c r="L391" s="4" t="b">
        <v>0</v>
      </c>
    </row>
    <row r="392" spans="1:13" ht="13">
      <c r="A392" s="4" t="s">
        <v>7465</v>
      </c>
      <c r="B392" s="4" t="s">
        <v>4951</v>
      </c>
      <c r="C392" s="4" t="s">
        <v>108</v>
      </c>
      <c r="D392" s="4" t="s">
        <v>4952</v>
      </c>
      <c r="E392" s="4" t="s">
        <v>18</v>
      </c>
      <c r="F392" s="4" t="s">
        <v>7466</v>
      </c>
      <c r="G392" s="4" t="s">
        <v>7467</v>
      </c>
      <c r="H392" s="4">
        <v>1.74</v>
      </c>
      <c r="I392" s="4">
        <v>1.1299999999999999</v>
      </c>
      <c r="J392" s="4">
        <v>0.25773000000000001</v>
      </c>
      <c r="K392" s="4" t="b">
        <v>1</v>
      </c>
      <c r="L392" s="4" t="b">
        <v>0</v>
      </c>
    </row>
    <row r="393" spans="1:13" ht="13">
      <c r="A393" s="4" t="s">
        <v>7471</v>
      </c>
      <c r="B393" s="4" t="s">
        <v>4951</v>
      </c>
      <c r="C393" s="4" t="s">
        <v>108</v>
      </c>
      <c r="D393" s="4" t="s">
        <v>4952</v>
      </c>
      <c r="E393" s="4" t="s">
        <v>18</v>
      </c>
      <c r="F393" s="4" t="s">
        <v>7472</v>
      </c>
      <c r="G393" s="4" t="s">
        <v>7473</v>
      </c>
      <c r="H393" s="4">
        <v>1.75</v>
      </c>
      <c r="I393" s="4">
        <v>1.1200000000000001</v>
      </c>
      <c r="J393" s="4">
        <v>0.26435999999999998</v>
      </c>
      <c r="K393" s="4" t="b">
        <v>1</v>
      </c>
      <c r="L393" s="4" t="b">
        <v>0</v>
      </c>
    </row>
    <row r="394" spans="1:13" ht="13">
      <c r="A394" s="4" t="s">
        <v>7474</v>
      </c>
      <c r="B394" s="4" t="s">
        <v>4951</v>
      </c>
      <c r="C394" s="4" t="s">
        <v>108</v>
      </c>
      <c r="D394" s="4" t="s">
        <v>4952</v>
      </c>
      <c r="E394" s="4" t="s">
        <v>18</v>
      </c>
      <c r="F394" s="4" t="s">
        <v>7475</v>
      </c>
      <c r="G394" s="4" t="s">
        <v>7476</v>
      </c>
      <c r="H394" s="4">
        <v>1.76</v>
      </c>
      <c r="I394" s="4">
        <v>1.1100000000000001</v>
      </c>
      <c r="J394" s="4">
        <v>0.27606000000000003</v>
      </c>
      <c r="K394" s="4" t="b">
        <v>1</v>
      </c>
      <c r="L394" s="4" t="b">
        <v>0</v>
      </c>
    </row>
    <row r="395" spans="1:13" ht="13">
      <c r="A395" s="4" t="s">
        <v>7477</v>
      </c>
      <c r="B395" s="4" t="s">
        <v>4951</v>
      </c>
      <c r="C395" s="4" t="s">
        <v>108</v>
      </c>
      <c r="D395" s="4" t="s">
        <v>4952</v>
      </c>
      <c r="E395" s="4" t="s">
        <v>18</v>
      </c>
      <c r="F395" s="4" t="s">
        <v>7478</v>
      </c>
      <c r="G395" s="4" t="s">
        <v>7479</v>
      </c>
      <c r="H395" s="4">
        <v>1.76</v>
      </c>
      <c r="I395" s="4">
        <v>1.1100000000000001</v>
      </c>
      <c r="J395" s="4">
        <v>0.25957000000000002</v>
      </c>
      <c r="K395" s="4" t="b">
        <v>1</v>
      </c>
      <c r="L395" s="4" t="b">
        <v>0</v>
      </c>
    </row>
    <row r="396" spans="1:13" ht="13">
      <c r="A396" s="4" t="s">
        <v>7480</v>
      </c>
      <c r="B396" s="4" t="s">
        <v>4951</v>
      </c>
      <c r="C396" s="4" t="s">
        <v>108</v>
      </c>
      <c r="D396" s="4" t="s">
        <v>4952</v>
      </c>
      <c r="E396" s="4" t="s">
        <v>18</v>
      </c>
      <c r="F396" s="4" t="s">
        <v>7481</v>
      </c>
      <c r="G396" s="4" t="s">
        <v>7482</v>
      </c>
      <c r="H396" s="4">
        <v>1.76</v>
      </c>
      <c r="I396" s="4">
        <v>1.1499999999999999</v>
      </c>
      <c r="J396" s="4">
        <v>0.27500000000000002</v>
      </c>
      <c r="K396" s="4" t="b">
        <v>1</v>
      </c>
      <c r="L396" s="4" t="b">
        <v>0</v>
      </c>
    </row>
    <row r="397" spans="1:13" ht="13">
      <c r="A397" s="4" t="s">
        <v>7486</v>
      </c>
      <c r="B397" s="4" t="s">
        <v>4951</v>
      </c>
      <c r="C397" s="4" t="s">
        <v>108</v>
      </c>
      <c r="D397" s="4" t="s">
        <v>4952</v>
      </c>
      <c r="E397" s="4" t="s">
        <v>18</v>
      </c>
      <c r="F397" s="4" t="s">
        <v>7487</v>
      </c>
      <c r="G397" s="4" t="s">
        <v>7488</v>
      </c>
      <c r="H397" s="4">
        <v>1.77</v>
      </c>
      <c r="I397" s="4">
        <v>1.1100000000000001</v>
      </c>
      <c r="J397" s="4">
        <v>0.24160000000000001</v>
      </c>
      <c r="K397" s="4" t="b">
        <v>1</v>
      </c>
      <c r="L397" s="4" t="b">
        <v>0</v>
      </c>
    </row>
    <row r="398" spans="1:13" ht="13">
      <c r="A398" s="4" t="s">
        <v>3136</v>
      </c>
      <c r="B398" s="4" t="s">
        <v>4951</v>
      </c>
      <c r="C398" s="4" t="s">
        <v>108</v>
      </c>
      <c r="D398" s="4" t="s">
        <v>4952</v>
      </c>
      <c r="E398" s="4" t="s">
        <v>18</v>
      </c>
      <c r="F398" s="4" t="s">
        <v>5010</v>
      </c>
      <c r="G398" s="4" t="s">
        <v>3032</v>
      </c>
      <c r="H398" s="4">
        <v>1.93</v>
      </c>
      <c r="I398" s="4">
        <v>1.1100000000000001</v>
      </c>
      <c r="J398" s="4">
        <v>0.23807</v>
      </c>
      <c r="K398" s="4" t="b">
        <v>1</v>
      </c>
      <c r="L398" s="4" t="b">
        <v>1</v>
      </c>
      <c r="M398" s="41" t="s">
        <v>4929</v>
      </c>
    </row>
    <row r="399" spans="1:13" ht="13">
      <c r="A399" s="4" t="s">
        <v>7489</v>
      </c>
      <c r="B399" s="4" t="s">
        <v>4951</v>
      </c>
      <c r="C399" s="4" t="s">
        <v>108</v>
      </c>
      <c r="D399" s="4" t="s">
        <v>4952</v>
      </c>
      <c r="E399" s="4" t="s">
        <v>18</v>
      </c>
      <c r="F399" s="4" t="s">
        <v>7490</v>
      </c>
      <c r="G399" s="4" t="s">
        <v>7491</v>
      </c>
      <c r="H399" s="4">
        <v>1.93</v>
      </c>
      <c r="I399" s="4">
        <v>1.02</v>
      </c>
      <c r="J399" s="4">
        <v>0.25195000000000001</v>
      </c>
      <c r="K399" s="4" t="b">
        <v>1</v>
      </c>
      <c r="L399" s="4" t="b">
        <v>0</v>
      </c>
    </row>
    <row r="400" spans="1:13" ht="13">
      <c r="A400" s="4" t="s">
        <v>7492</v>
      </c>
      <c r="B400" s="4" t="s">
        <v>4951</v>
      </c>
      <c r="C400" s="4" t="s">
        <v>108</v>
      </c>
      <c r="D400" s="4" t="s">
        <v>4952</v>
      </c>
      <c r="E400" s="4" t="s">
        <v>18</v>
      </c>
      <c r="F400" s="4" t="s">
        <v>7493</v>
      </c>
      <c r="G400" s="4" t="s">
        <v>7494</v>
      </c>
      <c r="H400" s="4">
        <v>1.94</v>
      </c>
      <c r="I400" s="4">
        <v>1.03</v>
      </c>
      <c r="J400" s="4">
        <v>0.24662000000000001</v>
      </c>
      <c r="K400" s="4" t="b">
        <v>1</v>
      </c>
      <c r="L400" s="4" t="b">
        <v>0</v>
      </c>
    </row>
    <row r="401" spans="1:12" ht="13">
      <c r="A401" s="4" t="s">
        <v>7495</v>
      </c>
      <c r="B401" s="4" t="s">
        <v>4951</v>
      </c>
      <c r="C401" s="4" t="s">
        <v>108</v>
      </c>
      <c r="D401" s="4" t="s">
        <v>4952</v>
      </c>
      <c r="E401" s="4" t="s">
        <v>18</v>
      </c>
      <c r="F401" s="4" t="s">
        <v>7496</v>
      </c>
      <c r="G401" s="4" t="s">
        <v>7497</v>
      </c>
      <c r="H401" s="4">
        <v>1.94</v>
      </c>
      <c r="I401" s="4">
        <v>1.07</v>
      </c>
      <c r="J401" s="4">
        <v>0.23705999999999999</v>
      </c>
      <c r="K401" s="4" t="b">
        <v>1</v>
      </c>
      <c r="L401" s="4" t="b">
        <v>0</v>
      </c>
    </row>
    <row r="402" spans="1:12" ht="13">
      <c r="A402" s="4" t="s">
        <v>7498</v>
      </c>
      <c r="B402" s="4" t="s">
        <v>4951</v>
      </c>
      <c r="C402" s="4" t="s">
        <v>108</v>
      </c>
      <c r="D402" s="4" t="s">
        <v>4952</v>
      </c>
      <c r="E402" s="4" t="s">
        <v>18</v>
      </c>
      <c r="F402" s="4" t="s">
        <v>7499</v>
      </c>
      <c r="G402" s="4" t="s">
        <v>7500</v>
      </c>
      <c r="H402" s="4">
        <v>1.95</v>
      </c>
      <c r="I402" s="4">
        <v>1.08</v>
      </c>
      <c r="J402" s="4">
        <v>0.24348</v>
      </c>
      <c r="K402" s="4" t="b">
        <v>1</v>
      </c>
      <c r="L402" s="4" t="b">
        <v>0</v>
      </c>
    </row>
    <row r="403" spans="1:12" ht="13">
      <c r="A403" s="4" t="s">
        <v>7501</v>
      </c>
      <c r="B403" s="4" t="s">
        <v>4951</v>
      </c>
      <c r="C403" s="4" t="s">
        <v>108</v>
      </c>
      <c r="D403" s="4" t="s">
        <v>4952</v>
      </c>
      <c r="E403" s="4" t="s">
        <v>18</v>
      </c>
      <c r="F403" s="4" t="s">
        <v>7502</v>
      </c>
      <c r="G403" s="4" t="s">
        <v>7503</v>
      </c>
      <c r="H403" s="4">
        <v>1.95</v>
      </c>
      <c r="I403" s="4">
        <v>1.1100000000000001</v>
      </c>
      <c r="J403" s="4">
        <v>0.25605</v>
      </c>
      <c r="K403" s="4" t="b">
        <v>1</v>
      </c>
      <c r="L403" s="4" t="b">
        <v>0</v>
      </c>
    </row>
    <row r="404" spans="1:12" ht="13">
      <c r="A404" s="4" t="s">
        <v>7504</v>
      </c>
      <c r="B404" s="4" t="s">
        <v>4951</v>
      </c>
      <c r="C404" s="4" t="s">
        <v>108</v>
      </c>
      <c r="D404" s="4" t="s">
        <v>4952</v>
      </c>
      <c r="E404" s="4" t="s">
        <v>18</v>
      </c>
      <c r="F404" s="4" t="s">
        <v>7505</v>
      </c>
      <c r="G404" s="4" t="s">
        <v>7506</v>
      </c>
      <c r="H404" s="4">
        <v>1.96</v>
      </c>
      <c r="I404" s="4">
        <v>1.19</v>
      </c>
      <c r="J404" s="4">
        <v>0.26501000000000002</v>
      </c>
      <c r="K404" s="4" t="b">
        <v>1</v>
      </c>
      <c r="L404" s="4" t="b">
        <v>0</v>
      </c>
    </row>
    <row r="405" spans="1:12" ht="13">
      <c r="A405" s="4" t="s">
        <v>7519</v>
      </c>
      <c r="B405" s="4" t="s">
        <v>4951</v>
      </c>
      <c r="C405" s="4" t="s">
        <v>108</v>
      </c>
      <c r="D405" s="4" t="s">
        <v>4952</v>
      </c>
      <c r="E405" s="4" t="s">
        <v>18</v>
      </c>
      <c r="F405" s="4" t="s">
        <v>7520</v>
      </c>
      <c r="G405" s="4" t="s">
        <v>7521</v>
      </c>
      <c r="H405" s="4">
        <v>1.97</v>
      </c>
      <c r="I405" s="4">
        <v>1.08</v>
      </c>
      <c r="J405" s="4">
        <v>0.25806000000000001</v>
      </c>
      <c r="K405" s="4" t="b">
        <v>1</v>
      </c>
      <c r="L405" s="4" t="b">
        <v>0</v>
      </c>
    </row>
    <row r="406" spans="1:12" ht="13">
      <c r="A406" s="4" t="s">
        <v>7522</v>
      </c>
      <c r="B406" s="4" t="s">
        <v>4951</v>
      </c>
      <c r="C406" s="4" t="s">
        <v>108</v>
      </c>
      <c r="D406" s="4" t="s">
        <v>4952</v>
      </c>
      <c r="E406" s="4" t="s">
        <v>18</v>
      </c>
      <c r="F406" s="4" t="s">
        <v>7523</v>
      </c>
      <c r="G406" s="4" t="s">
        <v>7524</v>
      </c>
      <c r="H406" s="4">
        <v>1.98</v>
      </c>
      <c r="I406" s="4">
        <v>1.23</v>
      </c>
      <c r="J406" s="4">
        <v>0.27494000000000002</v>
      </c>
      <c r="K406" s="4" t="b">
        <v>1</v>
      </c>
      <c r="L406" s="4" t="b">
        <v>0</v>
      </c>
    </row>
    <row r="407" spans="1:12" ht="13">
      <c r="A407" s="4" t="s">
        <v>7525</v>
      </c>
      <c r="B407" s="4" t="s">
        <v>4951</v>
      </c>
      <c r="C407" s="4" t="s">
        <v>108</v>
      </c>
      <c r="D407" s="4" t="s">
        <v>4952</v>
      </c>
      <c r="E407" s="4" t="s">
        <v>18</v>
      </c>
      <c r="F407" s="4" t="s">
        <v>7526</v>
      </c>
      <c r="G407" s="4" t="s">
        <v>7527</v>
      </c>
      <c r="H407" s="4">
        <v>1.98</v>
      </c>
      <c r="I407" s="4">
        <v>1.1599999999999999</v>
      </c>
      <c r="J407" s="4">
        <v>0.23615</v>
      </c>
      <c r="K407" s="4" t="b">
        <v>1</v>
      </c>
      <c r="L407" s="4" t="b">
        <v>0</v>
      </c>
    </row>
    <row r="408" spans="1:12" ht="13">
      <c r="A408" s="4" t="s">
        <v>7528</v>
      </c>
      <c r="B408" s="4" t="s">
        <v>4951</v>
      </c>
      <c r="C408" s="4" t="s">
        <v>108</v>
      </c>
      <c r="D408" s="4" t="s">
        <v>4952</v>
      </c>
      <c r="E408" s="4" t="s">
        <v>18</v>
      </c>
      <c r="F408" s="4" t="s">
        <v>7529</v>
      </c>
      <c r="G408" s="4" t="s">
        <v>7530</v>
      </c>
      <c r="H408" s="4">
        <v>1.99</v>
      </c>
      <c r="I408" s="4">
        <v>1.18</v>
      </c>
      <c r="J408" s="4">
        <v>0.22942000000000001</v>
      </c>
      <c r="K408" s="4" t="b">
        <v>1</v>
      </c>
      <c r="L408" s="4" t="b">
        <v>0</v>
      </c>
    </row>
    <row r="409" spans="1:12" ht="13">
      <c r="A409" s="4" t="s">
        <v>7531</v>
      </c>
      <c r="B409" s="4" t="s">
        <v>4951</v>
      </c>
      <c r="C409" s="4" t="s">
        <v>108</v>
      </c>
      <c r="D409" s="4" t="s">
        <v>4952</v>
      </c>
      <c r="E409" s="4" t="s">
        <v>18</v>
      </c>
      <c r="F409" s="4" t="s">
        <v>7532</v>
      </c>
      <c r="G409" s="4" t="s">
        <v>7533</v>
      </c>
      <c r="H409" s="4">
        <v>1.99</v>
      </c>
      <c r="I409" s="4">
        <v>1.1100000000000001</v>
      </c>
      <c r="J409" s="4">
        <v>0.24829999999999999</v>
      </c>
      <c r="K409" s="4" t="b">
        <v>1</v>
      </c>
      <c r="L409" s="4" t="b">
        <v>0</v>
      </c>
    </row>
    <row r="410" spans="1:12" ht="13">
      <c r="A410" s="4" t="s">
        <v>7537</v>
      </c>
      <c r="B410" s="4" t="s">
        <v>4951</v>
      </c>
      <c r="C410" s="4" t="s">
        <v>108</v>
      </c>
      <c r="D410" s="4" t="s">
        <v>4952</v>
      </c>
      <c r="E410" s="4" t="s">
        <v>18</v>
      </c>
      <c r="F410" s="4" t="s">
        <v>7538</v>
      </c>
      <c r="G410" s="4" t="s">
        <v>7539</v>
      </c>
      <c r="H410" s="4">
        <v>2</v>
      </c>
      <c r="I410" s="4">
        <v>1.1100000000000001</v>
      </c>
      <c r="J410" s="4">
        <v>0.26240999999999998</v>
      </c>
      <c r="K410" s="4" t="b">
        <v>1</v>
      </c>
      <c r="L410" s="4" t="b">
        <v>0</v>
      </c>
    </row>
    <row r="411" spans="1:12" ht="13">
      <c r="A411" s="4" t="s">
        <v>7540</v>
      </c>
      <c r="B411" s="4" t="s">
        <v>4951</v>
      </c>
      <c r="C411" s="4" t="s">
        <v>108</v>
      </c>
      <c r="D411" s="4" t="s">
        <v>4952</v>
      </c>
      <c r="E411" s="4" t="s">
        <v>18</v>
      </c>
      <c r="F411" s="4" t="s">
        <v>7541</v>
      </c>
      <c r="G411" s="4" t="s">
        <v>7542</v>
      </c>
      <c r="H411" s="4">
        <v>2</v>
      </c>
      <c r="I411" s="4">
        <v>1.04</v>
      </c>
      <c r="J411" s="4">
        <v>0.24879999999999999</v>
      </c>
      <c r="K411" s="4" t="b">
        <v>1</v>
      </c>
      <c r="L411" s="4" t="b">
        <v>0</v>
      </c>
    </row>
    <row r="412" spans="1:12" ht="13">
      <c r="A412" s="4" t="s">
        <v>7543</v>
      </c>
      <c r="B412" s="4" t="s">
        <v>4951</v>
      </c>
      <c r="C412" s="4" t="s">
        <v>108</v>
      </c>
      <c r="D412" s="4" t="s">
        <v>4952</v>
      </c>
      <c r="E412" s="4" t="s">
        <v>18</v>
      </c>
      <c r="F412" s="4" t="s">
        <v>7544</v>
      </c>
      <c r="G412" s="4" t="s">
        <v>7545</v>
      </c>
      <c r="H412" s="4">
        <v>2.0099999999999998</v>
      </c>
      <c r="I412" s="4">
        <v>1.07</v>
      </c>
      <c r="J412" s="4">
        <v>0.25033</v>
      </c>
      <c r="K412" s="4" t="b">
        <v>1</v>
      </c>
      <c r="L412" s="4" t="b">
        <v>0</v>
      </c>
    </row>
    <row r="413" spans="1:12" ht="13">
      <c r="A413" s="4" t="s">
        <v>7546</v>
      </c>
      <c r="B413" s="4" t="s">
        <v>4951</v>
      </c>
      <c r="C413" s="4" t="s">
        <v>108</v>
      </c>
      <c r="D413" s="4" t="s">
        <v>4952</v>
      </c>
      <c r="E413" s="4" t="s">
        <v>18</v>
      </c>
      <c r="F413" s="4" t="s">
        <v>7547</v>
      </c>
      <c r="G413" s="4" t="s">
        <v>7548</v>
      </c>
      <c r="H413" s="4">
        <v>2.0099999999999998</v>
      </c>
      <c r="I413" s="4">
        <v>1.19</v>
      </c>
      <c r="J413" s="4">
        <v>0.23766000000000001</v>
      </c>
      <c r="K413" s="4" t="b">
        <v>1</v>
      </c>
      <c r="L413" s="4" t="b">
        <v>0</v>
      </c>
    </row>
    <row r="414" spans="1:12" ht="13">
      <c r="A414" s="4" t="s">
        <v>7549</v>
      </c>
      <c r="B414" s="4" t="s">
        <v>4951</v>
      </c>
      <c r="C414" s="4" t="s">
        <v>108</v>
      </c>
      <c r="D414" s="4" t="s">
        <v>4952</v>
      </c>
      <c r="E414" s="4" t="s">
        <v>18</v>
      </c>
      <c r="F414" s="4" t="s">
        <v>7550</v>
      </c>
      <c r="G414" s="4" t="s">
        <v>7551</v>
      </c>
      <c r="H414" s="4">
        <v>2.02</v>
      </c>
      <c r="I414" s="4">
        <v>1.1200000000000001</v>
      </c>
      <c r="J414" s="4">
        <v>0.25109999999999999</v>
      </c>
      <c r="K414" s="4" t="b">
        <v>1</v>
      </c>
      <c r="L414" s="4" t="b">
        <v>0</v>
      </c>
    </row>
    <row r="415" spans="1:12" ht="13">
      <c r="A415" s="4" t="s">
        <v>7552</v>
      </c>
      <c r="B415" s="4" t="s">
        <v>4951</v>
      </c>
      <c r="C415" s="4" t="s">
        <v>108</v>
      </c>
      <c r="D415" s="4" t="s">
        <v>4952</v>
      </c>
      <c r="E415" s="4" t="s">
        <v>18</v>
      </c>
      <c r="F415" s="4" t="s">
        <v>7553</v>
      </c>
      <c r="G415" s="4" t="s">
        <v>7554</v>
      </c>
      <c r="H415" s="4">
        <v>2.02</v>
      </c>
      <c r="I415" s="4">
        <v>1.2</v>
      </c>
      <c r="J415" s="4">
        <v>0.22914000000000001</v>
      </c>
      <c r="K415" s="4" t="b">
        <v>1</v>
      </c>
      <c r="L415" s="4" t="b">
        <v>0</v>
      </c>
    </row>
    <row r="416" spans="1:12" ht="13">
      <c r="A416" s="4" t="s">
        <v>7555</v>
      </c>
      <c r="B416" s="4" t="s">
        <v>4951</v>
      </c>
      <c r="C416" s="4" t="s">
        <v>108</v>
      </c>
      <c r="D416" s="4" t="s">
        <v>4952</v>
      </c>
      <c r="E416" s="4" t="s">
        <v>18</v>
      </c>
      <c r="F416" s="4" t="s">
        <v>7556</v>
      </c>
      <c r="G416" s="4" t="s">
        <v>7557</v>
      </c>
      <c r="H416" s="4">
        <v>2.0299999999999998</v>
      </c>
      <c r="I416" s="4">
        <v>1.17</v>
      </c>
      <c r="J416" s="4">
        <v>0.23873</v>
      </c>
      <c r="K416" s="4" t="b">
        <v>1</v>
      </c>
      <c r="L416" s="4" t="b">
        <v>0</v>
      </c>
    </row>
    <row r="417" spans="1:12" ht="13">
      <c r="A417" s="4" t="s">
        <v>7558</v>
      </c>
      <c r="B417" s="4" t="s">
        <v>4951</v>
      </c>
      <c r="C417" s="4" t="s">
        <v>108</v>
      </c>
      <c r="D417" s="4" t="s">
        <v>4952</v>
      </c>
      <c r="E417" s="4" t="s">
        <v>18</v>
      </c>
      <c r="F417" s="4" t="s">
        <v>7559</v>
      </c>
      <c r="G417" s="4" t="s">
        <v>7560</v>
      </c>
      <c r="H417" s="4">
        <v>2.0299999999999998</v>
      </c>
      <c r="I417" s="4">
        <v>1.07</v>
      </c>
      <c r="J417" s="4">
        <v>0.25744</v>
      </c>
      <c r="K417" s="4" t="b">
        <v>1</v>
      </c>
      <c r="L417" s="4" t="b">
        <v>0</v>
      </c>
    </row>
    <row r="418" spans="1:12" ht="13">
      <c r="A418" s="4" t="s">
        <v>7561</v>
      </c>
      <c r="B418" s="4" t="s">
        <v>4951</v>
      </c>
      <c r="C418" s="4" t="s">
        <v>108</v>
      </c>
      <c r="D418" s="4" t="s">
        <v>4952</v>
      </c>
      <c r="E418" s="4" t="s">
        <v>18</v>
      </c>
      <c r="F418" s="4" t="s">
        <v>7562</v>
      </c>
      <c r="G418" s="4" t="s">
        <v>7563</v>
      </c>
      <c r="H418" s="4">
        <v>2.04</v>
      </c>
      <c r="I418" s="4">
        <v>1.1000000000000001</v>
      </c>
      <c r="J418" s="4">
        <v>0.26023000000000002</v>
      </c>
      <c r="K418" s="4" t="b">
        <v>1</v>
      </c>
      <c r="L418" s="4" t="b">
        <v>0</v>
      </c>
    </row>
    <row r="419" spans="1:12" ht="13">
      <c r="A419" s="4" t="s">
        <v>7564</v>
      </c>
      <c r="B419" s="4" t="s">
        <v>4951</v>
      </c>
      <c r="C419" s="4" t="s">
        <v>108</v>
      </c>
      <c r="D419" s="4" t="s">
        <v>4952</v>
      </c>
      <c r="E419" s="4" t="s">
        <v>18</v>
      </c>
      <c r="F419" s="4" t="s">
        <v>7565</v>
      </c>
      <c r="G419" s="4" t="s">
        <v>7566</v>
      </c>
      <c r="H419" s="4">
        <v>2.04</v>
      </c>
      <c r="I419" s="4">
        <v>1.02</v>
      </c>
      <c r="J419" s="4">
        <v>0.24335999999999999</v>
      </c>
      <c r="K419" s="4" t="b">
        <v>1</v>
      </c>
      <c r="L419" s="4" t="b">
        <v>0</v>
      </c>
    </row>
    <row r="420" spans="1:12" ht="13">
      <c r="A420" s="4" t="s">
        <v>7567</v>
      </c>
      <c r="B420" s="4" t="s">
        <v>4951</v>
      </c>
      <c r="C420" s="4" t="s">
        <v>108</v>
      </c>
      <c r="D420" s="4" t="s">
        <v>4952</v>
      </c>
      <c r="E420" s="4" t="s">
        <v>18</v>
      </c>
      <c r="F420" s="4" t="s">
        <v>7568</v>
      </c>
      <c r="G420" s="4" t="s">
        <v>7569</v>
      </c>
      <c r="H420" s="4">
        <v>2.0499999999999998</v>
      </c>
      <c r="I420" s="4">
        <v>1.02</v>
      </c>
      <c r="J420" s="4">
        <v>0.23183999999999999</v>
      </c>
      <c r="K420" s="4" t="b">
        <v>1</v>
      </c>
      <c r="L420" s="4" t="b">
        <v>0</v>
      </c>
    </row>
    <row r="421" spans="1:12" ht="13">
      <c r="A421" s="4" t="s">
        <v>7570</v>
      </c>
      <c r="B421" s="4" t="s">
        <v>4951</v>
      </c>
      <c r="C421" s="4" t="s">
        <v>108</v>
      </c>
      <c r="D421" s="4" t="s">
        <v>4952</v>
      </c>
      <c r="E421" s="4" t="s">
        <v>18</v>
      </c>
      <c r="F421" s="4" t="s">
        <v>7571</v>
      </c>
      <c r="G421" s="4" t="s">
        <v>7572</v>
      </c>
      <c r="H421" s="4">
        <v>2.0499999999999998</v>
      </c>
      <c r="I421" s="4">
        <v>1.06</v>
      </c>
      <c r="J421" s="4">
        <v>0.23419000000000001</v>
      </c>
      <c r="K421" s="4" t="b">
        <v>1</v>
      </c>
      <c r="L421" s="4" t="b">
        <v>0</v>
      </c>
    </row>
    <row r="422" spans="1:12" ht="13">
      <c r="A422" s="4" t="s">
        <v>7573</v>
      </c>
      <c r="B422" s="4" t="s">
        <v>4951</v>
      </c>
      <c r="C422" s="4" t="s">
        <v>108</v>
      </c>
      <c r="D422" s="4" t="s">
        <v>4952</v>
      </c>
      <c r="E422" s="4" t="s">
        <v>18</v>
      </c>
      <c r="F422" s="4" t="s">
        <v>7574</v>
      </c>
      <c r="G422" s="4" t="s">
        <v>7575</v>
      </c>
      <c r="H422" s="4">
        <v>2.06</v>
      </c>
      <c r="I422" s="4">
        <v>1.1000000000000001</v>
      </c>
      <c r="J422" s="4">
        <v>0.24653</v>
      </c>
      <c r="K422" s="4" t="b">
        <v>1</v>
      </c>
      <c r="L422" s="4" t="b">
        <v>0</v>
      </c>
    </row>
    <row r="423" spans="1:12" ht="13">
      <c r="A423" s="4" t="s">
        <v>7576</v>
      </c>
      <c r="B423" s="4" t="s">
        <v>4951</v>
      </c>
      <c r="C423" s="4" t="s">
        <v>108</v>
      </c>
      <c r="D423" s="4" t="s">
        <v>4952</v>
      </c>
      <c r="E423" s="4" t="s">
        <v>18</v>
      </c>
      <c r="F423" s="4" t="s">
        <v>7577</v>
      </c>
      <c r="G423" s="4" t="s">
        <v>7578</v>
      </c>
      <c r="H423" s="4">
        <v>2.06</v>
      </c>
      <c r="I423" s="4">
        <v>1.0900000000000001</v>
      </c>
      <c r="J423" s="4">
        <v>0.24776000000000001</v>
      </c>
      <c r="K423" s="4" t="b">
        <v>1</v>
      </c>
      <c r="L423" s="4" t="b">
        <v>0</v>
      </c>
    </row>
    <row r="424" spans="1:12" ht="13">
      <c r="A424" s="4" t="s">
        <v>7579</v>
      </c>
      <c r="B424" s="4" t="s">
        <v>4951</v>
      </c>
      <c r="C424" s="4" t="s">
        <v>108</v>
      </c>
      <c r="D424" s="4" t="s">
        <v>4952</v>
      </c>
      <c r="E424" s="4" t="s">
        <v>18</v>
      </c>
      <c r="F424" s="4" t="s">
        <v>7580</v>
      </c>
      <c r="G424" s="4" t="s">
        <v>7581</v>
      </c>
      <c r="H424" s="4">
        <v>2.0699999999999998</v>
      </c>
      <c r="I424" s="4">
        <v>1.1100000000000001</v>
      </c>
      <c r="J424" s="4">
        <v>0.23980000000000001</v>
      </c>
      <c r="K424" s="4" t="b">
        <v>1</v>
      </c>
      <c r="L424" s="4" t="b">
        <v>0</v>
      </c>
    </row>
    <row r="425" spans="1:12" ht="13">
      <c r="A425" s="4" t="s">
        <v>7582</v>
      </c>
      <c r="B425" s="4" t="s">
        <v>4951</v>
      </c>
      <c r="C425" s="4" t="s">
        <v>108</v>
      </c>
      <c r="D425" s="4" t="s">
        <v>4952</v>
      </c>
      <c r="E425" s="4" t="s">
        <v>18</v>
      </c>
      <c r="F425" s="4" t="s">
        <v>7583</v>
      </c>
      <c r="G425" s="4" t="s">
        <v>7584</v>
      </c>
      <c r="H425" s="4">
        <v>2.0699999999999998</v>
      </c>
      <c r="I425" s="4">
        <v>1.17</v>
      </c>
      <c r="J425" s="4">
        <v>0.25253999999999999</v>
      </c>
      <c r="K425" s="4" t="b">
        <v>1</v>
      </c>
      <c r="L425" s="4" t="b">
        <v>0</v>
      </c>
    </row>
    <row r="426" spans="1:12" ht="13">
      <c r="A426" s="4" t="s">
        <v>7585</v>
      </c>
      <c r="B426" s="4" t="s">
        <v>4951</v>
      </c>
      <c r="C426" s="4" t="s">
        <v>108</v>
      </c>
      <c r="D426" s="4" t="s">
        <v>4952</v>
      </c>
      <c r="E426" s="4" t="s">
        <v>18</v>
      </c>
      <c r="F426" s="4" t="s">
        <v>7586</v>
      </c>
      <c r="G426" s="4" t="s">
        <v>7587</v>
      </c>
      <c r="H426" s="4">
        <v>2.08</v>
      </c>
      <c r="I426" s="4">
        <v>1.1299999999999999</v>
      </c>
      <c r="J426" s="4">
        <v>0.26927000000000001</v>
      </c>
      <c r="K426" s="4" t="b">
        <v>1</v>
      </c>
      <c r="L426" s="4" t="b">
        <v>0</v>
      </c>
    </row>
    <row r="427" spans="1:12" ht="13">
      <c r="A427" s="4" t="s">
        <v>7588</v>
      </c>
      <c r="B427" s="4" t="s">
        <v>4951</v>
      </c>
      <c r="C427" s="4" t="s">
        <v>108</v>
      </c>
      <c r="D427" s="4" t="s">
        <v>4952</v>
      </c>
      <c r="E427" s="4" t="s">
        <v>18</v>
      </c>
      <c r="F427" s="4" t="s">
        <v>7589</v>
      </c>
      <c r="G427" s="4" t="s">
        <v>7590</v>
      </c>
      <c r="H427" s="4">
        <v>2.08</v>
      </c>
      <c r="I427" s="4">
        <v>1.22</v>
      </c>
      <c r="J427" s="4">
        <v>0.27137</v>
      </c>
      <c r="K427" s="4" t="b">
        <v>1</v>
      </c>
      <c r="L427" s="4" t="b">
        <v>0</v>
      </c>
    </row>
    <row r="428" spans="1:12" ht="13">
      <c r="A428" s="4" t="s">
        <v>7594</v>
      </c>
      <c r="B428" s="4" t="s">
        <v>4951</v>
      </c>
      <c r="C428" s="4" t="s">
        <v>108</v>
      </c>
      <c r="D428" s="4" t="s">
        <v>4952</v>
      </c>
      <c r="E428" s="4" t="s">
        <v>18</v>
      </c>
      <c r="F428" s="4" t="s">
        <v>7595</v>
      </c>
      <c r="G428" s="4" t="s">
        <v>7596</v>
      </c>
      <c r="H428" s="4">
        <v>2.09</v>
      </c>
      <c r="I428" s="4">
        <v>1.0900000000000001</v>
      </c>
      <c r="J428" s="4">
        <v>0.25258000000000003</v>
      </c>
      <c r="K428" s="4" t="b">
        <v>1</v>
      </c>
      <c r="L428" s="4" t="b">
        <v>0</v>
      </c>
    </row>
    <row r="429" spans="1:12" ht="13">
      <c r="A429" s="4" t="s">
        <v>7597</v>
      </c>
      <c r="B429" s="4" t="s">
        <v>4951</v>
      </c>
      <c r="C429" s="4" t="s">
        <v>108</v>
      </c>
      <c r="D429" s="4" t="s">
        <v>4952</v>
      </c>
      <c r="E429" s="4" t="s">
        <v>18</v>
      </c>
      <c r="F429" s="4" t="s">
        <v>7598</v>
      </c>
      <c r="G429" s="4" t="s">
        <v>7599</v>
      </c>
      <c r="H429" s="4">
        <v>2.1</v>
      </c>
      <c r="I429" s="4">
        <v>1.07</v>
      </c>
      <c r="J429" s="4">
        <v>0.22997999999999999</v>
      </c>
      <c r="K429" s="4" t="b">
        <v>1</v>
      </c>
      <c r="L429" s="4" t="b">
        <v>0</v>
      </c>
    </row>
    <row r="430" spans="1:12" ht="13">
      <c r="A430" s="4" t="s">
        <v>7600</v>
      </c>
      <c r="B430" s="4" t="s">
        <v>4951</v>
      </c>
      <c r="C430" s="4" t="s">
        <v>108</v>
      </c>
      <c r="D430" s="4" t="s">
        <v>4952</v>
      </c>
      <c r="E430" s="4" t="s">
        <v>18</v>
      </c>
      <c r="F430" s="4" t="s">
        <v>7601</v>
      </c>
      <c r="G430" s="4" t="s">
        <v>7602</v>
      </c>
      <c r="H430" s="4">
        <v>2.1</v>
      </c>
      <c r="I430" s="4">
        <v>1.35</v>
      </c>
      <c r="J430" s="4">
        <v>0.24857000000000001</v>
      </c>
      <c r="K430" s="4" t="b">
        <v>1</v>
      </c>
      <c r="L430" s="4" t="b">
        <v>0</v>
      </c>
    </row>
    <row r="431" spans="1:12" ht="13">
      <c r="A431" s="4" t="s">
        <v>7603</v>
      </c>
      <c r="B431" s="4" t="s">
        <v>4951</v>
      </c>
      <c r="C431" s="4" t="s">
        <v>108</v>
      </c>
      <c r="D431" s="4" t="s">
        <v>4952</v>
      </c>
      <c r="E431" s="4" t="s">
        <v>18</v>
      </c>
      <c r="F431" s="4" t="s">
        <v>7604</v>
      </c>
      <c r="G431" s="4" t="s">
        <v>7605</v>
      </c>
      <c r="H431" s="4">
        <v>2.11</v>
      </c>
      <c r="I431" s="4">
        <v>1.1200000000000001</v>
      </c>
      <c r="J431" s="4">
        <v>0.26591999999999999</v>
      </c>
      <c r="K431" s="4" t="b">
        <v>1</v>
      </c>
      <c r="L431" s="4" t="b">
        <v>0</v>
      </c>
    </row>
    <row r="432" spans="1:12" ht="13">
      <c r="A432" s="4" t="s">
        <v>7606</v>
      </c>
      <c r="B432" s="4" t="s">
        <v>4951</v>
      </c>
      <c r="C432" s="4" t="s">
        <v>108</v>
      </c>
      <c r="D432" s="4" t="s">
        <v>4952</v>
      </c>
      <c r="E432" s="4" t="s">
        <v>18</v>
      </c>
      <c r="F432" s="4" t="s">
        <v>7607</v>
      </c>
      <c r="G432" s="4" t="s">
        <v>7608</v>
      </c>
      <c r="H432" s="4">
        <v>2.11</v>
      </c>
      <c r="I432" s="4">
        <v>1.1599999999999999</v>
      </c>
      <c r="J432" s="4">
        <v>0.27626000000000001</v>
      </c>
      <c r="K432" s="4" t="b">
        <v>1</v>
      </c>
      <c r="L432" s="4" t="b">
        <v>0</v>
      </c>
    </row>
    <row r="433" spans="1:13" ht="13">
      <c r="A433" s="4" t="s">
        <v>7609</v>
      </c>
      <c r="B433" s="4" t="s">
        <v>4951</v>
      </c>
      <c r="C433" s="4" t="s">
        <v>108</v>
      </c>
      <c r="D433" s="4" t="s">
        <v>4952</v>
      </c>
      <c r="E433" s="4" t="s">
        <v>18</v>
      </c>
      <c r="F433" s="4" t="s">
        <v>7610</v>
      </c>
      <c r="G433" s="4" t="s">
        <v>7611</v>
      </c>
      <c r="H433" s="4">
        <v>2.12</v>
      </c>
      <c r="I433" s="4">
        <v>1.1200000000000001</v>
      </c>
      <c r="J433" s="4">
        <v>0.25429000000000002</v>
      </c>
      <c r="K433" s="4" t="b">
        <v>1</v>
      </c>
      <c r="L433" s="4" t="b">
        <v>0</v>
      </c>
    </row>
    <row r="434" spans="1:13" ht="13">
      <c r="A434" s="4" t="s">
        <v>7612</v>
      </c>
      <c r="B434" s="4" t="s">
        <v>4951</v>
      </c>
      <c r="C434" s="4" t="s">
        <v>108</v>
      </c>
      <c r="D434" s="4" t="s">
        <v>4952</v>
      </c>
      <c r="E434" s="4" t="s">
        <v>18</v>
      </c>
      <c r="F434" s="4" t="s">
        <v>7613</v>
      </c>
      <c r="G434" s="4" t="s">
        <v>7614</v>
      </c>
      <c r="H434" s="4">
        <v>2.12</v>
      </c>
      <c r="I434" s="4">
        <v>2.5299999999999998</v>
      </c>
      <c r="J434" s="4">
        <v>0.32246999999999998</v>
      </c>
      <c r="K434" s="4" t="b">
        <v>1</v>
      </c>
      <c r="L434" s="4" t="b">
        <v>0</v>
      </c>
    </row>
    <row r="435" spans="1:13" ht="13">
      <c r="A435" s="4" t="s">
        <v>7618</v>
      </c>
      <c r="B435" s="4" t="s">
        <v>4951</v>
      </c>
      <c r="C435" s="4" t="s">
        <v>108</v>
      </c>
      <c r="D435" s="4" t="s">
        <v>4952</v>
      </c>
      <c r="E435" s="4" t="s">
        <v>18</v>
      </c>
      <c r="F435" s="4" t="s">
        <v>7619</v>
      </c>
      <c r="G435" s="4" t="s">
        <v>7620</v>
      </c>
      <c r="H435" s="4">
        <v>2.13</v>
      </c>
      <c r="I435" s="4">
        <v>1.07</v>
      </c>
      <c r="J435" s="4">
        <v>0.23533999999999999</v>
      </c>
      <c r="K435" s="4" t="b">
        <v>1</v>
      </c>
      <c r="L435" s="4" t="b">
        <v>0</v>
      </c>
    </row>
    <row r="436" spans="1:13" ht="13">
      <c r="A436" s="4" t="s">
        <v>7621</v>
      </c>
      <c r="B436" s="4" t="s">
        <v>4951</v>
      </c>
      <c r="C436" s="4" t="s">
        <v>108</v>
      </c>
      <c r="D436" s="4" t="s">
        <v>4952</v>
      </c>
      <c r="E436" s="4" t="s">
        <v>18</v>
      </c>
      <c r="F436" s="4" t="s">
        <v>7622</v>
      </c>
      <c r="G436" s="4" t="s">
        <v>7623</v>
      </c>
      <c r="H436" s="4">
        <v>2.13</v>
      </c>
      <c r="I436" s="4">
        <v>1.07</v>
      </c>
      <c r="J436" s="4">
        <v>0.24210000000000001</v>
      </c>
      <c r="K436" s="4" t="b">
        <v>1</v>
      </c>
      <c r="L436" s="4" t="b">
        <v>0</v>
      </c>
    </row>
    <row r="437" spans="1:13" ht="13">
      <c r="A437" s="4" t="s">
        <v>7624</v>
      </c>
      <c r="B437" s="4" t="s">
        <v>4951</v>
      </c>
      <c r="C437" s="4" t="s">
        <v>108</v>
      </c>
      <c r="D437" s="4" t="s">
        <v>4952</v>
      </c>
      <c r="E437" s="4" t="s">
        <v>18</v>
      </c>
      <c r="F437" s="4" t="s">
        <v>7625</v>
      </c>
      <c r="G437" s="4" t="s">
        <v>7626</v>
      </c>
      <c r="H437" s="4">
        <v>2.14</v>
      </c>
      <c r="I437" s="4">
        <v>1.1000000000000001</v>
      </c>
      <c r="J437" s="4">
        <v>0.25052000000000002</v>
      </c>
      <c r="K437" s="4" t="b">
        <v>1</v>
      </c>
      <c r="L437" s="4" t="b">
        <v>0</v>
      </c>
    </row>
    <row r="438" spans="1:13" ht="13">
      <c r="A438" s="4" t="s">
        <v>7627</v>
      </c>
      <c r="B438" s="4" t="s">
        <v>4951</v>
      </c>
      <c r="C438" s="4" t="s">
        <v>108</v>
      </c>
      <c r="D438" s="4" t="s">
        <v>4952</v>
      </c>
      <c r="E438" s="4" t="s">
        <v>18</v>
      </c>
      <c r="F438" s="4" t="s">
        <v>7628</v>
      </c>
      <c r="G438" s="4" t="s">
        <v>7629</v>
      </c>
      <c r="H438" s="4">
        <v>2.14</v>
      </c>
      <c r="I438" s="4">
        <v>1.1000000000000001</v>
      </c>
      <c r="J438" s="4">
        <v>0.26291999999999999</v>
      </c>
      <c r="K438" s="4" t="b">
        <v>1</v>
      </c>
      <c r="L438" s="4" t="b">
        <v>0</v>
      </c>
    </row>
    <row r="439" spans="1:13" ht="13">
      <c r="A439" s="4" t="s">
        <v>7630</v>
      </c>
      <c r="B439" s="4" t="s">
        <v>4951</v>
      </c>
      <c r="C439" s="4" t="s">
        <v>108</v>
      </c>
      <c r="D439" s="4" t="s">
        <v>4952</v>
      </c>
      <c r="E439" s="4" t="s">
        <v>18</v>
      </c>
      <c r="F439" s="4" t="s">
        <v>7631</v>
      </c>
      <c r="G439" s="4" t="s">
        <v>7632</v>
      </c>
      <c r="H439" s="4">
        <v>2.2999999999999998</v>
      </c>
      <c r="I439" s="4">
        <v>1.1399999999999999</v>
      </c>
      <c r="J439" s="4">
        <v>0.24328</v>
      </c>
      <c r="K439" s="4" t="b">
        <v>1</v>
      </c>
      <c r="L439" s="4" t="b">
        <v>0</v>
      </c>
    </row>
    <row r="440" spans="1:13" ht="13">
      <c r="A440" s="4" t="s">
        <v>7633</v>
      </c>
      <c r="B440" s="4" t="s">
        <v>4951</v>
      </c>
      <c r="C440" s="4" t="s">
        <v>108</v>
      </c>
      <c r="D440" s="4" t="s">
        <v>4952</v>
      </c>
      <c r="E440" s="4" t="s">
        <v>18</v>
      </c>
      <c r="F440" s="4" t="s">
        <v>7634</v>
      </c>
      <c r="G440" s="4" t="s">
        <v>7635</v>
      </c>
      <c r="H440" s="4">
        <v>2.31</v>
      </c>
      <c r="I440" s="4">
        <v>1.1000000000000001</v>
      </c>
      <c r="J440" s="4">
        <v>0.25861000000000001</v>
      </c>
      <c r="K440" s="4" t="b">
        <v>1</v>
      </c>
      <c r="L440" s="4" t="b">
        <v>0</v>
      </c>
    </row>
    <row r="441" spans="1:13" ht="13">
      <c r="A441" s="4" t="s">
        <v>7636</v>
      </c>
      <c r="B441" s="4" t="s">
        <v>4951</v>
      </c>
      <c r="C441" s="4" t="s">
        <v>108</v>
      </c>
      <c r="D441" s="4" t="s">
        <v>4952</v>
      </c>
      <c r="E441" s="4" t="s">
        <v>18</v>
      </c>
      <c r="F441" s="4" t="s">
        <v>7637</v>
      </c>
      <c r="G441" s="4" t="s">
        <v>7638</v>
      </c>
      <c r="H441" s="4">
        <v>2.31</v>
      </c>
      <c r="I441" s="4">
        <v>1.04</v>
      </c>
      <c r="J441" s="4">
        <v>0.25247999999999998</v>
      </c>
      <c r="K441" s="4" t="b">
        <v>1</v>
      </c>
      <c r="L441" s="4" t="b">
        <v>0</v>
      </c>
    </row>
    <row r="442" spans="1:13" ht="13">
      <c r="A442" s="4" t="s">
        <v>7639</v>
      </c>
      <c r="B442" s="4" t="s">
        <v>4951</v>
      </c>
      <c r="C442" s="4" t="s">
        <v>108</v>
      </c>
      <c r="D442" s="4" t="s">
        <v>4952</v>
      </c>
      <c r="E442" s="4" t="s">
        <v>18</v>
      </c>
      <c r="F442" s="4" t="s">
        <v>7640</v>
      </c>
      <c r="G442" s="4" t="s">
        <v>7641</v>
      </c>
      <c r="H442" s="4">
        <v>2.31</v>
      </c>
      <c r="I442" s="4">
        <v>1.1000000000000001</v>
      </c>
      <c r="J442" s="4">
        <v>0.28822999999999999</v>
      </c>
      <c r="K442" s="4" t="b">
        <v>1</v>
      </c>
      <c r="L442" s="4" t="b">
        <v>0</v>
      </c>
    </row>
    <row r="443" spans="1:13" ht="13">
      <c r="A443" s="4" t="s">
        <v>7642</v>
      </c>
      <c r="B443" s="4" t="s">
        <v>4951</v>
      </c>
      <c r="C443" s="4" t="s">
        <v>108</v>
      </c>
      <c r="D443" s="4" t="s">
        <v>4952</v>
      </c>
      <c r="E443" s="4" t="s">
        <v>18</v>
      </c>
      <c r="F443" s="4" t="s">
        <v>7643</v>
      </c>
      <c r="G443" s="4" t="s">
        <v>7644</v>
      </c>
      <c r="H443" s="4">
        <v>2.3199999999999998</v>
      </c>
      <c r="I443" s="4">
        <v>1.07</v>
      </c>
      <c r="J443" s="4">
        <v>0.24979000000000001</v>
      </c>
      <c r="K443" s="4" t="b">
        <v>1</v>
      </c>
      <c r="L443" s="4" t="b">
        <v>0</v>
      </c>
    </row>
    <row r="444" spans="1:13" ht="13">
      <c r="A444" s="4" t="s">
        <v>7645</v>
      </c>
      <c r="B444" s="4" t="s">
        <v>4951</v>
      </c>
      <c r="C444" s="4" t="s">
        <v>108</v>
      </c>
      <c r="D444" s="4" t="s">
        <v>4952</v>
      </c>
      <c r="E444" s="4" t="s">
        <v>18</v>
      </c>
      <c r="F444" s="4" t="s">
        <v>7646</v>
      </c>
      <c r="G444" s="4" t="s">
        <v>7647</v>
      </c>
      <c r="H444" s="4">
        <v>2.3199999999999998</v>
      </c>
      <c r="I444" s="4">
        <v>1.19</v>
      </c>
      <c r="J444" s="4">
        <v>0.23849000000000001</v>
      </c>
      <c r="K444" s="4" t="b">
        <v>1</v>
      </c>
      <c r="L444" s="4" t="b">
        <v>0</v>
      </c>
    </row>
    <row r="445" spans="1:13" ht="13">
      <c r="A445" s="4" t="s">
        <v>7648</v>
      </c>
      <c r="B445" s="4" t="s">
        <v>4951</v>
      </c>
      <c r="C445" s="4" t="s">
        <v>108</v>
      </c>
      <c r="D445" s="4" t="s">
        <v>4952</v>
      </c>
      <c r="E445" s="4" t="s">
        <v>18</v>
      </c>
      <c r="F445" s="4" t="s">
        <v>7649</v>
      </c>
      <c r="G445" s="4" t="s">
        <v>7650</v>
      </c>
      <c r="H445" s="4">
        <v>2.33</v>
      </c>
      <c r="I445" s="4">
        <v>1.06</v>
      </c>
      <c r="J445" s="4">
        <v>0.24756</v>
      </c>
      <c r="K445" s="4" t="b">
        <v>1</v>
      </c>
      <c r="L445" s="4" t="b">
        <v>0</v>
      </c>
    </row>
    <row r="446" spans="1:13" ht="13">
      <c r="A446" s="4" t="s">
        <v>7651</v>
      </c>
      <c r="B446" s="4" t="s">
        <v>4951</v>
      </c>
      <c r="C446" s="4" t="s">
        <v>108</v>
      </c>
      <c r="D446" s="4" t="s">
        <v>4952</v>
      </c>
      <c r="E446" s="4" t="s">
        <v>18</v>
      </c>
      <c r="F446" s="4" t="s">
        <v>7652</v>
      </c>
      <c r="G446" s="4" t="s">
        <v>7653</v>
      </c>
      <c r="H446" s="4">
        <v>2.33</v>
      </c>
      <c r="I446" s="4">
        <v>1.1599999999999999</v>
      </c>
      <c r="J446" s="4">
        <v>0.25906000000000001</v>
      </c>
      <c r="K446" s="4" t="b">
        <v>1</v>
      </c>
      <c r="L446" s="4" t="b">
        <v>0</v>
      </c>
    </row>
    <row r="447" spans="1:13" ht="13">
      <c r="A447" s="4" t="s">
        <v>3137</v>
      </c>
      <c r="B447" s="4" t="s">
        <v>4951</v>
      </c>
      <c r="C447" s="4" t="s">
        <v>108</v>
      </c>
      <c r="D447" s="4" t="s">
        <v>4952</v>
      </c>
      <c r="E447" s="4" t="s">
        <v>18</v>
      </c>
      <c r="F447" s="4" t="s">
        <v>4966</v>
      </c>
      <c r="G447" s="4" t="s">
        <v>3033</v>
      </c>
      <c r="H447" s="4">
        <v>2.34</v>
      </c>
      <c r="I447" s="4">
        <v>1.06</v>
      </c>
      <c r="J447" s="4">
        <v>0.24095</v>
      </c>
      <c r="K447" s="4" t="b">
        <v>1</v>
      </c>
      <c r="L447" s="4" t="b">
        <v>1</v>
      </c>
      <c r="M447" s="41" t="s">
        <v>4929</v>
      </c>
    </row>
    <row r="448" spans="1:13" ht="13">
      <c r="A448" s="4" t="s">
        <v>7657</v>
      </c>
      <c r="B448" s="4" t="s">
        <v>4951</v>
      </c>
      <c r="C448" s="4" t="s">
        <v>108</v>
      </c>
      <c r="D448" s="4" t="s">
        <v>4952</v>
      </c>
      <c r="E448" s="4" t="s">
        <v>18</v>
      </c>
      <c r="F448" s="4" t="s">
        <v>7658</v>
      </c>
      <c r="G448" s="4" t="s">
        <v>7659</v>
      </c>
      <c r="H448" s="4">
        <v>2.35</v>
      </c>
      <c r="I448" s="4">
        <v>1.1599999999999999</v>
      </c>
      <c r="J448" s="4">
        <v>0.24041999999999999</v>
      </c>
      <c r="K448" s="4" t="b">
        <v>1</v>
      </c>
      <c r="L448" s="4" t="b">
        <v>0</v>
      </c>
    </row>
    <row r="449" spans="1:12" ht="13">
      <c r="A449" s="4" t="s">
        <v>7660</v>
      </c>
      <c r="B449" s="4" t="s">
        <v>4951</v>
      </c>
      <c r="C449" s="4" t="s">
        <v>108</v>
      </c>
      <c r="D449" s="4" t="s">
        <v>4952</v>
      </c>
      <c r="E449" s="4" t="s">
        <v>18</v>
      </c>
      <c r="F449" s="4" t="s">
        <v>7661</v>
      </c>
      <c r="G449" s="4" t="s">
        <v>7662</v>
      </c>
      <c r="H449" s="4">
        <v>2.35</v>
      </c>
      <c r="I449" s="4">
        <v>1.05</v>
      </c>
      <c r="J449" s="4">
        <v>0.24895</v>
      </c>
      <c r="K449" s="4" t="b">
        <v>1</v>
      </c>
      <c r="L449" s="4" t="b">
        <v>0</v>
      </c>
    </row>
    <row r="450" spans="1:12" ht="13">
      <c r="A450" s="4" t="s">
        <v>7663</v>
      </c>
      <c r="B450" s="4" t="s">
        <v>4951</v>
      </c>
      <c r="C450" s="4" t="s">
        <v>108</v>
      </c>
      <c r="D450" s="4" t="s">
        <v>4952</v>
      </c>
      <c r="E450" s="4" t="s">
        <v>18</v>
      </c>
      <c r="F450" s="4" t="s">
        <v>7664</v>
      </c>
      <c r="G450" s="4" t="s">
        <v>7665</v>
      </c>
      <c r="H450" s="4">
        <v>2.35</v>
      </c>
      <c r="I450" s="4">
        <v>1.17</v>
      </c>
      <c r="J450" s="4">
        <v>0.24056</v>
      </c>
      <c r="K450" s="4" t="b">
        <v>1</v>
      </c>
      <c r="L450" s="4" t="b">
        <v>0</v>
      </c>
    </row>
    <row r="451" spans="1:12" ht="13">
      <c r="A451" s="4" t="s">
        <v>7666</v>
      </c>
      <c r="B451" s="4" t="s">
        <v>4951</v>
      </c>
      <c r="C451" s="4" t="s">
        <v>108</v>
      </c>
      <c r="D451" s="4" t="s">
        <v>4952</v>
      </c>
      <c r="E451" s="4" t="s">
        <v>18</v>
      </c>
      <c r="F451" s="4" t="s">
        <v>7667</v>
      </c>
      <c r="G451" s="4" t="s">
        <v>7668</v>
      </c>
      <c r="H451" s="4">
        <v>2.36</v>
      </c>
      <c r="I451" s="4">
        <v>1.53</v>
      </c>
      <c r="J451" s="4">
        <v>0.24715999999999999</v>
      </c>
      <c r="K451" s="4" t="b">
        <v>1</v>
      </c>
      <c r="L451" s="4" t="b">
        <v>0</v>
      </c>
    </row>
    <row r="452" spans="1:12" ht="13">
      <c r="A452" s="4" t="s">
        <v>7669</v>
      </c>
      <c r="B452" s="4" t="s">
        <v>4951</v>
      </c>
      <c r="C452" s="4" t="s">
        <v>108</v>
      </c>
      <c r="D452" s="4" t="s">
        <v>4952</v>
      </c>
      <c r="E452" s="4" t="s">
        <v>18</v>
      </c>
      <c r="F452" s="4" t="s">
        <v>7670</v>
      </c>
      <c r="G452" s="4" t="s">
        <v>7671</v>
      </c>
      <c r="H452" s="4">
        <v>2.36</v>
      </c>
      <c r="I452" s="4">
        <v>1.1299999999999999</v>
      </c>
      <c r="J452" s="4">
        <v>0.25925999999999999</v>
      </c>
      <c r="K452" s="4" t="b">
        <v>1</v>
      </c>
      <c r="L452" s="4" t="b">
        <v>0</v>
      </c>
    </row>
    <row r="453" spans="1:12" ht="13">
      <c r="A453" s="4" t="s">
        <v>7672</v>
      </c>
      <c r="B453" s="4" t="s">
        <v>4951</v>
      </c>
      <c r="C453" s="4" t="s">
        <v>108</v>
      </c>
      <c r="D453" s="4" t="s">
        <v>4952</v>
      </c>
      <c r="E453" s="4" t="s">
        <v>18</v>
      </c>
      <c r="F453" s="4" t="s">
        <v>7673</v>
      </c>
      <c r="G453" s="4" t="s">
        <v>7674</v>
      </c>
      <c r="H453" s="4">
        <v>2.36</v>
      </c>
      <c r="I453" s="4">
        <v>1.08</v>
      </c>
      <c r="J453" s="4">
        <v>0.25185999999999997</v>
      </c>
      <c r="K453" s="4" t="b">
        <v>1</v>
      </c>
      <c r="L453" s="4" t="b">
        <v>0</v>
      </c>
    </row>
    <row r="454" spans="1:12" ht="13">
      <c r="A454" s="4" t="s">
        <v>7675</v>
      </c>
      <c r="B454" s="4" t="s">
        <v>4951</v>
      </c>
      <c r="C454" s="4" t="s">
        <v>108</v>
      </c>
      <c r="D454" s="4" t="s">
        <v>4952</v>
      </c>
      <c r="E454" s="4" t="s">
        <v>18</v>
      </c>
      <c r="F454" s="4" t="s">
        <v>7676</v>
      </c>
      <c r="G454" s="4" t="s">
        <v>7677</v>
      </c>
      <c r="H454" s="4">
        <v>2.37</v>
      </c>
      <c r="I454" s="4">
        <v>1.1200000000000001</v>
      </c>
      <c r="J454" s="4">
        <v>0.24262</v>
      </c>
      <c r="K454" s="4" t="b">
        <v>1</v>
      </c>
      <c r="L454" s="4" t="b">
        <v>0</v>
      </c>
    </row>
    <row r="455" spans="1:12" ht="13">
      <c r="A455" s="4" t="s">
        <v>7678</v>
      </c>
      <c r="B455" s="4" t="s">
        <v>4951</v>
      </c>
      <c r="C455" s="4" t="s">
        <v>108</v>
      </c>
      <c r="D455" s="4" t="s">
        <v>4952</v>
      </c>
      <c r="E455" s="4" t="s">
        <v>18</v>
      </c>
      <c r="F455" s="4" t="s">
        <v>7679</v>
      </c>
      <c r="G455" s="4" t="s">
        <v>7680</v>
      </c>
      <c r="H455" s="4">
        <v>2.38</v>
      </c>
      <c r="I455" s="4">
        <v>1.04</v>
      </c>
      <c r="J455" s="4">
        <v>0.24074000000000001</v>
      </c>
      <c r="K455" s="4" t="b">
        <v>1</v>
      </c>
      <c r="L455" s="4" t="b">
        <v>0</v>
      </c>
    </row>
    <row r="456" spans="1:12" ht="13">
      <c r="A456" s="4" t="s">
        <v>7681</v>
      </c>
      <c r="B456" s="4" t="s">
        <v>4951</v>
      </c>
      <c r="C456" s="4" t="s">
        <v>108</v>
      </c>
      <c r="D456" s="4" t="s">
        <v>4952</v>
      </c>
      <c r="E456" s="4" t="s">
        <v>18</v>
      </c>
      <c r="F456" s="4" t="s">
        <v>7682</v>
      </c>
      <c r="G456" s="4" t="s">
        <v>7683</v>
      </c>
      <c r="H456" s="4">
        <v>2.38</v>
      </c>
      <c r="I456" s="4">
        <v>1.17</v>
      </c>
      <c r="J456" s="4">
        <v>0.25257000000000002</v>
      </c>
      <c r="K456" s="4" t="b">
        <v>1</v>
      </c>
      <c r="L456" s="4" t="b">
        <v>0</v>
      </c>
    </row>
    <row r="457" spans="1:12" ht="13">
      <c r="A457" s="4" t="s">
        <v>7684</v>
      </c>
      <c r="B457" s="4" t="s">
        <v>4951</v>
      </c>
      <c r="C457" s="4" t="s">
        <v>108</v>
      </c>
      <c r="D457" s="4" t="s">
        <v>4952</v>
      </c>
      <c r="E457" s="4" t="s">
        <v>18</v>
      </c>
      <c r="F457" s="4" t="s">
        <v>7685</v>
      </c>
      <c r="G457" s="4" t="s">
        <v>7686</v>
      </c>
      <c r="H457" s="4">
        <v>2.38</v>
      </c>
      <c r="I457" s="4">
        <v>1.1200000000000001</v>
      </c>
      <c r="J457" s="4">
        <v>0.24218999999999999</v>
      </c>
      <c r="K457" s="4" t="b">
        <v>1</v>
      </c>
      <c r="L457" s="4" t="b">
        <v>0</v>
      </c>
    </row>
    <row r="458" spans="1:12" ht="13">
      <c r="A458" s="4" t="s">
        <v>7687</v>
      </c>
      <c r="B458" s="4" t="s">
        <v>4951</v>
      </c>
      <c r="C458" s="4" t="s">
        <v>108</v>
      </c>
      <c r="D458" s="4" t="s">
        <v>4952</v>
      </c>
      <c r="E458" s="4" t="s">
        <v>18</v>
      </c>
      <c r="F458" s="4" t="s">
        <v>7688</v>
      </c>
      <c r="G458" s="4" t="s">
        <v>7689</v>
      </c>
      <c r="H458" s="4">
        <v>2.39</v>
      </c>
      <c r="I458" s="4">
        <v>1.06</v>
      </c>
      <c r="J458" s="4">
        <v>0.25613000000000002</v>
      </c>
      <c r="K458" s="4" t="b">
        <v>1</v>
      </c>
      <c r="L458" s="4" t="b">
        <v>0</v>
      </c>
    </row>
    <row r="459" spans="1:12" ht="13">
      <c r="A459" s="4" t="s">
        <v>7690</v>
      </c>
      <c r="B459" s="4" t="s">
        <v>4951</v>
      </c>
      <c r="C459" s="4" t="s">
        <v>108</v>
      </c>
      <c r="D459" s="4" t="s">
        <v>4952</v>
      </c>
      <c r="E459" s="4" t="s">
        <v>18</v>
      </c>
      <c r="F459" s="4" t="s">
        <v>7691</v>
      </c>
      <c r="G459" s="4" t="s">
        <v>7692</v>
      </c>
      <c r="H459" s="4">
        <v>2.39</v>
      </c>
      <c r="I459" s="4">
        <v>1.0900000000000001</v>
      </c>
      <c r="J459" s="4">
        <v>0.253</v>
      </c>
      <c r="K459" s="4" t="b">
        <v>1</v>
      </c>
      <c r="L459" s="4" t="b">
        <v>0</v>
      </c>
    </row>
    <row r="460" spans="1:12" ht="13">
      <c r="A460" s="4" t="s">
        <v>7693</v>
      </c>
      <c r="B460" s="4" t="s">
        <v>4951</v>
      </c>
      <c r="C460" s="4" t="s">
        <v>108</v>
      </c>
      <c r="D460" s="4" t="s">
        <v>4952</v>
      </c>
      <c r="E460" s="4" t="s">
        <v>18</v>
      </c>
      <c r="F460" s="4" t="s">
        <v>7694</v>
      </c>
      <c r="G460" s="4" t="s">
        <v>7695</v>
      </c>
      <c r="H460" s="4">
        <v>2.4</v>
      </c>
      <c r="I460" s="4">
        <v>1.0900000000000001</v>
      </c>
      <c r="J460" s="4">
        <v>0.25673000000000001</v>
      </c>
      <c r="K460" s="4" t="b">
        <v>1</v>
      </c>
      <c r="L460" s="4" t="b">
        <v>0</v>
      </c>
    </row>
    <row r="461" spans="1:12" ht="13">
      <c r="A461" s="4" t="s">
        <v>7696</v>
      </c>
      <c r="B461" s="4" t="s">
        <v>4951</v>
      </c>
      <c r="C461" s="4" t="s">
        <v>108</v>
      </c>
      <c r="D461" s="4" t="s">
        <v>4952</v>
      </c>
      <c r="E461" s="4" t="s">
        <v>18</v>
      </c>
      <c r="F461" s="4" t="s">
        <v>7697</v>
      </c>
      <c r="G461" s="4" t="s">
        <v>7698</v>
      </c>
      <c r="H461" s="4">
        <v>2.4</v>
      </c>
      <c r="I461" s="4">
        <v>1.01</v>
      </c>
      <c r="J461" s="4">
        <v>0.22725000000000001</v>
      </c>
      <c r="K461" s="4" t="b">
        <v>1</v>
      </c>
      <c r="L461" s="4" t="b">
        <v>0</v>
      </c>
    </row>
    <row r="462" spans="1:12" ht="13">
      <c r="A462" s="4" t="s">
        <v>7699</v>
      </c>
      <c r="B462" s="4" t="s">
        <v>4951</v>
      </c>
      <c r="C462" s="4" t="s">
        <v>108</v>
      </c>
      <c r="D462" s="4" t="s">
        <v>4952</v>
      </c>
      <c r="E462" s="4" t="s">
        <v>18</v>
      </c>
      <c r="F462" s="4" t="s">
        <v>7700</v>
      </c>
      <c r="G462" s="4" t="s">
        <v>7701</v>
      </c>
      <c r="H462" s="4">
        <v>2.4</v>
      </c>
      <c r="I462" s="4">
        <v>1.1599999999999999</v>
      </c>
      <c r="J462" s="4">
        <v>0.24312</v>
      </c>
      <c r="K462" s="4" t="b">
        <v>1</v>
      </c>
      <c r="L462" s="4" t="b">
        <v>0</v>
      </c>
    </row>
    <row r="463" spans="1:12" ht="13">
      <c r="A463" s="4" t="s">
        <v>7705</v>
      </c>
      <c r="B463" s="4" t="s">
        <v>4951</v>
      </c>
      <c r="C463" s="4" t="s">
        <v>108</v>
      </c>
      <c r="D463" s="4" t="s">
        <v>4952</v>
      </c>
      <c r="E463" s="4" t="s">
        <v>18</v>
      </c>
      <c r="F463" s="4" t="s">
        <v>7706</v>
      </c>
      <c r="G463" s="4" t="s">
        <v>7707</v>
      </c>
      <c r="H463" s="4">
        <v>2.41</v>
      </c>
      <c r="I463" s="4">
        <v>1.03</v>
      </c>
      <c r="J463" s="4">
        <v>0.23169000000000001</v>
      </c>
      <c r="K463" s="4" t="b">
        <v>1</v>
      </c>
      <c r="L463" s="4" t="b">
        <v>0</v>
      </c>
    </row>
    <row r="464" spans="1:12" ht="13">
      <c r="A464" s="4" t="s">
        <v>7708</v>
      </c>
      <c r="B464" s="4" t="s">
        <v>4951</v>
      </c>
      <c r="C464" s="4" t="s">
        <v>108</v>
      </c>
      <c r="D464" s="4" t="s">
        <v>4952</v>
      </c>
      <c r="E464" s="4" t="s">
        <v>18</v>
      </c>
      <c r="F464" s="4" t="s">
        <v>7709</v>
      </c>
      <c r="G464" s="4" t="s">
        <v>7710</v>
      </c>
      <c r="H464" s="4">
        <v>2.42</v>
      </c>
      <c r="I464" s="4">
        <v>1.0900000000000001</v>
      </c>
      <c r="J464" s="4">
        <v>0.23974999999999999</v>
      </c>
      <c r="K464" s="4" t="b">
        <v>1</v>
      </c>
      <c r="L464" s="4" t="b">
        <v>0</v>
      </c>
    </row>
    <row r="465" spans="1:12" ht="13">
      <c r="A465" s="4" t="s">
        <v>7711</v>
      </c>
      <c r="B465" s="4" t="s">
        <v>4951</v>
      </c>
      <c r="C465" s="4" t="s">
        <v>108</v>
      </c>
      <c r="D465" s="4" t="s">
        <v>4952</v>
      </c>
      <c r="E465" s="4" t="s">
        <v>18</v>
      </c>
      <c r="F465" s="4" t="s">
        <v>7712</v>
      </c>
      <c r="G465" s="4" t="s">
        <v>7713</v>
      </c>
      <c r="H465" s="4">
        <v>2.42</v>
      </c>
      <c r="I465" s="4">
        <v>1.1200000000000001</v>
      </c>
      <c r="J465" s="4">
        <v>0.22755</v>
      </c>
      <c r="K465" s="4" t="b">
        <v>1</v>
      </c>
      <c r="L465" s="4" t="b">
        <v>0</v>
      </c>
    </row>
    <row r="466" spans="1:12" ht="13">
      <c r="A466" s="4" t="s">
        <v>7714</v>
      </c>
      <c r="B466" s="4" t="s">
        <v>4951</v>
      </c>
      <c r="C466" s="4" t="s">
        <v>108</v>
      </c>
      <c r="D466" s="4" t="s">
        <v>4952</v>
      </c>
      <c r="E466" s="4" t="s">
        <v>18</v>
      </c>
      <c r="F466" s="4" t="s">
        <v>7715</v>
      </c>
      <c r="G466" s="4" t="s">
        <v>7716</v>
      </c>
      <c r="H466" s="4">
        <v>2.4300000000000002</v>
      </c>
      <c r="I466" s="4">
        <v>1.19</v>
      </c>
      <c r="J466" s="4">
        <v>0.29200999999999999</v>
      </c>
      <c r="K466" s="4" t="b">
        <v>1</v>
      </c>
      <c r="L466" s="4" t="b">
        <v>0</v>
      </c>
    </row>
    <row r="467" spans="1:12" ht="13">
      <c r="A467" s="4" t="s">
        <v>7717</v>
      </c>
      <c r="B467" s="4" t="s">
        <v>4951</v>
      </c>
      <c r="C467" s="4" t="s">
        <v>108</v>
      </c>
      <c r="D467" s="4" t="s">
        <v>4952</v>
      </c>
      <c r="E467" s="4" t="s">
        <v>18</v>
      </c>
      <c r="F467" s="4" t="s">
        <v>7718</v>
      </c>
      <c r="G467" s="4" t="s">
        <v>7719</v>
      </c>
      <c r="H467" s="4">
        <v>2.4300000000000002</v>
      </c>
      <c r="I467" s="4">
        <v>1.1499999999999999</v>
      </c>
      <c r="J467" s="4">
        <v>0.23887</v>
      </c>
      <c r="K467" s="4" t="b">
        <v>1</v>
      </c>
      <c r="L467" s="4" t="b">
        <v>0</v>
      </c>
    </row>
    <row r="468" spans="1:12" ht="13">
      <c r="A468" s="4" t="s">
        <v>7720</v>
      </c>
      <c r="B468" s="4" t="s">
        <v>4951</v>
      </c>
      <c r="C468" s="4" t="s">
        <v>108</v>
      </c>
      <c r="D468" s="4" t="s">
        <v>4952</v>
      </c>
      <c r="E468" s="4" t="s">
        <v>18</v>
      </c>
      <c r="F468" s="4" t="s">
        <v>7721</v>
      </c>
      <c r="G468" s="4" t="s">
        <v>7722</v>
      </c>
      <c r="H468" s="4">
        <v>2.44</v>
      </c>
      <c r="I468" s="4">
        <v>1.18</v>
      </c>
      <c r="J468" s="4">
        <v>0.25858999999999999</v>
      </c>
      <c r="K468" s="4" t="b">
        <v>1</v>
      </c>
      <c r="L468" s="4" t="b">
        <v>0</v>
      </c>
    </row>
    <row r="469" spans="1:12" ht="13">
      <c r="A469" s="4" t="s">
        <v>7726</v>
      </c>
      <c r="B469" s="4" t="s">
        <v>4951</v>
      </c>
      <c r="C469" s="4" t="s">
        <v>108</v>
      </c>
      <c r="D469" s="4" t="s">
        <v>4952</v>
      </c>
      <c r="E469" s="4" t="s">
        <v>18</v>
      </c>
      <c r="F469" s="4" t="s">
        <v>7727</v>
      </c>
      <c r="G469" s="4" t="s">
        <v>7728</v>
      </c>
      <c r="H469" s="4">
        <v>2.4500000000000002</v>
      </c>
      <c r="I469" s="4">
        <v>1.1200000000000001</v>
      </c>
      <c r="J469" s="4">
        <v>0.24288999999999999</v>
      </c>
      <c r="K469" s="4" t="b">
        <v>1</v>
      </c>
      <c r="L469" s="4" t="b">
        <v>0</v>
      </c>
    </row>
    <row r="470" spans="1:12" ht="13">
      <c r="A470" s="4" t="s">
        <v>7729</v>
      </c>
      <c r="B470" s="4" t="s">
        <v>4951</v>
      </c>
      <c r="C470" s="4" t="s">
        <v>108</v>
      </c>
      <c r="D470" s="4" t="s">
        <v>4952</v>
      </c>
      <c r="E470" s="4" t="s">
        <v>18</v>
      </c>
      <c r="F470" s="4" t="s">
        <v>7730</v>
      </c>
      <c r="G470" s="4" t="s">
        <v>7731</v>
      </c>
      <c r="H470" s="4">
        <v>2.4500000000000002</v>
      </c>
      <c r="I470" s="4">
        <v>1.19</v>
      </c>
      <c r="J470" s="4">
        <v>0.26612999999999998</v>
      </c>
      <c r="K470" s="4" t="b">
        <v>1</v>
      </c>
      <c r="L470" s="4" t="b">
        <v>0</v>
      </c>
    </row>
    <row r="471" spans="1:12" ht="13">
      <c r="A471" s="4" t="s">
        <v>7732</v>
      </c>
      <c r="B471" s="4" t="s">
        <v>4951</v>
      </c>
      <c r="C471" s="4" t="s">
        <v>108</v>
      </c>
      <c r="D471" s="4" t="s">
        <v>4952</v>
      </c>
      <c r="E471" s="4" t="s">
        <v>18</v>
      </c>
      <c r="F471" s="4" t="s">
        <v>7733</v>
      </c>
      <c r="G471" s="4" t="s">
        <v>7734</v>
      </c>
      <c r="H471" s="4">
        <v>2.46</v>
      </c>
      <c r="I471" s="4">
        <v>1.06</v>
      </c>
      <c r="J471" s="4">
        <v>0.25092999999999999</v>
      </c>
      <c r="K471" s="4" t="b">
        <v>1</v>
      </c>
      <c r="L471" s="4" t="b">
        <v>0</v>
      </c>
    </row>
    <row r="472" spans="1:12" ht="13">
      <c r="A472" s="4" t="s">
        <v>7735</v>
      </c>
      <c r="B472" s="4" t="s">
        <v>4951</v>
      </c>
      <c r="C472" s="4" t="s">
        <v>108</v>
      </c>
      <c r="D472" s="4" t="s">
        <v>4952</v>
      </c>
      <c r="E472" s="4" t="s">
        <v>18</v>
      </c>
      <c r="F472" s="4" t="s">
        <v>7736</v>
      </c>
      <c r="G472" s="4" t="s">
        <v>7737</v>
      </c>
      <c r="H472" s="4">
        <v>2.4700000000000002</v>
      </c>
      <c r="I472" s="4">
        <v>1.17</v>
      </c>
      <c r="J472" s="4">
        <v>0.23091999999999999</v>
      </c>
      <c r="K472" s="4" t="b">
        <v>1</v>
      </c>
      <c r="L472" s="4" t="b">
        <v>0</v>
      </c>
    </row>
    <row r="473" spans="1:12" ht="13">
      <c r="A473" s="4" t="s">
        <v>7738</v>
      </c>
      <c r="B473" s="4" t="s">
        <v>4951</v>
      </c>
      <c r="C473" s="4" t="s">
        <v>108</v>
      </c>
      <c r="D473" s="4" t="s">
        <v>4952</v>
      </c>
      <c r="E473" s="4" t="s">
        <v>18</v>
      </c>
      <c r="F473" s="4" t="s">
        <v>7739</v>
      </c>
      <c r="G473" s="4" t="s">
        <v>7740</v>
      </c>
      <c r="H473" s="4">
        <v>2.4700000000000002</v>
      </c>
      <c r="I473" s="4">
        <v>1.3</v>
      </c>
      <c r="J473" s="4">
        <v>0.22083</v>
      </c>
      <c r="K473" s="4" t="b">
        <v>1</v>
      </c>
      <c r="L473" s="4" t="b">
        <v>0</v>
      </c>
    </row>
    <row r="474" spans="1:12" ht="13">
      <c r="A474" s="4" t="s">
        <v>7741</v>
      </c>
      <c r="B474" s="4" t="s">
        <v>4951</v>
      </c>
      <c r="C474" s="4" t="s">
        <v>108</v>
      </c>
      <c r="D474" s="4" t="s">
        <v>4952</v>
      </c>
      <c r="E474" s="4" t="s">
        <v>18</v>
      </c>
      <c r="F474" s="4" t="s">
        <v>7742</v>
      </c>
      <c r="G474" s="4" t="s">
        <v>7743</v>
      </c>
      <c r="H474" s="4">
        <v>2.4700000000000002</v>
      </c>
      <c r="I474" s="4">
        <v>1.07</v>
      </c>
      <c r="J474" s="4">
        <v>0.23941000000000001</v>
      </c>
      <c r="K474" s="4" t="b">
        <v>1</v>
      </c>
      <c r="L474" s="4" t="b">
        <v>0</v>
      </c>
    </row>
    <row r="475" spans="1:12" ht="13">
      <c r="A475" s="4" t="s">
        <v>7744</v>
      </c>
      <c r="B475" s="4" t="s">
        <v>4951</v>
      </c>
      <c r="C475" s="4" t="s">
        <v>108</v>
      </c>
      <c r="D475" s="4" t="s">
        <v>4952</v>
      </c>
      <c r="E475" s="4" t="s">
        <v>18</v>
      </c>
      <c r="F475" s="4" t="s">
        <v>7745</v>
      </c>
      <c r="G475" s="4" t="s">
        <v>7746</v>
      </c>
      <c r="H475" s="4">
        <v>2.48</v>
      </c>
      <c r="I475" s="4">
        <v>1.1399999999999999</v>
      </c>
      <c r="J475" s="4">
        <v>0.23075000000000001</v>
      </c>
      <c r="K475" s="4" t="b">
        <v>1</v>
      </c>
      <c r="L475" s="4" t="b">
        <v>0</v>
      </c>
    </row>
    <row r="476" spans="1:12" ht="13">
      <c r="A476" s="4" t="s">
        <v>7750</v>
      </c>
      <c r="B476" s="4" t="s">
        <v>4951</v>
      </c>
      <c r="C476" s="4" t="s">
        <v>108</v>
      </c>
      <c r="D476" s="4" t="s">
        <v>4952</v>
      </c>
      <c r="E476" s="4" t="s">
        <v>18</v>
      </c>
      <c r="F476" s="4" t="s">
        <v>7751</v>
      </c>
      <c r="G476" s="4" t="s">
        <v>7752</v>
      </c>
      <c r="H476" s="4">
        <v>2.48</v>
      </c>
      <c r="I476" s="4">
        <v>1.08</v>
      </c>
      <c r="J476" s="4">
        <v>0.27412999999999998</v>
      </c>
      <c r="K476" s="4" t="b">
        <v>1</v>
      </c>
      <c r="L476" s="4" t="b">
        <v>0</v>
      </c>
    </row>
    <row r="477" spans="1:12" ht="13">
      <c r="A477" s="4" t="s">
        <v>7756</v>
      </c>
      <c r="B477" s="4" t="s">
        <v>4951</v>
      </c>
      <c r="C477" s="4" t="s">
        <v>108</v>
      </c>
      <c r="D477" s="4" t="s">
        <v>4952</v>
      </c>
      <c r="E477" s="4" t="s">
        <v>18</v>
      </c>
      <c r="F477" s="4" t="s">
        <v>7757</v>
      </c>
      <c r="G477" s="4" t="s">
        <v>7758</v>
      </c>
      <c r="H477" s="4">
        <v>2.4900000000000002</v>
      </c>
      <c r="I477" s="4">
        <v>1.2</v>
      </c>
      <c r="J477" s="4">
        <v>0.23921000000000001</v>
      </c>
      <c r="K477" s="4" t="b">
        <v>1</v>
      </c>
      <c r="L477" s="4" t="b">
        <v>0</v>
      </c>
    </row>
    <row r="478" spans="1:12" ht="13">
      <c r="A478" s="4" t="s">
        <v>7759</v>
      </c>
      <c r="B478" s="4" t="s">
        <v>4951</v>
      </c>
      <c r="C478" s="4" t="s">
        <v>108</v>
      </c>
      <c r="D478" s="4" t="s">
        <v>4952</v>
      </c>
      <c r="E478" s="4" t="s">
        <v>18</v>
      </c>
      <c r="F478" s="4" t="s">
        <v>7760</v>
      </c>
      <c r="G478" s="4" t="s">
        <v>7761</v>
      </c>
      <c r="H478" s="4">
        <v>2.5</v>
      </c>
      <c r="I478" s="4">
        <v>1.05</v>
      </c>
      <c r="J478" s="4">
        <v>0.24878</v>
      </c>
      <c r="K478" s="4" t="b">
        <v>1</v>
      </c>
      <c r="L478" s="4" t="b">
        <v>0</v>
      </c>
    </row>
    <row r="479" spans="1:12" ht="13">
      <c r="A479" s="4" t="s">
        <v>7762</v>
      </c>
      <c r="B479" s="4" t="s">
        <v>4951</v>
      </c>
      <c r="C479" s="4" t="s">
        <v>108</v>
      </c>
      <c r="D479" s="4" t="s">
        <v>4952</v>
      </c>
      <c r="E479" s="4" t="s">
        <v>18</v>
      </c>
      <c r="F479" s="4" t="s">
        <v>7763</v>
      </c>
      <c r="G479" s="4" t="s">
        <v>7764</v>
      </c>
      <c r="H479" s="4">
        <v>2.5099999999999998</v>
      </c>
      <c r="I479" s="4">
        <v>1.17</v>
      </c>
      <c r="J479" s="4">
        <v>0.27589999999999998</v>
      </c>
      <c r="K479" s="4" t="b">
        <v>1</v>
      </c>
      <c r="L479" s="4" t="b">
        <v>0</v>
      </c>
    </row>
    <row r="480" spans="1:12" ht="13">
      <c r="A480" s="4" t="s">
        <v>7765</v>
      </c>
      <c r="B480" s="4" t="s">
        <v>4951</v>
      </c>
      <c r="C480" s="4" t="s">
        <v>108</v>
      </c>
      <c r="D480" s="4" t="s">
        <v>4952</v>
      </c>
      <c r="E480" s="4" t="s">
        <v>18</v>
      </c>
      <c r="F480" s="4" t="s">
        <v>7766</v>
      </c>
      <c r="G480" s="4" t="s">
        <v>7767</v>
      </c>
      <c r="H480" s="4">
        <v>2.5099999999999998</v>
      </c>
      <c r="I480" s="4">
        <v>1.1299999999999999</v>
      </c>
      <c r="J480" s="4">
        <v>0.25075999999999998</v>
      </c>
      <c r="K480" s="4" t="b">
        <v>1</v>
      </c>
      <c r="L480" s="4" t="b">
        <v>0</v>
      </c>
    </row>
    <row r="481" spans="1:13" ht="13">
      <c r="A481" s="4" t="s">
        <v>7768</v>
      </c>
      <c r="B481" s="4" t="s">
        <v>4951</v>
      </c>
      <c r="C481" s="4" t="s">
        <v>108</v>
      </c>
      <c r="D481" s="4" t="s">
        <v>4952</v>
      </c>
      <c r="E481" s="4" t="s">
        <v>18</v>
      </c>
      <c r="F481" s="4" t="s">
        <v>7769</v>
      </c>
      <c r="G481" s="4" t="s">
        <v>7770</v>
      </c>
      <c r="H481" s="4">
        <v>2.5099999999999998</v>
      </c>
      <c r="I481" s="4">
        <v>1.07</v>
      </c>
      <c r="J481" s="4">
        <v>0.25947999999999999</v>
      </c>
      <c r="K481" s="4" t="b">
        <v>1</v>
      </c>
      <c r="L481" s="4" t="b">
        <v>0</v>
      </c>
    </row>
    <row r="482" spans="1:13" ht="13">
      <c r="A482" s="4" t="s">
        <v>7771</v>
      </c>
      <c r="B482" s="4" t="s">
        <v>4951</v>
      </c>
      <c r="C482" s="4" t="s">
        <v>108</v>
      </c>
      <c r="D482" s="4" t="s">
        <v>4952</v>
      </c>
      <c r="E482" s="4" t="s">
        <v>18</v>
      </c>
      <c r="F482" s="4" t="s">
        <v>7772</v>
      </c>
      <c r="G482" s="4" t="s">
        <v>7773</v>
      </c>
      <c r="H482" s="4">
        <v>2.52</v>
      </c>
      <c r="I482" s="4">
        <v>1.17</v>
      </c>
      <c r="J482" s="4">
        <v>0.25401000000000001</v>
      </c>
      <c r="K482" s="4" t="b">
        <v>1</v>
      </c>
      <c r="L482" s="4" t="b">
        <v>0</v>
      </c>
    </row>
    <row r="483" spans="1:13" ht="13">
      <c r="A483" s="4" t="s">
        <v>7777</v>
      </c>
      <c r="B483" s="4" t="s">
        <v>4951</v>
      </c>
      <c r="C483" s="4" t="s">
        <v>108</v>
      </c>
      <c r="D483" s="4" t="s">
        <v>4952</v>
      </c>
      <c r="E483" s="4" t="s">
        <v>18</v>
      </c>
      <c r="F483" s="4" t="s">
        <v>7778</v>
      </c>
      <c r="G483" s="4" t="s">
        <v>7779</v>
      </c>
      <c r="H483" s="4">
        <v>2.5299999999999998</v>
      </c>
      <c r="I483" s="4">
        <v>1.17</v>
      </c>
      <c r="J483" s="4">
        <v>0.28288000000000002</v>
      </c>
      <c r="K483" s="4" t="b">
        <v>1</v>
      </c>
      <c r="L483" s="4" t="b">
        <v>0</v>
      </c>
    </row>
    <row r="484" spans="1:13" ht="13">
      <c r="A484" s="4" t="s">
        <v>7780</v>
      </c>
      <c r="B484" s="4" t="s">
        <v>4951</v>
      </c>
      <c r="C484" s="4" t="s">
        <v>108</v>
      </c>
      <c r="D484" s="4" t="s">
        <v>4952</v>
      </c>
      <c r="E484" s="4" t="s">
        <v>18</v>
      </c>
      <c r="F484" s="4" t="s">
        <v>7781</v>
      </c>
      <c r="G484" s="4" t="s">
        <v>7782</v>
      </c>
      <c r="H484" s="4">
        <v>2.5299999999999998</v>
      </c>
      <c r="I484" s="4">
        <v>1.04</v>
      </c>
      <c r="J484" s="4">
        <v>0.23724999999999999</v>
      </c>
      <c r="K484" s="4" t="b">
        <v>1</v>
      </c>
      <c r="L484" s="4" t="b">
        <v>0</v>
      </c>
    </row>
    <row r="485" spans="1:13" ht="13">
      <c r="A485" s="4" t="s">
        <v>7783</v>
      </c>
      <c r="B485" s="4" t="s">
        <v>4951</v>
      </c>
      <c r="C485" s="4" t="s">
        <v>108</v>
      </c>
      <c r="D485" s="4" t="s">
        <v>4952</v>
      </c>
      <c r="E485" s="4" t="s">
        <v>18</v>
      </c>
      <c r="F485" s="4" t="s">
        <v>7784</v>
      </c>
      <c r="G485" s="4" t="s">
        <v>7785</v>
      </c>
      <c r="H485" s="4">
        <v>2.54</v>
      </c>
      <c r="I485" s="4">
        <v>1.06</v>
      </c>
      <c r="J485" s="4">
        <v>0.26654</v>
      </c>
      <c r="K485" s="4" t="b">
        <v>1</v>
      </c>
      <c r="L485" s="4" t="b">
        <v>0</v>
      </c>
    </row>
    <row r="486" spans="1:13" ht="13">
      <c r="A486" s="4" t="s">
        <v>7786</v>
      </c>
      <c r="B486" s="4" t="s">
        <v>4951</v>
      </c>
      <c r="C486" s="4" t="s">
        <v>108</v>
      </c>
      <c r="D486" s="4" t="s">
        <v>4952</v>
      </c>
      <c r="E486" s="4" t="s">
        <v>18</v>
      </c>
      <c r="F486" s="4" t="s">
        <v>7787</v>
      </c>
      <c r="G486" s="4" t="s">
        <v>7788</v>
      </c>
      <c r="H486" s="4">
        <v>2.5499999999999998</v>
      </c>
      <c r="I486" s="4">
        <v>1.18</v>
      </c>
      <c r="J486" s="4">
        <v>0.24145</v>
      </c>
      <c r="K486" s="4" t="b">
        <v>1</v>
      </c>
      <c r="L486" s="4" t="b">
        <v>0</v>
      </c>
    </row>
    <row r="487" spans="1:13" ht="13">
      <c r="A487" s="4" t="s">
        <v>3138</v>
      </c>
      <c r="B487" s="4" t="s">
        <v>4951</v>
      </c>
      <c r="C487" s="4" t="s">
        <v>108</v>
      </c>
      <c r="D487" s="4" t="s">
        <v>4952</v>
      </c>
      <c r="E487" s="4" t="s">
        <v>18</v>
      </c>
      <c r="F487" s="4" t="s">
        <v>5093</v>
      </c>
      <c r="G487" s="4" t="s">
        <v>3034</v>
      </c>
      <c r="H487" s="4">
        <v>2.5499999999999998</v>
      </c>
      <c r="I487" s="4">
        <v>1.03</v>
      </c>
      <c r="J487" s="4">
        <v>0.23033000000000001</v>
      </c>
      <c r="K487" s="4" t="b">
        <v>1</v>
      </c>
      <c r="L487" s="4" t="b">
        <v>1</v>
      </c>
      <c r="M487" s="41" t="s">
        <v>5087</v>
      </c>
    </row>
    <row r="488" spans="1:13" ht="13">
      <c r="A488" s="4" t="s">
        <v>7789</v>
      </c>
      <c r="B488" s="4" t="s">
        <v>4951</v>
      </c>
      <c r="C488" s="4" t="s">
        <v>108</v>
      </c>
      <c r="D488" s="4" t="s">
        <v>4952</v>
      </c>
      <c r="E488" s="4" t="s">
        <v>18</v>
      </c>
      <c r="F488" s="4" t="s">
        <v>7790</v>
      </c>
      <c r="G488" s="4" t="s">
        <v>7791</v>
      </c>
      <c r="H488" s="4">
        <v>2.5499999999999998</v>
      </c>
      <c r="I488" s="4">
        <v>1.0900000000000001</v>
      </c>
      <c r="J488" s="4">
        <v>0.25438</v>
      </c>
      <c r="K488" s="4" t="b">
        <v>1</v>
      </c>
      <c r="L488" s="4" t="b">
        <v>0</v>
      </c>
    </row>
    <row r="489" spans="1:13" ht="13">
      <c r="A489" s="4" t="s">
        <v>7792</v>
      </c>
      <c r="B489" s="4" t="s">
        <v>4951</v>
      </c>
      <c r="C489" s="4" t="s">
        <v>108</v>
      </c>
      <c r="D489" s="4" t="s">
        <v>4952</v>
      </c>
      <c r="E489" s="4" t="s">
        <v>18</v>
      </c>
      <c r="F489" s="4" t="s">
        <v>7793</v>
      </c>
      <c r="G489" s="4" t="s">
        <v>7794</v>
      </c>
      <c r="H489" s="4">
        <v>2.56</v>
      </c>
      <c r="I489" s="4">
        <v>1.05</v>
      </c>
      <c r="J489" s="4">
        <v>0.26190000000000002</v>
      </c>
      <c r="K489" s="4" t="b">
        <v>1</v>
      </c>
      <c r="L489" s="4" t="b">
        <v>0</v>
      </c>
    </row>
    <row r="490" spans="1:13" ht="13">
      <c r="A490" s="4" t="s">
        <v>7795</v>
      </c>
      <c r="B490" s="4" t="s">
        <v>4951</v>
      </c>
      <c r="C490" s="4" t="s">
        <v>108</v>
      </c>
      <c r="D490" s="4" t="s">
        <v>4952</v>
      </c>
      <c r="E490" s="4" t="s">
        <v>18</v>
      </c>
      <c r="F490" s="4" t="s">
        <v>7796</v>
      </c>
      <c r="G490" s="4" t="s">
        <v>7797</v>
      </c>
      <c r="H490" s="4">
        <v>2.56</v>
      </c>
      <c r="I490" s="4">
        <v>1.06</v>
      </c>
      <c r="J490" s="4">
        <v>0.24018999999999999</v>
      </c>
      <c r="K490" s="4" t="b">
        <v>1</v>
      </c>
      <c r="L490" s="4" t="b">
        <v>0</v>
      </c>
    </row>
    <row r="491" spans="1:13" ht="13">
      <c r="A491" s="4" t="s">
        <v>7798</v>
      </c>
      <c r="B491" s="4" t="s">
        <v>4951</v>
      </c>
      <c r="C491" s="4" t="s">
        <v>108</v>
      </c>
      <c r="D491" s="4" t="s">
        <v>4952</v>
      </c>
      <c r="E491" s="4" t="s">
        <v>18</v>
      </c>
      <c r="F491" s="4" t="s">
        <v>7799</v>
      </c>
      <c r="G491" s="4" t="s">
        <v>7800</v>
      </c>
      <c r="H491" s="4">
        <v>2.56</v>
      </c>
      <c r="I491" s="4">
        <v>1.1000000000000001</v>
      </c>
      <c r="J491" s="4">
        <v>0.24348</v>
      </c>
      <c r="K491" s="4" t="b">
        <v>1</v>
      </c>
      <c r="L491" s="4" t="b">
        <v>0</v>
      </c>
    </row>
    <row r="492" spans="1:13" ht="13">
      <c r="A492" s="4" t="s">
        <v>7801</v>
      </c>
      <c r="B492" s="4" t="s">
        <v>4951</v>
      </c>
      <c r="C492" s="4" t="s">
        <v>108</v>
      </c>
      <c r="D492" s="4" t="s">
        <v>4952</v>
      </c>
      <c r="E492" s="4" t="s">
        <v>18</v>
      </c>
      <c r="F492" s="4" t="s">
        <v>7802</v>
      </c>
      <c r="G492" s="4" t="s">
        <v>7803</v>
      </c>
      <c r="H492" s="4">
        <v>2.57</v>
      </c>
      <c r="I492" s="4">
        <v>1.19</v>
      </c>
      <c r="J492" s="4">
        <v>0.24532999999999999</v>
      </c>
      <c r="K492" s="4" t="b">
        <v>1</v>
      </c>
      <c r="L492" s="4" t="b">
        <v>0</v>
      </c>
    </row>
    <row r="493" spans="1:13" ht="13">
      <c r="A493" s="4" t="s">
        <v>7807</v>
      </c>
      <c r="B493" s="4" t="s">
        <v>4951</v>
      </c>
      <c r="C493" s="4" t="s">
        <v>108</v>
      </c>
      <c r="D493" s="4" t="s">
        <v>4952</v>
      </c>
      <c r="E493" s="4" t="s">
        <v>18</v>
      </c>
      <c r="F493" s="4" t="s">
        <v>7808</v>
      </c>
      <c r="G493" s="4" t="s">
        <v>7809</v>
      </c>
      <c r="H493" s="4">
        <v>2.58</v>
      </c>
      <c r="I493" s="4">
        <v>1.38</v>
      </c>
      <c r="J493" s="4">
        <v>0.21759000000000001</v>
      </c>
      <c r="K493" s="4" t="b">
        <v>1</v>
      </c>
      <c r="L493" s="4" t="b">
        <v>0</v>
      </c>
    </row>
    <row r="494" spans="1:13" ht="13">
      <c r="A494" s="4" t="s">
        <v>7810</v>
      </c>
      <c r="B494" s="4" t="s">
        <v>4951</v>
      </c>
      <c r="C494" s="4" t="s">
        <v>108</v>
      </c>
      <c r="D494" s="4" t="s">
        <v>4952</v>
      </c>
      <c r="E494" s="4" t="s">
        <v>18</v>
      </c>
      <c r="F494" s="4" t="s">
        <v>7811</v>
      </c>
      <c r="G494" s="4" t="s">
        <v>7812</v>
      </c>
      <c r="H494" s="4">
        <v>2.58</v>
      </c>
      <c r="I494" s="4">
        <v>1.1000000000000001</v>
      </c>
      <c r="J494" s="4">
        <v>0.22989999999999999</v>
      </c>
      <c r="K494" s="4" t="b">
        <v>1</v>
      </c>
      <c r="L494" s="4" t="b">
        <v>0</v>
      </c>
    </row>
    <row r="495" spans="1:13" ht="13">
      <c r="A495" s="4" t="s">
        <v>7813</v>
      </c>
      <c r="B495" s="4" t="s">
        <v>4951</v>
      </c>
      <c r="C495" s="4" t="s">
        <v>108</v>
      </c>
      <c r="D495" s="4" t="s">
        <v>4952</v>
      </c>
      <c r="E495" s="4" t="s">
        <v>18</v>
      </c>
      <c r="F495" s="4" t="s">
        <v>7814</v>
      </c>
      <c r="G495" s="4" t="s">
        <v>7815</v>
      </c>
      <c r="H495" s="4">
        <v>2.58</v>
      </c>
      <c r="I495" s="4">
        <v>1.1299999999999999</v>
      </c>
      <c r="J495" s="4">
        <v>0.23497000000000001</v>
      </c>
      <c r="K495" s="4" t="b">
        <v>1</v>
      </c>
      <c r="L495" s="4" t="b">
        <v>0</v>
      </c>
    </row>
    <row r="496" spans="1:13" ht="13">
      <c r="A496" s="4" t="s">
        <v>7816</v>
      </c>
      <c r="B496" s="4" t="s">
        <v>4951</v>
      </c>
      <c r="C496" s="4" t="s">
        <v>108</v>
      </c>
      <c r="D496" s="4" t="s">
        <v>4952</v>
      </c>
      <c r="E496" s="4" t="s">
        <v>18</v>
      </c>
      <c r="F496" s="4" t="s">
        <v>7817</v>
      </c>
      <c r="G496" s="4" t="s">
        <v>7818</v>
      </c>
      <c r="H496" s="4">
        <v>2.59</v>
      </c>
      <c r="I496" s="4">
        <v>1.43</v>
      </c>
      <c r="J496" s="4">
        <v>0.25136999999999998</v>
      </c>
      <c r="K496" s="4" t="b">
        <v>1</v>
      </c>
      <c r="L496" s="4" t="b">
        <v>0</v>
      </c>
    </row>
    <row r="497" spans="1:12" ht="13">
      <c r="A497" s="4" t="s">
        <v>7819</v>
      </c>
      <c r="B497" s="4" t="s">
        <v>4951</v>
      </c>
      <c r="C497" s="4" t="s">
        <v>108</v>
      </c>
      <c r="D497" s="4" t="s">
        <v>4952</v>
      </c>
      <c r="E497" s="4" t="s">
        <v>18</v>
      </c>
      <c r="F497" s="4" t="s">
        <v>7820</v>
      </c>
      <c r="G497" s="4" t="s">
        <v>7821</v>
      </c>
      <c r="H497" s="4">
        <v>2.59</v>
      </c>
      <c r="I497" s="4">
        <v>1.04</v>
      </c>
      <c r="J497" s="4">
        <v>0.25036999999999998</v>
      </c>
      <c r="K497" s="4" t="b">
        <v>1</v>
      </c>
      <c r="L497" s="4" t="b">
        <v>0</v>
      </c>
    </row>
    <row r="498" spans="1:12" ht="13">
      <c r="A498" s="4" t="s">
        <v>7825</v>
      </c>
      <c r="B498" s="4" t="s">
        <v>4951</v>
      </c>
      <c r="C498" s="4" t="s">
        <v>108</v>
      </c>
      <c r="D498" s="4" t="s">
        <v>4952</v>
      </c>
      <c r="E498" s="4" t="s">
        <v>18</v>
      </c>
      <c r="F498" s="4" t="s">
        <v>7826</v>
      </c>
      <c r="G498" s="4" t="s">
        <v>7827</v>
      </c>
      <c r="H498" s="4">
        <v>2.6</v>
      </c>
      <c r="I498" s="4">
        <v>1.08</v>
      </c>
      <c r="J498" s="4">
        <v>0.24185000000000001</v>
      </c>
      <c r="K498" s="4" t="b">
        <v>1</v>
      </c>
      <c r="L498" s="4" t="b">
        <v>0</v>
      </c>
    </row>
    <row r="499" spans="1:12" ht="13">
      <c r="A499" s="4" t="s">
        <v>7828</v>
      </c>
      <c r="B499" s="4" t="s">
        <v>4951</v>
      </c>
      <c r="C499" s="4" t="s">
        <v>108</v>
      </c>
      <c r="D499" s="4" t="s">
        <v>4952</v>
      </c>
      <c r="E499" s="4" t="s">
        <v>18</v>
      </c>
      <c r="F499" s="4" t="s">
        <v>7829</v>
      </c>
      <c r="G499" s="4" t="s">
        <v>7830</v>
      </c>
      <c r="H499" s="4">
        <v>2.6</v>
      </c>
      <c r="I499" s="4">
        <v>1.03</v>
      </c>
      <c r="J499" s="4">
        <v>0.23845</v>
      </c>
      <c r="K499" s="4" t="b">
        <v>1</v>
      </c>
      <c r="L499" s="4" t="b">
        <v>0</v>
      </c>
    </row>
    <row r="500" spans="1:12" ht="13">
      <c r="A500" s="4" t="s">
        <v>7831</v>
      </c>
      <c r="B500" s="4" t="s">
        <v>4951</v>
      </c>
      <c r="C500" s="4" t="s">
        <v>108</v>
      </c>
      <c r="D500" s="4" t="s">
        <v>4952</v>
      </c>
      <c r="E500" s="4" t="s">
        <v>18</v>
      </c>
      <c r="F500" s="4" t="s">
        <v>7832</v>
      </c>
      <c r="G500" s="4" t="s">
        <v>7833</v>
      </c>
      <c r="H500" s="4">
        <v>2.61</v>
      </c>
      <c r="I500" s="4">
        <v>1.03</v>
      </c>
      <c r="J500" s="4">
        <v>0.25419999999999998</v>
      </c>
      <c r="K500" s="4" t="b">
        <v>1</v>
      </c>
      <c r="L500" s="4" t="b">
        <v>0</v>
      </c>
    </row>
    <row r="501" spans="1:12" ht="13">
      <c r="A501" s="4" t="s">
        <v>7834</v>
      </c>
      <c r="B501" s="4" t="s">
        <v>4951</v>
      </c>
      <c r="C501" s="4" t="s">
        <v>108</v>
      </c>
      <c r="D501" s="4" t="s">
        <v>4952</v>
      </c>
      <c r="E501" s="4" t="s">
        <v>18</v>
      </c>
      <c r="F501" s="4" t="s">
        <v>7835</v>
      </c>
      <c r="G501" s="4" t="s">
        <v>7836</v>
      </c>
      <c r="H501" s="4">
        <v>2.61</v>
      </c>
      <c r="I501" s="4">
        <v>1.1399999999999999</v>
      </c>
      <c r="J501" s="4">
        <v>0.23541000000000001</v>
      </c>
      <c r="K501" s="4" t="b">
        <v>1</v>
      </c>
      <c r="L501" s="4" t="b">
        <v>0</v>
      </c>
    </row>
    <row r="502" spans="1:12" ht="13">
      <c r="A502" s="4" t="s">
        <v>7837</v>
      </c>
      <c r="B502" s="4" t="s">
        <v>4951</v>
      </c>
      <c r="C502" s="4" t="s">
        <v>108</v>
      </c>
      <c r="D502" s="4" t="s">
        <v>4952</v>
      </c>
      <c r="E502" s="4" t="s">
        <v>18</v>
      </c>
      <c r="F502" s="4" t="s">
        <v>7838</v>
      </c>
      <c r="G502" s="4" t="s">
        <v>7839</v>
      </c>
      <c r="H502" s="4">
        <v>2.62</v>
      </c>
      <c r="I502" s="4">
        <v>1.1299999999999999</v>
      </c>
      <c r="J502" s="4">
        <v>0.24573</v>
      </c>
      <c r="K502" s="4" t="b">
        <v>1</v>
      </c>
      <c r="L502" s="4" t="b">
        <v>0</v>
      </c>
    </row>
    <row r="503" spans="1:12" ht="13">
      <c r="A503" s="4" t="s">
        <v>7840</v>
      </c>
      <c r="B503" s="4" t="s">
        <v>4951</v>
      </c>
      <c r="C503" s="4" t="s">
        <v>108</v>
      </c>
      <c r="D503" s="4" t="s">
        <v>4952</v>
      </c>
      <c r="E503" s="4" t="s">
        <v>18</v>
      </c>
      <c r="F503" s="4" t="s">
        <v>7841</v>
      </c>
      <c r="G503" s="4" t="s">
        <v>7842</v>
      </c>
      <c r="H503" s="4">
        <v>2.62</v>
      </c>
      <c r="I503" s="4">
        <v>1.1499999999999999</v>
      </c>
      <c r="J503" s="4">
        <v>0.25159999999999999</v>
      </c>
      <c r="K503" s="4" t="b">
        <v>1</v>
      </c>
      <c r="L503" s="4" t="b">
        <v>0</v>
      </c>
    </row>
    <row r="504" spans="1:12" ht="13">
      <c r="A504" s="4" t="s">
        <v>7843</v>
      </c>
      <c r="B504" s="4" t="s">
        <v>4951</v>
      </c>
      <c r="C504" s="4" t="s">
        <v>108</v>
      </c>
      <c r="D504" s="4" t="s">
        <v>4952</v>
      </c>
      <c r="E504" s="4" t="s">
        <v>18</v>
      </c>
      <c r="F504" s="4" t="s">
        <v>7844</v>
      </c>
      <c r="G504" s="4" t="s">
        <v>7845</v>
      </c>
      <c r="H504" s="4">
        <v>2.62</v>
      </c>
      <c r="I504" s="4">
        <v>1.1599999999999999</v>
      </c>
      <c r="J504" s="4">
        <v>0.26850000000000002</v>
      </c>
      <c r="K504" s="4" t="b">
        <v>1</v>
      </c>
      <c r="L504" s="4" t="b">
        <v>0</v>
      </c>
    </row>
    <row r="505" spans="1:12" ht="13">
      <c r="A505" s="4" t="s">
        <v>7846</v>
      </c>
      <c r="B505" s="4" t="s">
        <v>4951</v>
      </c>
      <c r="C505" s="4" t="s">
        <v>108</v>
      </c>
      <c r="D505" s="4" t="s">
        <v>4952</v>
      </c>
      <c r="E505" s="4" t="s">
        <v>18</v>
      </c>
      <c r="F505" s="4" t="s">
        <v>7847</v>
      </c>
      <c r="G505" s="4" t="s">
        <v>7848</v>
      </c>
      <c r="H505" s="4">
        <v>2.63</v>
      </c>
      <c r="I505" s="4">
        <v>1.17</v>
      </c>
      <c r="J505" s="4">
        <v>0.23815</v>
      </c>
      <c r="K505" s="4" t="b">
        <v>1</v>
      </c>
      <c r="L505" s="4" t="b">
        <v>0</v>
      </c>
    </row>
    <row r="506" spans="1:12" ht="13">
      <c r="A506" s="4" t="s">
        <v>7849</v>
      </c>
      <c r="B506" s="4" t="s">
        <v>4951</v>
      </c>
      <c r="C506" s="4" t="s">
        <v>108</v>
      </c>
      <c r="D506" s="4" t="s">
        <v>4952</v>
      </c>
      <c r="E506" s="4" t="s">
        <v>18</v>
      </c>
      <c r="F506" s="4" t="s">
        <v>7850</v>
      </c>
      <c r="G506" s="4" t="s">
        <v>7851</v>
      </c>
      <c r="H506" s="4">
        <v>2.63</v>
      </c>
      <c r="I506" s="4">
        <v>1.1200000000000001</v>
      </c>
      <c r="J506" s="4">
        <v>0.24279999999999999</v>
      </c>
      <c r="K506" s="4" t="b">
        <v>1</v>
      </c>
      <c r="L506" s="4" t="b">
        <v>0</v>
      </c>
    </row>
    <row r="507" spans="1:12" ht="13">
      <c r="A507" s="4" t="s">
        <v>7852</v>
      </c>
      <c r="B507" s="4" t="s">
        <v>4951</v>
      </c>
      <c r="C507" s="4" t="s">
        <v>108</v>
      </c>
      <c r="D507" s="4" t="s">
        <v>4952</v>
      </c>
      <c r="E507" s="4" t="s">
        <v>18</v>
      </c>
      <c r="F507" s="4" t="s">
        <v>7853</v>
      </c>
      <c r="G507" s="4" t="s">
        <v>7854</v>
      </c>
      <c r="H507" s="4">
        <v>2.64</v>
      </c>
      <c r="I507" s="4">
        <v>1.36</v>
      </c>
      <c r="J507" s="4">
        <v>0.28262999999999999</v>
      </c>
      <c r="K507" s="4" t="b">
        <v>1</v>
      </c>
      <c r="L507" s="4" t="b">
        <v>0</v>
      </c>
    </row>
    <row r="508" spans="1:12" ht="13">
      <c r="A508" s="4" t="s">
        <v>7858</v>
      </c>
      <c r="B508" s="4" t="s">
        <v>4951</v>
      </c>
      <c r="C508" s="4" t="s">
        <v>108</v>
      </c>
      <c r="D508" s="4" t="s">
        <v>4952</v>
      </c>
      <c r="E508" s="4" t="s">
        <v>18</v>
      </c>
      <c r="F508" s="4" t="s">
        <v>7859</v>
      </c>
      <c r="G508" s="4" t="s">
        <v>7860</v>
      </c>
      <c r="H508" s="4">
        <v>2.64</v>
      </c>
      <c r="I508" s="4">
        <v>1.08</v>
      </c>
      <c r="J508" s="4">
        <v>0.27372000000000002</v>
      </c>
      <c r="K508" s="4" t="b">
        <v>1</v>
      </c>
      <c r="L508" s="4" t="b">
        <v>0</v>
      </c>
    </row>
    <row r="509" spans="1:12" ht="13">
      <c r="A509" s="4" t="s">
        <v>7861</v>
      </c>
      <c r="B509" s="4" t="s">
        <v>4951</v>
      </c>
      <c r="C509" s="4" t="s">
        <v>108</v>
      </c>
      <c r="D509" s="4" t="s">
        <v>4952</v>
      </c>
      <c r="E509" s="4" t="s">
        <v>18</v>
      </c>
      <c r="F509" s="4" t="s">
        <v>7862</v>
      </c>
      <c r="G509" s="4" t="s">
        <v>7863</v>
      </c>
      <c r="H509" s="4">
        <v>2.65</v>
      </c>
      <c r="I509" s="4">
        <v>1.17</v>
      </c>
      <c r="J509" s="4">
        <v>0.25656000000000001</v>
      </c>
      <c r="K509" s="4" t="b">
        <v>1</v>
      </c>
      <c r="L509" s="4" t="b">
        <v>0</v>
      </c>
    </row>
    <row r="510" spans="1:12" ht="13">
      <c r="A510" s="4" t="s">
        <v>7864</v>
      </c>
      <c r="B510" s="4" t="s">
        <v>4951</v>
      </c>
      <c r="C510" s="4" t="s">
        <v>108</v>
      </c>
      <c r="D510" s="4" t="s">
        <v>4952</v>
      </c>
      <c r="E510" s="4" t="s">
        <v>18</v>
      </c>
      <c r="F510" s="4" t="s">
        <v>7865</v>
      </c>
      <c r="G510" s="4" t="s">
        <v>7866</v>
      </c>
      <c r="H510" s="4">
        <v>2.65</v>
      </c>
      <c r="I510" s="4">
        <v>1.08</v>
      </c>
      <c r="J510" s="4">
        <v>0.25430999999999998</v>
      </c>
      <c r="K510" s="4" t="b">
        <v>1</v>
      </c>
      <c r="L510" s="4" t="b">
        <v>0</v>
      </c>
    </row>
    <row r="511" spans="1:12" ht="13">
      <c r="A511" s="4" t="s">
        <v>7867</v>
      </c>
      <c r="B511" s="4" t="s">
        <v>4951</v>
      </c>
      <c r="C511" s="4" t="s">
        <v>108</v>
      </c>
      <c r="D511" s="4" t="s">
        <v>4952</v>
      </c>
      <c r="E511" s="4" t="s">
        <v>18</v>
      </c>
      <c r="F511" s="4" t="s">
        <v>7868</v>
      </c>
      <c r="G511" s="4" t="s">
        <v>7869</v>
      </c>
      <c r="H511" s="4">
        <v>2.66</v>
      </c>
      <c r="I511" s="4">
        <v>1.08</v>
      </c>
      <c r="J511" s="4">
        <v>0.25342999999999999</v>
      </c>
      <c r="K511" s="4" t="b">
        <v>1</v>
      </c>
      <c r="L511" s="4" t="b">
        <v>0</v>
      </c>
    </row>
    <row r="512" spans="1:12" ht="13">
      <c r="A512" s="4" t="s">
        <v>7870</v>
      </c>
      <c r="B512" s="4" t="s">
        <v>4951</v>
      </c>
      <c r="C512" s="4" t="s">
        <v>108</v>
      </c>
      <c r="D512" s="4" t="s">
        <v>4952</v>
      </c>
      <c r="E512" s="4" t="s">
        <v>18</v>
      </c>
      <c r="F512" s="4" t="s">
        <v>7871</v>
      </c>
      <c r="G512" s="4" t="s">
        <v>7872</v>
      </c>
      <c r="H512" s="4">
        <v>2.66</v>
      </c>
      <c r="I512" s="4">
        <v>1.0900000000000001</v>
      </c>
      <c r="J512" s="4">
        <v>0.24290999999999999</v>
      </c>
      <c r="K512" s="4" t="b">
        <v>1</v>
      </c>
      <c r="L512" s="4" t="b">
        <v>0</v>
      </c>
    </row>
    <row r="513" spans="1:13" ht="13">
      <c r="A513" s="4" t="s">
        <v>7873</v>
      </c>
      <c r="B513" s="4" t="s">
        <v>4951</v>
      </c>
      <c r="C513" s="4" t="s">
        <v>108</v>
      </c>
      <c r="D513" s="4" t="s">
        <v>4952</v>
      </c>
      <c r="E513" s="4" t="s">
        <v>18</v>
      </c>
      <c r="F513" s="4" t="s">
        <v>7874</v>
      </c>
      <c r="G513" s="4" t="s">
        <v>7875</v>
      </c>
      <c r="H513" s="4">
        <v>2.67</v>
      </c>
      <c r="I513" s="4">
        <v>1.4</v>
      </c>
      <c r="J513" s="4">
        <v>0.22370999999999999</v>
      </c>
      <c r="K513" s="4" t="b">
        <v>1</v>
      </c>
      <c r="L513" s="4" t="b">
        <v>0</v>
      </c>
    </row>
    <row r="514" spans="1:13" ht="13">
      <c r="A514" s="4" t="s">
        <v>7876</v>
      </c>
      <c r="B514" s="4" t="s">
        <v>4951</v>
      </c>
      <c r="C514" s="4" t="s">
        <v>108</v>
      </c>
      <c r="D514" s="4" t="s">
        <v>4952</v>
      </c>
      <c r="E514" s="4" t="s">
        <v>18</v>
      </c>
      <c r="F514" s="4" t="s">
        <v>7877</v>
      </c>
      <c r="G514" s="4" t="s">
        <v>7878</v>
      </c>
      <c r="H514" s="4">
        <v>2.67</v>
      </c>
      <c r="I514" s="4">
        <v>1.17</v>
      </c>
      <c r="J514" s="4">
        <v>0.22894</v>
      </c>
      <c r="K514" s="4" t="b">
        <v>1</v>
      </c>
      <c r="L514" s="4" t="b">
        <v>0</v>
      </c>
    </row>
    <row r="515" spans="1:13" ht="13">
      <c r="A515" s="4" t="s">
        <v>7879</v>
      </c>
      <c r="B515" s="4" t="s">
        <v>4951</v>
      </c>
      <c r="C515" s="4" t="s">
        <v>108</v>
      </c>
      <c r="D515" s="4" t="s">
        <v>4952</v>
      </c>
      <c r="E515" s="4" t="s">
        <v>18</v>
      </c>
      <c r="F515" s="4" t="s">
        <v>7880</v>
      </c>
      <c r="G515" s="4" t="s">
        <v>7881</v>
      </c>
      <c r="H515" s="4">
        <v>1.07</v>
      </c>
      <c r="I515" s="4">
        <v>1.18</v>
      </c>
      <c r="J515" s="4">
        <v>0.26163999999999998</v>
      </c>
      <c r="K515" s="4" t="b">
        <v>1</v>
      </c>
      <c r="L515" s="4" t="b">
        <v>0</v>
      </c>
    </row>
    <row r="516" spans="1:13" ht="13">
      <c r="A516" s="4" t="s">
        <v>7882</v>
      </c>
      <c r="B516" s="4" t="s">
        <v>4951</v>
      </c>
      <c r="C516" s="4" t="s">
        <v>108</v>
      </c>
      <c r="D516" s="4" t="s">
        <v>4952</v>
      </c>
      <c r="E516" s="4" t="s">
        <v>18</v>
      </c>
      <c r="F516" s="4" t="s">
        <v>7883</v>
      </c>
      <c r="G516" s="4" t="s">
        <v>7884</v>
      </c>
      <c r="H516" s="4">
        <v>1.08</v>
      </c>
      <c r="I516" s="4">
        <v>1.55</v>
      </c>
      <c r="J516" s="4">
        <v>0.25089</v>
      </c>
      <c r="K516" s="4" t="b">
        <v>1</v>
      </c>
      <c r="L516" s="4" t="b">
        <v>0</v>
      </c>
    </row>
    <row r="517" spans="1:13" ht="13">
      <c r="A517" s="4" t="s">
        <v>7885</v>
      </c>
      <c r="B517" s="4" t="s">
        <v>4951</v>
      </c>
      <c r="C517" s="4" t="s">
        <v>108</v>
      </c>
      <c r="D517" s="4" t="s">
        <v>4952</v>
      </c>
      <c r="E517" s="4" t="s">
        <v>18</v>
      </c>
      <c r="F517" s="4" t="s">
        <v>7886</v>
      </c>
      <c r="G517" s="4" t="s">
        <v>7887</v>
      </c>
      <c r="H517" s="4">
        <v>1.08</v>
      </c>
      <c r="I517" s="4">
        <v>1.31</v>
      </c>
      <c r="J517" s="4">
        <v>0.26916000000000001</v>
      </c>
      <c r="K517" s="4" t="b">
        <v>1</v>
      </c>
      <c r="L517" s="4" t="b">
        <v>0</v>
      </c>
    </row>
    <row r="518" spans="1:13" ht="13">
      <c r="A518" s="4" t="s">
        <v>7888</v>
      </c>
      <c r="B518" s="4" t="s">
        <v>4951</v>
      </c>
      <c r="C518" s="4" t="s">
        <v>108</v>
      </c>
      <c r="D518" s="4" t="s">
        <v>4952</v>
      </c>
      <c r="E518" s="4" t="s">
        <v>18</v>
      </c>
      <c r="F518" s="4" t="s">
        <v>7889</v>
      </c>
      <c r="G518" s="4" t="s">
        <v>7890</v>
      </c>
      <c r="H518" s="4">
        <v>1.0900000000000001</v>
      </c>
      <c r="I518" s="4">
        <v>1.1399999999999999</v>
      </c>
      <c r="J518" s="4">
        <v>0.28466999999999998</v>
      </c>
      <c r="K518" s="4" t="b">
        <v>1</v>
      </c>
      <c r="L518" s="4" t="b">
        <v>0</v>
      </c>
    </row>
    <row r="519" spans="1:13" ht="13">
      <c r="A519" s="4" t="s">
        <v>7891</v>
      </c>
      <c r="B519" s="4" t="s">
        <v>4951</v>
      </c>
      <c r="C519" s="4" t="s">
        <v>108</v>
      </c>
      <c r="D519" s="4" t="s">
        <v>4952</v>
      </c>
      <c r="E519" s="4" t="s">
        <v>18</v>
      </c>
      <c r="F519" s="4" t="s">
        <v>7892</v>
      </c>
      <c r="G519" s="4" t="s">
        <v>7893</v>
      </c>
      <c r="H519" s="4">
        <v>1.0900000000000001</v>
      </c>
      <c r="I519" s="4">
        <v>1.26</v>
      </c>
      <c r="J519" s="4">
        <v>0.28452</v>
      </c>
      <c r="K519" s="4" t="b">
        <v>1</v>
      </c>
      <c r="L519" s="4" t="b">
        <v>0</v>
      </c>
    </row>
    <row r="520" spans="1:13" ht="13">
      <c r="A520" s="4" t="s">
        <v>7894</v>
      </c>
      <c r="B520" s="4" t="s">
        <v>4951</v>
      </c>
      <c r="C520" s="4" t="s">
        <v>108</v>
      </c>
      <c r="D520" s="4" t="s">
        <v>4952</v>
      </c>
      <c r="E520" s="4" t="s">
        <v>18</v>
      </c>
      <c r="F520" s="4" t="s">
        <v>7895</v>
      </c>
      <c r="G520" s="4" t="s">
        <v>7896</v>
      </c>
      <c r="H520" s="4">
        <v>1.1000000000000001</v>
      </c>
      <c r="I520" s="4">
        <v>1.29</v>
      </c>
      <c r="J520" s="4">
        <v>0.28093000000000001</v>
      </c>
      <c r="K520" s="4" t="b">
        <v>1</v>
      </c>
      <c r="L520" s="4" t="b">
        <v>0</v>
      </c>
    </row>
    <row r="521" spans="1:13" ht="13">
      <c r="A521" s="4" t="s">
        <v>7897</v>
      </c>
      <c r="B521" s="4" t="s">
        <v>4951</v>
      </c>
      <c r="C521" s="4" t="s">
        <v>108</v>
      </c>
      <c r="D521" s="4" t="s">
        <v>4952</v>
      </c>
      <c r="E521" s="4" t="s">
        <v>18</v>
      </c>
      <c r="F521" s="4" t="s">
        <v>7898</v>
      </c>
      <c r="G521" s="4" t="s">
        <v>7899</v>
      </c>
      <c r="H521" s="4">
        <v>1.1000000000000001</v>
      </c>
      <c r="I521" s="4">
        <v>1.1599999999999999</v>
      </c>
      <c r="J521" s="4">
        <v>0.27124999999999999</v>
      </c>
      <c r="K521" s="4" t="b">
        <v>1</v>
      </c>
      <c r="L521" s="4" t="b">
        <v>0</v>
      </c>
    </row>
    <row r="522" spans="1:13" ht="13">
      <c r="A522" s="4" t="s">
        <v>7900</v>
      </c>
      <c r="B522" s="4" t="s">
        <v>4951</v>
      </c>
      <c r="C522" s="4" t="s">
        <v>108</v>
      </c>
      <c r="D522" s="4" t="s">
        <v>4952</v>
      </c>
      <c r="E522" s="4" t="s">
        <v>18</v>
      </c>
      <c r="F522" s="4" t="s">
        <v>7901</v>
      </c>
      <c r="G522" s="4" t="s">
        <v>7902</v>
      </c>
      <c r="H522" s="4">
        <v>1.1100000000000001</v>
      </c>
      <c r="I522" s="4">
        <v>1.27</v>
      </c>
      <c r="J522" s="4">
        <v>0.27201999999999998</v>
      </c>
      <c r="K522" s="4" t="b">
        <v>1</v>
      </c>
      <c r="L522" s="4" t="b">
        <v>0</v>
      </c>
    </row>
    <row r="523" spans="1:13" ht="13">
      <c r="A523" s="4" t="s">
        <v>7906</v>
      </c>
      <c r="B523" s="4" t="s">
        <v>4951</v>
      </c>
      <c r="C523" s="4" t="s">
        <v>108</v>
      </c>
      <c r="D523" s="4" t="s">
        <v>4952</v>
      </c>
      <c r="E523" s="4" t="s">
        <v>18</v>
      </c>
      <c r="F523" s="4" t="s">
        <v>7907</v>
      </c>
      <c r="G523" s="4" t="s">
        <v>7908</v>
      </c>
      <c r="H523" s="4">
        <v>1.1299999999999999</v>
      </c>
      <c r="I523" s="4">
        <v>1.26</v>
      </c>
      <c r="J523" s="4">
        <v>0.26329999999999998</v>
      </c>
      <c r="K523" s="4" t="b">
        <v>1</v>
      </c>
      <c r="L523" s="4" t="b">
        <v>0</v>
      </c>
    </row>
    <row r="524" spans="1:13" ht="13">
      <c r="A524" s="4" t="s">
        <v>7909</v>
      </c>
      <c r="B524" s="4" t="s">
        <v>4951</v>
      </c>
      <c r="C524" s="4" t="s">
        <v>108</v>
      </c>
      <c r="D524" s="4" t="s">
        <v>4952</v>
      </c>
      <c r="E524" s="4" t="s">
        <v>18</v>
      </c>
      <c r="F524" s="4" t="s">
        <v>7910</v>
      </c>
      <c r="G524" s="4" t="s">
        <v>7911</v>
      </c>
      <c r="H524" s="4">
        <v>1.1299999999999999</v>
      </c>
      <c r="I524" s="4">
        <v>1.2</v>
      </c>
      <c r="J524" s="4">
        <v>0.25614999999999999</v>
      </c>
      <c r="K524" s="4" t="b">
        <v>1</v>
      </c>
      <c r="L524" s="4" t="b">
        <v>0</v>
      </c>
    </row>
    <row r="525" spans="1:13" ht="13">
      <c r="A525" s="4" t="s">
        <v>7912</v>
      </c>
      <c r="B525" s="4" t="s">
        <v>4951</v>
      </c>
      <c r="C525" s="4" t="s">
        <v>108</v>
      </c>
      <c r="D525" s="4" t="s">
        <v>4952</v>
      </c>
      <c r="E525" s="4" t="s">
        <v>18</v>
      </c>
      <c r="F525" s="4" t="s">
        <v>7913</v>
      </c>
      <c r="G525" s="4" t="s">
        <v>7914</v>
      </c>
      <c r="H525" s="4">
        <v>1.1399999999999999</v>
      </c>
      <c r="I525" s="4">
        <v>1.1299999999999999</v>
      </c>
      <c r="J525" s="4">
        <v>0.26324999999999998</v>
      </c>
      <c r="K525" s="4" t="b">
        <v>1</v>
      </c>
      <c r="L525" s="4" t="b">
        <v>0</v>
      </c>
    </row>
    <row r="526" spans="1:13" ht="13">
      <c r="A526" s="4" t="s">
        <v>3139</v>
      </c>
      <c r="B526" s="4" t="s">
        <v>4951</v>
      </c>
      <c r="C526" s="4" t="s">
        <v>108</v>
      </c>
      <c r="D526" s="4" t="s">
        <v>4952</v>
      </c>
      <c r="E526" s="4" t="s">
        <v>18</v>
      </c>
      <c r="F526" s="4" t="s">
        <v>4967</v>
      </c>
      <c r="G526" s="4" t="s">
        <v>3035</v>
      </c>
      <c r="H526" s="4">
        <v>1.1499999999999999</v>
      </c>
      <c r="I526" s="4">
        <v>1.1499999999999999</v>
      </c>
      <c r="J526" s="4">
        <v>0.27310000000000001</v>
      </c>
      <c r="K526" s="4" t="b">
        <v>1</v>
      </c>
      <c r="L526" s="4" t="b">
        <v>1</v>
      </c>
      <c r="M526" s="41" t="s">
        <v>4929</v>
      </c>
    </row>
    <row r="527" spans="1:13" ht="13">
      <c r="A527" s="4" t="s">
        <v>7915</v>
      </c>
      <c r="B527" s="4" t="s">
        <v>4951</v>
      </c>
      <c r="C527" s="4" t="s">
        <v>108</v>
      </c>
      <c r="D527" s="4" t="s">
        <v>4952</v>
      </c>
      <c r="E527" s="4" t="s">
        <v>18</v>
      </c>
      <c r="F527" s="4" t="s">
        <v>7916</v>
      </c>
      <c r="G527" s="4" t="s">
        <v>7917</v>
      </c>
      <c r="H527" s="4">
        <v>1.1599999999999999</v>
      </c>
      <c r="I527" s="4">
        <v>1.1399999999999999</v>
      </c>
      <c r="J527" s="4">
        <v>0.24493999999999999</v>
      </c>
      <c r="K527" s="4" t="b">
        <v>1</v>
      </c>
      <c r="L527" s="4" t="b">
        <v>0</v>
      </c>
    </row>
    <row r="528" spans="1:13" ht="13">
      <c r="A528" s="4" t="s">
        <v>7918</v>
      </c>
      <c r="B528" s="4" t="s">
        <v>4951</v>
      </c>
      <c r="C528" s="4" t="s">
        <v>108</v>
      </c>
      <c r="D528" s="4" t="s">
        <v>4952</v>
      </c>
      <c r="E528" s="4" t="s">
        <v>18</v>
      </c>
      <c r="F528" s="4" t="s">
        <v>7919</v>
      </c>
      <c r="G528" s="4" t="s">
        <v>7920</v>
      </c>
      <c r="H528" s="4">
        <v>1.1599999999999999</v>
      </c>
      <c r="I528" s="4">
        <v>1.1499999999999999</v>
      </c>
      <c r="J528" s="4">
        <v>0.26461000000000001</v>
      </c>
      <c r="K528" s="4" t="b">
        <v>1</v>
      </c>
      <c r="L528" s="4" t="b">
        <v>0</v>
      </c>
    </row>
    <row r="529" spans="1:12" ht="13">
      <c r="A529" s="4" t="s">
        <v>7921</v>
      </c>
      <c r="B529" s="4" t="s">
        <v>4951</v>
      </c>
      <c r="C529" s="4" t="s">
        <v>108</v>
      </c>
      <c r="D529" s="4" t="s">
        <v>4952</v>
      </c>
      <c r="E529" s="4" t="s">
        <v>18</v>
      </c>
      <c r="F529" s="4" t="s">
        <v>7922</v>
      </c>
      <c r="G529" s="4" t="s">
        <v>7923</v>
      </c>
      <c r="H529" s="4">
        <v>1.17</v>
      </c>
      <c r="I529" s="4">
        <v>1.32</v>
      </c>
      <c r="J529" s="4">
        <v>0.26795000000000002</v>
      </c>
      <c r="K529" s="4" t="b">
        <v>1</v>
      </c>
      <c r="L529" s="4" t="b">
        <v>0</v>
      </c>
    </row>
    <row r="530" spans="1:12" ht="13">
      <c r="A530" s="4" t="s">
        <v>7924</v>
      </c>
      <c r="B530" s="4" t="s">
        <v>4951</v>
      </c>
      <c r="C530" s="4" t="s">
        <v>108</v>
      </c>
      <c r="D530" s="4" t="s">
        <v>4952</v>
      </c>
      <c r="E530" s="4" t="s">
        <v>18</v>
      </c>
      <c r="F530" s="4" t="s">
        <v>7925</v>
      </c>
      <c r="G530" s="4" t="s">
        <v>7926</v>
      </c>
      <c r="H530" s="4">
        <v>1.18</v>
      </c>
      <c r="I530" s="4">
        <v>1.1000000000000001</v>
      </c>
      <c r="J530" s="4">
        <v>0.26362000000000002</v>
      </c>
      <c r="K530" s="4" t="b">
        <v>1</v>
      </c>
      <c r="L530" s="4" t="b">
        <v>0</v>
      </c>
    </row>
    <row r="531" spans="1:12" ht="13">
      <c r="A531" s="4" t="s">
        <v>7927</v>
      </c>
      <c r="B531" s="4" t="s">
        <v>4951</v>
      </c>
      <c r="C531" s="4" t="s">
        <v>108</v>
      </c>
      <c r="D531" s="4" t="s">
        <v>4952</v>
      </c>
      <c r="E531" s="4" t="s">
        <v>18</v>
      </c>
      <c r="F531" s="4" t="s">
        <v>7928</v>
      </c>
      <c r="G531" s="4" t="s">
        <v>7929</v>
      </c>
      <c r="H531" s="4">
        <v>1.18</v>
      </c>
      <c r="I531" s="4">
        <v>1.1000000000000001</v>
      </c>
      <c r="J531" s="4">
        <v>0.25741999999999998</v>
      </c>
      <c r="K531" s="4" t="b">
        <v>1</v>
      </c>
      <c r="L531" s="4" t="b">
        <v>0</v>
      </c>
    </row>
    <row r="532" spans="1:12" ht="13">
      <c r="A532" s="4" t="s">
        <v>7930</v>
      </c>
      <c r="B532" s="4" t="s">
        <v>4951</v>
      </c>
      <c r="C532" s="4" t="s">
        <v>108</v>
      </c>
      <c r="D532" s="4" t="s">
        <v>4952</v>
      </c>
      <c r="E532" s="4" t="s">
        <v>18</v>
      </c>
      <c r="F532" s="4" t="s">
        <v>7931</v>
      </c>
      <c r="G532" s="4" t="s">
        <v>7932</v>
      </c>
      <c r="H532" s="4">
        <v>1.19</v>
      </c>
      <c r="I532" s="4">
        <v>1.08</v>
      </c>
      <c r="J532" s="4">
        <v>0.25220999999999999</v>
      </c>
      <c r="K532" s="4" t="b">
        <v>1</v>
      </c>
      <c r="L532" s="4" t="b">
        <v>0</v>
      </c>
    </row>
    <row r="533" spans="1:12" ht="13">
      <c r="A533" s="4" t="s">
        <v>7933</v>
      </c>
      <c r="B533" s="4" t="s">
        <v>4951</v>
      </c>
      <c r="C533" s="4" t="s">
        <v>108</v>
      </c>
      <c r="D533" s="4" t="s">
        <v>4952</v>
      </c>
      <c r="E533" s="4" t="s">
        <v>18</v>
      </c>
      <c r="F533" s="4" t="s">
        <v>7934</v>
      </c>
      <c r="G533" s="4" t="s">
        <v>7935</v>
      </c>
      <c r="H533" s="4">
        <v>1.2</v>
      </c>
      <c r="I533" s="4">
        <v>1.05</v>
      </c>
      <c r="J533" s="4">
        <v>0.25713999999999998</v>
      </c>
      <c r="K533" s="4" t="b">
        <v>1</v>
      </c>
      <c r="L533" s="4" t="b">
        <v>0</v>
      </c>
    </row>
    <row r="534" spans="1:12" ht="13">
      <c r="A534" s="4" t="s">
        <v>7936</v>
      </c>
      <c r="B534" s="4" t="s">
        <v>4951</v>
      </c>
      <c r="C534" s="4" t="s">
        <v>108</v>
      </c>
      <c r="D534" s="4" t="s">
        <v>4952</v>
      </c>
      <c r="E534" s="4" t="s">
        <v>18</v>
      </c>
      <c r="F534" s="4" t="s">
        <v>7937</v>
      </c>
      <c r="G534" s="4" t="s">
        <v>7938</v>
      </c>
      <c r="H534" s="4">
        <v>1.21</v>
      </c>
      <c r="I534" s="4">
        <v>1.22</v>
      </c>
      <c r="J534" s="4">
        <v>0.25069999999999998</v>
      </c>
      <c r="K534" s="4" t="b">
        <v>1</v>
      </c>
      <c r="L534" s="4" t="b">
        <v>0</v>
      </c>
    </row>
    <row r="535" spans="1:12" ht="13">
      <c r="A535" s="4" t="s">
        <v>7942</v>
      </c>
      <c r="B535" s="4" t="s">
        <v>4951</v>
      </c>
      <c r="C535" s="4" t="s">
        <v>108</v>
      </c>
      <c r="D535" s="4" t="s">
        <v>4952</v>
      </c>
      <c r="E535" s="4" t="s">
        <v>18</v>
      </c>
      <c r="F535" s="4" t="s">
        <v>7943</v>
      </c>
      <c r="G535" s="4" t="s">
        <v>7944</v>
      </c>
      <c r="H535" s="4">
        <v>1.22</v>
      </c>
      <c r="I535" s="4">
        <v>1.35</v>
      </c>
      <c r="J535" s="4">
        <v>0.24614</v>
      </c>
      <c r="K535" s="4" t="b">
        <v>1</v>
      </c>
      <c r="L535" s="4" t="b">
        <v>0</v>
      </c>
    </row>
    <row r="536" spans="1:12" ht="13">
      <c r="A536" s="4" t="s">
        <v>7945</v>
      </c>
      <c r="B536" s="4" t="s">
        <v>4951</v>
      </c>
      <c r="C536" s="4" t="s">
        <v>108</v>
      </c>
      <c r="D536" s="4" t="s">
        <v>4952</v>
      </c>
      <c r="E536" s="4" t="s">
        <v>18</v>
      </c>
      <c r="F536" s="4" t="s">
        <v>7946</v>
      </c>
      <c r="G536" s="4" t="s">
        <v>7947</v>
      </c>
      <c r="H536" s="4">
        <v>1.24</v>
      </c>
      <c r="I536" s="4">
        <v>1.18</v>
      </c>
      <c r="J536" s="4">
        <v>0.28561999999999999</v>
      </c>
      <c r="K536" s="4" t="b">
        <v>1</v>
      </c>
      <c r="L536" s="4" t="b">
        <v>0</v>
      </c>
    </row>
    <row r="537" spans="1:12" ht="13">
      <c r="A537" s="4" t="s">
        <v>7948</v>
      </c>
      <c r="B537" s="4" t="s">
        <v>4951</v>
      </c>
      <c r="C537" s="4" t="s">
        <v>108</v>
      </c>
      <c r="D537" s="4" t="s">
        <v>4952</v>
      </c>
      <c r="E537" s="4" t="s">
        <v>18</v>
      </c>
      <c r="F537" s="4" t="s">
        <v>7949</v>
      </c>
      <c r="G537" s="4" t="s">
        <v>7950</v>
      </c>
      <c r="H537" s="4">
        <v>1.24</v>
      </c>
      <c r="I537" s="4">
        <v>1.1499999999999999</v>
      </c>
      <c r="J537" s="4">
        <v>0.255</v>
      </c>
      <c r="K537" s="4" t="b">
        <v>1</v>
      </c>
      <c r="L537" s="4" t="b">
        <v>0</v>
      </c>
    </row>
    <row r="538" spans="1:12" ht="13">
      <c r="A538" s="4" t="s">
        <v>7951</v>
      </c>
      <c r="B538" s="4" t="s">
        <v>4951</v>
      </c>
      <c r="C538" s="4" t="s">
        <v>108</v>
      </c>
      <c r="D538" s="4" t="s">
        <v>4952</v>
      </c>
      <c r="E538" s="4" t="s">
        <v>18</v>
      </c>
      <c r="F538" s="4" t="s">
        <v>7952</v>
      </c>
      <c r="G538" s="4" t="s">
        <v>7953</v>
      </c>
      <c r="H538" s="4">
        <v>1.25</v>
      </c>
      <c r="I538" s="4">
        <v>1.07</v>
      </c>
      <c r="J538" s="4">
        <v>0.25933</v>
      </c>
      <c r="K538" s="4" t="b">
        <v>1</v>
      </c>
      <c r="L538" s="4" t="b">
        <v>0</v>
      </c>
    </row>
    <row r="539" spans="1:12" ht="13">
      <c r="A539" s="4" t="s">
        <v>7954</v>
      </c>
      <c r="B539" s="4" t="s">
        <v>4951</v>
      </c>
      <c r="C539" s="4" t="s">
        <v>108</v>
      </c>
      <c r="D539" s="4" t="s">
        <v>4952</v>
      </c>
      <c r="E539" s="4" t="s">
        <v>18</v>
      </c>
      <c r="F539" s="4" t="s">
        <v>7955</v>
      </c>
      <c r="G539" s="4" t="s">
        <v>7956</v>
      </c>
      <c r="H539" s="4">
        <v>1.26</v>
      </c>
      <c r="I539" s="4">
        <v>1.1100000000000001</v>
      </c>
      <c r="J539" s="4">
        <v>0.25491999999999998</v>
      </c>
      <c r="K539" s="4" t="b">
        <v>1</v>
      </c>
      <c r="L539" s="4" t="b">
        <v>0</v>
      </c>
    </row>
    <row r="540" spans="1:12" ht="13">
      <c r="A540" s="4" t="s">
        <v>7957</v>
      </c>
      <c r="B540" s="4" t="s">
        <v>4951</v>
      </c>
      <c r="C540" s="4" t="s">
        <v>108</v>
      </c>
      <c r="D540" s="4" t="s">
        <v>4952</v>
      </c>
      <c r="E540" s="4" t="s">
        <v>18</v>
      </c>
      <c r="F540" s="4" t="s">
        <v>7958</v>
      </c>
      <c r="G540" s="4" t="s">
        <v>7959</v>
      </c>
      <c r="H540" s="4">
        <v>1.27</v>
      </c>
      <c r="I540" s="4">
        <v>1.17</v>
      </c>
      <c r="J540" s="4">
        <v>0.27263999999999999</v>
      </c>
      <c r="K540" s="4" t="b">
        <v>1</v>
      </c>
      <c r="L540" s="4" t="b">
        <v>0</v>
      </c>
    </row>
    <row r="541" spans="1:12" ht="13">
      <c r="A541" s="4" t="s">
        <v>7960</v>
      </c>
      <c r="B541" s="4" t="s">
        <v>4951</v>
      </c>
      <c r="C541" s="4" t="s">
        <v>108</v>
      </c>
      <c r="D541" s="4" t="s">
        <v>4952</v>
      </c>
      <c r="E541" s="4" t="s">
        <v>18</v>
      </c>
      <c r="F541" s="4" t="s">
        <v>7961</v>
      </c>
      <c r="G541" s="4" t="s">
        <v>7962</v>
      </c>
      <c r="H541" s="4">
        <v>1.28</v>
      </c>
      <c r="I541" s="4">
        <v>1.42</v>
      </c>
      <c r="J541" s="4">
        <v>0.24207000000000001</v>
      </c>
      <c r="K541" s="4" t="b">
        <v>1</v>
      </c>
      <c r="L541" s="4" t="b">
        <v>0</v>
      </c>
    </row>
    <row r="542" spans="1:12" ht="13">
      <c r="A542" s="4" t="s">
        <v>7963</v>
      </c>
      <c r="B542" s="4" t="s">
        <v>4951</v>
      </c>
      <c r="C542" s="4" t="s">
        <v>108</v>
      </c>
      <c r="D542" s="4" t="s">
        <v>4952</v>
      </c>
      <c r="E542" s="4" t="s">
        <v>18</v>
      </c>
      <c r="F542" s="4" t="s">
        <v>7964</v>
      </c>
      <c r="G542" s="4" t="s">
        <v>7965</v>
      </c>
      <c r="H542" s="4">
        <v>1.28</v>
      </c>
      <c r="I542" s="4">
        <v>1.08</v>
      </c>
      <c r="J542" s="4">
        <v>0.2651</v>
      </c>
      <c r="K542" s="4" t="b">
        <v>1</v>
      </c>
      <c r="L542" s="4" t="b">
        <v>0</v>
      </c>
    </row>
    <row r="543" spans="1:12" ht="13">
      <c r="A543" s="4" t="s">
        <v>7966</v>
      </c>
      <c r="B543" s="4" t="s">
        <v>4951</v>
      </c>
      <c r="C543" s="4" t="s">
        <v>108</v>
      </c>
      <c r="D543" s="4" t="s">
        <v>4952</v>
      </c>
      <c r="E543" s="4" t="s">
        <v>18</v>
      </c>
      <c r="F543" s="4" t="s">
        <v>7967</v>
      </c>
      <c r="G543" s="4" t="s">
        <v>7968</v>
      </c>
      <c r="H543" s="4">
        <v>1.29</v>
      </c>
      <c r="I543" s="4">
        <v>1.1200000000000001</v>
      </c>
      <c r="J543" s="4">
        <v>0.28462999999999999</v>
      </c>
      <c r="K543" s="4" t="b">
        <v>1</v>
      </c>
      <c r="L543" s="4" t="b">
        <v>0</v>
      </c>
    </row>
    <row r="544" spans="1:12" ht="13">
      <c r="A544" s="4" t="s">
        <v>7969</v>
      </c>
      <c r="B544" s="4" t="s">
        <v>4951</v>
      </c>
      <c r="C544" s="4" t="s">
        <v>108</v>
      </c>
      <c r="D544" s="4" t="s">
        <v>4952</v>
      </c>
      <c r="E544" s="4" t="s">
        <v>18</v>
      </c>
      <c r="F544" s="4" t="s">
        <v>7970</v>
      </c>
      <c r="G544" s="4" t="s">
        <v>7971</v>
      </c>
      <c r="H544" s="4">
        <v>1.3</v>
      </c>
      <c r="I544" s="4">
        <v>1.0900000000000001</v>
      </c>
      <c r="J544" s="4">
        <v>0.28600999999999999</v>
      </c>
      <c r="K544" s="4" t="b">
        <v>1</v>
      </c>
      <c r="L544" s="4" t="b">
        <v>0</v>
      </c>
    </row>
    <row r="545" spans="1:12" ht="13">
      <c r="A545" s="4" t="s">
        <v>7972</v>
      </c>
      <c r="B545" s="4" t="s">
        <v>4951</v>
      </c>
      <c r="C545" s="4" t="s">
        <v>108</v>
      </c>
      <c r="D545" s="4" t="s">
        <v>4952</v>
      </c>
      <c r="E545" s="4" t="s">
        <v>18</v>
      </c>
      <c r="F545" s="4" t="s">
        <v>7973</v>
      </c>
      <c r="G545" s="4" t="s">
        <v>7974</v>
      </c>
      <c r="H545" s="4">
        <v>1.3</v>
      </c>
      <c r="I545" s="4">
        <v>1.08</v>
      </c>
      <c r="J545" s="4">
        <v>0.26939999999999997</v>
      </c>
      <c r="K545" s="4" t="b">
        <v>1</v>
      </c>
      <c r="L545" s="4" t="b">
        <v>0</v>
      </c>
    </row>
    <row r="546" spans="1:12" ht="13">
      <c r="A546" s="4" t="s">
        <v>7975</v>
      </c>
      <c r="B546" s="4" t="s">
        <v>4951</v>
      </c>
      <c r="C546" s="4" t="s">
        <v>108</v>
      </c>
      <c r="D546" s="4" t="s">
        <v>4952</v>
      </c>
      <c r="E546" s="4" t="s">
        <v>18</v>
      </c>
      <c r="F546" s="4" t="s">
        <v>7976</v>
      </c>
      <c r="G546" s="4" t="s">
        <v>7977</v>
      </c>
      <c r="H546" s="4">
        <v>1.31</v>
      </c>
      <c r="I546" s="4">
        <v>1.1100000000000001</v>
      </c>
      <c r="J546" s="4">
        <v>0.26325999999999999</v>
      </c>
      <c r="K546" s="4" t="b">
        <v>1</v>
      </c>
      <c r="L546" s="4" t="b">
        <v>0</v>
      </c>
    </row>
    <row r="547" spans="1:12" ht="13">
      <c r="A547" s="4" t="s">
        <v>7978</v>
      </c>
      <c r="B547" s="4" t="s">
        <v>4951</v>
      </c>
      <c r="C547" s="4" t="s">
        <v>108</v>
      </c>
      <c r="D547" s="4" t="s">
        <v>4952</v>
      </c>
      <c r="E547" s="4" t="s">
        <v>18</v>
      </c>
      <c r="F547" s="4" t="s">
        <v>7979</v>
      </c>
      <c r="G547" s="4" t="s">
        <v>7980</v>
      </c>
      <c r="H547" s="4">
        <v>1.32</v>
      </c>
      <c r="I547" s="4">
        <v>1.21</v>
      </c>
      <c r="J547" s="4">
        <v>0.23951</v>
      </c>
      <c r="K547" s="4" t="b">
        <v>1</v>
      </c>
      <c r="L547" s="4" t="b">
        <v>0</v>
      </c>
    </row>
    <row r="548" spans="1:12" ht="13">
      <c r="A548" s="4" t="s">
        <v>7981</v>
      </c>
      <c r="B548" s="4" t="s">
        <v>4951</v>
      </c>
      <c r="C548" s="4" t="s">
        <v>108</v>
      </c>
      <c r="D548" s="4" t="s">
        <v>4952</v>
      </c>
      <c r="E548" s="4" t="s">
        <v>18</v>
      </c>
      <c r="F548" s="4" t="s">
        <v>7982</v>
      </c>
      <c r="G548" s="4" t="s">
        <v>7983</v>
      </c>
      <c r="H548" s="4">
        <v>1.33</v>
      </c>
      <c r="I548" s="4">
        <v>1.1100000000000001</v>
      </c>
      <c r="J548" s="4">
        <v>0.26462000000000002</v>
      </c>
      <c r="K548" s="4" t="b">
        <v>1</v>
      </c>
      <c r="L548" s="4" t="b">
        <v>0</v>
      </c>
    </row>
    <row r="549" spans="1:12" ht="13">
      <c r="A549" s="4" t="s">
        <v>7984</v>
      </c>
      <c r="B549" s="4" t="s">
        <v>4951</v>
      </c>
      <c r="C549" s="4" t="s">
        <v>108</v>
      </c>
      <c r="D549" s="4" t="s">
        <v>4952</v>
      </c>
      <c r="E549" s="4" t="s">
        <v>18</v>
      </c>
      <c r="F549" s="4" t="s">
        <v>7985</v>
      </c>
      <c r="G549" s="4" t="s">
        <v>7986</v>
      </c>
      <c r="H549" s="4">
        <v>1.33</v>
      </c>
      <c r="I549" s="4">
        <v>1.1000000000000001</v>
      </c>
      <c r="J549" s="4">
        <v>0.28869</v>
      </c>
      <c r="K549" s="4" t="b">
        <v>1</v>
      </c>
      <c r="L549" s="4" t="b">
        <v>0</v>
      </c>
    </row>
    <row r="550" spans="1:12" ht="13">
      <c r="A550" s="4" t="s">
        <v>7987</v>
      </c>
      <c r="B550" s="4" t="s">
        <v>4951</v>
      </c>
      <c r="C550" s="4" t="s">
        <v>108</v>
      </c>
      <c r="D550" s="4" t="s">
        <v>4952</v>
      </c>
      <c r="E550" s="4" t="s">
        <v>18</v>
      </c>
      <c r="F550" s="4" t="s">
        <v>7988</v>
      </c>
      <c r="G550" s="4" t="s">
        <v>7989</v>
      </c>
      <c r="H550" s="4">
        <v>1.34</v>
      </c>
      <c r="I550" s="4">
        <v>1.1299999999999999</v>
      </c>
      <c r="J550" s="4">
        <v>0.26328000000000001</v>
      </c>
      <c r="K550" s="4" t="b">
        <v>1</v>
      </c>
      <c r="L550" s="4" t="b">
        <v>0</v>
      </c>
    </row>
    <row r="551" spans="1:12" ht="13">
      <c r="A551" s="4" t="s">
        <v>7990</v>
      </c>
      <c r="B551" s="4" t="s">
        <v>4951</v>
      </c>
      <c r="C551" s="4" t="s">
        <v>108</v>
      </c>
      <c r="D551" s="4" t="s">
        <v>4952</v>
      </c>
      <c r="E551" s="4" t="s">
        <v>18</v>
      </c>
      <c r="F551" s="4" t="s">
        <v>7991</v>
      </c>
      <c r="G551" s="4" t="s">
        <v>7992</v>
      </c>
      <c r="H551" s="4">
        <v>1.35</v>
      </c>
      <c r="I551" s="4">
        <v>1.08</v>
      </c>
      <c r="J551" s="4">
        <v>0.27805999999999997</v>
      </c>
      <c r="K551" s="4" t="b">
        <v>1</v>
      </c>
      <c r="L551" s="4" t="b">
        <v>0</v>
      </c>
    </row>
    <row r="552" spans="1:12" ht="13">
      <c r="A552" s="4" t="s">
        <v>7993</v>
      </c>
      <c r="B552" s="4" t="s">
        <v>4951</v>
      </c>
      <c r="C552" s="4" t="s">
        <v>108</v>
      </c>
      <c r="D552" s="4" t="s">
        <v>4952</v>
      </c>
      <c r="E552" s="4" t="s">
        <v>18</v>
      </c>
      <c r="F552" s="4" t="s">
        <v>7994</v>
      </c>
      <c r="G552" s="4" t="s">
        <v>7995</v>
      </c>
      <c r="H552" s="4">
        <v>1.35</v>
      </c>
      <c r="I552" s="4">
        <v>1.17</v>
      </c>
      <c r="J552" s="4">
        <v>0.28563</v>
      </c>
      <c r="K552" s="4" t="b">
        <v>1</v>
      </c>
      <c r="L552" s="4" t="b">
        <v>0</v>
      </c>
    </row>
    <row r="553" spans="1:12" ht="13">
      <c r="A553" s="4" t="s">
        <v>7996</v>
      </c>
      <c r="B553" s="4" t="s">
        <v>4951</v>
      </c>
      <c r="C553" s="4" t="s">
        <v>108</v>
      </c>
      <c r="D553" s="4" t="s">
        <v>4952</v>
      </c>
      <c r="E553" s="4" t="s">
        <v>18</v>
      </c>
      <c r="F553" s="4" t="s">
        <v>7997</v>
      </c>
      <c r="G553" s="4" t="s">
        <v>7998</v>
      </c>
      <c r="H553" s="4">
        <v>1.36</v>
      </c>
      <c r="I553" s="4">
        <v>1.23</v>
      </c>
      <c r="J553" s="4">
        <v>0.28154000000000001</v>
      </c>
      <c r="K553" s="4" t="b">
        <v>1</v>
      </c>
      <c r="L553" s="4" t="b">
        <v>0</v>
      </c>
    </row>
    <row r="554" spans="1:12" ht="13">
      <c r="A554" s="4" t="s">
        <v>7999</v>
      </c>
      <c r="B554" s="4" t="s">
        <v>4951</v>
      </c>
      <c r="C554" s="4" t="s">
        <v>108</v>
      </c>
      <c r="D554" s="4" t="s">
        <v>4952</v>
      </c>
      <c r="E554" s="4" t="s">
        <v>18</v>
      </c>
      <c r="F554" s="4" t="s">
        <v>8000</v>
      </c>
      <c r="G554" s="4" t="s">
        <v>8001</v>
      </c>
      <c r="H554" s="4">
        <v>1.37</v>
      </c>
      <c r="I554" s="4">
        <v>1.1399999999999999</v>
      </c>
      <c r="J554" s="4">
        <v>0.28184999999999999</v>
      </c>
      <c r="K554" s="4" t="b">
        <v>1</v>
      </c>
      <c r="L554" s="4" t="b">
        <v>0</v>
      </c>
    </row>
    <row r="555" spans="1:12" ht="13">
      <c r="A555" s="4" t="s">
        <v>8002</v>
      </c>
      <c r="B555" s="4" t="s">
        <v>4951</v>
      </c>
      <c r="C555" s="4" t="s">
        <v>108</v>
      </c>
      <c r="D555" s="4" t="s">
        <v>4952</v>
      </c>
      <c r="E555" s="4" t="s">
        <v>18</v>
      </c>
      <c r="F555" s="4" t="s">
        <v>8003</v>
      </c>
      <c r="G555" s="4" t="s">
        <v>8004</v>
      </c>
      <c r="H555" s="4">
        <v>1.37</v>
      </c>
      <c r="I555" s="4">
        <v>1.0900000000000001</v>
      </c>
      <c r="J555" s="4">
        <v>0.27611999999999998</v>
      </c>
      <c r="K555" s="4" t="b">
        <v>1</v>
      </c>
      <c r="L555" s="4" t="b">
        <v>0</v>
      </c>
    </row>
    <row r="556" spans="1:12" ht="13">
      <c r="A556" s="4" t="s">
        <v>8005</v>
      </c>
      <c r="B556" s="4" t="s">
        <v>4951</v>
      </c>
      <c r="C556" s="4" t="s">
        <v>108</v>
      </c>
      <c r="D556" s="4" t="s">
        <v>4952</v>
      </c>
      <c r="E556" s="4" t="s">
        <v>18</v>
      </c>
      <c r="F556" s="4" t="s">
        <v>8006</v>
      </c>
      <c r="G556" s="4" t="s">
        <v>8007</v>
      </c>
      <c r="H556" s="4">
        <v>1.38</v>
      </c>
      <c r="I556" s="4">
        <v>1.1000000000000001</v>
      </c>
      <c r="J556" s="4">
        <v>0.27578999999999998</v>
      </c>
      <c r="K556" s="4" t="b">
        <v>1</v>
      </c>
      <c r="L556" s="4" t="b">
        <v>0</v>
      </c>
    </row>
    <row r="557" spans="1:12" ht="13">
      <c r="A557" s="4" t="s">
        <v>8008</v>
      </c>
      <c r="B557" s="4" t="s">
        <v>4951</v>
      </c>
      <c r="C557" s="4" t="s">
        <v>108</v>
      </c>
      <c r="D557" s="4" t="s">
        <v>4952</v>
      </c>
      <c r="E557" s="4" t="s">
        <v>18</v>
      </c>
      <c r="F557" s="4" t="s">
        <v>8009</v>
      </c>
      <c r="G557" s="4" t="s">
        <v>8010</v>
      </c>
      <c r="H557" s="4">
        <v>1.39</v>
      </c>
      <c r="I557" s="4">
        <v>1.0900000000000001</v>
      </c>
      <c r="J557" s="4">
        <v>0.27515000000000001</v>
      </c>
      <c r="K557" s="4" t="b">
        <v>1</v>
      </c>
      <c r="L557" s="4" t="b">
        <v>0</v>
      </c>
    </row>
    <row r="558" spans="1:12" ht="13">
      <c r="A558" s="4" t="s">
        <v>8011</v>
      </c>
      <c r="B558" s="4" t="s">
        <v>4951</v>
      </c>
      <c r="C558" s="4" t="s">
        <v>108</v>
      </c>
      <c r="D558" s="4" t="s">
        <v>4952</v>
      </c>
      <c r="E558" s="4" t="s">
        <v>18</v>
      </c>
      <c r="F558" s="4" t="s">
        <v>8012</v>
      </c>
      <c r="G558" s="4" t="s">
        <v>8013</v>
      </c>
      <c r="H558" s="4">
        <v>1.39</v>
      </c>
      <c r="I558" s="4">
        <v>1.1499999999999999</v>
      </c>
      <c r="J558" s="4">
        <v>0.29464000000000001</v>
      </c>
      <c r="K558" s="4" t="b">
        <v>1</v>
      </c>
      <c r="L558" s="4" t="b">
        <v>0</v>
      </c>
    </row>
    <row r="559" spans="1:12" ht="13">
      <c r="A559" s="4" t="s">
        <v>8014</v>
      </c>
      <c r="B559" s="4" t="s">
        <v>4951</v>
      </c>
      <c r="C559" s="4" t="s">
        <v>108</v>
      </c>
      <c r="D559" s="4" t="s">
        <v>4952</v>
      </c>
      <c r="E559" s="4" t="s">
        <v>18</v>
      </c>
      <c r="F559" s="4" t="s">
        <v>8015</v>
      </c>
      <c r="G559" s="4" t="s">
        <v>8016</v>
      </c>
      <c r="H559" s="4">
        <v>1.4</v>
      </c>
      <c r="I559" s="4">
        <v>1.04</v>
      </c>
      <c r="J559" s="4">
        <v>0.29111999999999999</v>
      </c>
      <c r="K559" s="4" t="b">
        <v>1</v>
      </c>
      <c r="L559" s="4" t="b">
        <v>0</v>
      </c>
    </row>
    <row r="560" spans="1:12" ht="13">
      <c r="A560" s="4" t="s">
        <v>8017</v>
      </c>
      <c r="B560" s="4" t="s">
        <v>4951</v>
      </c>
      <c r="C560" s="4" t="s">
        <v>108</v>
      </c>
      <c r="D560" s="4" t="s">
        <v>4952</v>
      </c>
      <c r="E560" s="4" t="s">
        <v>18</v>
      </c>
      <c r="F560" s="4" t="s">
        <v>8018</v>
      </c>
      <c r="G560" s="4" t="s">
        <v>8019</v>
      </c>
      <c r="H560" s="4">
        <v>1.41</v>
      </c>
      <c r="I560" s="4">
        <v>1.1200000000000001</v>
      </c>
      <c r="J560" s="4">
        <v>0.25034000000000001</v>
      </c>
      <c r="K560" s="4" t="b">
        <v>1</v>
      </c>
      <c r="L560" s="4" t="b">
        <v>0</v>
      </c>
    </row>
    <row r="561" spans="1:12" ht="13">
      <c r="A561" s="4" t="s">
        <v>8020</v>
      </c>
      <c r="B561" s="4" t="s">
        <v>4951</v>
      </c>
      <c r="C561" s="4" t="s">
        <v>108</v>
      </c>
      <c r="D561" s="4" t="s">
        <v>4952</v>
      </c>
      <c r="E561" s="4" t="s">
        <v>18</v>
      </c>
      <c r="F561" s="4" t="s">
        <v>8021</v>
      </c>
      <c r="G561" s="4" t="s">
        <v>8022</v>
      </c>
      <c r="H561" s="4">
        <v>1.42</v>
      </c>
      <c r="I561" s="4">
        <v>1.18</v>
      </c>
      <c r="J561" s="4">
        <v>0.23683000000000001</v>
      </c>
      <c r="K561" s="4" t="b">
        <v>1</v>
      </c>
      <c r="L561" s="4" t="b">
        <v>0</v>
      </c>
    </row>
    <row r="562" spans="1:12" ht="13">
      <c r="A562" s="4" t="s">
        <v>8023</v>
      </c>
      <c r="B562" s="4" t="s">
        <v>4951</v>
      </c>
      <c r="C562" s="4" t="s">
        <v>108</v>
      </c>
      <c r="D562" s="4" t="s">
        <v>4952</v>
      </c>
      <c r="E562" s="4" t="s">
        <v>18</v>
      </c>
      <c r="F562" s="4" t="s">
        <v>8024</v>
      </c>
      <c r="G562" s="4" t="s">
        <v>8025</v>
      </c>
      <c r="H562" s="4">
        <v>1.42</v>
      </c>
      <c r="I562" s="4">
        <v>1.1499999999999999</v>
      </c>
      <c r="J562" s="4">
        <v>0.30801000000000001</v>
      </c>
      <c r="K562" s="4" t="b">
        <v>1</v>
      </c>
      <c r="L562" s="4" t="b">
        <v>0</v>
      </c>
    </row>
    <row r="563" spans="1:12" ht="13">
      <c r="A563" s="4" t="s">
        <v>8026</v>
      </c>
      <c r="B563" s="4" t="s">
        <v>4951</v>
      </c>
      <c r="C563" s="4" t="s">
        <v>108</v>
      </c>
      <c r="D563" s="4" t="s">
        <v>4952</v>
      </c>
      <c r="E563" s="4" t="s">
        <v>18</v>
      </c>
      <c r="F563" s="4" t="s">
        <v>8027</v>
      </c>
      <c r="G563" s="4" t="s">
        <v>8028</v>
      </c>
      <c r="H563" s="4">
        <v>1.43</v>
      </c>
      <c r="I563" s="4">
        <v>1.25</v>
      </c>
      <c r="J563" s="4">
        <v>0.27095000000000002</v>
      </c>
      <c r="K563" s="4" t="b">
        <v>1</v>
      </c>
      <c r="L563" s="4" t="b">
        <v>0</v>
      </c>
    </row>
    <row r="564" spans="1:12" ht="13">
      <c r="A564" s="4" t="s">
        <v>8029</v>
      </c>
      <c r="B564" s="4" t="s">
        <v>4951</v>
      </c>
      <c r="C564" s="4" t="s">
        <v>108</v>
      </c>
      <c r="D564" s="4" t="s">
        <v>4952</v>
      </c>
      <c r="E564" s="4" t="s">
        <v>18</v>
      </c>
      <c r="F564" s="4" t="s">
        <v>8030</v>
      </c>
      <c r="G564" s="4" t="s">
        <v>8031</v>
      </c>
      <c r="H564" s="4">
        <v>1.44</v>
      </c>
      <c r="I564" s="4">
        <v>1.1499999999999999</v>
      </c>
      <c r="J564" s="4">
        <v>0.28893999999999997</v>
      </c>
      <c r="K564" s="4" t="b">
        <v>1</v>
      </c>
      <c r="L564" s="4" t="b">
        <v>0</v>
      </c>
    </row>
    <row r="565" spans="1:12" ht="13">
      <c r="A565" s="4" t="s">
        <v>8032</v>
      </c>
      <c r="B565" s="4" t="s">
        <v>4951</v>
      </c>
      <c r="C565" s="4" t="s">
        <v>108</v>
      </c>
      <c r="D565" s="4" t="s">
        <v>4952</v>
      </c>
      <c r="E565" s="4" t="s">
        <v>18</v>
      </c>
      <c r="F565" s="4" t="s">
        <v>8033</v>
      </c>
      <c r="G565" s="4" t="s">
        <v>8034</v>
      </c>
      <c r="H565" s="4">
        <v>1.44</v>
      </c>
      <c r="I565" s="4">
        <v>1.1599999999999999</v>
      </c>
      <c r="J565" s="4">
        <v>0.26828999999999997</v>
      </c>
      <c r="K565" s="4" t="b">
        <v>1</v>
      </c>
      <c r="L565" s="4" t="b">
        <v>0</v>
      </c>
    </row>
    <row r="566" spans="1:12" ht="13">
      <c r="A566" s="4" t="s">
        <v>8035</v>
      </c>
      <c r="B566" s="4" t="s">
        <v>4951</v>
      </c>
      <c r="C566" s="4" t="s">
        <v>108</v>
      </c>
      <c r="D566" s="4" t="s">
        <v>4952</v>
      </c>
      <c r="E566" s="4" t="s">
        <v>18</v>
      </c>
      <c r="F566" s="4" t="s">
        <v>8036</v>
      </c>
      <c r="G566" s="4" t="s">
        <v>8037</v>
      </c>
      <c r="H566" s="4">
        <v>1.45</v>
      </c>
      <c r="I566" s="4">
        <v>1.1399999999999999</v>
      </c>
      <c r="J566" s="4">
        <v>0.24434</v>
      </c>
      <c r="K566" s="4" t="b">
        <v>1</v>
      </c>
      <c r="L566" s="4" t="b">
        <v>0</v>
      </c>
    </row>
    <row r="567" spans="1:12" ht="13">
      <c r="A567" s="4" t="s">
        <v>8038</v>
      </c>
      <c r="B567" s="4" t="s">
        <v>4951</v>
      </c>
      <c r="C567" s="4" t="s">
        <v>108</v>
      </c>
      <c r="D567" s="4" t="s">
        <v>4952</v>
      </c>
      <c r="E567" s="4" t="s">
        <v>18</v>
      </c>
      <c r="F567" s="4" t="s">
        <v>8039</v>
      </c>
      <c r="G567" s="4" t="s">
        <v>8040</v>
      </c>
      <c r="H567" s="4">
        <v>1.45</v>
      </c>
      <c r="I567" s="4">
        <v>1.1499999999999999</v>
      </c>
      <c r="J567" s="4">
        <v>0.28332000000000002</v>
      </c>
      <c r="K567" s="4" t="b">
        <v>1</v>
      </c>
      <c r="L567" s="4" t="b">
        <v>0</v>
      </c>
    </row>
    <row r="568" spans="1:12" ht="13">
      <c r="A568" s="4" t="s">
        <v>8041</v>
      </c>
      <c r="B568" s="4" t="s">
        <v>4951</v>
      </c>
      <c r="C568" s="4" t="s">
        <v>108</v>
      </c>
      <c r="D568" s="4" t="s">
        <v>4952</v>
      </c>
      <c r="E568" s="4" t="s">
        <v>18</v>
      </c>
      <c r="F568" s="4" t="s">
        <v>8042</v>
      </c>
      <c r="G568" s="4" t="s">
        <v>8043</v>
      </c>
      <c r="H568" s="4">
        <v>1.46</v>
      </c>
      <c r="I568" s="4">
        <v>1.31</v>
      </c>
      <c r="J568" s="4">
        <v>0.29921999999999999</v>
      </c>
      <c r="K568" s="4" t="b">
        <v>1</v>
      </c>
      <c r="L568" s="4" t="b">
        <v>0</v>
      </c>
    </row>
    <row r="569" spans="1:12" ht="13">
      <c r="A569" s="4" t="s">
        <v>8044</v>
      </c>
      <c r="B569" s="4" t="s">
        <v>4951</v>
      </c>
      <c r="C569" s="4" t="s">
        <v>108</v>
      </c>
      <c r="D569" s="4" t="s">
        <v>4952</v>
      </c>
      <c r="E569" s="4" t="s">
        <v>18</v>
      </c>
      <c r="F569" s="4" t="s">
        <v>8045</v>
      </c>
      <c r="G569" s="4" t="s">
        <v>8046</v>
      </c>
      <c r="H569" s="4">
        <v>1.47</v>
      </c>
      <c r="I569" s="4">
        <v>1.1499999999999999</v>
      </c>
      <c r="J569" s="4">
        <v>0.26944000000000001</v>
      </c>
      <c r="K569" s="4" t="b">
        <v>1</v>
      </c>
      <c r="L569" s="4" t="b">
        <v>0</v>
      </c>
    </row>
    <row r="570" spans="1:12" ht="13">
      <c r="A570" s="4" t="s">
        <v>8047</v>
      </c>
      <c r="B570" s="4" t="s">
        <v>4951</v>
      </c>
      <c r="C570" s="4" t="s">
        <v>108</v>
      </c>
      <c r="D570" s="4" t="s">
        <v>4952</v>
      </c>
      <c r="E570" s="4" t="s">
        <v>18</v>
      </c>
      <c r="F570" s="4" t="s">
        <v>8048</v>
      </c>
      <c r="G570" s="4" t="s">
        <v>3065</v>
      </c>
      <c r="H570" s="4">
        <v>1.47</v>
      </c>
      <c r="I570" s="4">
        <v>1.19</v>
      </c>
      <c r="J570" s="4">
        <v>0.28422999999999998</v>
      </c>
      <c r="K570" s="4" t="b">
        <v>1</v>
      </c>
      <c r="L570" s="4" t="b">
        <v>0</v>
      </c>
    </row>
    <row r="571" spans="1:12" ht="13">
      <c r="A571" s="4" t="s">
        <v>8049</v>
      </c>
      <c r="B571" s="4" t="s">
        <v>4951</v>
      </c>
      <c r="C571" s="4" t="s">
        <v>108</v>
      </c>
      <c r="D571" s="4" t="s">
        <v>4952</v>
      </c>
      <c r="E571" s="4" t="s">
        <v>18</v>
      </c>
      <c r="F571" s="4" t="s">
        <v>8050</v>
      </c>
      <c r="G571" s="4" t="s">
        <v>8051</v>
      </c>
      <c r="H571" s="4">
        <v>1.48</v>
      </c>
      <c r="I571" s="4">
        <v>1.27</v>
      </c>
      <c r="J571" s="4">
        <v>0.25722</v>
      </c>
      <c r="K571" s="4" t="b">
        <v>1</v>
      </c>
      <c r="L571" s="4" t="b">
        <v>0</v>
      </c>
    </row>
    <row r="572" spans="1:12" ht="13">
      <c r="A572" s="4" t="s">
        <v>8052</v>
      </c>
      <c r="B572" s="4" t="s">
        <v>4951</v>
      </c>
      <c r="C572" s="4" t="s">
        <v>108</v>
      </c>
      <c r="D572" s="4" t="s">
        <v>4952</v>
      </c>
      <c r="E572" s="4" t="s">
        <v>18</v>
      </c>
      <c r="F572" s="4" t="s">
        <v>8053</v>
      </c>
      <c r="G572" s="4" t="s">
        <v>8054</v>
      </c>
      <c r="H572" s="4">
        <v>1.49</v>
      </c>
      <c r="I572" s="4">
        <v>1.24</v>
      </c>
      <c r="J572" s="4">
        <v>0.24593999999999999</v>
      </c>
      <c r="K572" s="4" t="b">
        <v>1</v>
      </c>
      <c r="L572" s="4" t="b">
        <v>0</v>
      </c>
    </row>
    <row r="573" spans="1:12" ht="13">
      <c r="A573" s="4" t="s">
        <v>8055</v>
      </c>
      <c r="B573" s="4" t="s">
        <v>4951</v>
      </c>
      <c r="C573" s="4" t="s">
        <v>108</v>
      </c>
      <c r="D573" s="4" t="s">
        <v>4952</v>
      </c>
      <c r="E573" s="4" t="s">
        <v>18</v>
      </c>
      <c r="F573" s="4" t="s">
        <v>8056</v>
      </c>
      <c r="G573" s="4" t="s">
        <v>8057</v>
      </c>
      <c r="H573" s="4">
        <v>1.49</v>
      </c>
      <c r="I573" s="4">
        <v>1.26</v>
      </c>
      <c r="J573" s="4">
        <v>0.32197999999999999</v>
      </c>
      <c r="K573" s="4" t="b">
        <v>1</v>
      </c>
      <c r="L573" s="4" t="b">
        <v>0</v>
      </c>
    </row>
    <row r="574" spans="1:12" ht="13">
      <c r="A574" s="4" t="s">
        <v>8058</v>
      </c>
      <c r="B574" s="4" t="s">
        <v>4951</v>
      </c>
      <c r="C574" s="4" t="s">
        <v>108</v>
      </c>
      <c r="D574" s="4" t="s">
        <v>4952</v>
      </c>
      <c r="E574" s="4" t="s">
        <v>18</v>
      </c>
      <c r="F574" s="4" t="s">
        <v>8059</v>
      </c>
      <c r="G574" s="4" t="s">
        <v>8060</v>
      </c>
      <c r="H574" s="4">
        <v>1.5</v>
      </c>
      <c r="I574" s="4">
        <v>1.21</v>
      </c>
      <c r="J574" s="4">
        <v>0.27383999999999997</v>
      </c>
      <c r="K574" s="4" t="b">
        <v>1</v>
      </c>
      <c r="L574" s="4" t="b">
        <v>0</v>
      </c>
    </row>
    <row r="575" spans="1:12" ht="13">
      <c r="A575" s="4" t="s">
        <v>8061</v>
      </c>
      <c r="B575" s="4" t="s">
        <v>4951</v>
      </c>
      <c r="C575" s="4" t="s">
        <v>108</v>
      </c>
      <c r="D575" s="4" t="s">
        <v>4952</v>
      </c>
      <c r="E575" s="4" t="s">
        <v>18</v>
      </c>
      <c r="F575" s="4" t="s">
        <v>8062</v>
      </c>
      <c r="G575" s="4" t="s">
        <v>8063</v>
      </c>
      <c r="H575" s="4">
        <v>1.5</v>
      </c>
      <c r="I575" s="4">
        <v>1.26</v>
      </c>
      <c r="J575" s="4">
        <v>0.23508000000000001</v>
      </c>
      <c r="K575" s="4" t="b">
        <v>1</v>
      </c>
      <c r="L575" s="4" t="b">
        <v>0</v>
      </c>
    </row>
    <row r="576" spans="1:12" ht="13">
      <c r="A576" s="4" t="s">
        <v>8064</v>
      </c>
      <c r="B576" s="4" t="s">
        <v>4951</v>
      </c>
      <c r="C576" s="4" t="s">
        <v>108</v>
      </c>
      <c r="D576" s="4" t="s">
        <v>4952</v>
      </c>
      <c r="E576" s="4" t="s">
        <v>18</v>
      </c>
      <c r="F576" s="4" t="s">
        <v>8065</v>
      </c>
      <c r="G576" s="4" t="s">
        <v>8066</v>
      </c>
      <c r="H576" s="4">
        <v>1.51</v>
      </c>
      <c r="I576" s="4">
        <v>1.2</v>
      </c>
      <c r="J576" s="4">
        <v>0.26447999999999999</v>
      </c>
      <c r="K576" s="4" t="b">
        <v>1</v>
      </c>
      <c r="L576" s="4" t="b">
        <v>0</v>
      </c>
    </row>
    <row r="577" spans="1:12" ht="13">
      <c r="A577" s="4" t="s">
        <v>8067</v>
      </c>
      <c r="B577" s="4" t="s">
        <v>4951</v>
      </c>
      <c r="C577" s="4" t="s">
        <v>108</v>
      </c>
      <c r="D577" s="4" t="s">
        <v>4952</v>
      </c>
      <c r="E577" s="4" t="s">
        <v>18</v>
      </c>
      <c r="F577" s="4" t="s">
        <v>8068</v>
      </c>
      <c r="G577" s="4" t="s">
        <v>8069</v>
      </c>
      <c r="H577" s="4">
        <v>1.52</v>
      </c>
      <c r="I577" s="4">
        <v>1.22</v>
      </c>
      <c r="J577" s="4">
        <v>0.26138</v>
      </c>
      <c r="K577" s="4" t="b">
        <v>1</v>
      </c>
      <c r="L577" s="4" t="b">
        <v>0</v>
      </c>
    </row>
    <row r="578" spans="1:12" ht="13">
      <c r="A578" s="4" t="s">
        <v>8070</v>
      </c>
      <c r="B578" s="4" t="s">
        <v>4951</v>
      </c>
      <c r="C578" s="4" t="s">
        <v>108</v>
      </c>
      <c r="D578" s="4" t="s">
        <v>4952</v>
      </c>
      <c r="E578" s="4" t="s">
        <v>18</v>
      </c>
      <c r="F578" s="4" t="s">
        <v>8071</v>
      </c>
      <c r="G578" s="4" t="s">
        <v>8072</v>
      </c>
      <c r="H578" s="4">
        <v>1.53</v>
      </c>
      <c r="I578" s="4">
        <v>1.07</v>
      </c>
      <c r="J578" s="4">
        <v>0.27478000000000002</v>
      </c>
      <c r="K578" s="4" t="b">
        <v>1</v>
      </c>
      <c r="L578" s="4" t="b">
        <v>0</v>
      </c>
    </row>
    <row r="579" spans="1:12" ht="13">
      <c r="A579" s="4" t="s">
        <v>8076</v>
      </c>
      <c r="B579" s="4" t="s">
        <v>4951</v>
      </c>
      <c r="C579" s="4" t="s">
        <v>108</v>
      </c>
      <c r="D579" s="4" t="s">
        <v>4952</v>
      </c>
      <c r="E579" s="4" t="s">
        <v>18</v>
      </c>
      <c r="F579" s="4" t="s">
        <v>8077</v>
      </c>
      <c r="G579" s="4" t="s">
        <v>8078</v>
      </c>
      <c r="H579" s="4">
        <v>1.54</v>
      </c>
      <c r="I579" s="4">
        <v>1.0900000000000001</v>
      </c>
      <c r="J579" s="4">
        <v>0.28626000000000001</v>
      </c>
      <c r="K579" s="4" t="b">
        <v>1</v>
      </c>
      <c r="L579" s="4" t="b">
        <v>0</v>
      </c>
    </row>
    <row r="580" spans="1:12" ht="13">
      <c r="A580" s="4" t="s">
        <v>8079</v>
      </c>
      <c r="B580" s="4" t="s">
        <v>4951</v>
      </c>
      <c r="C580" s="4" t="s">
        <v>108</v>
      </c>
      <c r="D580" s="4" t="s">
        <v>4952</v>
      </c>
      <c r="E580" s="4" t="s">
        <v>18</v>
      </c>
      <c r="F580" s="4" t="s">
        <v>8080</v>
      </c>
      <c r="G580" s="4" t="s">
        <v>8081</v>
      </c>
      <c r="H580" s="4">
        <v>1.55</v>
      </c>
      <c r="I580" s="4">
        <v>1.0900000000000001</v>
      </c>
      <c r="J580" s="4">
        <v>0.28214</v>
      </c>
      <c r="K580" s="4" t="b">
        <v>1</v>
      </c>
      <c r="L580" s="4" t="b">
        <v>0</v>
      </c>
    </row>
    <row r="581" spans="1:12" ht="13">
      <c r="A581" s="4" t="s">
        <v>8082</v>
      </c>
      <c r="B581" s="4" t="s">
        <v>4951</v>
      </c>
      <c r="C581" s="4" t="s">
        <v>108</v>
      </c>
      <c r="D581" s="4" t="s">
        <v>4952</v>
      </c>
      <c r="E581" s="4" t="s">
        <v>18</v>
      </c>
      <c r="F581" s="4" t="s">
        <v>8083</v>
      </c>
      <c r="G581" s="4" t="s">
        <v>8084</v>
      </c>
      <c r="H581" s="4">
        <v>1.56</v>
      </c>
      <c r="I581" s="4">
        <v>1.1200000000000001</v>
      </c>
      <c r="J581" s="4">
        <v>0.28837000000000002</v>
      </c>
      <c r="K581" s="4" t="b">
        <v>1</v>
      </c>
      <c r="L581" s="4" t="b">
        <v>0</v>
      </c>
    </row>
    <row r="582" spans="1:12" ht="13">
      <c r="A582" s="4" t="s">
        <v>8085</v>
      </c>
      <c r="B582" s="4" t="s">
        <v>4951</v>
      </c>
      <c r="C582" s="4" t="s">
        <v>108</v>
      </c>
      <c r="D582" s="4" t="s">
        <v>4952</v>
      </c>
      <c r="E582" s="4" t="s">
        <v>18</v>
      </c>
      <c r="F582" s="4" t="s">
        <v>8086</v>
      </c>
      <c r="G582" s="4" t="s">
        <v>8087</v>
      </c>
      <c r="H582" s="4">
        <v>1.57</v>
      </c>
      <c r="I582" s="4">
        <v>1.08</v>
      </c>
      <c r="J582" s="4">
        <v>0.27413999999999999</v>
      </c>
      <c r="K582" s="4" t="b">
        <v>1</v>
      </c>
      <c r="L582" s="4" t="b">
        <v>0</v>
      </c>
    </row>
    <row r="583" spans="1:12" ht="13">
      <c r="A583" s="4" t="s">
        <v>8088</v>
      </c>
      <c r="B583" s="4" t="s">
        <v>4951</v>
      </c>
      <c r="C583" s="4" t="s">
        <v>108</v>
      </c>
      <c r="D583" s="4" t="s">
        <v>4952</v>
      </c>
      <c r="E583" s="4" t="s">
        <v>18</v>
      </c>
      <c r="F583" s="4" t="s">
        <v>8089</v>
      </c>
      <c r="G583" s="4" t="s">
        <v>8090</v>
      </c>
      <c r="H583" s="4">
        <v>1.58</v>
      </c>
      <c r="I583" s="4">
        <v>1.0900000000000001</v>
      </c>
      <c r="J583" s="4">
        <v>0.25435999999999998</v>
      </c>
      <c r="K583" s="4" t="b">
        <v>1</v>
      </c>
      <c r="L583" s="4" t="b">
        <v>0</v>
      </c>
    </row>
    <row r="584" spans="1:12" ht="13">
      <c r="A584" s="4" t="s">
        <v>8091</v>
      </c>
      <c r="B584" s="4" t="s">
        <v>4951</v>
      </c>
      <c r="C584" s="4" t="s">
        <v>108</v>
      </c>
      <c r="D584" s="4" t="s">
        <v>4952</v>
      </c>
      <c r="E584" s="4" t="s">
        <v>18</v>
      </c>
      <c r="F584" s="4" t="s">
        <v>8092</v>
      </c>
      <c r="G584" s="4" t="s">
        <v>8093</v>
      </c>
      <c r="H584" s="4">
        <v>1.59</v>
      </c>
      <c r="I584" s="4">
        <v>1.0900000000000001</v>
      </c>
      <c r="J584" s="4">
        <v>0.25240000000000001</v>
      </c>
      <c r="K584" s="4" t="b">
        <v>1</v>
      </c>
      <c r="L584" s="4" t="b">
        <v>0</v>
      </c>
    </row>
    <row r="585" spans="1:12" ht="13">
      <c r="A585" s="4" t="s">
        <v>8094</v>
      </c>
      <c r="B585" s="4" t="s">
        <v>4951</v>
      </c>
      <c r="C585" s="4" t="s">
        <v>108</v>
      </c>
      <c r="D585" s="4" t="s">
        <v>4952</v>
      </c>
      <c r="E585" s="4" t="s">
        <v>18</v>
      </c>
      <c r="F585" s="4" t="s">
        <v>8095</v>
      </c>
      <c r="G585" s="4" t="s">
        <v>8096</v>
      </c>
      <c r="H585" s="4">
        <v>1.59</v>
      </c>
      <c r="I585" s="4">
        <v>1.0900000000000001</v>
      </c>
      <c r="J585" s="4">
        <v>0.25890000000000002</v>
      </c>
      <c r="K585" s="4" t="b">
        <v>1</v>
      </c>
      <c r="L585" s="4" t="b">
        <v>0</v>
      </c>
    </row>
    <row r="586" spans="1:12" ht="13">
      <c r="A586" s="4" t="s">
        <v>8097</v>
      </c>
      <c r="B586" s="4" t="s">
        <v>4951</v>
      </c>
      <c r="C586" s="4" t="s">
        <v>108</v>
      </c>
      <c r="D586" s="4" t="s">
        <v>4952</v>
      </c>
      <c r="E586" s="4" t="s">
        <v>18</v>
      </c>
      <c r="F586" s="4" t="s">
        <v>8098</v>
      </c>
      <c r="G586" s="4" t="s">
        <v>8099</v>
      </c>
      <c r="H586" s="4">
        <v>1.6</v>
      </c>
      <c r="I586" s="4">
        <v>1.1299999999999999</v>
      </c>
      <c r="J586" s="4">
        <v>0.27509</v>
      </c>
      <c r="K586" s="4" t="b">
        <v>1</v>
      </c>
      <c r="L586" s="4" t="b">
        <v>0</v>
      </c>
    </row>
    <row r="587" spans="1:12" ht="13">
      <c r="A587" s="4" t="s">
        <v>8100</v>
      </c>
      <c r="B587" s="4" t="s">
        <v>4951</v>
      </c>
      <c r="C587" s="4" t="s">
        <v>108</v>
      </c>
      <c r="D587" s="4" t="s">
        <v>4952</v>
      </c>
      <c r="E587" s="4" t="s">
        <v>18</v>
      </c>
      <c r="F587" s="4" t="s">
        <v>8101</v>
      </c>
      <c r="G587" s="4" t="s">
        <v>8102</v>
      </c>
      <c r="H587" s="4">
        <v>1.6</v>
      </c>
      <c r="I587" s="4">
        <v>1.0900000000000001</v>
      </c>
      <c r="J587" s="4">
        <v>0.24798999999999999</v>
      </c>
      <c r="K587" s="4" t="b">
        <v>1</v>
      </c>
      <c r="L587" s="4" t="b">
        <v>0</v>
      </c>
    </row>
    <row r="588" spans="1:12" ht="13">
      <c r="A588" s="4" t="s">
        <v>8106</v>
      </c>
      <c r="B588" s="4" t="s">
        <v>4951</v>
      </c>
      <c r="C588" s="4" t="s">
        <v>108</v>
      </c>
      <c r="D588" s="4" t="s">
        <v>4952</v>
      </c>
      <c r="E588" s="4" t="s">
        <v>18</v>
      </c>
      <c r="F588" s="4" t="s">
        <v>8107</v>
      </c>
      <c r="G588" s="4" t="s">
        <v>8108</v>
      </c>
      <c r="H588" s="4">
        <v>1.61</v>
      </c>
      <c r="I588" s="4">
        <v>1.25</v>
      </c>
      <c r="J588" s="4">
        <v>0.2429</v>
      </c>
      <c r="K588" s="4" t="b">
        <v>1</v>
      </c>
      <c r="L588" s="4" t="b">
        <v>0</v>
      </c>
    </row>
    <row r="589" spans="1:12" ht="13">
      <c r="A589" s="4" t="s">
        <v>8109</v>
      </c>
      <c r="B589" s="4" t="s">
        <v>4951</v>
      </c>
      <c r="C589" s="4" t="s">
        <v>108</v>
      </c>
      <c r="D589" s="4" t="s">
        <v>4952</v>
      </c>
      <c r="E589" s="4" t="s">
        <v>18</v>
      </c>
      <c r="F589" s="4" t="s">
        <v>8110</v>
      </c>
      <c r="G589" s="4" t="s">
        <v>8111</v>
      </c>
      <c r="H589" s="4">
        <v>1.62</v>
      </c>
      <c r="I589" s="4">
        <v>1.1499999999999999</v>
      </c>
      <c r="J589" s="4">
        <v>0.24784</v>
      </c>
      <c r="K589" s="4" t="b">
        <v>1</v>
      </c>
      <c r="L589" s="4" t="b">
        <v>0</v>
      </c>
    </row>
    <row r="590" spans="1:12" ht="13">
      <c r="A590" s="4" t="s">
        <v>8112</v>
      </c>
      <c r="B590" s="4" t="s">
        <v>4951</v>
      </c>
      <c r="C590" s="4" t="s">
        <v>108</v>
      </c>
      <c r="D590" s="4" t="s">
        <v>4952</v>
      </c>
      <c r="E590" s="4" t="s">
        <v>18</v>
      </c>
      <c r="F590" s="4" t="s">
        <v>8113</v>
      </c>
      <c r="G590" s="4" t="s">
        <v>8114</v>
      </c>
      <c r="H590" s="4">
        <v>1.62</v>
      </c>
      <c r="I590" s="4">
        <v>1.0900000000000001</v>
      </c>
      <c r="J590" s="4">
        <v>0.26938000000000001</v>
      </c>
      <c r="K590" s="4" t="b">
        <v>1</v>
      </c>
      <c r="L590" s="4" t="b">
        <v>0</v>
      </c>
    </row>
    <row r="591" spans="1:12" ht="13">
      <c r="A591" s="4" t="s">
        <v>8115</v>
      </c>
      <c r="B591" s="4" t="s">
        <v>4951</v>
      </c>
      <c r="C591" s="4" t="s">
        <v>108</v>
      </c>
      <c r="D591" s="4" t="s">
        <v>4952</v>
      </c>
      <c r="E591" s="4" t="s">
        <v>18</v>
      </c>
      <c r="F591" s="4" t="s">
        <v>8116</v>
      </c>
      <c r="G591" s="4" t="s">
        <v>8117</v>
      </c>
      <c r="H591" s="4">
        <v>1.63</v>
      </c>
      <c r="I591" s="4">
        <v>1.28</v>
      </c>
      <c r="J591" s="4">
        <v>0.26763999999999999</v>
      </c>
      <c r="K591" s="4" t="b">
        <v>1</v>
      </c>
      <c r="L591" s="4" t="b">
        <v>0</v>
      </c>
    </row>
    <row r="592" spans="1:12" ht="13">
      <c r="A592" s="4" t="s">
        <v>8118</v>
      </c>
      <c r="B592" s="4" t="s">
        <v>4951</v>
      </c>
      <c r="C592" s="4" t="s">
        <v>108</v>
      </c>
      <c r="D592" s="4" t="s">
        <v>4952</v>
      </c>
      <c r="E592" s="4" t="s">
        <v>18</v>
      </c>
      <c r="F592" s="4" t="s">
        <v>8119</v>
      </c>
      <c r="G592" s="4" t="s">
        <v>8120</v>
      </c>
      <c r="H592" s="4">
        <v>1.64</v>
      </c>
      <c r="I592" s="4">
        <v>1.0900000000000001</v>
      </c>
      <c r="J592" s="4">
        <v>0.26749000000000001</v>
      </c>
      <c r="K592" s="4" t="b">
        <v>1</v>
      </c>
      <c r="L592" s="4" t="b">
        <v>0</v>
      </c>
    </row>
    <row r="593" spans="1:12" ht="13">
      <c r="A593" s="4" t="s">
        <v>8121</v>
      </c>
      <c r="B593" s="4" t="s">
        <v>4951</v>
      </c>
      <c r="C593" s="4" t="s">
        <v>108</v>
      </c>
      <c r="D593" s="4" t="s">
        <v>4952</v>
      </c>
      <c r="E593" s="4" t="s">
        <v>18</v>
      </c>
      <c r="F593" s="4" t="s">
        <v>8122</v>
      </c>
      <c r="G593" s="4" t="s">
        <v>8123</v>
      </c>
      <c r="H593" s="4">
        <v>1.64</v>
      </c>
      <c r="I593" s="4">
        <v>1.1599999999999999</v>
      </c>
      <c r="J593" s="4">
        <v>0.23330000000000001</v>
      </c>
      <c r="K593" s="4" t="b">
        <v>1</v>
      </c>
      <c r="L593" s="4" t="b">
        <v>0</v>
      </c>
    </row>
    <row r="594" spans="1:12" ht="13">
      <c r="A594" s="4" t="s">
        <v>8124</v>
      </c>
      <c r="B594" s="4" t="s">
        <v>4951</v>
      </c>
      <c r="C594" s="4" t="s">
        <v>108</v>
      </c>
      <c r="D594" s="4" t="s">
        <v>4952</v>
      </c>
      <c r="E594" s="4" t="s">
        <v>18</v>
      </c>
      <c r="F594" s="4" t="s">
        <v>8125</v>
      </c>
      <c r="G594" s="4" t="s">
        <v>8126</v>
      </c>
      <c r="H594" s="4">
        <v>1.65</v>
      </c>
      <c r="I594" s="4">
        <v>1.07</v>
      </c>
      <c r="J594" s="4">
        <v>0.23300000000000001</v>
      </c>
      <c r="K594" s="4" t="b">
        <v>1</v>
      </c>
      <c r="L594" s="4" t="b">
        <v>0</v>
      </c>
    </row>
    <row r="595" spans="1:12" ht="13">
      <c r="A595" s="4" t="s">
        <v>8127</v>
      </c>
      <c r="B595" s="4" t="s">
        <v>4951</v>
      </c>
      <c r="C595" s="4" t="s">
        <v>108</v>
      </c>
      <c r="D595" s="4" t="s">
        <v>4952</v>
      </c>
      <c r="E595" s="4" t="s">
        <v>18</v>
      </c>
      <c r="F595" s="4" t="s">
        <v>8128</v>
      </c>
      <c r="G595" s="4" t="s">
        <v>8129</v>
      </c>
      <c r="H595" s="4">
        <v>1.65</v>
      </c>
      <c r="I595" s="4">
        <v>1.58</v>
      </c>
      <c r="J595" s="4">
        <v>0.21328</v>
      </c>
      <c r="K595" s="4" t="b">
        <v>1</v>
      </c>
      <c r="L595" s="4" t="b">
        <v>0</v>
      </c>
    </row>
    <row r="596" spans="1:12" ht="13">
      <c r="A596" s="4" t="s">
        <v>8130</v>
      </c>
      <c r="B596" s="4" t="s">
        <v>4951</v>
      </c>
      <c r="C596" s="4" t="s">
        <v>108</v>
      </c>
      <c r="D596" s="4" t="s">
        <v>4952</v>
      </c>
      <c r="E596" s="4" t="s">
        <v>18</v>
      </c>
      <c r="F596" s="4" t="s">
        <v>8131</v>
      </c>
      <c r="G596" s="4" t="s">
        <v>8132</v>
      </c>
      <c r="H596" s="4">
        <v>1.66</v>
      </c>
      <c r="I596" s="4">
        <v>1.08</v>
      </c>
      <c r="J596" s="4">
        <v>0.23904</v>
      </c>
      <c r="K596" s="4" t="b">
        <v>1</v>
      </c>
      <c r="L596" s="4" t="b">
        <v>0</v>
      </c>
    </row>
    <row r="597" spans="1:12" ht="13">
      <c r="A597" s="4" t="s">
        <v>8133</v>
      </c>
      <c r="B597" s="4" t="s">
        <v>4951</v>
      </c>
      <c r="C597" s="4" t="s">
        <v>108</v>
      </c>
      <c r="D597" s="4" t="s">
        <v>4952</v>
      </c>
      <c r="E597" s="4" t="s">
        <v>18</v>
      </c>
      <c r="F597" s="4" t="s">
        <v>8134</v>
      </c>
      <c r="G597" s="4" t="s">
        <v>8135</v>
      </c>
      <c r="H597" s="4">
        <v>1.66</v>
      </c>
      <c r="I597" s="4">
        <v>1.1000000000000001</v>
      </c>
      <c r="J597" s="4">
        <v>0.25833</v>
      </c>
      <c r="K597" s="4" t="b">
        <v>1</v>
      </c>
      <c r="L597" s="4" t="b">
        <v>0</v>
      </c>
    </row>
    <row r="598" spans="1:12" ht="13">
      <c r="A598" s="4" t="s">
        <v>8136</v>
      </c>
      <c r="B598" s="4" t="s">
        <v>4951</v>
      </c>
      <c r="C598" s="4" t="s">
        <v>108</v>
      </c>
      <c r="D598" s="4" t="s">
        <v>4952</v>
      </c>
      <c r="E598" s="4" t="s">
        <v>18</v>
      </c>
      <c r="F598" s="4" t="s">
        <v>8137</v>
      </c>
      <c r="G598" s="4" t="s">
        <v>8138</v>
      </c>
      <c r="H598" s="4">
        <v>1.67</v>
      </c>
      <c r="I598" s="4">
        <v>1.1399999999999999</v>
      </c>
      <c r="J598" s="4">
        <v>0.27448</v>
      </c>
      <c r="K598" s="4" t="b">
        <v>1</v>
      </c>
      <c r="L598" s="4" t="b">
        <v>0</v>
      </c>
    </row>
    <row r="599" spans="1:12" ht="13">
      <c r="A599" s="4" t="s">
        <v>8139</v>
      </c>
      <c r="B599" s="4" t="s">
        <v>4951</v>
      </c>
      <c r="C599" s="4" t="s">
        <v>108</v>
      </c>
      <c r="D599" s="4" t="s">
        <v>4952</v>
      </c>
      <c r="E599" s="4" t="s">
        <v>18</v>
      </c>
      <c r="F599" s="4" t="s">
        <v>8140</v>
      </c>
      <c r="G599" s="4" t="s">
        <v>8141</v>
      </c>
      <c r="H599" s="4">
        <v>1.67</v>
      </c>
      <c r="I599" s="4">
        <v>1.06</v>
      </c>
      <c r="J599" s="4">
        <v>0.26295000000000002</v>
      </c>
      <c r="K599" s="4" t="b">
        <v>1</v>
      </c>
      <c r="L599" s="4" t="b">
        <v>0</v>
      </c>
    </row>
    <row r="600" spans="1:12" ht="13">
      <c r="A600" s="4" t="s">
        <v>8142</v>
      </c>
      <c r="B600" s="4" t="s">
        <v>4951</v>
      </c>
      <c r="C600" s="4" t="s">
        <v>108</v>
      </c>
      <c r="D600" s="4" t="s">
        <v>4952</v>
      </c>
      <c r="E600" s="4" t="s">
        <v>18</v>
      </c>
      <c r="F600" s="4" t="s">
        <v>8143</v>
      </c>
      <c r="G600" s="4" t="s">
        <v>8144</v>
      </c>
      <c r="H600" s="4">
        <v>1.68</v>
      </c>
      <c r="I600" s="4">
        <v>1.1100000000000001</v>
      </c>
      <c r="J600" s="4">
        <v>0.28305000000000002</v>
      </c>
      <c r="K600" s="4" t="b">
        <v>1</v>
      </c>
      <c r="L600" s="4" t="b">
        <v>0</v>
      </c>
    </row>
    <row r="601" spans="1:12" ht="13">
      <c r="A601" s="4" t="s">
        <v>8145</v>
      </c>
      <c r="B601" s="4" t="s">
        <v>4951</v>
      </c>
      <c r="C601" s="4" t="s">
        <v>108</v>
      </c>
      <c r="D601" s="4" t="s">
        <v>4952</v>
      </c>
      <c r="E601" s="4" t="s">
        <v>18</v>
      </c>
      <c r="F601" s="4" t="s">
        <v>8146</v>
      </c>
      <c r="G601" s="4" t="s">
        <v>8147</v>
      </c>
      <c r="H601" s="4">
        <v>1.68</v>
      </c>
      <c r="I601" s="4">
        <v>1.1299999999999999</v>
      </c>
      <c r="J601" s="4">
        <v>0.25317000000000001</v>
      </c>
      <c r="K601" s="4" t="b">
        <v>1</v>
      </c>
      <c r="L601" s="4" t="b">
        <v>0</v>
      </c>
    </row>
    <row r="602" spans="1:12" ht="13">
      <c r="A602" s="4" t="s">
        <v>8148</v>
      </c>
      <c r="B602" s="4" t="s">
        <v>4951</v>
      </c>
      <c r="C602" s="4" t="s">
        <v>108</v>
      </c>
      <c r="D602" s="4" t="s">
        <v>4952</v>
      </c>
      <c r="E602" s="4" t="s">
        <v>18</v>
      </c>
      <c r="F602" s="4" t="s">
        <v>8149</v>
      </c>
      <c r="G602" s="4" t="s">
        <v>8150</v>
      </c>
      <c r="H602" s="4">
        <v>1.69</v>
      </c>
      <c r="I602" s="4">
        <v>1.24</v>
      </c>
      <c r="J602" s="4">
        <v>0.31541000000000002</v>
      </c>
      <c r="K602" s="4" t="b">
        <v>1</v>
      </c>
      <c r="L602" s="4" t="b">
        <v>0</v>
      </c>
    </row>
    <row r="603" spans="1:12" ht="13">
      <c r="A603" s="4" t="s">
        <v>8151</v>
      </c>
      <c r="B603" s="4" t="s">
        <v>4951</v>
      </c>
      <c r="C603" s="4" t="s">
        <v>108</v>
      </c>
      <c r="D603" s="4" t="s">
        <v>4952</v>
      </c>
      <c r="E603" s="4" t="s">
        <v>18</v>
      </c>
      <c r="F603" s="4" t="s">
        <v>8152</v>
      </c>
      <c r="G603" s="4" t="s">
        <v>8153</v>
      </c>
      <c r="H603" s="4">
        <v>1.69</v>
      </c>
      <c r="I603" s="4">
        <v>1.1399999999999999</v>
      </c>
      <c r="J603" s="4">
        <v>0.29455999999999999</v>
      </c>
      <c r="K603" s="4" t="b">
        <v>1</v>
      </c>
      <c r="L603" s="4" t="b">
        <v>0</v>
      </c>
    </row>
    <row r="604" spans="1:12" ht="13">
      <c r="A604" s="4" t="s">
        <v>8157</v>
      </c>
      <c r="B604" s="4" t="s">
        <v>4951</v>
      </c>
      <c r="C604" s="4" t="s">
        <v>108</v>
      </c>
      <c r="D604" s="4" t="s">
        <v>4952</v>
      </c>
      <c r="E604" s="4" t="s">
        <v>18</v>
      </c>
      <c r="F604" s="4" t="s">
        <v>8158</v>
      </c>
      <c r="G604" s="4" t="s">
        <v>8159</v>
      </c>
      <c r="H604" s="4">
        <v>1.7</v>
      </c>
      <c r="I604" s="4">
        <v>1.06</v>
      </c>
      <c r="J604" s="4">
        <v>0.26106000000000001</v>
      </c>
      <c r="K604" s="4" t="b">
        <v>1</v>
      </c>
      <c r="L604" s="4" t="b">
        <v>0</v>
      </c>
    </row>
    <row r="605" spans="1:12" ht="13">
      <c r="A605" s="4" t="s">
        <v>8160</v>
      </c>
      <c r="B605" s="4" t="s">
        <v>4951</v>
      </c>
      <c r="C605" s="4" t="s">
        <v>108</v>
      </c>
      <c r="D605" s="4" t="s">
        <v>4952</v>
      </c>
      <c r="E605" s="4" t="s">
        <v>18</v>
      </c>
      <c r="F605" s="4" t="s">
        <v>8161</v>
      </c>
      <c r="G605" s="4" t="s">
        <v>8162</v>
      </c>
      <c r="H605" s="4">
        <v>1.71</v>
      </c>
      <c r="I605" s="4">
        <v>1.05</v>
      </c>
      <c r="J605" s="4">
        <v>0.27482000000000001</v>
      </c>
      <c r="K605" s="4" t="b">
        <v>1</v>
      </c>
      <c r="L605" s="4" t="b">
        <v>0</v>
      </c>
    </row>
    <row r="606" spans="1:12" ht="13">
      <c r="A606" s="4" t="s">
        <v>8163</v>
      </c>
      <c r="B606" s="4" t="s">
        <v>4951</v>
      </c>
      <c r="C606" s="4" t="s">
        <v>108</v>
      </c>
      <c r="D606" s="4" t="s">
        <v>4952</v>
      </c>
      <c r="E606" s="4" t="s">
        <v>18</v>
      </c>
      <c r="F606" s="4" t="s">
        <v>8164</v>
      </c>
      <c r="G606" s="4" t="s">
        <v>8165</v>
      </c>
      <c r="H606" s="4">
        <v>1.94</v>
      </c>
      <c r="I606" s="4">
        <v>1.1399999999999999</v>
      </c>
      <c r="J606" s="4">
        <v>0.25556000000000001</v>
      </c>
      <c r="K606" s="4" t="b">
        <v>1</v>
      </c>
      <c r="L606" s="4" t="b">
        <v>0</v>
      </c>
    </row>
    <row r="607" spans="1:12" ht="13">
      <c r="A607" s="4" t="s">
        <v>8166</v>
      </c>
      <c r="B607" s="4" t="s">
        <v>4951</v>
      </c>
      <c r="C607" s="4" t="s">
        <v>108</v>
      </c>
      <c r="D607" s="4" t="s">
        <v>4952</v>
      </c>
      <c r="E607" s="4" t="s">
        <v>18</v>
      </c>
      <c r="F607" s="4" t="s">
        <v>8167</v>
      </c>
      <c r="G607" s="4" t="s">
        <v>8168</v>
      </c>
      <c r="H607" s="4">
        <v>1.96</v>
      </c>
      <c r="I607" s="4">
        <v>1.1499999999999999</v>
      </c>
      <c r="J607" s="4">
        <v>0.26415</v>
      </c>
      <c r="K607" s="4" t="b">
        <v>1</v>
      </c>
      <c r="L607" s="4" t="b">
        <v>0</v>
      </c>
    </row>
    <row r="608" spans="1:12" ht="13">
      <c r="A608" s="4" t="s">
        <v>8169</v>
      </c>
      <c r="B608" s="4" t="s">
        <v>4951</v>
      </c>
      <c r="C608" s="4" t="s">
        <v>108</v>
      </c>
      <c r="D608" s="4" t="s">
        <v>4952</v>
      </c>
      <c r="E608" s="4" t="s">
        <v>18</v>
      </c>
      <c r="F608" s="4" t="s">
        <v>8170</v>
      </c>
      <c r="G608" s="4" t="s">
        <v>8171</v>
      </c>
      <c r="H608" s="4">
        <v>1.97</v>
      </c>
      <c r="I608" s="4">
        <v>1.08</v>
      </c>
      <c r="J608" s="4">
        <v>0.26103999999999999</v>
      </c>
      <c r="K608" s="4" t="b">
        <v>1</v>
      </c>
      <c r="L608" s="4" t="b">
        <v>0</v>
      </c>
    </row>
    <row r="609" spans="1:12" ht="13">
      <c r="A609" s="4" t="s">
        <v>8172</v>
      </c>
      <c r="B609" s="4" t="s">
        <v>4951</v>
      </c>
      <c r="C609" s="4" t="s">
        <v>108</v>
      </c>
      <c r="D609" s="4" t="s">
        <v>4952</v>
      </c>
      <c r="E609" s="4" t="s">
        <v>18</v>
      </c>
      <c r="F609" s="4" t="s">
        <v>8173</v>
      </c>
      <c r="G609" s="4" t="s">
        <v>8174</v>
      </c>
      <c r="H609" s="4">
        <v>1.97</v>
      </c>
      <c r="I609" s="4">
        <v>1.1000000000000001</v>
      </c>
      <c r="J609" s="4">
        <v>0.24346999999999999</v>
      </c>
      <c r="K609" s="4" t="b">
        <v>1</v>
      </c>
      <c r="L609" s="4" t="b">
        <v>0</v>
      </c>
    </row>
    <row r="610" spans="1:12" ht="13">
      <c r="A610" s="4" t="s">
        <v>8175</v>
      </c>
      <c r="B610" s="4" t="s">
        <v>4951</v>
      </c>
      <c r="C610" s="4" t="s">
        <v>108</v>
      </c>
      <c r="D610" s="4" t="s">
        <v>4952</v>
      </c>
      <c r="E610" s="4" t="s">
        <v>18</v>
      </c>
      <c r="F610" s="4" t="s">
        <v>8176</v>
      </c>
      <c r="G610" s="4" t="s">
        <v>8177</v>
      </c>
      <c r="H610" s="4">
        <v>1.98</v>
      </c>
      <c r="I610" s="4">
        <v>1.17</v>
      </c>
      <c r="J610" s="4">
        <v>0.27389000000000002</v>
      </c>
      <c r="K610" s="4" t="b">
        <v>1</v>
      </c>
      <c r="L610" s="4" t="b">
        <v>0</v>
      </c>
    </row>
    <row r="611" spans="1:12" ht="13">
      <c r="A611" s="4" t="s">
        <v>8178</v>
      </c>
      <c r="B611" s="4" t="s">
        <v>4951</v>
      </c>
      <c r="C611" s="4" t="s">
        <v>108</v>
      </c>
      <c r="D611" s="4" t="s">
        <v>4952</v>
      </c>
      <c r="E611" s="4" t="s">
        <v>18</v>
      </c>
      <c r="F611" s="4" t="s">
        <v>8179</v>
      </c>
      <c r="G611" s="4" t="s">
        <v>8180</v>
      </c>
      <c r="H611" s="4">
        <v>1.99</v>
      </c>
      <c r="I611" s="4">
        <v>1.17</v>
      </c>
      <c r="J611" s="4">
        <v>0.28569</v>
      </c>
      <c r="K611" s="4" t="b">
        <v>1</v>
      </c>
      <c r="L611" s="4" t="b">
        <v>0</v>
      </c>
    </row>
    <row r="612" spans="1:12" ht="13">
      <c r="A612" s="4" t="s">
        <v>8181</v>
      </c>
      <c r="B612" s="4" t="s">
        <v>4951</v>
      </c>
      <c r="C612" s="4" t="s">
        <v>108</v>
      </c>
      <c r="D612" s="4" t="s">
        <v>4952</v>
      </c>
      <c r="E612" s="4" t="s">
        <v>18</v>
      </c>
      <c r="F612" s="4" t="s">
        <v>8182</v>
      </c>
      <c r="G612" s="4" t="s">
        <v>8183</v>
      </c>
      <c r="H612" s="4">
        <v>1.99</v>
      </c>
      <c r="I612" s="4">
        <v>1.05</v>
      </c>
      <c r="J612" s="4">
        <v>0.23796999999999999</v>
      </c>
      <c r="K612" s="4" t="b">
        <v>1</v>
      </c>
      <c r="L612" s="4" t="b">
        <v>0</v>
      </c>
    </row>
    <row r="613" spans="1:12" ht="13">
      <c r="A613" s="4" t="s">
        <v>8184</v>
      </c>
      <c r="B613" s="4" t="s">
        <v>4951</v>
      </c>
      <c r="C613" s="4" t="s">
        <v>108</v>
      </c>
      <c r="D613" s="4" t="s">
        <v>4952</v>
      </c>
      <c r="E613" s="4" t="s">
        <v>18</v>
      </c>
      <c r="F613" s="4" t="s">
        <v>8185</v>
      </c>
      <c r="G613" s="4" t="s">
        <v>8186</v>
      </c>
      <c r="H613" s="4">
        <v>2</v>
      </c>
      <c r="I613" s="4">
        <v>1.07</v>
      </c>
      <c r="J613" s="4">
        <v>0.24979999999999999</v>
      </c>
      <c r="K613" s="4" t="b">
        <v>1</v>
      </c>
      <c r="L613" s="4" t="b">
        <v>0</v>
      </c>
    </row>
    <row r="614" spans="1:12" ht="13">
      <c r="A614" s="4" t="s">
        <v>8187</v>
      </c>
      <c r="B614" s="4" t="s">
        <v>4951</v>
      </c>
      <c r="C614" s="4" t="s">
        <v>108</v>
      </c>
      <c r="D614" s="4" t="s">
        <v>4952</v>
      </c>
      <c r="E614" s="4" t="s">
        <v>18</v>
      </c>
      <c r="F614" s="4" t="s">
        <v>8188</v>
      </c>
      <c r="G614" s="4" t="s">
        <v>8189</v>
      </c>
      <c r="H614" s="4">
        <v>2</v>
      </c>
      <c r="I614" s="4">
        <v>1.1100000000000001</v>
      </c>
      <c r="J614" s="4">
        <v>0.2515</v>
      </c>
      <c r="K614" s="4" t="b">
        <v>1</v>
      </c>
      <c r="L614" s="4" t="b">
        <v>0</v>
      </c>
    </row>
    <row r="615" spans="1:12" ht="13">
      <c r="A615" s="4" t="s">
        <v>8190</v>
      </c>
      <c r="B615" s="4" t="s">
        <v>4951</v>
      </c>
      <c r="C615" s="4" t="s">
        <v>108</v>
      </c>
      <c r="D615" s="4" t="s">
        <v>4952</v>
      </c>
      <c r="E615" s="4" t="s">
        <v>18</v>
      </c>
      <c r="F615" s="4" t="s">
        <v>8191</v>
      </c>
      <c r="G615" s="4" t="s">
        <v>8192</v>
      </c>
      <c r="H615" s="4">
        <v>2.0099999999999998</v>
      </c>
      <c r="I615" s="4">
        <v>1.0900000000000001</v>
      </c>
      <c r="J615" s="4">
        <v>0.27106999999999998</v>
      </c>
      <c r="K615" s="4" t="b">
        <v>1</v>
      </c>
      <c r="L615" s="4" t="b">
        <v>0</v>
      </c>
    </row>
    <row r="616" spans="1:12" ht="13">
      <c r="A616" s="4" t="s">
        <v>8193</v>
      </c>
      <c r="B616" s="4" t="s">
        <v>4951</v>
      </c>
      <c r="C616" s="4" t="s">
        <v>108</v>
      </c>
      <c r="D616" s="4" t="s">
        <v>4952</v>
      </c>
      <c r="E616" s="4" t="s">
        <v>18</v>
      </c>
      <c r="F616" s="4" t="s">
        <v>8194</v>
      </c>
      <c r="G616" s="4" t="s">
        <v>8195</v>
      </c>
      <c r="H616" s="4">
        <v>2.0099999999999998</v>
      </c>
      <c r="I616" s="4">
        <v>1.21</v>
      </c>
      <c r="J616" s="4">
        <v>0.25746999999999998</v>
      </c>
      <c r="K616" s="4" t="b">
        <v>1</v>
      </c>
      <c r="L616" s="4" t="b">
        <v>0</v>
      </c>
    </row>
    <row r="617" spans="1:12" ht="13">
      <c r="A617" s="4" t="s">
        <v>8196</v>
      </c>
      <c r="B617" s="4" t="s">
        <v>4951</v>
      </c>
      <c r="C617" s="4" t="s">
        <v>108</v>
      </c>
      <c r="D617" s="4" t="s">
        <v>4952</v>
      </c>
      <c r="E617" s="4" t="s">
        <v>18</v>
      </c>
      <c r="F617" s="4" t="s">
        <v>8197</v>
      </c>
      <c r="G617" s="4" t="s">
        <v>8198</v>
      </c>
      <c r="H617" s="4">
        <v>2.02</v>
      </c>
      <c r="I617" s="4">
        <v>1.2</v>
      </c>
      <c r="J617" s="4">
        <v>0.2611</v>
      </c>
      <c r="K617" s="4" t="b">
        <v>1</v>
      </c>
      <c r="L617" s="4" t="b">
        <v>0</v>
      </c>
    </row>
    <row r="618" spans="1:12" ht="13">
      <c r="A618" s="4" t="s">
        <v>8199</v>
      </c>
      <c r="B618" s="4" t="s">
        <v>4951</v>
      </c>
      <c r="C618" s="4" t="s">
        <v>108</v>
      </c>
      <c r="D618" s="4" t="s">
        <v>4952</v>
      </c>
      <c r="E618" s="4" t="s">
        <v>18</v>
      </c>
      <c r="F618" s="4" t="s">
        <v>8200</v>
      </c>
      <c r="G618" s="4" t="s">
        <v>8201</v>
      </c>
      <c r="H618" s="4">
        <v>2.02</v>
      </c>
      <c r="I618" s="4">
        <v>1.1000000000000001</v>
      </c>
      <c r="J618" s="4">
        <v>0.28100999999999998</v>
      </c>
      <c r="K618" s="4" t="b">
        <v>1</v>
      </c>
      <c r="L618" s="4" t="b">
        <v>0</v>
      </c>
    </row>
    <row r="619" spans="1:12" ht="13">
      <c r="A619" s="4" t="s">
        <v>8202</v>
      </c>
      <c r="B619" s="4" t="s">
        <v>4951</v>
      </c>
      <c r="C619" s="4" t="s">
        <v>108</v>
      </c>
      <c r="D619" s="4" t="s">
        <v>4952</v>
      </c>
      <c r="E619" s="4" t="s">
        <v>18</v>
      </c>
      <c r="F619" s="4" t="s">
        <v>8203</v>
      </c>
      <c r="G619" s="4" t="s">
        <v>8204</v>
      </c>
      <c r="H619" s="4">
        <v>2.0299999999999998</v>
      </c>
      <c r="I619" s="4">
        <v>1.21</v>
      </c>
      <c r="J619" s="4">
        <v>0.23799999999999999</v>
      </c>
      <c r="K619" s="4" t="b">
        <v>1</v>
      </c>
      <c r="L619" s="4" t="b">
        <v>0</v>
      </c>
    </row>
    <row r="620" spans="1:12" ht="13">
      <c r="A620" s="4" t="s">
        <v>8205</v>
      </c>
      <c r="B620" s="4" t="s">
        <v>4951</v>
      </c>
      <c r="C620" s="4" t="s">
        <v>108</v>
      </c>
      <c r="D620" s="4" t="s">
        <v>4952</v>
      </c>
      <c r="E620" s="4" t="s">
        <v>18</v>
      </c>
      <c r="F620" s="4" t="s">
        <v>8206</v>
      </c>
      <c r="G620" s="4" t="s">
        <v>8207</v>
      </c>
      <c r="H620" s="4">
        <v>2.04</v>
      </c>
      <c r="I620" s="4">
        <v>1.1299999999999999</v>
      </c>
      <c r="J620" s="4">
        <v>0.27503</v>
      </c>
      <c r="K620" s="4" t="b">
        <v>1</v>
      </c>
      <c r="L620" s="4" t="b">
        <v>0</v>
      </c>
    </row>
    <row r="621" spans="1:12" ht="13">
      <c r="A621" s="4" t="s">
        <v>8208</v>
      </c>
      <c r="B621" s="4" t="s">
        <v>4951</v>
      </c>
      <c r="C621" s="4" t="s">
        <v>108</v>
      </c>
      <c r="D621" s="4" t="s">
        <v>4952</v>
      </c>
      <c r="E621" s="4" t="s">
        <v>18</v>
      </c>
      <c r="F621" s="4" t="s">
        <v>8209</v>
      </c>
      <c r="G621" s="4" t="s">
        <v>8210</v>
      </c>
      <c r="H621" s="4">
        <v>2.04</v>
      </c>
      <c r="I621" s="4">
        <v>1.03</v>
      </c>
      <c r="J621" s="4">
        <v>0.24093999999999999</v>
      </c>
      <c r="K621" s="4" t="b">
        <v>1</v>
      </c>
      <c r="L621" s="4" t="b">
        <v>0</v>
      </c>
    </row>
    <row r="622" spans="1:12" ht="13">
      <c r="A622" s="4" t="s">
        <v>8211</v>
      </c>
      <c r="B622" s="4" t="s">
        <v>4951</v>
      </c>
      <c r="C622" s="4" t="s">
        <v>108</v>
      </c>
      <c r="D622" s="4" t="s">
        <v>4952</v>
      </c>
      <c r="E622" s="4" t="s">
        <v>18</v>
      </c>
      <c r="F622" s="4" t="s">
        <v>8212</v>
      </c>
      <c r="G622" s="4" t="s">
        <v>8213</v>
      </c>
      <c r="H622" s="4">
        <v>2.0499999999999998</v>
      </c>
      <c r="I622" s="4">
        <v>1.1399999999999999</v>
      </c>
      <c r="J622" s="4">
        <v>0.26135000000000003</v>
      </c>
      <c r="K622" s="4" t="b">
        <v>1</v>
      </c>
      <c r="L622" s="4" t="b">
        <v>0</v>
      </c>
    </row>
    <row r="623" spans="1:12" ht="13">
      <c r="A623" s="4" t="s">
        <v>8214</v>
      </c>
      <c r="B623" s="4" t="s">
        <v>4951</v>
      </c>
      <c r="C623" s="4" t="s">
        <v>108</v>
      </c>
      <c r="D623" s="4" t="s">
        <v>4952</v>
      </c>
      <c r="E623" s="4" t="s">
        <v>18</v>
      </c>
      <c r="F623" s="4" t="s">
        <v>8215</v>
      </c>
      <c r="G623" s="4" t="s">
        <v>8216</v>
      </c>
      <c r="H623" s="4">
        <v>2.06</v>
      </c>
      <c r="I623" s="4">
        <v>1.0900000000000001</v>
      </c>
      <c r="J623" s="4">
        <v>0.27145000000000002</v>
      </c>
      <c r="K623" s="4" t="b">
        <v>1</v>
      </c>
      <c r="L623" s="4" t="b">
        <v>0</v>
      </c>
    </row>
    <row r="624" spans="1:12" ht="13">
      <c r="A624" s="4" t="s">
        <v>8217</v>
      </c>
      <c r="B624" s="4" t="s">
        <v>4951</v>
      </c>
      <c r="C624" s="4" t="s">
        <v>108</v>
      </c>
      <c r="D624" s="4" t="s">
        <v>4952</v>
      </c>
      <c r="E624" s="4" t="s">
        <v>18</v>
      </c>
      <c r="F624" s="4" t="s">
        <v>8218</v>
      </c>
      <c r="G624" s="4" t="s">
        <v>8219</v>
      </c>
      <c r="H624" s="4">
        <v>2.06</v>
      </c>
      <c r="I624" s="4">
        <v>1.05</v>
      </c>
      <c r="J624" s="4">
        <v>0.23838000000000001</v>
      </c>
      <c r="K624" s="4" t="b">
        <v>1</v>
      </c>
      <c r="L624" s="4" t="b">
        <v>0</v>
      </c>
    </row>
    <row r="625" spans="1:12" ht="13">
      <c r="A625" s="4" t="s">
        <v>8220</v>
      </c>
      <c r="B625" s="4" t="s">
        <v>4951</v>
      </c>
      <c r="C625" s="4" t="s">
        <v>108</v>
      </c>
      <c r="D625" s="4" t="s">
        <v>4952</v>
      </c>
      <c r="E625" s="4" t="s">
        <v>18</v>
      </c>
      <c r="F625" s="4" t="s">
        <v>8221</v>
      </c>
      <c r="G625" s="4" t="s">
        <v>8222</v>
      </c>
      <c r="H625" s="4">
        <v>2.0699999999999998</v>
      </c>
      <c r="I625" s="4">
        <v>1.17</v>
      </c>
      <c r="J625" s="4">
        <v>0.24326999999999999</v>
      </c>
      <c r="K625" s="4" t="b">
        <v>1</v>
      </c>
      <c r="L625" s="4" t="b">
        <v>0</v>
      </c>
    </row>
    <row r="626" spans="1:12" ht="13">
      <c r="A626" s="4" t="s">
        <v>8223</v>
      </c>
      <c r="B626" s="4" t="s">
        <v>4951</v>
      </c>
      <c r="C626" s="4" t="s">
        <v>108</v>
      </c>
      <c r="D626" s="4" t="s">
        <v>4952</v>
      </c>
      <c r="E626" s="4" t="s">
        <v>18</v>
      </c>
      <c r="F626" s="4" t="s">
        <v>8224</v>
      </c>
      <c r="G626" s="4" t="s">
        <v>8225</v>
      </c>
      <c r="H626" s="4">
        <v>2.09</v>
      </c>
      <c r="I626" s="4">
        <v>2.09</v>
      </c>
      <c r="J626" s="4">
        <v>0.24623</v>
      </c>
      <c r="K626" s="4" t="b">
        <v>1</v>
      </c>
      <c r="L626" s="4" t="b">
        <v>0</v>
      </c>
    </row>
    <row r="627" spans="1:12" ht="13">
      <c r="A627" s="4" t="s">
        <v>8226</v>
      </c>
      <c r="B627" s="4" t="s">
        <v>4951</v>
      </c>
      <c r="C627" s="4" t="s">
        <v>108</v>
      </c>
      <c r="D627" s="4" t="s">
        <v>4952</v>
      </c>
      <c r="E627" s="4" t="s">
        <v>18</v>
      </c>
      <c r="F627" s="4" t="s">
        <v>8227</v>
      </c>
      <c r="G627" s="4" t="s">
        <v>8228</v>
      </c>
      <c r="H627" s="4">
        <v>2.09</v>
      </c>
      <c r="I627" s="4">
        <v>1.1299999999999999</v>
      </c>
      <c r="J627" s="4">
        <v>0.2656</v>
      </c>
      <c r="K627" s="4" t="b">
        <v>1</v>
      </c>
      <c r="L627" s="4" t="b">
        <v>0</v>
      </c>
    </row>
    <row r="628" spans="1:12" ht="13">
      <c r="A628" s="4" t="s">
        <v>8229</v>
      </c>
      <c r="B628" s="4" t="s">
        <v>4951</v>
      </c>
      <c r="C628" s="4" t="s">
        <v>108</v>
      </c>
      <c r="D628" s="4" t="s">
        <v>4952</v>
      </c>
      <c r="E628" s="4" t="s">
        <v>18</v>
      </c>
      <c r="F628" s="4" t="s">
        <v>8230</v>
      </c>
      <c r="G628" s="4" t="s">
        <v>8231</v>
      </c>
      <c r="H628" s="4">
        <v>2.1</v>
      </c>
      <c r="I628" s="4">
        <v>1.3</v>
      </c>
      <c r="J628" s="4">
        <v>0.28194999999999998</v>
      </c>
      <c r="K628" s="4" t="b">
        <v>1</v>
      </c>
      <c r="L628" s="4" t="b">
        <v>0</v>
      </c>
    </row>
    <row r="629" spans="1:12" ht="13">
      <c r="A629" s="4" t="s">
        <v>8232</v>
      </c>
      <c r="B629" s="4" t="s">
        <v>4951</v>
      </c>
      <c r="C629" s="4" t="s">
        <v>108</v>
      </c>
      <c r="D629" s="4" t="s">
        <v>4952</v>
      </c>
      <c r="E629" s="4" t="s">
        <v>18</v>
      </c>
      <c r="F629" s="4" t="s">
        <v>8233</v>
      </c>
      <c r="G629" s="4" t="s">
        <v>8234</v>
      </c>
      <c r="H629" s="4">
        <v>2.1</v>
      </c>
      <c r="I629" s="4">
        <v>1.08</v>
      </c>
      <c r="J629" s="4">
        <v>0.23632</v>
      </c>
      <c r="K629" s="4" t="b">
        <v>1</v>
      </c>
      <c r="L629" s="4" t="b">
        <v>0</v>
      </c>
    </row>
    <row r="630" spans="1:12" ht="13">
      <c r="A630" s="4" t="s">
        <v>8235</v>
      </c>
      <c r="B630" s="4" t="s">
        <v>4951</v>
      </c>
      <c r="C630" s="4" t="s">
        <v>108</v>
      </c>
      <c r="D630" s="4" t="s">
        <v>4952</v>
      </c>
      <c r="E630" s="4" t="s">
        <v>18</v>
      </c>
      <c r="F630" s="4" t="s">
        <v>8236</v>
      </c>
      <c r="G630" s="4" t="s">
        <v>8237</v>
      </c>
      <c r="H630" s="4">
        <v>2.11</v>
      </c>
      <c r="I630" s="4">
        <v>1.1100000000000001</v>
      </c>
      <c r="J630" s="4">
        <v>0.26973999999999998</v>
      </c>
      <c r="K630" s="4" t="b">
        <v>1</v>
      </c>
      <c r="L630" s="4" t="b">
        <v>0</v>
      </c>
    </row>
    <row r="631" spans="1:12" ht="13">
      <c r="A631" s="4" t="s">
        <v>8238</v>
      </c>
      <c r="B631" s="4" t="s">
        <v>4951</v>
      </c>
      <c r="C631" s="4" t="s">
        <v>108</v>
      </c>
      <c r="D631" s="4" t="s">
        <v>4952</v>
      </c>
      <c r="E631" s="4" t="s">
        <v>18</v>
      </c>
      <c r="F631" s="4" t="s">
        <v>8239</v>
      </c>
      <c r="G631" s="4" t="s">
        <v>8240</v>
      </c>
      <c r="H631" s="4">
        <v>2.11</v>
      </c>
      <c r="I631" s="4">
        <v>1.19</v>
      </c>
      <c r="J631" s="4">
        <v>0.27844000000000002</v>
      </c>
      <c r="K631" s="4" t="b">
        <v>1</v>
      </c>
      <c r="L631" s="4" t="b">
        <v>0</v>
      </c>
    </row>
    <row r="632" spans="1:12" ht="13">
      <c r="A632" s="4" t="s">
        <v>8241</v>
      </c>
      <c r="B632" s="4" t="s">
        <v>4951</v>
      </c>
      <c r="C632" s="4" t="s">
        <v>108</v>
      </c>
      <c r="D632" s="4" t="s">
        <v>4952</v>
      </c>
      <c r="E632" s="4" t="s">
        <v>18</v>
      </c>
      <c r="F632" s="4" t="s">
        <v>8242</v>
      </c>
      <c r="G632" s="4" t="s">
        <v>8243</v>
      </c>
      <c r="H632" s="4">
        <v>2.12</v>
      </c>
      <c r="I632" s="4">
        <v>1.1399999999999999</v>
      </c>
      <c r="J632" s="4">
        <v>0.2742</v>
      </c>
      <c r="K632" s="4" t="b">
        <v>1</v>
      </c>
      <c r="L632" s="4" t="b">
        <v>0</v>
      </c>
    </row>
    <row r="633" spans="1:12" ht="13">
      <c r="A633" s="4" t="s">
        <v>8244</v>
      </c>
      <c r="B633" s="4" t="s">
        <v>4951</v>
      </c>
      <c r="C633" s="4" t="s">
        <v>108</v>
      </c>
      <c r="D633" s="4" t="s">
        <v>4952</v>
      </c>
      <c r="E633" s="4" t="s">
        <v>18</v>
      </c>
      <c r="F633" s="4" t="s">
        <v>8245</v>
      </c>
      <c r="G633" s="4" t="s">
        <v>8246</v>
      </c>
      <c r="H633" s="4">
        <v>2.12</v>
      </c>
      <c r="I633" s="4">
        <v>1.1499999999999999</v>
      </c>
      <c r="J633" s="4">
        <v>0.26576</v>
      </c>
      <c r="K633" s="4" t="b">
        <v>1</v>
      </c>
      <c r="L633" s="4" t="b">
        <v>0</v>
      </c>
    </row>
    <row r="634" spans="1:12" ht="13">
      <c r="A634" s="4" t="s">
        <v>8247</v>
      </c>
      <c r="B634" s="4" t="s">
        <v>4951</v>
      </c>
      <c r="C634" s="4" t="s">
        <v>108</v>
      </c>
      <c r="D634" s="4" t="s">
        <v>4952</v>
      </c>
      <c r="E634" s="4" t="s">
        <v>18</v>
      </c>
      <c r="F634" s="4" t="s">
        <v>8248</v>
      </c>
      <c r="G634" s="4" t="s">
        <v>8249</v>
      </c>
      <c r="H634" s="4">
        <v>2.13</v>
      </c>
      <c r="I634" s="4">
        <v>1.1599999999999999</v>
      </c>
      <c r="J634" s="4">
        <v>0.27748</v>
      </c>
      <c r="K634" s="4" t="b">
        <v>1</v>
      </c>
      <c r="L634" s="4" t="b">
        <v>0</v>
      </c>
    </row>
    <row r="635" spans="1:12" ht="13">
      <c r="A635" s="4" t="s">
        <v>8250</v>
      </c>
      <c r="B635" s="4" t="s">
        <v>4951</v>
      </c>
      <c r="C635" s="4" t="s">
        <v>108</v>
      </c>
      <c r="D635" s="4" t="s">
        <v>4952</v>
      </c>
      <c r="E635" s="4" t="s">
        <v>18</v>
      </c>
      <c r="F635" s="4" t="s">
        <v>8251</v>
      </c>
      <c r="G635" s="4" t="s">
        <v>8252</v>
      </c>
      <c r="H635" s="4">
        <v>2.13</v>
      </c>
      <c r="I635" s="4">
        <v>1.1100000000000001</v>
      </c>
      <c r="J635" s="4">
        <v>0.27668999999999999</v>
      </c>
      <c r="K635" s="4" t="b">
        <v>1</v>
      </c>
      <c r="L635" s="4" t="b">
        <v>0</v>
      </c>
    </row>
    <row r="636" spans="1:12" ht="13">
      <c r="A636" s="4" t="s">
        <v>8253</v>
      </c>
      <c r="B636" s="4" t="s">
        <v>4951</v>
      </c>
      <c r="C636" s="4" t="s">
        <v>108</v>
      </c>
      <c r="D636" s="4" t="s">
        <v>4952</v>
      </c>
      <c r="E636" s="4" t="s">
        <v>18</v>
      </c>
      <c r="F636" s="4" t="s">
        <v>8254</v>
      </c>
      <c r="G636" s="4" t="s">
        <v>8255</v>
      </c>
      <c r="H636" s="4">
        <v>2.14</v>
      </c>
      <c r="I636" s="4">
        <v>1.05</v>
      </c>
      <c r="J636" s="4">
        <v>0.26544000000000001</v>
      </c>
      <c r="K636" s="4" t="b">
        <v>1</v>
      </c>
      <c r="L636" s="4" t="b">
        <v>0</v>
      </c>
    </row>
    <row r="637" spans="1:12" ht="13">
      <c r="A637" s="4" t="s">
        <v>8256</v>
      </c>
      <c r="B637" s="4" t="s">
        <v>4951</v>
      </c>
      <c r="C637" s="4" t="s">
        <v>108</v>
      </c>
      <c r="D637" s="4" t="s">
        <v>4952</v>
      </c>
      <c r="E637" s="4" t="s">
        <v>18</v>
      </c>
      <c r="F637" s="4" t="s">
        <v>8257</v>
      </c>
      <c r="G637" s="4" t="s">
        <v>8258</v>
      </c>
      <c r="H637" s="4">
        <v>2.15</v>
      </c>
      <c r="I637" s="4">
        <v>1.29</v>
      </c>
      <c r="J637" s="4">
        <v>0.28028999999999998</v>
      </c>
      <c r="K637" s="4" t="b">
        <v>1</v>
      </c>
      <c r="L637" s="4" t="b">
        <v>0</v>
      </c>
    </row>
    <row r="638" spans="1:12" ht="13">
      <c r="A638" s="4" t="s">
        <v>8259</v>
      </c>
      <c r="B638" s="4" t="s">
        <v>4951</v>
      </c>
      <c r="C638" s="4" t="s">
        <v>108</v>
      </c>
      <c r="D638" s="4" t="s">
        <v>4952</v>
      </c>
      <c r="E638" s="4" t="s">
        <v>18</v>
      </c>
      <c r="F638" s="4" t="s">
        <v>8260</v>
      </c>
      <c r="G638" s="4" t="s">
        <v>8261</v>
      </c>
      <c r="H638" s="4">
        <v>2.15</v>
      </c>
      <c r="I638" s="4">
        <v>1.07</v>
      </c>
      <c r="J638" s="4">
        <v>0.24124000000000001</v>
      </c>
      <c r="K638" s="4" t="b">
        <v>1</v>
      </c>
      <c r="L638" s="4" t="b">
        <v>0</v>
      </c>
    </row>
    <row r="639" spans="1:12" ht="13">
      <c r="A639" s="4" t="s">
        <v>8262</v>
      </c>
      <c r="B639" s="4" t="s">
        <v>4951</v>
      </c>
      <c r="C639" s="4" t="s">
        <v>108</v>
      </c>
      <c r="D639" s="4" t="s">
        <v>4952</v>
      </c>
      <c r="E639" s="4" t="s">
        <v>18</v>
      </c>
      <c r="F639" s="4" t="s">
        <v>8263</v>
      </c>
      <c r="G639" s="4" t="s">
        <v>8264</v>
      </c>
      <c r="H639" s="4">
        <v>2.16</v>
      </c>
      <c r="I639" s="4">
        <v>1.1499999999999999</v>
      </c>
      <c r="J639" s="4">
        <v>0.27129999999999999</v>
      </c>
      <c r="K639" s="4" t="b">
        <v>1</v>
      </c>
      <c r="L639" s="4" t="b">
        <v>0</v>
      </c>
    </row>
    <row r="640" spans="1:12" ht="13">
      <c r="A640" s="4" t="s">
        <v>8265</v>
      </c>
      <c r="B640" s="4" t="s">
        <v>4951</v>
      </c>
      <c r="C640" s="4" t="s">
        <v>108</v>
      </c>
      <c r="D640" s="4" t="s">
        <v>4952</v>
      </c>
      <c r="E640" s="4" t="s">
        <v>18</v>
      </c>
      <c r="F640" s="4" t="s">
        <v>8266</v>
      </c>
      <c r="G640" s="4" t="s">
        <v>8267</v>
      </c>
      <c r="H640" s="4">
        <v>2.16</v>
      </c>
      <c r="I640" s="4">
        <v>1.28</v>
      </c>
      <c r="J640" s="4">
        <v>0.26468999999999998</v>
      </c>
      <c r="K640" s="4" t="b">
        <v>1</v>
      </c>
      <c r="L640" s="4" t="b">
        <v>0</v>
      </c>
    </row>
    <row r="641" spans="1:13" ht="13">
      <c r="A641" s="4" t="s">
        <v>8268</v>
      </c>
      <c r="B641" s="4" t="s">
        <v>4951</v>
      </c>
      <c r="C641" s="4" t="s">
        <v>108</v>
      </c>
      <c r="D641" s="4" t="s">
        <v>4952</v>
      </c>
      <c r="E641" s="4" t="s">
        <v>18</v>
      </c>
      <c r="F641" s="4" t="s">
        <v>8269</v>
      </c>
      <c r="G641" s="4" t="s">
        <v>8270</v>
      </c>
      <c r="H641" s="4">
        <v>2.17</v>
      </c>
      <c r="I641" s="4">
        <v>1.26</v>
      </c>
      <c r="J641" s="4">
        <v>0.27779999999999999</v>
      </c>
      <c r="K641" s="4" t="b">
        <v>1</v>
      </c>
      <c r="L641" s="4" t="b">
        <v>0</v>
      </c>
    </row>
    <row r="642" spans="1:13" ht="13">
      <c r="A642" s="4" t="s">
        <v>8271</v>
      </c>
      <c r="B642" s="4" t="s">
        <v>4951</v>
      </c>
      <c r="C642" s="4" t="s">
        <v>108</v>
      </c>
      <c r="D642" s="4" t="s">
        <v>4952</v>
      </c>
      <c r="E642" s="4" t="s">
        <v>18</v>
      </c>
      <c r="F642" s="4" t="s">
        <v>8272</v>
      </c>
      <c r="G642" s="4" t="s">
        <v>8273</v>
      </c>
      <c r="H642" s="4">
        <v>2.17</v>
      </c>
      <c r="I642" s="4">
        <v>1.17</v>
      </c>
      <c r="J642" s="4">
        <v>0.27289000000000002</v>
      </c>
      <c r="K642" s="4" t="b">
        <v>1</v>
      </c>
      <c r="L642" s="4" t="b">
        <v>0</v>
      </c>
    </row>
    <row r="643" spans="1:13" ht="13">
      <c r="A643" s="4" t="s">
        <v>8274</v>
      </c>
      <c r="B643" s="4" t="s">
        <v>4951</v>
      </c>
      <c r="C643" s="4" t="s">
        <v>108</v>
      </c>
      <c r="D643" s="4" t="s">
        <v>4952</v>
      </c>
      <c r="E643" s="4" t="s">
        <v>18</v>
      </c>
      <c r="F643" s="4" t="s">
        <v>8275</v>
      </c>
      <c r="G643" s="4" t="s">
        <v>8276</v>
      </c>
      <c r="H643" s="4">
        <v>2.1800000000000002</v>
      </c>
      <c r="I643" s="4">
        <v>1.1100000000000001</v>
      </c>
      <c r="J643" s="4">
        <v>0.26556000000000002</v>
      </c>
      <c r="K643" s="4" t="b">
        <v>1</v>
      </c>
      <c r="L643" s="4" t="b">
        <v>0</v>
      </c>
    </row>
    <row r="644" spans="1:13" ht="13">
      <c r="A644" s="4" t="s">
        <v>8277</v>
      </c>
      <c r="B644" s="4" t="s">
        <v>4951</v>
      </c>
      <c r="C644" s="4" t="s">
        <v>108</v>
      </c>
      <c r="D644" s="4" t="s">
        <v>4952</v>
      </c>
      <c r="E644" s="4" t="s">
        <v>18</v>
      </c>
      <c r="F644" s="4" t="s">
        <v>8278</v>
      </c>
      <c r="G644" s="4" t="s">
        <v>8279</v>
      </c>
      <c r="H644" s="4">
        <v>2.1800000000000002</v>
      </c>
      <c r="I644" s="4">
        <v>1.31</v>
      </c>
      <c r="J644" s="4">
        <v>0.25541999999999998</v>
      </c>
      <c r="K644" s="4" t="b">
        <v>1</v>
      </c>
      <c r="L644" s="4" t="b">
        <v>0</v>
      </c>
    </row>
    <row r="645" spans="1:13" ht="13">
      <c r="A645" s="4" t="s">
        <v>8280</v>
      </c>
      <c r="B645" s="4" t="s">
        <v>4951</v>
      </c>
      <c r="C645" s="4" t="s">
        <v>108</v>
      </c>
      <c r="D645" s="4" t="s">
        <v>4952</v>
      </c>
      <c r="E645" s="4" t="s">
        <v>18</v>
      </c>
      <c r="F645" s="4" t="s">
        <v>8281</v>
      </c>
      <c r="G645" s="4" t="s">
        <v>8282</v>
      </c>
      <c r="H645" s="4">
        <v>2.19</v>
      </c>
      <c r="I645" s="4">
        <v>1.01</v>
      </c>
      <c r="J645" s="4">
        <v>0.23352999999999999</v>
      </c>
      <c r="K645" s="4" t="b">
        <v>1</v>
      </c>
      <c r="L645" s="4" t="b">
        <v>0</v>
      </c>
    </row>
    <row r="646" spans="1:13" ht="13">
      <c r="A646" s="4" t="s">
        <v>8283</v>
      </c>
      <c r="B646" s="4" t="s">
        <v>4951</v>
      </c>
      <c r="C646" s="4" t="s">
        <v>108</v>
      </c>
      <c r="D646" s="4" t="s">
        <v>4952</v>
      </c>
      <c r="E646" s="4" t="s">
        <v>18</v>
      </c>
      <c r="F646" s="4" t="s">
        <v>8284</v>
      </c>
      <c r="G646" s="4" t="s">
        <v>8285</v>
      </c>
      <c r="H646" s="4">
        <v>2.19</v>
      </c>
      <c r="I646" s="4">
        <v>1.08</v>
      </c>
      <c r="J646" s="4">
        <v>0.24576000000000001</v>
      </c>
      <c r="K646" s="4" t="b">
        <v>1</v>
      </c>
      <c r="L646" s="4" t="b">
        <v>0</v>
      </c>
    </row>
    <row r="647" spans="1:13" ht="13">
      <c r="A647" s="4" t="s">
        <v>8286</v>
      </c>
      <c r="B647" s="4" t="s">
        <v>4951</v>
      </c>
      <c r="C647" s="4" t="s">
        <v>108</v>
      </c>
      <c r="D647" s="4" t="s">
        <v>4952</v>
      </c>
      <c r="E647" s="4" t="s">
        <v>18</v>
      </c>
      <c r="F647" s="4" t="s">
        <v>8287</v>
      </c>
      <c r="G647" s="4" t="s">
        <v>8288</v>
      </c>
      <c r="H647" s="4">
        <v>2.2000000000000002</v>
      </c>
      <c r="I647" s="4">
        <v>1.04</v>
      </c>
      <c r="J647" s="4">
        <v>0.23763000000000001</v>
      </c>
      <c r="K647" s="4" t="b">
        <v>1</v>
      </c>
      <c r="L647" s="4" t="b">
        <v>0</v>
      </c>
    </row>
    <row r="648" spans="1:13" ht="13">
      <c r="A648" s="4" t="s">
        <v>8289</v>
      </c>
      <c r="B648" s="4" t="s">
        <v>4951</v>
      </c>
      <c r="C648" s="4" t="s">
        <v>108</v>
      </c>
      <c r="D648" s="4" t="s">
        <v>4952</v>
      </c>
      <c r="E648" s="4" t="s">
        <v>18</v>
      </c>
      <c r="F648" s="4" t="s">
        <v>8290</v>
      </c>
      <c r="G648" s="4" t="s">
        <v>8291</v>
      </c>
      <c r="H648" s="4">
        <v>2.21</v>
      </c>
      <c r="I648" s="4">
        <v>1.1000000000000001</v>
      </c>
      <c r="J648" s="4">
        <v>0.26451999999999998</v>
      </c>
      <c r="K648" s="4" t="b">
        <v>1</v>
      </c>
      <c r="L648" s="4" t="b">
        <v>0</v>
      </c>
    </row>
    <row r="649" spans="1:13" ht="13">
      <c r="A649" s="4" t="s">
        <v>8292</v>
      </c>
      <c r="B649" s="4" t="s">
        <v>4951</v>
      </c>
      <c r="C649" s="4" t="s">
        <v>108</v>
      </c>
      <c r="D649" s="4" t="s">
        <v>4952</v>
      </c>
      <c r="E649" s="4" t="s">
        <v>18</v>
      </c>
      <c r="F649" s="4" t="s">
        <v>8293</v>
      </c>
      <c r="G649" s="4" t="s">
        <v>8294</v>
      </c>
      <c r="H649" s="4">
        <v>2.21</v>
      </c>
      <c r="I649" s="4">
        <v>1.06</v>
      </c>
      <c r="J649" s="4">
        <v>0.24313000000000001</v>
      </c>
      <c r="K649" s="4" t="b">
        <v>1</v>
      </c>
      <c r="L649" s="4" t="b">
        <v>0</v>
      </c>
    </row>
    <row r="650" spans="1:13" ht="13">
      <c r="A650" s="4" t="s">
        <v>8295</v>
      </c>
      <c r="B650" s="4" t="s">
        <v>4951</v>
      </c>
      <c r="C650" s="4" t="s">
        <v>108</v>
      </c>
      <c r="D650" s="4" t="s">
        <v>4952</v>
      </c>
      <c r="E650" s="4" t="s">
        <v>18</v>
      </c>
      <c r="F650" s="4" t="s">
        <v>8296</v>
      </c>
      <c r="G650" s="4" t="s">
        <v>8297</v>
      </c>
      <c r="H650" s="4">
        <v>2.2200000000000002</v>
      </c>
      <c r="I650" s="4">
        <v>1.1100000000000001</v>
      </c>
      <c r="J650" s="4">
        <v>0.25990000000000002</v>
      </c>
      <c r="K650" s="4" t="b">
        <v>1</v>
      </c>
      <c r="L650" s="4" t="b">
        <v>0</v>
      </c>
    </row>
    <row r="651" spans="1:13" ht="13">
      <c r="A651" s="4" t="s">
        <v>8298</v>
      </c>
      <c r="B651" s="4" t="s">
        <v>4951</v>
      </c>
      <c r="C651" s="4" t="s">
        <v>108</v>
      </c>
      <c r="D651" s="4" t="s">
        <v>4952</v>
      </c>
      <c r="E651" s="4" t="s">
        <v>18</v>
      </c>
      <c r="F651" s="4" t="s">
        <v>8299</v>
      </c>
      <c r="G651" s="4" t="s">
        <v>8300</v>
      </c>
      <c r="H651" s="4">
        <v>2.2200000000000002</v>
      </c>
      <c r="I651" s="4">
        <v>1.2</v>
      </c>
      <c r="J651" s="4">
        <v>0.26406000000000002</v>
      </c>
      <c r="K651" s="4" t="b">
        <v>1</v>
      </c>
      <c r="L651" s="4" t="b">
        <v>0</v>
      </c>
    </row>
    <row r="652" spans="1:13" ht="13">
      <c r="A652" s="4" t="s">
        <v>8301</v>
      </c>
      <c r="B652" s="4" t="s">
        <v>4951</v>
      </c>
      <c r="C652" s="4" t="s">
        <v>108</v>
      </c>
      <c r="D652" s="4" t="s">
        <v>4952</v>
      </c>
      <c r="E652" s="4" t="s">
        <v>18</v>
      </c>
      <c r="F652" s="4" t="s">
        <v>8302</v>
      </c>
      <c r="G652" s="4" t="s">
        <v>8303</v>
      </c>
      <c r="H652" s="4">
        <v>2.23</v>
      </c>
      <c r="I652" s="4">
        <v>1.44</v>
      </c>
      <c r="J652" s="4">
        <v>0.24329999999999999</v>
      </c>
      <c r="K652" s="4" t="b">
        <v>1</v>
      </c>
      <c r="L652" s="4" t="b">
        <v>0</v>
      </c>
    </row>
    <row r="653" spans="1:13" ht="13">
      <c r="A653" s="4" t="s">
        <v>8304</v>
      </c>
      <c r="B653" s="4" t="s">
        <v>4951</v>
      </c>
      <c r="C653" s="4" t="s">
        <v>108</v>
      </c>
      <c r="D653" s="4" t="s">
        <v>4952</v>
      </c>
      <c r="E653" s="4" t="s">
        <v>18</v>
      </c>
      <c r="F653" s="4" t="s">
        <v>8305</v>
      </c>
      <c r="G653" s="4" t="s">
        <v>8306</v>
      </c>
      <c r="H653" s="4">
        <v>2.2400000000000002</v>
      </c>
      <c r="I653" s="4">
        <v>1.37</v>
      </c>
      <c r="J653" s="4">
        <v>0.24462</v>
      </c>
      <c r="K653" s="4" t="b">
        <v>1</v>
      </c>
      <c r="L653" s="4" t="b">
        <v>0</v>
      </c>
    </row>
    <row r="654" spans="1:13" ht="13">
      <c r="A654" s="4" t="s">
        <v>8307</v>
      </c>
      <c r="B654" s="4" t="s">
        <v>4951</v>
      </c>
      <c r="C654" s="4" t="s">
        <v>108</v>
      </c>
      <c r="D654" s="4" t="s">
        <v>4952</v>
      </c>
      <c r="E654" s="4" t="s">
        <v>18</v>
      </c>
      <c r="F654" s="4" t="s">
        <v>8308</v>
      </c>
      <c r="G654" s="4" t="s">
        <v>8309</v>
      </c>
      <c r="H654" s="4">
        <v>2.25</v>
      </c>
      <c r="I654" s="4">
        <v>1.1100000000000001</v>
      </c>
      <c r="J654" s="4">
        <v>0.25230000000000002</v>
      </c>
      <c r="K654" s="4" t="b">
        <v>1</v>
      </c>
      <c r="L654" s="4" t="b">
        <v>0</v>
      </c>
    </row>
    <row r="655" spans="1:13" ht="13">
      <c r="A655" s="4" t="s">
        <v>8310</v>
      </c>
      <c r="B655" s="4" t="s">
        <v>4951</v>
      </c>
      <c r="C655" s="4" t="s">
        <v>108</v>
      </c>
      <c r="D655" s="4" t="s">
        <v>4952</v>
      </c>
      <c r="E655" s="4" t="s">
        <v>18</v>
      </c>
      <c r="F655" s="4" t="s">
        <v>8311</v>
      </c>
      <c r="G655" s="4" t="s">
        <v>8312</v>
      </c>
      <c r="H655" s="4">
        <v>2.25</v>
      </c>
      <c r="I655" s="4">
        <v>1.03</v>
      </c>
      <c r="J655" s="4">
        <v>0.27662999999999999</v>
      </c>
      <c r="K655" s="4" t="b">
        <v>1</v>
      </c>
      <c r="L655" s="4" t="b">
        <v>0</v>
      </c>
    </row>
    <row r="656" spans="1:13" ht="13">
      <c r="A656" s="4" t="s">
        <v>3140</v>
      </c>
      <c r="B656" s="4" t="s">
        <v>4951</v>
      </c>
      <c r="C656" s="4" t="s">
        <v>108</v>
      </c>
      <c r="D656" s="4" t="s">
        <v>4952</v>
      </c>
      <c r="E656" s="4" t="s">
        <v>18</v>
      </c>
      <c r="F656" s="4" t="s">
        <v>4968</v>
      </c>
      <c r="G656" s="4" t="s">
        <v>3036</v>
      </c>
      <c r="H656" s="4">
        <v>2.27</v>
      </c>
      <c r="I656" s="4">
        <v>1.1299999999999999</v>
      </c>
      <c r="J656" s="4">
        <v>0.27361000000000002</v>
      </c>
      <c r="K656" s="4" t="b">
        <v>1</v>
      </c>
      <c r="L656" s="4" t="b">
        <v>1</v>
      </c>
      <c r="M656" s="41" t="s">
        <v>4929</v>
      </c>
    </row>
    <row r="657" spans="1:13" ht="13">
      <c r="A657" s="4" t="s">
        <v>8316</v>
      </c>
      <c r="B657" s="4" t="s">
        <v>4951</v>
      </c>
      <c r="C657" s="4" t="s">
        <v>108</v>
      </c>
      <c r="D657" s="4" t="s">
        <v>4952</v>
      </c>
      <c r="E657" s="4" t="s">
        <v>18</v>
      </c>
      <c r="F657" s="4" t="s">
        <v>8317</v>
      </c>
      <c r="G657" s="4" t="s">
        <v>8318</v>
      </c>
      <c r="H657" s="4">
        <v>2.27</v>
      </c>
      <c r="I657" s="4">
        <v>1.1200000000000001</v>
      </c>
      <c r="J657" s="4">
        <v>0.27307999999999999</v>
      </c>
      <c r="K657" s="4" t="b">
        <v>1</v>
      </c>
      <c r="L657" s="4" t="b">
        <v>0</v>
      </c>
    </row>
    <row r="658" spans="1:13" ht="13">
      <c r="A658" s="4" t="s">
        <v>8319</v>
      </c>
      <c r="B658" s="4" t="s">
        <v>4951</v>
      </c>
      <c r="C658" s="4" t="s">
        <v>108</v>
      </c>
      <c r="D658" s="4" t="s">
        <v>4952</v>
      </c>
      <c r="E658" s="4" t="s">
        <v>18</v>
      </c>
      <c r="F658" s="4" t="s">
        <v>8320</v>
      </c>
      <c r="G658" s="4" t="s">
        <v>8321</v>
      </c>
      <c r="H658" s="4">
        <v>2.2799999999999998</v>
      </c>
      <c r="I658" s="4">
        <v>1.2</v>
      </c>
      <c r="J658" s="4">
        <v>0.30581999999999998</v>
      </c>
      <c r="K658" s="4" t="b">
        <v>1</v>
      </c>
      <c r="L658" s="4" t="b">
        <v>0</v>
      </c>
    </row>
    <row r="659" spans="1:13" ht="13">
      <c r="A659" s="4" t="s">
        <v>8322</v>
      </c>
      <c r="B659" s="4" t="s">
        <v>4951</v>
      </c>
      <c r="C659" s="4" t="s">
        <v>108</v>
      </c>
      <c r="D659" s="4" t="s">
        <v>4952</v>
      </c>
      <c r="E659" s="4" t="s">
        <v>18</v>
      </c>
      <c r="F659" s="4" t="s">
        <v>8323</v>
      </c>
      <c r="G659" s="4" t="s">
        <v>8324</v>
      </c>
      <c r="H659" s="4">
        <v>2.29</v>
      </c>
      <c r="I659" s="4">
        <v>1.1599999999999999</v>
      </c>
      <c r="J659" s="4">
        <v>0.25369000000000003</v>
      </c>
      <c r="K659" s="4" t="b">
        <v>1</v>
      </c>
      <c r="L659" s="4" t="b">
        <v>0</v>
      </c>
    </row>
    <row r="660" spans="1:13" ht="13">
      <c r="A660" s="4" t="s">
        <v>8325</v>
      </c>
      <c r="B660" s="4" t="s">
        <v>4951</v>
      </c>
      <c r="C660" s="4" t="s">
        <v>108</v>
      </c>
      <c r="D660" s="4" t="s">
        <v>4952</v>
      </c>
      <c r="E660" s="4" t="s">
        <v>18</v>
      </c>
      <c r="F660" s="4" t="s">
        <v>8326</v>
      </c>
      <c r="G660" s="4" t="s">
        <v>8327</v>
      </c>
      <c r="H660" s="4">
        <v>2.29</v>
      </c>
      <c r="I660" s="4">
        <v>1.1399999999999999</v>
      </c>
      <c r="J660" s="4">
        <v>0.27776000000000001</v>
      </c>
      <c r="K660" s="4" t="b">
        <v>1</v>
      </c>
      <c r="L660" s="4" t="b">
        <v>0</v>
      </c>
    </row>
    <row r="661" spans="1:13" ht="13">
      <c r="A661" s="4" t="s">
        <v>8328</v>
      </c>
      <c r="B661" s="4" t="s">
        <v>4951</v>
      </c>
      <c r="C661" s="4" t="s">
        <v>108</v>
      </c>
      <c r="D661" s="4" t="s">
        <v>4952</v>
      </c>
      <c r="E661" s="4" t="s">
        <v>18</v>
      </c>
      <c r="F661" s="4" t="s">
        <v>8329</v>
      </c>
      <c r="G661" s="4" t="s">
        <v>8330</v>
      </c>
      <c r="H661" s="4">
        <v>2.2999999999999998</v>
      </c>
      <c r="I661" s="4">
        <v>1.29</v>
      </c>
      <c r="J661" s="4">
        <v>0.24351</v>
      </c>
      <c r="K661" s="4" t="b">
        <v>1</v>
      </c>
      <c r="L661" s="4" t="b">
        <v>0</v>
      </c>
    </row>
    <row r="662" spans="1:13" ht="13">
      <c r="A662" s="4" t="s">
        <v>8331</v>
      </c>
      <c r="B662" s="4" t="s">
        <v>4951</v>
      </c>
      <c r="C662" s="4" t="s">
        <v>108</v>
      </c>
      <c r="D662" s="4" t="s">
        <v>4952</v>
      </c>
      <c r="E662" s="4" t="s">
        <v>18</v>
      </c>
      <c r="F662" s="4" t="s">
        <v>8332</v>
      </c>
      <c r="G662" s="4" t="s">
        <v>8333</v>
      </c>
      <c r="H662" s="4">
        <v>2.2999999999999998</v>
      </c>
      <c r="I662" s="4">
        <v>1.1299999999999999</v>
      </c>
      <c r="J662" s="4">
        <v>0.27223999999999998</v>
      </c>
      <c r="K662" s="4" t="b">
        <v>1</v>
      </c>
      <c r="L662" s="4" t="b">
        <v>0</v>
      </c>
    </row>
    <row r="663" spans="1:13" ht="13">
      <c r="A663" s="4" t="s">
        <v>8334</v>
      </c>
      <c r="B663" s="4" t="s">
        <v>4951</v>
      </c>
      <c r="C663" s="4" t="s">
        <v>108</v>
      </c>
      <c r="D663" s="4" t="s">
        <v>4952</v>
      </c>
      <c r="E663" s="4" t="s">
        <v>18</v>
      </c>
      <c r="F663" s="4" t="s">
        <v>8335</v>
      </c>
      <c r="G663" s="4" t="s">
        <v>8336</v>
      </c>
      <c r="H663" s="4">
        <v>2.31</v>
      </c>
      <c r="I663" s="4">
        <v>1.1200000000000001</v>
      </c>
      <c r="J663" s="4">
        <v>0.28464</v>
      </c>
      <c r="K663" s="4" t="b">
        <v>1</v>
      </c>
      <c r="L663" s="4" t="b">
        <v>0</v>
      </c>
    </row>
    <row r="664" spans="1:13" ht="13">
      <c r="A664" s="4" t="s">
        <v>8337</v>
      </c>
      <c r="B664" s="4" t="s">
        <v>4951</v>
      </c>
      <c r="C664" s="4" t="s">
        <v>108</v>
      </c>
      <c r="D664" s="4" t="s">
        <v>4952</v>
      </c>
      <c r="E664" s="4" t="s">
        <v>18</v>
      </c>
      <c r="F664" s="4" t="s">
        <v>8338</v>
      </c>
      <c r="G664" s="4" t="s">
        <v>8339</v>
      </c>
      <c r="H664" s="4">
        <v>2.3199999999999998</v>
      </c>
      <c r="I664" s="4">
        <v>1.06</v>
      </c>
      <c r="J664" s="4">
        <v>0.23304</v>
      </c>
      <c r="K664" s="4" t="b">
        <v>1</v>
      </c>
      <c r="L664" s="4" t="b">
        <v>0</v>
      </c>
    </row>
    <row r="665" spans="1:13" ht="13">
      <c r="A665" s="4" t="s">
        <v>8340</v>
      </c>
      <c r="B665" s="4" t="s">
        <v>4951</v>
      </c>
      <c r="C665" s="4" t="s">
        <v>108</v>
      </c>
      <c r="D665" s="4" t="s">
        <v>4952</v>
      </c>
      <c r="E665" s="4" t="s">
        <v>18</v>
      </c>
      <c r="F665" s="4" t="s">
        <v>8341</v>
      </c>
      <c r="G665" s="4" t="s">
        <v>8342</v>
      </c>
      <c r="H665" s="4">
        <v>2.3199999999999998</v>
      </c>
      <c r="I665" s="4">
        <v>1.19</v>
      </c>
      <c r="J665" s="4">
        <v>0.25372</v>
      </c>
      <c r="K665" s="4" t="b">
        <v>1</v>
      </c>
      <c r="L665" s="4" t="b">
        <v>0</v>
      </c>
    </row>
    <row r="666" spans="1:13" ht="13">
      <c r="A666" s="4" t="s">
        <v>8343</v>
      </c>
      <c r="B666" s="4" t="s">
        <v>4951</v>
      </c>
      <c r="C666" s="4" t="s">
        <v>108</v>
      </c>
      <c r="D666" s="4" t="s">
        <v>4952</v>
      </c>
      <c r="E666" s="4" t="s">
        <v>18</v>
      </c>
      <c r="F666" s="4" t="s">
        <v>8344</v>
      </c>
      <c r="G666" s="4" t="s">
        <v>8345</v>
      </c>
      <c r="H666" s="4">
        <v>2.33</v>
      </c>
      <c r="I666" s="4">
        <v>1.1299999999999999</v>
      </c>
      <c r="J666" s="4">
        <v>0.28716999999999998</v>
      </c>
      <c r="K666" s="4" t="b">
        <v>1</v>
      </c>
      <c r="L666" s="4" t="b">
        <v>0</v>
      </c>
    </row>
    <row r="667" spans="1:13" ht="13">
      <c r="A667" s="4" t="s">
        <v>8346</v>
      </c>
      <c r="B667" s="4" t="s">
        <v>4951</v>
      </c>
      <c r="C667" s="4" t="s">
        <v>108</v>
      </c>
      <c r="D667" s="4" t="s">
        <v>4952</v>
      </c>
      <c r="E667" s="4" t="s">
        <v>18</v>
      </c>
      <c r="F667" s="4" t="s">
        <v>8347</v>
      </c>
      <c r="G667" s="4" t="s">
        <v>8348</v>
      </c>
      <c r="H667" s="4">
        <v>2.33</v>
      </c>
      <c r="I667" s="4">
        <v>1.27</v>
      </c>
      <c r="J667" s="4">
        <v>0.28026000000000001</v>
      </c>
      <c r="K667" s="4" t="b">
        <v>1</v>
      </c>
      <c r="L667" s="4" t="b">
        <v>0</v>
      </c>
    </row>
    <row r="668" spans="1:13" ht="13">
      <c r="A668" s="4" t="s">
        <v>3141</v>
      </c>
      <c r="B668" s="4" t="s">
        <v>4951</v>
      </c>
      <c r="C668" s="4" t="s">
        <v>108</v>
      </c>
      <c r="D668" s="4" t="s">
        <v>4952</v>
      </c>
      <c r="E668" s="4" t="s">
        <v>18</v>
      </c>
      <c r="F668" s="4" t="s">
        <v>4969</v>
      </c>
      <c r="G668" s="4" t="s">
        <v>3037</v>
      </c>
      <c r="H668" s="4">
        <v>2.34</v>
      </c>
      <c r="I668" s="4">
        <v>1.05</v>
      </c>
      <c r="J668" s="4">
        <v>0.25196000000000002</v>
      </c>
      <c r="K668" s="4" t="b">
        <v>1</v>
      </c>
      <c r="L668" s="4" t="b">
        <v>1</v>
      </c>
      <c r="M668" s="41" t="s">
        <v>4929</v>
      </c>
    </row>
    <row r="669" spans="1:13" ht="13">
      <c r="A669" s="4" t="s">
        <v>8349</v>
      </c>
      <c r="B669" s="4" t="s">
        <v>4951</v>
      </c>
      <c r="C669" s="4" t="s">
        <v>108</v>
      </c>
      <c r="D669" s="4" t="s">
        <v>4952</v>
      </c>
      <c r="E669" s="4" t="s">
        <v>18</v>
      </c>
      <c r="F669" s="4" t="s">
        <v>8350</v>
      </c>
      <c r="G669" s="4" t="s">
        <v>8351</v>
      </c>
      <c r="H669" s="4">
        <v>2.34</v>
      </c>
      <c r="I669" s="4">
        <v>1.21</v>
      </c>
      <c r="J669" s="4">
        <v>0.28073999999999999</v>
      </c>
      <c r="K669" s="4" t="b">
        <v>1</v>
      </c>
      <c r="L669" s="4" t="b">
        <v>0</v>
      </c>
    </row>
    <row r="670" spans="1:13" ht="13">
      <c r="A670" s="4" t="s">
        <v>8352</v>
      </c>
      <c r="B670" s="4" t="s">
        <v>4951</v>
      </c>
      <c r="C670" s="4" t="s">
        <v>108</v>
      </c>
      <c r="D670" s="4" t="s">
        <v>4952</v>
      </c>
      <c r="E670" s="4" t="s">
        <v>18</v>
      </c>
      <c r="F670" s="4" t="s">
        <v>8353</v>
      </c>
      <c r="G670" s="4" t="s">
        <v>8354</v>
      </c>
      <c r="H670" s="4">
        <v>2.35</v>
      </c>
      <c r="I670" s="4">
        <v>1.08</v>
      </c>
      <c r="J670" s="4">
        <v>0.25768999999999997</v>
      </c>
      <c r="K670" s="4" t="b">
        <v>1</v>
      </c>
      <c r="L670" s="4" t="b">
        <v>0</v>
      </c>
    </row>
    <row r="671" spans="1:13" ht="13">
      <c r="A671" s="4" t="s">
        <v>8355</v>
      </c>
      <c r="B671" s="4" t="s">
        <v>4951</v>
      </c>
      <c r="C671" s="4" t="s">
        <v>108</v>
      </c>
      <c r="D671" s="4" t="s">
        <v>4952</v>
      </c>
      <c r="E671" s="4" t="s">
        <v>18</v>
      </c>
      <c r="F671" s="4" t="s">
        <v>8356</v>
      </c>
      <c r="G671" s="4" t="s">
        <v>8357</v>
      </c>
      <c r="H671" s="4">
        <v>2.35</v>
      </c>
      <c r="I671" s="4">
        <v>1.07</v>
      </c>
      <c r="J671" s="4">
        <v>0.26323000000000002</v>
      </c>
      <c r="K671" s="4" t="b">
        <v>1</v>
      </c>
      <c r="L671" s="4" t="b">
        <v>0</v>
      </c>
    </row>
    <row r="672" spans="1:13" ht="13">
      <c r="A672" s="4" t="s">
        <v>8358</v>
      </c>
      <c r="B672" s="4" t="s">
        <v>4951</v>
      </c>
      <c r="C672" s="4" t="s">
        <v>108</v>
      </c>
      <c r="D672" s="4" t="s">
        <v>4952</v>
      </c>
      <c r="E672" s="4" t="s">
        <v>18</v>
      </c>
      <c r="F672" s="4" t="s">
        <v>8359</v>
      </c>
      <c r="G672" s="4" t="s">
        <v>8360</v>
      </c>
      <c r="H672" s="4">
        <v>2.36</v>
      </c>
      <c r="I672" s="4">
        <v>1.2</v>
      </c>
      <c r="J672" s="4">
        <v>0.27786</v>
      </c>
      <c r="K672" s="4" t="b">
        <v>1</v>
      </c>
      <c r="L672" s="4" t="b">
        <v>0</v>
      </c>
    </row>
    <row r="673" spans="1:12" ht="13">
      <c r="A673" s="4" t="s">
        <v>8361</v>
      </c>
      <c r="B673" s="4" t="s">
        <v>4951</v>
      </c>
      <c r="C673" s="4" t="s">
        <v>108</v>
      </c>
      <c r="D673" s="4" t="s">
        <v>4952</v>
      </c>
      <c r="E673" s="4" t="s">
        <v>18</v>
      </c>
      <c r="F673" s="4" t="s">
        <v>8362</v>
      </c>
      <c r="G673" s="4" t="s">
        <v>8363</v>
      </c>
      <c r="H673" s="4">
        <v>2.36</v>
      </c>
      <c r="I673" s="4">
        <v>1.08</v>
      </c>
      <c r="J673" s="4">
        <v>0.26157999999999998</v>
      </c>
      <c r="K673" s="4" t="b">
        <v>1</v>
      </c>
      <c r="L673" s="4" t="b">
        <v>0</v>
      </c>
    </row>
    <row r="674" spans="1:12" ht="13">
      <c r="A674" s="4" t="s">
        <v>8364</v>
      </c>
      <c r="B674" s="4" t="s">
        <v>4951</v>
      </c>
      <c r="C674" s="4" t="s">
        <v>108</v>
      </c>
      <c r="D674" s="4" t="s">
        <v>4952</v>
      </c>
      <c r="E674" s="4" t="s">
        <v>18</v>
      </c>
      <c r="F674" s="4" t="s">
        <v>8365</v>
      </c>
      <c r="G674" s="4" t="s">
        <v>8366</v>
      </c>
      <c r="H674" s="4">
        <v>2.37</v>
      </c>
      <c r="I674" s="4">
        <v>1.06</v>
      </c>
      <c r="J674" s="4">
        <v>0.29433999999999999</v>
      </c>
      <c r="K674" s="4" t="b">
        <v>1</v>
      </c>
      <c r="L674" s="4" t="b">
        <v>0</v>
      </c>
    </row>
    <row r="675" spans="1:12" ht="13">
      <c r="A675" s="4" t="s">
        <v>8367</v>
      </c>
      <c r="B675" s="4" t="s">
        <v>4951</v>
      </c>
      <c r="C675" s="4" t="s">
        <v>108</v>
      </c>
      <c r="D675" s="4" t="s">
        <v>4952</v>
      </c>
      <c r="E675" s="4" t="s">
        <v>18</v>
      </c>
      <c r="F675" s="4" t="s">
        <v>8368</v>
      </c>
      <c r="G675" s="4" t="s">
        <v>8369</v>
      </c>
      <c r="H675" s="4">
        <v>2.38</v>
      </c>
      <c r="I675" s="4">
        <v>1.24</v>
      </c>
      <c r="J675" s="4">
        <v>0.27929999999999999</v>
      </c>
      <c r="K675" s="4" t="b">
        <v>1</v>
      </c>
      <c r="L675" s="4" t="b">
        <v>0</v>
      </c>
    </row>
    <row r="676" spans="1:12" ht="13">
      <c r="A676" s="4" t="s">
        <v>8370</v>
      </c>
      <c r="B676" s="4" t="s">
        <v>4951</v>
      </c>
      <c r="C676" s="4" t="s">
        <v>108</v>
      </c>
      <c r="D676" s="4" t="s">
        <v>4952</v>
      </c>
      <c r="E676" s="4" t="s">
        <v>18</v>
      </c>
      <c r="F676" s="4" t="s">
        <v>8371</v>
      </c>
      <c r="G676" s="4" t="s">
        <v>8372</v>
      </c>
      <c r="H676" s="4">
        <v>2.38</v>
      </c>
      <c r="I676" s="4">
        <v>1.24</v>
      </c>
      <c r="J676" s="4">
        <v>0.25241000000000002</v>
      </c>
      <c r="K676" s="4" t="b">
        <v>1</v>
      </c>
      <c r="L676" s="4" t="b">
        <v>0</v>
      </c>
    </row>
    <row r="677" spans="1:12" ht="13">
      <c r="A677" s="4" t="s">
        <v>8373</v>
      </c>
      <c r="B677" s="4" t="s">
        <v>4951</v>
      </c>
      <c r="C677" s="4" t="s">
        <v>108</v>
      </c>
      <c r="D677" s="4" t="s">
        <v>4952</v>
      </c>
      <c r="E677" s="4" t="s">
        <v>18</v>
      </c>
      <c r="F677" s="4" t="s">
        <v>8374</v>
      </c>
      <c r="G677" s="4" t="s">
        <v>8375</v>
      </c>
      <c r="H677" s="4">
        <v>2.39</v>
      </c>
      <c r="I677" s="4">
        <v>1.0900000000000001</v>
      </c>
      <c r="J677" s="4">
        <v>0.25939000000000001</v>
      </c>
      <c r="K677" s="4" t="b">
        <v>1</v>
      </c>
      <c r="L677" s="4" t="b">
        <v>0</v>
      </c>
    </row>
    <row r="678" spans="1:12" ht="13">
      <c r="A678" s="4" t="s">
        <v>8376</v>
      </c>
      <c r="B678" s="4" t="s">
        <v>4951</v>
      </c>
      <c r="C678" s="4" t="s">
        <v>108</v>
      </c>
      <c r="D678" s="4" t="s">
        <v>4952</v>
      </c>
      <c r="E678" s="4" t="s">
        <v>18</v>
      </c>
      <c r="F678" s="4" t="s">
        <v>8377</v>
      </c>
      <c r="G678" s="4" t="s">
        <v>8378</v>
      </c>
      <c r="H678" s="4">
        <v>2.39</v>
      </c>
      <c r="I678" s="4">
        <v>1.07</v>
      </c>
      <c r="J678" s="4">
        <v>0.26407999999999998</v>
      </c>
      <c r="K678" s="4" t="b">
        <v>1</v>
      </c>
      <c r="L678" s="4" t="b">
        <v>0</v>
      </c>
    </row>
    <row r="679" spans="1:12" ht="13">
      <c r="A679" s="4" t="s">
        <v>8379</v>
      </c>
      <c r="B679" s="4" t="s">
        <v>4951</v>
      </c>
      <c r="C679" s="4" t="s">
        <v>108</v>
      </c>
      <c r="D679" s="4" t="s">
        <v>4952</v>
      </c>
      <c r="E679" s="4" t="s">
        <v>18</v>
      </c>
      <c r="F679" s="4" t="s">
        <v>8380</v>
      </c>
      <c r="G679" s="4" t="s">
        <v>8381</v>
      </c>
      <c r="H679" s="4">
        <v>2.4</v>
      </c>
      <c r="I679" s="4">
        <v>1.0900000000000001</v>
      </c>
      <c r="J679" s="4">
        <v>0.27159</v>
      </c>
      <c r="K679" s="4" t="b">
        <v>1</v>
      </c>
      <c r="L679" s="4" t="b">
        <v>0</v>
      </c>
    </row>
    <row r="680" spans="1:12" ht="13">
      <c r="A680" s="4" t="s">
        <v>8382</v>
      </c>
      <c r="B680" s="4" t="s">
        <v>4951</v>
      </c>
      <c r="C680" s="4" t="s">
        <v>108</v>
      </c>
      <c r="D680" s="4" t="s">
        <v>4952</v>
      </c>
      <c r="E680" s="4" t="s">
        <v>18</v>
      </c>
      <c r="F680" s="4" t="s">
        <v>8383</v>
      </c>
      <c r="G680" s="4" t="s">
        <v>8384</v>
      </c>
      <c r="H680" s="4">
        <v>2.4</v>
      </c>
      <c r="I680" s="4">
        <v>1.06</v>
      </c>
      <c r="J680" s="4">
        <v>0.22334999999999999</v>
      </c>
      <c r="K680" s="4" t="b">
        <v>1</v>
      </c>
      <c r="L680" s="4" t="b">
        <v>0</v>
      </c>
    </row>
    <row r="681" spans="1:12" ht="13">
      <c r="A681" s="4" t="s">
        <v>8385</v>
      </c>
      <c r="B681" s="4" t="s">
        <v>4951</v>
      </c>
      <c r="C681" s="4" t="s">
        <v>108</v>
      </c>
      <c r="D681" s="4" t="s">
        <v>4952</v>
      </c>
      <c r="E681" s="4" t="s">
        <v>18</v>
      </c>
      <c r="F681" s="4" t="s">
        <v>8386</v>
      </c>
      <c r="G681" s="4" t="s">
        <v>8387</v>
      </c>
      <c r="H681" s="4">
        <v>2.41</v>
      </c>
      <c r="I681" s="4">
        <v>1.1100000000000001</v>
      </c>
      <c r="J681" s="4">
        <v>0.26835999999999999</v>
      </c>
      <c r="K681" s="4" t="b">
        <v>1</v>
      </c>
      <c r="L681" s="4" t="b">
        <v>0</v>
      </c>
    </row>
    <row r="682" spans="1:12" ht="13">
      <c r="A682" s="4" t="s">
        <v>8388</v>
      </c>
      <c r="B682" s="4" t="s">
        <v>4951</v>
      </c>
      <c r="C682" s="4" t="s">
        <v>108</v>
      </c>
      <c r="D682" s="4" t="s">
        <v>4952</v>
      </c>
      <c r="E682" s="4" t="s">
        <v>18</v>
      </c>
      <c r="F682" s="4" t="s">
        <v>8389</v>
      </c>
      <c r="G682" s="4" t="s">
        <v>8390</v>
      </c>
      <c r="H682" s="4">
        <v>2.42</v>
      </c>
      <c r="I682" s="4">
        <v>1.17</v>
      </c>
      <c r="J682" s="4">
        <v>0.25247000000000003</v>
      </c>
      <c r="K682" s="4" t="b">
        <v>1</v>
      </c>
      <c r="L682" s="4" t="b">
        <v>0</v>
      </c>
    </row>
    <row r="683" spans="1:12" ht="13">
      <c r="A683" s="4" t="s">
        <v>8391</v>
      </c>
      <c r="B683" s="4" t="s">
        <v>4951</v>
      </c>
      <c r="C683" s="4" t="s">
        <v>108</v>
      </c>
      <c r="D683" s="4" t="s">
        <v>4952</v>
      </c>
      <c r="E683" s="4" t="s">
        <v>18</v>
      </c>
      <c r="F683" s="4" t="s">
        <v>8392</v>
      </c>
      <c r="G683" s="4" t="s">
        <v>8393</v>
      </c>
      <c r="H683" s="4">
        <v>2.42</v>
      </c>
      <c r="I683" s="4">
        <v>1.24</v>
      </c>
      <c r="J683" s="4">
        <v>0.26101999999999997</v>
      </c>
      <c r="K683" s="4" t="b">
        <v>1</v>
      </c>
      <c r="L683" s="4" t="b">
        <v>0</v>
      </c>
    </row>
    <row r="684" spans="1:12" ht="13">
      <c r="A684" s="4" t="s">
        <v>8394</v>
      </c>
      <c r="B684" s="4" t="s">
        <v>4951</v>
      </c>
      <c r="C684" s="4" t="s">
        <v>108</v>
      </c>
      <c r="D684" s="4" t="s">
        <v>4952</v>
      </c>
      <c r="E684" s="4" t="s">
        <v>18</v>
      </c>
      <c r="F684" s="4" t="s">
        <v>8395</v>
      </c>
      <c r="G684" s="4" t="s">
        <v>8396</v>
      </c>
      <c r="H684" s="4">
        <v>2.4300000000000002</v>
      </c>
      <c r="I684" s="4">
        <v>1.24</v>
      </c>
      <c r="J684" s="4">
        <v>0.29710999999999999</v>
      </c>
      <c r="K684" s="4" t="b">
        <v>1</v>
      </c>
      <c r="L684" s="4" t="b">
        <v>0</v>
      </c>
    </row>
    <row r="685" spans="1:12" ht="13">
      <c r="A685" s="4" t="s">
        <v>8397</v>
      </c>
      <c r="B685" s="4" t="s">
        <v>4951</v>
      </c>
      <c r="C685" s="4" t="s">
        <v>108</v>
      </c>
      <c r="D685" s="4" t="s">
        <v>4952</v>
      </c>
      <c r="E685" s="4" t="s">
        <v>18</v>
      </c>
      <c r="F685" s="4" t="s">
        <v>8398</v>
      </c>
      <c r="G685" s="4" t="s">
        <v>8399</v>
      </c>
      <c r="H685" s="4">
        <v>2.44</v>
      </c>
      <c r="I685" s="4">
        <v>1.36</v>
      </c>
      <c r="J685" s="4">
        <v>0.25764999999999999</v>
      </c>
      <c r="K685" s="4" t="b">
        <v>1</v>
      </c>
      <c r="L685" s="4" t="b">
        <v>0</v>
      </c>
    </row>
    <row r="686" spans="1:12" ht="13">
      <c r="A686" s="4" t="s">
        <v>8400</v>
      </c>
      <c r="B686" s="4" t="s">
        <v>4951</v>
      </c>
      <c r="C686" s="4" t="s">
        <v>108</v>
      </c>
      <c r="D686" s="4" t="s">
        <v>4952</v>
      </c>
      <c r="E686" s="4" t="s">
        <v>18</v>
      </c>
      <c r="F686" s="4" t="s">
        <v>8401</v>
      </c>
      <c r="G686" s="4" t="s">
        <v>8402</v>
      </c>
      <c r="H686" s="4">
        <v>2.44</v>
      </c>
      <c r="I686" s="4">
        <v>1.1100000000000001</v>
      </c>
      <c r="J686" s="4">
        <v>0.28277999999999998</v>
      </c>
      <c r="K686" s="4" t="b">
        <v>1</v>
      </c>
      <c r="L686" s="4" t="b">
        <v>0</v>
      </c>
    </row>
    <row r="687" spans="1:12" ht="13">
      <c r="A687" s="4" t="s">
        <v>8403</v>
      </c>
      <c r="B687" s="4" t="s">
        <v>4951</v>
      </c>
      <c r="C687" s="4" t="s">
        <v>108</v>
      </c>
      <c r="D687" s="4" t="s">
        <v>4952</v>
      </c>
      <c r="E687" s="4" t="s">
        <v>18</v>
      </c>
      <c r="F687" s="4" t="s">
        <v>8404</v>
      </c>
      <c r="G687" s="4" t="s">
        <v>8405</v>
      </c>
      <c r="H687" s="4">
        <v>2.4500000000000002</v>
      </c>
      <c r="I687" s="4">
        <v>1.26</v>
      </c>
      <c r="J687" s="4">
        <v>0.27016000000000001</v>
      </c>
      <c r="K687" s="4" t="b">
        <v>1</v>
      </c>
      <c r="L687" s="4" t="b">
        <v>0</v>
      </c>
    </row>
    <row r="688" spans="1:12" ht="13">
      <c r="A688" s="4" t="s">
        <v>8406</v>
      </c>
      <c r="B688" s="4" t="s">
        <v>4951</v>
      </c>
      <c r="C688" s="4" t="s">
        <v>108</v>
      </c>
      <c r="D688" s="4" t="s">
        <v>4952</v>
      </c>
      <c r="E688" s="4" t="s">
        <v>18</v>
      </c>
      <c r="F688" s="4" t="s">
        <v>8407</v>
      </c>
      <c r="G688" s="4" t="s">
        <v>8408</v>
      </c>
      <c r="H688" s="4">
        <v>2.4500000000000002</v>
      </c>
      <c r="I688" s="4">
        <v>1.08</v>
      </c>
      <c r="J688" s="4">
        <v>0.27052999999999999</v>
      </c>
      <c r="K688" s="4" t="b">
        <v>1</v>
      </c>
      <c r="L688" s="4" t="b">
        <v>0</v>
      </c>
    </row>
    <row r="689" spans="1:13" ht="13">
      <c r="A689" s="4" t="s">
        <v>8409</v>
      </c>
      <c r="B689" s="4" t="s">
        <v>4951</v>
      </c>
      <c r="C689" s="4" t="s">
        <v>108</v>
      </c>
      <c r="D689" s="4" t="s">
        <v>4952</v>
      </c>
      <c r="E689" s="4" t="s">
        <v>18</v>
      </c>
      <c r="F689" s="4" t="s">
        <v>8410</v>
      </c>
      <c r="G689" s="4" t="s">
        <v>8411</v>
      </c>
      <c r="H689" s="4">
        <v>2.46</v>
      </c>
      <c r="I689" s="4">
        <v>1.08</v>
      </c>
      <c r="J689" s="4">
        <v>0.25901000000000002</v>
      </c>
      <c r="K689" s="4" t="b">
        <v>1</v>
      </c>
      <c r="L689" s="4" t="b">
        <v>0</v>
      </c>
    </row>
    <row r="690" spans="1:13" ht="13">
      <c r="A690" s="4" t="s">
        <v>8412</v>
      </c>
      <c r="B690" s="4" t="s">
        <v>4951</v>
      </c>
      <c r="C690" s="4" t="s">
        <v>108</v>
      </c>
      <c r="D690" s="4" t="s">
        <v>4952</v>
      </c>
      <c r="E690" s="4" t="s">
        <v>18</v>
      </c>
      <c r="F690" s="4" t="s">
        <v>8413</v>
      </c>
      <c r="G690" s="4" t="s">
        <v>8414</v>
      </c>
      <c r="H690" s="4">
        <v>2.46</v>
      </c>
      <c r="I690" s="4">
        <v>1.0900000000000001</v>
      </c>
      <c r="J690" s="4">
        <v>0.25788</v>
      </c>
      <c r="K690" s="4" t="b">
        <v>1</v>
      </c>
      <c r="L690" s="4" t="b">
        <v>0</v>
      </c>
    </row>
    <row r="691" spans="1:13" ht="13">
      <c r="A691" s="4" t="s">
        <v>8415</v>
      </c>
      <c r="B691" s="4" t="s">
        <v>4951</v>
      </c>
      <c r="C691" s="4" t="s">
        <v>108</v>
      </c>
      <c r="D691" s="4" t="s">
        <v>4952</v>
      </c>
      <c r="E691" s="4" t="s">
        <v>18</v>
      </c>
      <c r="F691" s="4" t="s">
        <v>8416</v>
      </c>
      <c r="G691" s="4" t="s">
        <v>8417</v>
      </c>
      <c r="H691" s="4">
        <v>2.4700000000000002</v>
      </c>
      <c r="I691" s="4">
        <v>1.1100000000000001</v>
      </c>
      <c r="J691" s="4">
        <v>0.27621000000000001</v>
      </c>
      <c r="K691" s="4" t="b">
        <v>1</v>
      </c>
      <c r="L691" s="4" t="b">
        <v>0</v>
      </c>
    </row>
    <row r="692" spans="1:13" ht="13">
      <c r="A692" s="4" t="s">
        <v>8418</v>
      </c>
      <c r="B692" s="4" t="s">
        <v>4951</v>
      </c>
      <c r="C692" s="4" t="s">
        <v>108</v>
      </c>
      <c r="D692" s="4" t="s">
        <v>4952</v>
      </c>
      <c r="E692" s="4" t="s">
        <v>18</v>
      </c>
      <c r="F692" s="4" t="s">
        <v>8419</v>
      </c>
      <c r="G692" s="4" t="s">
        <v>8420</v>
      </c>
      <c r="H692" s="4">
        <v>2.48</v>
      </c>
      <c r="I692" s="4">
        <v>1.05</v>
      </c>
      <c r="J692" s="4">
        <v>0.25552999999999998</v>
      </c>
      <c r="K692" s="4" t="b">
        <v>1</v>
      </c>
      <c r="L692" s="4" t="b">
        <v>0</v>
      </c>
    </row>
    <row r="693" spans="1:13" ht="13">
      <c r="A693" s="4" t="s">
        <v>8421</v>
      </c>
      <c r="B693" s="4" t="s">
        <v>4951</v>
      </c>
      <c r="C693" s="4" t="s">
        <v>108</v>
      </c>
      <c r="D693" s="4" t="s">
        <v>4952</v>
      </c>
      <c r="E693" s="4" t="s">
        <v>18</v>
      </c>
      <c r="F693" s="4" t="s">
        <v>8422</v>
      </c>
      <c r="G693" s="4" t="s">
        <v>8423</v>
      </c>
      <c r="H693" s="4">
        <v>2.48</v>
      </c>
      <c r="I693" s="4">
        <v>1.18</v>
      </c>
      <c r="J693" s="4">
        <v>0.27524999999999999</v>
      </c>
      <c r="K693" s="4" t="b">
        <v>1</v>
      </c>
      <c r="L693" s="4" t="b">
        <v>0</v>
      </c>
    </row>
    <row r="694" spans="1:13" ht="13">
      <c r="A694" s="4" t="s">
        <v>8424</v>
      </c>
      <c r="B694" s="4" t="s">
        <v>4951</v>
      </c>
      <c r="C694" s="4" t="s">
        <v>108</v>
      </c>
      <c r="D694" s="4" t="s">
        <v>4952</v>
      </c>
      <c r="E694" s="4" t="s">
        <v>18</v>
      </c>
      <c r="F694" s="4" t="s">
        <v>8425</v>
      </c>
      <c r="G694" s="4" t="s">
        <v>8426</v>
      </c>
      <c r="H694" s="4">
        <v>2.4900000000000002</v>
      </c>
      <c r="I694" s="4">
        <v>1.0900000000000001</v>
      </c>
      <c r="J694" s="4">
        <v>0.24776999999999999</v>
      </c>
      <c r="K694" s="4" t="b">
        <v>1</v>
      </c>
      <c r="L694" s="4" t="b">
        <v>0</v>
      </c>
    </row>
    <row r="695" spans="1:13" ht="13">
      <c r="A695" s="4" t="s">
        <v>8427</v>
      </c>
      <c r="B695" s="4" t="s">
        <v>4951</v>
      </c>
      <c r="C695" s="4" t="s">
        <v>108</v>
      </c>
      <c r="D695" s="4" t="s">
        <v>4952</v>
      </c>
      <c r="E695" s="4" t="s">
        <v>18</v>
      </c>
      <c r="F695" s="4" t="s">
        <v>8428</v>
      </c>
      <c r="G695" s="4" t="s">
        <v>8429</v>
      </c>
      <c r="H695" s="4">
        <v>2.4900000000000002</v>
      </c>
      <c r="I695" s="4">
        <v>1.1299999999999999</v>
      </c>
      <c r="J695" s="4">
        <v>0.27622999999999998</v>
      </c>
      <c r="K695" s="4" t="b">
        <v>1</v>
      </c>
      <c r="L695" s="4" t="b">
        <v>0</v>
      </c>
    </row>
    <row r="696" spans="1:13" ht="13">
      <c r="A696" s="4" t="s">
        <v>3142</v>
      </c>
      <c r="B696" s="4" t="s">
        <v>4951</v>
      </c>
      <c r="C696" s="4" t="s">
        <v>108</v>
      </c>
      <c r="D696" s="4" t="s">
        <v>4952</v>
      </c>
      <c r="E696" s="4" t="s">
        <v>18</v>
      </c>
      <c r="F696" s="4" t="s">
        <v>5174</v>
      </c>
      <c r="G696" s="4" t="s">
        <v>3038</v>
      </c>
      <c r="H696" s="4">
        <v>2.5</v>
      </c>
      <c r="I696" s="4">
        <v>1.05</v>
      </c>
      <c r="J696" s="4">
        <v>0.26885999999999999</v>
      </c>
      <c r="K696" s="4" t="b">
        <v>1</v>
      </c>
      <c r="L696" s="4" t="b">
        <v>1</v>
      </c>
      <c r="M696" s="41" t="s">
        <v>5164</v>
      </c>
    </row>
    <row r="697" spans="1:13" ht="13">
      <c r="A697" s="4" t="s">
        <v>8430</v>
      </c>
      <c r="B697" s="4" t="s">
        <v>4951</v>
      </c>
      <c r="C697" s="4" t="s">
        <v>108</v>
      </c>
      <c r="D697" s="4" t="s">
        <v>4952</v>
      </c>
      <c r="E697" s="4" t="s">
        <v>18</v>
      </c>
      <c r="F697" s="4" t="s">
        <v>8431</v>
      </c>
      <c r="G697" s="4" t="s">
        <v>8432</v>
      </c>
      <c r="H697" s="4">
        <v>2.5</v>
      </c>
      <c r="I697" s="4">
        <v>1.19</v>
      </c>
      <c r="J697" s="4">
        <v>0.27234000000000003</v>
      </c>
      <c r="K697" s="4" t="b">
        <v>1</v>
      </c>
      <c r="L697" s="4" t="b">
        <v>0</v>
      </c>
    </row>
    <row r="698" spans="1:13" ht="13">
      <c r="A698" s="4" t="s">
        <v>8433</v>
      </c>
      <c r="B698" s="4" t="s">
        <v>4951</v>
      </c>
      <c r="C698" s="4" t="s">
        <v>108</v>
      </c>
      <c r="D698" s="4" t="s">
        <v>4952</v>
      </c>
      <c r="E698" s="4" t="s">
        <v>18</v>
      </c>
      <c r="F698" s="4" t="s">
        <v>8434</v>
      </c>
      <c r="G698" s="4" t="s">
        <v>8435</v>
      </c>
      <c r="H698" s="4">
        <v>2.5099999999999998</v>
      </c>
      <c r="I698" s="4">
        <v>1.1499999999999999</v>
      </c>
      <c r="J698" s="4">
        <v>0.29643999999999998</v>
      </c>
      <c r="K698" s="4" t="b">
        <v>1</v>
      </c>
      <c r="L698" s="4" t="b">
        <v>0</v>
      </c>
    </row>
    <row r="699" spans="1:13" ht="13">
      <c r="A699" s="4" t="s">
        <v>8436</v>
      </c>
      <c r="B699" s="4" t="s">
        <v>4951</v>
      </c>
      <c r="C699" s="4" t="s">
        <v>108</v>
      </c>
      <c r="D699" s="4" t="s">
        <v>4952</v>
      </c>
      <c r="E699" s="4" t="s">
        <v>18</v>
      </c>
      <c r="F699" s="4" t="s">
        <v>8437</v>
      </c>
      <c r="G699" s="4" t="s">
        <v>8438</v>
      </c>
      <c r="H699" s="4">
        <v>2.5099999999999998</v>
      </c>
      <c r="I699" s="4">
        <v>1.1299999999999999</v>
      </c>
      <c r="J699" s="4">
        <v>0.28478999999999999</v>
      </c>
      <c r="K699" s="4" t="b">
        <v>1</v>
      </c>
      <c r="L699" s="4" t="b">
        <v>0</v>
      </c>
    </row>
    <row r="700" spans="1:13" ht="13">
      <c r="A700" s="4" t="s">
        <v>8439</v>
      </c>
      <c r="B700" s="4" t="s">
        <v>4951</v>
      </c>
      <c r="C700" s="4" t="s">
        <v>108</v>
      </c>
      <c r="D700" s="4" t="s">
        <v>4952</v>
      </c>
      <c r="E700" s="4" t="s">
        <v>18</v>
      </c>
      <c r="F700" s="4" t="s">
        <v>8440</v>
      </c>
      <c r="G700" s="4" t="s">
        <v>8441</v>
      </c>
      <c r="H700" s="4">
        <v>2.5299999999999998</v>
      </c>
      <c r="I700" s="4">
        <v>1.08</v>
      </c>
      <c r="J700" s="4">
        <v>0.23626</v>
      </c>
      <c r="K700" s="4" t="b">
        <v>1</v>
      </c>
      <c r="L700" s="4" t="b">
        <v>0</v>
      </c>
    </row>
    <row r="701" spans="1:13" ht="13">
      <c r="A701" s="4" t="s">
        <v>8442</v>
      </c>
      <c r="B701" s="4" t="s">
        <v>4951</v>
      </c>
      <c r="C701" s="4" t="s">
        <v>108</v>
      </c>
      <c r="D701" s="4" t="s">
        <v>4952</v>
      </c>
      <c r="E701" s="4" t="s">
        <v>18</v>
      </c>
      <c r="F701" s="4" t="s">
        <v>8443</v>
      </c>
      <c r="G701" s="4" t="s">
        <v>8444</v>
      </c>
      <c r="H701" s="4">
        <v>2.68</v>
      </c>
      <c r="I701" s="4">
        <v>1.07</v>
      </c>
      <c r="J701" s="4">
        <v>0.24102999999999999</v>
      </c>
      <c r="K701" s="4" t="b">
        <v>1</v>
      </c>
      <c r="L701" s="4" t="b">
        <v>0</v>
      </c>
    </row>
    <row r="702" spans="1:13" ht="13">
      <c r="A702" s="4" t="s">
        <v>8445</v>
      </c>
      <c r="B702" s="4" t="s">
        <v>4951</v>
      </c>
      <c r="C702" s="4" t="s">
        <v>108</v>
      </c>
      <c r="D702" s="4" t="s">
        <v>4952</v>
      </c>
      <c r="E702" s="4" t="s">
        <v>18</v>
      </c>
      <c r="F702" s="4" t="s">
        <v>8446</v>
      </c>
      <c r="G702" s="4" t="s">
        <v>8447</v>
      </c>
      <c r="H702" s="4">
        <v>2.68</v>
      </c>
      <c r="I702" s="4">
        <v>1.1200000000000001</v>
      </c>
      <c r="J702" s="4">
        <v>0.27390999999999999</v>
      </c>
      <c r="K702" s="4" t="b">
        <v>1</v>
      </c>
      <c r="L702" s="4" t="b">
        <v>0</v>
      </c>
    </row>
    <row r="703" spans="1:13" ht="13">
      <c r="A703" s="4" t="s">
        <v>8448</v>
      </c>
      <c r="B703" s="4" t="s">
        <v>4951</v>
      </c>
      <c r="C703" s="4" t="s">
        <v>108</v>
      </c>
      <c r="D703" s="4" t="s">
        <v>4952</v>
      </c>
      <c r="E703" s="4" t="s">
        <v>18</v>
      </c>
      <c r="F703" s="4" t="s">
        <v>8449</v>
      </c>
      <c r="G703" s="4" t="s">
        <v>8450</v>
      </c>
      <c r="H703" s="4">
        <v>2.69</v>
      </c>
      <c r="I703" s="4">
        <v>1.1299999999999999</v>
      </c>
      <c r="J703" s="4">
        <v>0.28960000000000002</v>
      </c>
      <c r="K703" s="4" t="b">
        <v>1</v>
      </c>
      <c r="L703" s="4" t="b">
        <v>0</v>
      </c>
    </row>
    <row r="704" spans="1:13" ht="13">
      <c r="A704" s="4" t="s">
        <v>8451</v>
      </c>
      <c r="B704" s="4" t="s">
        <v>4951</v>
      </c>
      <c r="C704" s="4" t="s">
        <v>108</v>
      </c>
      <c r="D704" s="4" t="s">
        <v>4952</v>
      </c>
      <c r="E704" s="4" t="s">
        <v>18</v>
      </c>
      <c r="F704" s="4" t="s">
        <v>8452</v>
      </c>
      <c r="G704" s="4" t="s">
        <v>8453</v>
      </c>
      <c r="H704" s="4">
        <v>2.7</v>
      </c>
      <c r="I704" s="4">
        <v>1.05</v>
      </c>
      <c r="J704" s="4">
        <v>0.28955999999999998</v>
      </c>
      <c r="K704" s="4" t="b">
        <v>1</v>
      </c>
      <c r="L704" s="4" t="b">
        <v>0</v>
      </c>
    </row>
    <row r="705" spans="1:12" ht="13">
      <c r="A705" s="4" t="s">
        <v>8454</v>
      </c>
      <c r="B705" s="4" t="s">
        <v>4951</v>
      </c>
      <c r="C705" s="4" t="s">
        <v>108</v>
      </c>
      <c r="D705" s="4" t="s">
        <v>4952</v>
      </c>
      <c r="E705" s="4" t="s">
        <v>18</v>
      </c>
      <c r="F705" s="4" t="s">
        <v>8455</v>
      </c>
      <c r="G705" s="4" t="s">
        <v>8456</v>
      </c>
      <c r="H705" s="4">
        <v>2.7</v>
      </c>
      <c r="I705" s="4">
        <v>1.1000000000000001</v>
      </c>
      <c r="J705" s="4">
        <v>0.26318999999999998</v>
      </c>
      <c r="K705" s="4" t="b">
        <v>1</v>
      </c>
      <c r="L705" s="4" t="b">
        <v>0</v>
      </c>
    </row>
    <row r="706" spans="1:12" ht="13">
      <c r="A706" s="4" t="s">
        <v>8457</v>
      </c>
      <c r="B706" s="4" t="s">
        <v>4951</v>
      </c>
      <c r="C706" s="4" t="s">
        <v>108</v>
      </c>
      <c r="D706" s="4" t="s">
        <v>4952</v>
      </c>
      <c r="E706" s="4" t="s">
        <v>18</v>
      </c>
      <c r="F706" s="4" t="s">
        <v>8458</v>
      </c>
      <c r="G706" s="4" t="s">
        <v>8459</v>
      </c>
      <c r="H706" s="4">
        <v>2.71</v>
      </c>
      <c r="I706" s="4">
        <v>1.04</v>
      </c>
      <c r="J706" s="4">
        <v>0.26415</v>
      </c>
      <c r="K706" s="4" t="b">
        <v>1</v>
      </c>
      <c r="L706" s="4" t="b">
        <v>0</v>
      </c>
    </row>
    <row r="707" spans="1:12" ht="13">
      <c r="A707" s="4" t="s">
        <v>8460</v>
      </c>
      <c r="B707" s="4" t="s">
        <v>4951</v>
      </c>
      <c r="C707" s="4" t="s">
        <v>108</v>
      </c>
      <c r="D707" s="4" t="s">
        <v>4952</v>
      </c>
      <c r="E707" s="4" t="s">
        <v>18</v>
      </c>
      <c r="F707" s="4" t="s">
        <v>8461</v>
      </c>
      <c r="G707" s="4" t="s">
        <v>8462</v>
      </c>
      <c r="H707" s="4">
        <v>2.71</v>
      </c>
      <c r="I707" s="4">
        <v>1.08</v>
      </c>
      <c r="J707" s="4">
        <v>0.26377</v>
      </c>
      <c r="K707" s="4" t="b">
        <v>1</v>
      </c>
      <c r="L707" s="4" t="b">
        <v>0</v>
      </c>
    </row>
    <row r="708" spans="1:12" ht="13">
      <c r="A708" s="4" t="s">
        <v>8463</v>
      </c>
      <c r="B708" s="4" t="s">
        <v>4951</v>
      </c>
      <c r="C708" s="4" t="s">
        <v>108</v>
      </c>
      <c r="D708" s="4" t="s">
        <v>4952</v>
      </c>
      <c r="E708" s="4" t="s">
        <v>18</v>
      </c>
      <c r="F708" s="4" t="s">
        <v>8464</v>
      </c>
      <c r="G708" s="4" t="s">
        <v>8465</v>
      </c>
      <c r="H708" s="4">
        <v>2.72</v>
      </c>
      <c r="I708" s="4">
        <v>1.1000000000000001</v>
      </c>
      <c r="J708" s="4">
        <v>0.26069999999999999</v>
      </c>
      <c r="K708" s="4" t="b">
        <v>1</v>
      </c>
      <c r="L708" s="4" t="b">
        <v>0</v>
      </c>
    </row>
    <row r="709" spans="1:12" ht="13">
      <c r="A709" s="4" t="s">
        <v>8466</v>
      </c>
      <c r="B709" s="4" t="s">
        <v>4951</v>
      </c>
      <c r="C709" s="4" t="s">
        <v>108</v>
      </c>
      <c r="D709" s="4" t="s">
        <v>4952</v>
      </c>
      <c r="E709" s="4" t="s">
        <v>18</v>
      </c>
      <c r="F709" s="4" t="s">
        <v>8467</v>
      </c>
      <c r="G709" s="4" t="s">
        <v>8468</v>
      </c>
      <c r="H709" s="4">
        <v>2.72</v>
      </c>
      <c r="I709" s="4">
        <v>1.04</v>
      </c>
      <c r="J709" s="4">
        <v>0.23948</v>
      </c>
      <c r="K709" s="4" t="b">
        <v>1</v>
      </c>
      <c r="L709" s="4" t="b">
        <v>0</v>
      </c>
    </row>
    <row r="710" spans="1:12" ht="13">
      <c r="A710" s="4" t="s">
        <v>8469</v>
      </c>
      <c r="B710" s="4" t="s">
        <v>4951</v>
      </c>
      <c r="C710" s="4" t="s">
        <v>108</v>
      </c>
      <c r="D710" s="4" t="s">
        <v>4952</v>
      </c>
      <c r="E710" s="4" t="s">
        <v>18</v>
      </c>
      <c r="F710" s="4" t="s">
        <v>8470</v>
      </c>
      <c r="G710" s="4" t="s">
        <v>8471</v>
      </c>
      <c r="H710" s="4">
        <v>2.74</v>
      </c>
      <c r="I710" s="4">
        <v>1.07</v>
      </c>
      <c r="J710" s="4">
        <v>0.27640999999999999</v>
      </c>
      <c r="K710" s="4" t="b">
        <v>1</v>
      </c>
      <c r="L710" s="4" t="b">
        <v>0</v>
      </c>
    </row>
    <row r="711" spans="1:12" ht="13">
      <c r="A711" s="4" t="s">
        <v>8472</v>
      </c>
      <c r="B711" s="4" t="s">
        <v>4951</v>
      </c>
      <c r="C711" s="4" t="s">
        <v>108</v>
      </c>
      <c r="D711" s="4" t="s">
        <v>4952</v>
      </c>
      <c r="E711" s="4" t="s">
        <v>18</v>
      </c>
      <c r="F711" s="4" t="s">
        <v>8473</v>
      </c>
      <c r="G711" s="4" t="s">
        <v>8474</v>
      </c>
      <c r="H711" s="4">
        <v>2.74</v>
      </c>
      <c r="I711" s="4">
        <v>1.05</v>
      </c>
      <c r="J711" s="4">
        <v>0.25191999999999998</v>
      </c>
      <c r="K711" s="4" t="b">
        <v>1</v>
      </c>
      <c r="L711" s="4" t="b">
        <v>0</v>
      </c>
    </row>
    <row r="712" spans="1:12" ht="13">
      <c r="A712" s="4" t="s">
        <v>8475</v>
      </c>
      <c r="B712" s="4" t="s">
        <v>4951</v>
      </c>
      <c r="C712" s="4" t="s">
        <v>108</v>
      </c>
      <c r="D712" s="4" t="s">
        <v>4952</v>
      </c>
      <c r="E712" s="4" t="s">
        <v>18</v>
      </c>
      <c r="F712" s="4" t="s">
        <v>8476</v>
      </c>
      <c r="G712" s="4" t="s">
        <v>8477</v>
      </c>
      <c r="H712" s="4">
        <v>2.75</v>
      </c>
      <c r="I712" s="4">
        <v>1.33</v>
      </c>
      <c r="J712" s="4">
        <v>0.28760999999999998</v>
      </c>
      <c r="K712" s="4" t="b">
        <v>1</v>
      </c>
      <c r="L712" s="4" t="b">
        <v>0</v>
      </c>
    </row>
    <row r="713" spans="1:12" ht="13">
      <c r="A713" s="4" t="s">
        <v>8478</v>
      </c>
      <c r="B713" s="4" t="s">
        <v>4951</v>
      </c>
      <c r="C713" s="4" t="s">
        <v>108</v>
      </c>
      <c r="D713" s="4" t="s">
        <v>4952</v>
      </c>
      <c r="E713" s="4" t="s">
        <v>18</v>
      </c>
      <c r="F713" s="4" t="s">
        <v>8479</v>
      </c>
      <c r="G713" s="4" t="s">
        <v>8480</v>
      </c>
      <c r="H713" s="4">
        <v>2.75</v>
      </c>
      <c r="I713" s="4">
        <v>1.32</v>
      </c>
      <c r="J713" s="4">
        <v>0.25353999999999999</v>
      </c>
      <c r="K713" s="4" t="b">
        <v>1</v>
      </c>
      <c r="L713" s="4" t="b">
        <v>0</v>
      </c>
    </row>
    <row r="714" spans="1:12" ht="13">
      <c r="A714" s="4" t="s">
        <v>8481</v>
      </c>
      <c r="B714" s="4" t="s">
        <v>4951</v>
      </c>
      <c r="C714" s="4" t="s">
        <v>108</v>
      </c>
      <c r="D714" s="4" t="s">
        <v>4952</v>
      </c>
      <c r="E714" s="4" t="s">
        <v>18</v>
      </c>
      <c r="F714" s="4" t="s">
        <v>8482</v>
      </c>
      <c r="G714" s="4" t="s">
        <v>8483</v>
      </c>
      <c r="H714" s="4">
        <v>2.76</v>
      </c>
      <c r="I714" s="4">
        <v>1.06</v>
      </c>
      <c r="J714" s="4">
        <v>0.25233</v>
      </c>
      <c r="K714" s="4" t="b">
        <v>1</v>
      </c>
      <c r="L714" s="4" t="b">
        <v>0</v>
      </c>
    </row>
    <row r="715" spans="1:12" ht="13">
      <c r="A715" s="4" t="s">
        <v>8487</v>
      </c>
      <c r="B715" s="4" t="s">
        <v>4951</v>
      </c>
      <c r="C715" s="4" t="s">
        <v>108</v>
      </c>
      <c r="D715" s="4" t="s">
        <v>4952</v>
      </c>
      <c r="E715" s="4" t="s">
        <v>18</v>
      </c>
      <c r="F715" s="4" t="s">
        <v>8488</v>
      </c>
      <c r="G715" s="4" t="s">
        <v>8489</v>
      </c>
      <c r="H715" s="4">
        <v>2.77</v>
      </c>
      <c r="I715" s="4">
        <v>1.08</v>
      </c>
      <c r="J715" s="4">
        <v>0.25469000000000003</v>
      </c>
      <c r="K715" s="4" t="b">
        <v>1</v>
      </c>
      <c r="L715" s="4" t="b">
        <v>0</v>
      </c>
    </row>
    <row r="716" spans="1:12" ht="13">
      <c r="A716" s="4" t="s">
        <v>8490</v>
      </c>
      <c r="B716" s="4" t="s">
        <v>4951</v>
      </c>
      <c r="C716" s="4" t="s">
        <v>108</v>
      </c>
      <c r="D716" s="4" t="s">
        <v>4952</v>
      </c>
      <c r="E716" s="4" t="s">
        <v>18</v>
      </c>
      <c r="F716" s="4" t="s">
        <v>8491</v>
      </c>
      <c r="G716" s="4" t="s">
        <v>8492</v>
      </c>
      <c r="H716" s="4">
        <v>2.78</v>
      </c>
      <c r="I716" s="4">
        <v>1.17</v>
      </c>
      <c r="J716" s="4">
        <v>0.24754000000000001</v>
      </c>
      <c r="K716" s="4" t="b">
        <v>1</v>
      </c>
      <c r="L716" s="4" t="b">
        <v>0</v>
      </c>
    </row>
    <row r="717" spans="1:12" ht="13">
      <c r="A717" s="4" t="s">
        <v>8493</v>
      </c>
      <c r="B717" s="4" t="s">
        <v>4951</v>
      </c>
      <c r="C717" s="4" t="s">
        <v>108</v>
      </c>
      <c r="D717" s="4" t="s">
        <v>4952</v>
      </c>
      <c r="E717" s="4" t="s">
        <v>18</v>
      </c>
      <c r="F717" s="4" t="s">
        <v>8494</v>
      </c>
      <c r="G717" s="4" t="s">
        <v>8495</v>
      </c>
      <c r="H717" s="4">
        <v>2.78</v>
      </c>
      <c r="I717" s="4">
        <v>1.08</v>
      </c>
      <c r="J717" s="4">
        <v>0.26171</v>
      </c>
      <c r="K717" s="4" t="b">
        <v>1</v>
      </c>
      <c r="L717" s="4" t="b">
        <v>0</v>
      </c>
    </row>
    <row r="718" spans="1:12" ht="13">
      <c r="A718" s="4" t="s">
        <v>8496</v>
      </c>
      <c r="B718" s="4" t="s">
        <v>4951</v>
      </c>
      <c r="C718" s="4" t="s">
        <v>108</v>
      </c>
      <c r="D718" s="4" t="s">
        <v>4952</v>
      </c>
      <c r="E718" s="4" t="s">
        <v>18</v>
      </c>
      <c r="F718" s="4" t="s">
        <v>8497</v>
      </c>
      <c r="G718" s="4" t="s">
        <v>8498</v>
      </c>
      <c r="H718" s="4">
        <v>2.79</v>
      </c>
      <c r="I718" s="4">
        <v>1.06</v>
      </c>
      <c r="J718" s="4">
        <v>0.25155</v>
      </c>
      <c r="K718" s="4" t="b">
        <v>1</v>
      </c>
      <c r="L718" s="4" t="b">
        <v>0</v>
      </c>
    </row>
    <row r="719" spans="1:12" ht="13">
      <c r="A719" s="4" t="s">
        <v>8499</v>
      </c>
      <c r="B719" s="4" t="s">
        <v>4951</v>
      </c>
      <c r="C719" s="4" t="s">
        <v>108</v>
      </c>
      <c r="D719" s="4" t="s">
        <v>4952</v>
      </c>
      <c r="E719" s="4" t="s">
        <v>18</v>
      </c>
      <c r="F719" s="4" t="s">
        <v>8500</v>
      </c>
      <c r="G719" s="4" t="s">
        <v>8501</v>
      </c>
      <c r="H719" s="4">
        <v>2.79</v>
      </c>
      <c r="I719" s="4">
        <v>1.18</v>
      </c>
      <c r="J719" s="4">
        <v>0.27006000000000002</v>
      </c>
      <c r="K719" s="4" t="b">
        <v>1</v>
      </c>
      <c r="L719" s="4" t="b">
        <v>0</v>
      </c>
    </row>
    <row r="720" spans="1:12" ht="13">
      <c r="A720" s="4" t="s">
        <v>8502</v>
      </c>
      <c r="B720" s="4" t="s">
        <v>4951</v>
      </c>
      <c r="C720" s="4" t="s">
        <v>108</v>
      </c>
      <c r="D720" s="4" t="s">
        <v>4952</v>
      </c>
      <c r="E720" s="4" t="s">
        <v>18</v>
      </c>
      <c r="F720" s="4" t="s">
        <v>8503</v>
      </c>
      <c r="G720" s="4" t="s">
        <v>8504</v>
      </c>
      <c r="H720" s="4">
        <v>2.8</v>
      </c>
      <c r="I720" s="4">
        <v>1.55</v>
      </c>
      <c r="J720" s="4">
        <v>0.25051000000000001</v>
      </c>
      <c r="K720" s="4" t="b">
        <v>1</v>
      </c>
      <c r="L720" s="4" t="b">
        <v>0</v>
      </c>
    </row>
    <row r="721" spans="1:12" ht="13">
      <c r="A721" s="4" t="s">
        <v>8505</v>
      </c>
      <c r="B721" s="4" t="s">
        <v>4951</v>
      </c>
      <c r="C721" s="4" t="s">
        <v>108</v>
      </c>
      <c r="D721" s="4" t="s">
        <v>4952</v>
      </c>
      <c r="E721" s="4" t="s">
        <v>18</v>
      </c>
      <c r="F721" s="4" t="s">
        <v>8506</v>
      </c>
      <c r="G721" s="4" t="s">
        <v>8507</v>
      </c>
      <c r="H721" s="4">
        <v>2.8</v>
      </c>
      <c r="I721" s="4">
        <v>1.1100000000000001</v>
      </c>
      <c r="J721" s="4">
        <v>0.26968999999999999</v>
      </c>
      <c r="K721" s="4" t="b">
        <v>1</v>
      </c>
      <c r="L721" s="4" t="b">
        <v>0</v>
      </c>
    </row>
    <row r="722" spans="1:12" ht="13">
      <c r="A722" s="4" t="s">
        <v>8508</v>
      </c>
      <c r="B722" s="4" t="s">
        <v>4951</v>
      </c>
      <c r="C722" s="4" t="s">
        <v>108</v>
      </c>
      <c r="D722" s="4" t="s">
        <v>4952</v>
      </c>
      <c r="E722" s="4" t="s">
        <v>18</v>
      </c>
      <c r="F722" s="4" t="s">
        <v>8509</v>
      </c>
      <c r="G722" s="4" t="s">
        <v>8510</v>
      </c>
      <c r="H722" s="4">
        <v>2.81</v>
      </c>
      <c r="I722" s="4">
        <v>1.06</v>
      </c>
      <c r="J722" s="4">
        <v>0.23746</v>
      </c>
      <c r="K722" s="4" t="b">
        <v>1</v>
      </c>
      <c r="L722" s="4" t="b">
        <v>0</v>
      </c>
    </row>
    <row r="723" spans="1:12" ht="13">
      <c r="A723" s="4" t="s">
        <v>8511</v>
      </c>
      <c r="B723" s="4" t="s">
        <v>4951</v>
      </c>
      <c r="C723" s="4" t="s">
        <v>108</v>
      </c>
      <c r="D723" s="4" t="s">
        <v>4952</v>
      </c>
      <c r="E723" s="4" t="s">
        <v>18</v>
      </c>
      <c r="F723" s="4" t="s">
        <v>8512</v>
      </c>
      <c r="G723" s="4" t="s">
        <v>8513</v>
      </c>
      <c r="H723" s="4">
        <v>2.82</v>
      </c>
      <c r="I723" s="4">
        <v>1.05</v>
      </c>
      <c r="J723" s="4">
        <v>0.27149000000000001</v>
      </c>
      <c r="K723" s="4" t="b">
        <v>1</v>
      </c>
      <c r="L723" s="4" t="b">
        <v>0</v>
      </c>
    </row>
    <row r="724" spans="1:12" ht="13">
      <c r="A724" s="4" t="s">
        <v>8514</v>
      </c>
      <c r="B724" s="4" t="s">
        <v>4951</v>
      </c>
      <c r="C724" s="4" t="s">
        <v>108</v>
      </c>
      <c r="D724" s="4" t="s">
        <v>4952</v>
      </c>
      <c r="E724" s="4" t="s">
        <v>18</v>
      </c>
      <c r="F724" s="4" t="s">
        <v>8515</v>
      </c>
      <c r="G724" s="4" t="s">
        <v>8516</v>
      </c>
      <c r="H724" s="4">
        <v>2.82</v>
      </c>
      <c r="I724" s="4">
        <v>1.06</v>
      </c>
      <c r="J724" s="4">
        <v>0.26999000000000001</v>
      </c>
      <c r="K724" s="4" t="b">
        <v>1</v>
      </c>
      <c r="L724" s="4" t="b">
        <v>0</v>
      </c>
    </row>
    <row r="725" spans="1:12" ht="13">
      <c r="A725" s="4" t="s">
        <v>8517</v>
      </c>
      <c r="B725" s="4" t="s">
        <v>4951</v>
      </c>
      <c r="C725" s="4" t="s">
        <v>108</v>
      </c>
      <c r="D725" s="4" t="s">
        <v>4952</v>
      </c>
      <c r="E725" s="4" t="s">
        <v>18</v>
      </c>
      <c r="F725" s="4" t="s">
        <v>8518</v>
      </c>
      <c r="G725" s="4" t="s">
        <v>8519</v>
      </c>
      <c r="H725" s="4">
        <v>2.83</v>
      </c>
      <c r="I725" s="4">
        <v>1.1100000000000001</v>
      </c>
      <c r="J725" s="4">
        <v>0.29892000000000002</v>
      </c>
      <c r="K725" s="4" t="b">
        <v>1</v>
      </c>
      <c r="L725" s="4" t="b">
        <v>0</v>
      </c>
    </row>
    <row r="726" spans="1:12" ht="13">
      <c r="A726" s="4" t="s">
        <v>8520</v>
      </c>
      <c r="B726" s="4" t="s">
        <v>4951</v>
      </c>
      <c r="C726" s="4" t="s">
        <v>108</v>
      </c>
      <c r="D726" s="4" t="s">
        <v>4952</v>
      </c>
      <c r="E726" s="4" t="s">
        <v>18</v>
      </c>
      <c r="F726" s="4" t="s">
        <v>8521</v>
      </c>
      <c r="G726" s="4" t="s">
        <v>8522</v>
      </c>
      <c r="H726" s="4">
        <v>2.84</v>
      </c>
      <c r="I726" s="4">
        <v>1.21</v>
      </c>
      <c r="J726" s="4">
        <v>0.27843000000000001</v>
      </c>
      <c r="K726" s="4" t="b">
        <v>1</v>
      </c>
      <c r="L726" s="4" t="b">
        <v>0</v>
      </c>
    </row>
    <row r="727" spans="1:12" ht="13">
      <c r="A727" s="4" t="s">
        <v>8523</v>
      </c>
      <c r="B727" s="4" t="s">
        <v>4951</v>
      </c>
      <c r="C727" s="4" t="s">
        <v>108</v>
      </c>
      <c r="D727" s="4" t="s">
        <v>4952</v>
      </c>
      <c r="E727" s="4" t="s">
        <v>18</v>
      </c>
      <c r="F727" s="4" t="s">
        <v>8524</v>
      </c>
      <c r="G727" s="4" t="s">
        <v>8525</v>
      </c>
      <c r="H727" s="4">
        <v>2.85</v>
      </c>
      <c r="I727" s="4">
        <v>1.3</v>
      </c>
      <c r="J727" s="4">
        <v>0.30310999999999999</v>
      </c>
      <c r="K727" s="4" t="b">
        <v>1</v>
      </c>
      <c r="L727" s="4" t="b">
        <v>0</v>
      </c>
    </row>
    <row r="728" spans="1:12" ht="13">
      <c r="A728" s="4" t="s">
        <v>8526</v>
      </c>
      <c r="B728" s="4" t="s">
        <v>4951</v>
      </c>
      <c r="C728" s="4" t="s">
        <v>108</v>
      </c>
      <c r="D728" s="4" t="s">
        <v>4952</v>
      </c>
      <c r="E728" s="4" t="s">
        <v>18</v>
      </c>
      <c r="F728" s="4" t="s">
        <v>8527</v>
      </c>
      <c r="G728" s="4" t="s">
        <v>8528</v>
      </c>
      <c r="H728" s="4">
        <v>2.85</v>
      </c>
      <c r="I728" s="4">
        <v>1.27</v>
      </c>
      <c r="J728" s="4">
        <v>0.24401</v>
      </c>
      <c r="K728" s="4" t="b">
        <v>1</v>
      </c>
      <c r="L728" s="4" t="b">
        <v>0</v>
      </c>
    </row>
    <row r="729" spans="1:12" ht="13">
      <c r="A729" s="4" t="s">
        <v>8529</v>
      </c>
      <c r="B729" s="4" t="s">
        <v>4951</v>
      </c>
      <c r="C729" s="4" t="s">
        <v>108</v>
      </c>
      <c r="D729" s="4" t="s">
        <v>4952</v>
      </c>
      <c r="E729" s="4" t="s">
        <v>18</v>
      </c>
      <c r="F729" s="4" t="s">
        <v>8530</v>
      </c>
      <c r="G729" s="4" t="s">
        <v>8531</v>
      </c>
      <c r="H729" s="4">
        <v>2.86</v>
      </c>
      <c r="I729" s="4">
        <v>1.1299999999999999</v>
      </c>
      <c r="J729" s="4">
        <v>0.27041999999999999</v>
      </c>
      <c r="K729" s="4" t="b">
        <v>1</v>
      </c>
      <c r="L729" s="4" t="b">
        <v>0</v>
      </c>
    </row>
    <row r="730" spans="1:12" ht="13">
      <c r="A730" s="4" t="s">
        <v>8532</v>
      </c>
      <c r="B730" s="4" t="s">
        <v>4951</v>
      </c>
      <c r="C730" s="4" t="s">
        <v>108</v>
      </c>
      <c r="D730" s="4" t="s">
        <v>4952</v>
      </c>
      <c r="E730" s="4" t="s">
        <v>18</v>
      </c>
      <c r="F730" s="4" t="s">
        <v>8533</v>
      </c>
      <c r="G730" s="4" t="s">
        <v>8534</v>
      </c>
      <c r="H730" s="4">
        <v>2.87</v>
      </c>
      <c r="I730" s="4">
        <v>1.1100000000000001</v>
      </c>
      <c r="J730" s="4">
        <v>0.27468999999999999</v>
      </c>
      <c r="K730" s="4" t="b">
        <v>1</v>
      </c>
      <c r="L730" s="4" t="b">
        <v>0</v>
      </c>
    </row>
    <row r="731" spans="1:12" ht="13">
      <c r="A731" s="4" t="s">
        <v>8535</v>
      </c>
      <c r="B731" s="4" t="s">
        <v>4951</v>
      </c>
      <c r="C731" s="4" t="s">
        <v>108</v>
      </c>
      <c r="D731" s="4" t="s">
        <v>4952</v>
      </c>
      <c r="E731" s="4" t="s">
        <v>18</v>
      </c>
      <c r="F731" s="4" t="s">
        <v>8536</v>
      </c>
      <c r="G731" s="4" t="s">
        <v>8537</v>
      </c>
      <c r="H731" s="4">
        <v>2.87</v>
      </c>
      <c r="I731" s="4">
        <v>1.1399999999999999</v>
      </c>
      <c r="J731" s="4">
        <v>0.26417000000000002</v>
      </c>
      <c r="K731" s="4" t="b">
        <v>1</v>
      </c>
      <c r="L731" s="4" t="b">
        <v>0</v>
      </c>
    </row>
    <row r="732" spans="1:12" ht="13">
      <c r="A732" s="4" t="s">
        <v>8538</v>
      </c>
      <c r="B732" s="4" t="s">
        <v>4951</v>
      </c>
      <c r="C732" s="4" t="s">
        <v>108</v>
      </c>
      <c r="D732" s="4" t="s">
        <v>4952</v>
      </c>
      <c r="E732" s="4" t="s">
        <v>18</v>
      </c>
      <c r="F732" s="4" t="s">
        <v>8539</v>
      </c>
      <c r="G732" s="4" t="s">
        <v>8540</v>
      </c>
      <c r="H732" s="4">
        <v>2.89</v>
      </c>
      <c r="I732" s="4">
        <v>1.08</v>
      </c>
      <c r="J732" s="4">
        <v>0.26245000000000002</v>
      </c>
      <c r="K732" s="4" t="b">
        <v>1</v>
      </c>
      <c r="L732" s="4" t="b">
        <v>0</v>
      </c>
    </row>
    <row r="733" spans="1:12" ht="13">
      <c r="A733" s="4" t="s">
        <v>8541</v>
      </c>
      <c r="B733" s="4" t="s">
        <v>4951</v>
      </c>
      <c r="C733" s="4" t="s">
        <v>108</v>
      </c>
      <c r="D733" s="4" t="s">
        <v>4952</v>
      </c>
      <c r="E733" s="4" t="s">
        <v>18</v>
      </c>
      <c r="F733" s="4" t="s">
        <v>8542</v>
      </c>
      <c r="G733" s="4" t="s">
        <v>8543</v>
      </c>
      <c r="H733" s="4">
        <v>2.9</v>
      </c>
      <c r="I733" s="4">
        <v>1.17</v>
      </c>
      <c r="J733" s="4">
        <v>0.26761000000000001</v>
      </c>
      <c r="K733" s="4" t="b">
        <v>1</v>
      </c>
      <c r="L733" s="4" t="b">
        <v>0</v>
      </c>
    </row>
    <row r="734" spans="1:12" ht="13">
      <c r="A734" s="4" t="s">
        <v>8544</v>
      </c>
      <c r="B734" s="4" t="s">
        <v>4951</v>
      </c>
      <c r="C734" s="4" t="s">
        <v>108</v>
      </c>
      <c r="D734" s="4" t="s">
        <v>4952</v>
      </c>
      <c r="E734" s="4" t="s">
        <v>18</v>
      </c>
      <c r="F734" s="4" t="s">
        <v>8545</v>
      </c>
      <c r="G734" s="4" t="s">
        <v>8546</v>
      </c>
      <c r="H734" s="4">
        <v>2.9</v>
      </c>
      <c r="I734" s="4">
        <v>1.1000000000000001</v>
      </c>
      <c r="J734" s="4">
        <v>0.24953</v>
      </c>
      <c r="K734" s="4" t="b">
        <v>1</v>
      </c>
      <c r="L734" s="4" t="b">
        <v>0</v>
      </c>
    </row>
    <row r="735" spans="1:12" ht="13">
      <c r="A735" s="4" t="s">
        <v>8547</v>
      </c>
      <c r="B735" s="4" t="s">
        <v>4951</v>
      </c>
      <c r="C735" s="4" t="s">
        <v>108</v>
      </c>
      <c r="D735" s="4" t="s">
        <v>4952</v>
      </c>
      <c r="E735" s="4" t="s">
        <v>18</v>
      </c>
      <c r="F735" s="4" t="s">
        <v>8548</v>
      </c>
      <c r="G735" s="4" t="s">
        <v>8549</v>
      </c>
      <c r="H735" s="4">
        <v>2.9</v>
      </c>
      <c r="I735" s="4">
        <v>1.06</v>
      </c>
      <c r="J735" s="4">
        <v>0.26140999999999998</v>
      </c>
      <c r="K735" s="4" t="b">
        <v>1</v>
      </c>
      <c r="L735" s="4" t="b">
        <v>0</v>
      </c>
    </row>
    <row r="736" spans="1:12" ht="13">
      <c r="A736" s="4" t="s">
        <v>8550</v>
      </c>
      <c r="B736" s="4" t="s">
        <v>4951</v>
      </c>
      <c r="C736" s="4" t="s">
        <v>108</v>
      </c>
      <c r="D736" s="4" t="s">
        <v>4952</v>
      </c>
      <c r="E736" s="4" t="s">
        <v>18</v>
      </c>
      <c r="F736" s="4" t="s">
        <v>8551</v>
      </c>
      <c r="G736" s="4" t="s">
        <v>8552</v>
      </c>
      <c r="H736" s="4">
        <v>2.91</v>
      </c>
      <c r="I736" s="4">
        <v>1.33</v>
      </c>
      <c r="J736" s="4">
        <v>0.25902999999999998</v>
      </c>
      <c r="K736" s="4" t="b">
        <v>1</v>
      </c>
      <c r="L736" s="4" t="b">
        <v>0</v>
      </c>
    </row>
    <row r="737" spans="1:12" ht="13">
      <c r="A737" s="4" t="s">
        <v>8553</v>
      </c>
      <c r="B737" s="4" t="s">
        <v>4951</v>
      </c>
      <c r="C737" s="4" t="s">
        <v>108</v>
      </c>
      <c r="D737" s="4" t="s">
        <v>4952</v>
      </c>
      <c r="E737" s="4" t="s">
        <v>18</v>
      </c>
      <c r="F737" s="4" t="s">
        <v>8554</v>
      </c>
      <c r="G737" s="4" t="s">
        <v>8555</v>
      </c>
      <c r="H737" s="4">
        <v>2.91</v>
      </c>
      <c r="I737" s="4">
        <v>1.22</v>
      </c>
      <c r="J737" s="4">
        <v>0.24848999999999999</v>
      </c>
      <c r="K737" s="4" t="b">
        <v>1</v>
      </c>
      <c r="L737" s="4" t="b">
        <v>0</v>
      </c>
    </row>
    <row r="738" spans="1:12" ht="13">
      <c r="A738" s="4" t="s">
        <v>8556</v>
      </c>
      <c r="B738" s="4" t="s">
        <v>4951</v>
      </c>
      <c r="C738" s="4" t="s">
        <v>108</v>
      </c>
      <c r="D738" s="4" t="s">
        <v>4952</v>
      </c>
      <c r="E738" s="4" t="s">
        <v>18</v>
      </c>
      <c r="F738" s="4" t="s">
        <v>8557</v>
      </c>
      <c r="G738" s="4" t="s">
        <v>8558</v>
      </c>
      <c r="H738" s="4">
        <v>2.92</v>
      </c>
      <c r="I738" s="4">
        <v>1.1200000000000001</v>
      </c>
      <c r="J738" s="4">
        <v>0.24784999999999999</v>
      </c>
      <c r="K738" s="4" t="b">
        <v>1</v>
      </c>
      <c r="L738" s="4" t="b">
        <v>0</v>
      </c>
    </row>
    <row r="739" spans="1:12" ht="13">
      <c r="A739" s="4" t="s">
        <v>8559</v>
      </c>
      <c r="B739" s="4" t="s">
        <v>4951</v>
      </c>
      <c r="C739" s="4" t="s">
        <v>108</v>
      </c>
      <c r="D739" s="4" t="s">
        <v>4952</v>
      </c>
      <c r="E739" s="4" t="s">
        <v>18</v>
      </c>
      <c r="F739" s="4" t="s">
        <v>8560</v>
      </c>
      <c r="G739" s="4" t="s">
        <v>8561</v>
      </c>
      <c r="H739" s="4">
        <v>2.93</v>
      </c>
      <c r="I739" s="4">
        <v>1.23</v>
      </c>
      <c r="J739" s="4">
        <v>0.28605000000000003</v>
      </c>
      <c r="K739" s="4" t="b">
        <v>1</v>
      </c>
      <c r="L739" s="4" t="b">
        <v>0</v>
      </c>
    </row>
    <row r="740" spans="1:12" ht="13">
      <c r="A740" s="4" t="s">
        <v>8562</v>
      </c>
      <c r="B740" s="4" t="s">
        <v>4951</v>
      </c>
      <c r="C740" s="4" t="s">
        <v>108</v>
      </c>
      <c r="D740" s="4" t="s">
        <v>4952</v>
      </c>
      <c r="E740" s="4" t="s">
        <v>18</v>
      </c>
      <c r="F740" s="4" t="s">
        <v>8563</v>
      </c>
      <c r="G740" s="4" t="s">
        <v>8564</v>
      </c>
      <c r="H740" s="4">
        <v>2.93</v>
      </c>
      <c r="I740" s="4">
        <v>1.0900000000000001</v>
      </c>
      <c r="J740" s="4">
        <v>0.25918999999999998</v>
      </c>
      <c r="K740" s="4" t="b">
        <v>1</v>
      </c>
      <c r="L740" s="4" t="b">
        <v>0</v>
      </c>
    </row>
    <row r="741" spans="1:12" ht="13">
      <c r="A741" s="4" t="s">
        <v>8565</v>
      </c>
      <c r="B741" s="4" t="s">
        <v>4951</v>
      </c>
      <c r="C741" s="4" t="s">
        <v>108</v>
      </c>
      <c r="D741" s="4" t="s">
        <v>4952</v>
      </c>
      <c r="E741" s="4" t="s">
        <v>18</v>
      </c>
      <c r="F741" s="4" t="s">
        <v>8566</v>
      </c>
      <c r="G741" s="4" t="s">
        <v>8567</v>
      </c>
      <c r="H741" s="4">
        <v>2.94</v>
      </c>
      <c r="I741" s="4">
        <v>1.1200000000000001</v>
      </c>
      <c r="J741" s="4">
        <v>0.25668000000000002</v>
      </c>
      <c r="K741" s="4" t="b">
        <v>1</v>
      </c>
      <c r="L741" s="4" t="b">
        <v>0</v>
      </c>
    </row>
    <row r="742" spans="1:12" ht="13">
      <c r="A742" s="4" t="s">
        <v>8568</v>
      </c>
      <c r="B742" s="4" t="s">
        <v>4951</v>
      </c>
      <c r="C742" s="4" t="s">
        <v>108</v>
      </c>
      <c r="D742" s="4" t="s">
        <v>4952</v>
      </c>
      <c r="E742" s="4" t="s">
        <v>18</v>
      </c>
      <c r="F742" s="4" t="s">
        <v>8569</v>
      </c>
      <c r="G742" s="4" t="s">
        <v>8570</v>
      </c>
      <c r="H742" s="4">
        <v>2.94</v>
      </c>
      <c r="I742" s="4">
        <v>1.1100000000000001</v>
      </c>
      <c r="J742" s="4">
        <v>0.28016999999999997</v>
      </c>
      <c r="K742" s="4" t="b">
        <v>1</v>
      </c>
      <c r="L742" s="4" t="b">
        <v>0</v>
      </c>
    </row>
    <row r="743" spans="1:12" ht="13">
      <c r="A743" s="4" t="s">
        <v>8571</v>
      </c>
      <c r="B743" s="4" t="s">
        <v>4951</v>
      </c>
      <c r="C743" s="4" t="s">
        <v>108</v>
      </c>
      <c r="D743" s="4" t="s">
        <v>4952</v>
      </c>
      <c r="E743" s="4" t="s">
        <v>18</v>
      </c>
      <c r="F743" s="4" t="s">
        <v>8572</v>
      </c>
      <c r="G743" s="4" t="s">
        <v>8573</v>
      </c>
      <c r="H743" s="4">
        <v>2.95</v>
      </c>
      <c r="I743" s="4">
        <v>1.07</v>
      </c>
      <c r="J743" s="4">
        <v>0.25829000000000002</v>
      </c>
      <c r="K743" s="4" t="b">
        <v>1</v>
      </c>
      <c r="L743" s="4" t="b">
        <v>0</v>
      </c>
    </row>
    <row r="744" spans="1:12" ht="13">
      <c r="A744" s="4" t="s">
        <v>8574</v>
      </c>
      <c r="B744" s="4" t="s">
        <v>4951</v>
      </c>
      <c r="C744" s="4" t="s">
        <v>108</v>
      </c>
      <c r="D744" s="4" t="s">
        <v>4952</v>
      </c>
      <c r="E744" s="4" t="s">
        <v>18</v>
      </c>
      <c r="F744" s="4" t="s">
        <v>8575</v>
      </c>
      <c r="G744" s="4" t="s">
        <v>8576</v>
      </c>
      <c r="H744" s="4">
        <v>2.95</v>
      </c>
      <c r="I744" s="4">
        <v>1.06</v>
      </c>
      <c r="J744" s="4">
        <v>0.26860000000000001</v>
      </c>
      <c r="K744" s="4" t="b">
        <v>1</v>
      </c>
      <c r="L744" s="4" t="b">
        <v>0</v>
      </c>
    </row>
    <row r="745" spans="1:12" ht="13">
      <c r="A745" s="4" t="s">
        <v>8577</v>
      </c>
      <c r="B745" s="4" t="s">
        <v>4951</v>
      </c>
      <c r="C745" s="4" t="s">
        <v>108</v>
      </c>
      <c r="D745" s="4" t="s">
        <v>4952</v>
      </c>
      <c r="E745" s="4" t="s">
        <v>18</v>
      </c>
      <c r="F745" s="4" t="s">
        <v>8578</v>
      </c>
      <c r="G745" s="4" t="s">
        <v>8579</v>
      </c>
      <c r="H745" s="4">
        <v>2.96</v>
      </c>
      <c r="I745" s="4">
        <v>1.04</v>
      </c>
      <c r="J745" s="4">
        <v>0.27756999999999998</v>
      </c>
      <c r="K745" s="4" t="b">
        <v>1</v>
      </c>
      <c r="L745" s="4" t="b">
        <v>0</v>
      </c>
    </row>
    <row r="746" spans="1:12" ht="13">
      <c r="A746" s="4" t="s">
        <v>8580</v>
      </c>
      <c r="B746" s="4" t="s">
        <v>4951</v>
      </c>
      <c r="C746" s="4" t="s">
        <v>108</v>
      </c>
      <c r="D746" s="4" t="s">
        <v>4952</v>
      </c>
      <c r="E746" s="4" t="s">
        <v>18</v>
      </c>
      <c r="F746" s="4" t="s">
        <v>8581</v>
      </c>
      <c r="G746" s="4" t="s">
        <v>8582</v>
      </c>
      <c r="H746" s="4">
        <v>2.97</v>
      </c>
      <c r="I746" s="4">
        <v>1.07</v>
      </c>
      <c r="J746" s="4">
        <v>0.24978</v>
      </c>
      <c r="K746" s="4" t="b">
        <v>1</v>
      </c>
      <c r="L746" s="4" t="b">
        <v>0</v>
      </c>
    </row>
    <row r="747" spans="1:12" ht="13">
      <c r="A747" s="4" t="s">
        <v>8583</v>
      </c>
      <c r="B747" s="4" t="s">
        <v>4951</v>
      </c>
      <c r="C747" s="4" t="s">
        <v>108</v>
      </c>
      <c r="D747" s="4" t="s">
        <v>4952</v>
      </c>
      <c r="E747" s="4" t="s">
        <v>18</v>
      </c>
      <c r="F747" s="4" t="s">
        <v>8584</v>
      </c>
      <c r="G747" s="4" t="s">
        <v>8585</v>
      </c>
      <c r="H747" s="4">
        <v>2.98</v>
      </c>
      <c r="I747" s="4">
        <v>1.24</v>
      </c>
      <c r="J747" s="4">
        <v>0.23696</v>
      </c>
      <c r="K747" s="4" t="b">
        <v>1</v>
      </c>
      <c r="L747" s="4" t="b">
        <v>0</v>
      </c>
    </row>
    <row r="748" spans="1:12" ht="13">
      <c r="A748" s="4" t="s">
        <v>8586</v>
      </c>
      <c r="B748" s="4" t="s">
        <v>4951</v>
      </c>
      <c r="C748" s="4" t="s">
        <v>108</v>
      </c>
      <c r="D748" s="4" t="s">
        <v>4952</v>
      </c>
      <c r="E748" s="4" t="s">
        <v>18</v>
      </c>
      <c r="F748" s="4" t="s">
        <v>8587</v>
      </c>
      <c r="G748" s="4" t="s">
        <v>8588</v>
      </c>
      <c r="H748" s="4">
        <v>2.99</v>
      </c>
      <c r="I748" s="4">
        <v>1.17</v>
      </c>
      <c r="J748" s="4">
        <v>0.27038000000000001</v>
      </c>
      <c r="K748" s="4" t="b">
        <v>1</v>
      </c>
      <c r="L748" s="4" t="b">
        <v>0</v>
      </c>
    </row>
    <row r="749" spans="1:12" ht="13">
      <c r="A749" s="4" t="s">
        <v>8589</v>
      </c>
      <c r="B749" s="4" t="s">
        <v>4951</v>
      </c>
      <c r="C749" s="4" t="s">
        <v>108</v>
      </c>
      <c r="D749" s="4" t="s">
        <v>4952</v>
      </c>
      <c r="E749" s="4" t="s">
        <v>18</v>
      </c>
      <c r="F749" s="4" t="s">
        <v>8590</v>
      </c>
      <c r="G749" s="4" t="s">
        <v>8591</v>
      </c>
      <c r="H749" s="4">
        <v>2.99</v>
      </c>
      <c r="I749" s="4">
        <v>1.08</v>
      </c>
      <c r="J749" s="4">
        <v>0.27705000000000002</v>
      </c>
      <c r="K749" s="4" t="b">
        <v>1</v>
      </c>
      <c r="L749" s="4" t="b">
        <v>0</v>
      </c>
    </row>
    <row r="750" spans="1:12" ht="13">
      <c r="A750" s="4" t="s">
        <v>8592</v>
      </c>
      <c r="B750" s="4" t="s">
        <v>4951</v>
      </c>
      <c r="C750" s="4" t="s">
        <v>108</v>
      </c>
      <c r="D750" s="4" t="s">
        <v>4952</v>
      </c>
      <c r="E750" s="4" t="s">
        <v>18</v>
      </c>
      <c r="F750" s="4" t="s">
        <v>8593</v>
      </c>
      <c r="G750" s="4" t="s">
        <v>8594</v>
      </c>
      <c r="H750" s="4">
        <v>3</v>
      </c>
      <c r="I750" s="4">
        <v>1.1000000000000001</v>
      </c>
      <c r="J750" s="4">
        <v>0.28017999999999998</v>
      </c>
      <c r="K750" s="4" t="b">
        <v>1</v>
      </c>
      <c r="L750" s="4" t="b">
        <v>0</v>
      </c>
    </row>
    <row r="751" spans="1:12" ht="13">
      <c r="A751" s="4" t="s">
        <v>8598</v>
      </c>
      <c r="B751" s="4" t="s">
        <v>4951</v>
      </c>
      <c r="C751" s="4" t="s">
        <v>108</v>
      </c>
      <c r="D751" s="4" t="s">
        <v>4952</v>
      </c>
      <c r="E751" s="4" t="s">
        <v>18</v>
      </c>
      <c r="F751" s="4" t="s">
        <v>8599</v>
      </c>
      <c r="G751" s="4" t="s">
        <v>8600</v>
      </c>
      <c r="H751" s="4">
        <v>3.02</v>
      </c>
      <c r="I751" s="4">
        <v>1.0900000000000001</v>
      </c>
      <c r="J751" s="4">
        <v>0.28038000000000002</v>
      </c>
      <c r="K751" s="4" t="b">
        <v>1</v>
      </c>
      <c r="L751" s="4" t="b">
        <v>0</v>
      </c>
    </row>
    <row r="752" spans="1:12" ht="13">
      <c r="A752" s="4" t="s">
        <v>8601</v>
      </c>
      <c r="B752" s="4" t="s">
        <v>4951</v>
      </c>
      <c r="C752" s="4" t="s">
        <v>108</v>
      </c>
      <c r="D752" s="4" t="s">
        <v>4952</v>
      </c>
      <c r="E752" s="4" t="s">
        <v>18</v>
      </c>
      <c r="F752" s="4" t="s">
        <v>8602</v>
      </c>
      <c r="G752" s="4" t="s">
        <v>8603</v>
      </c>
      <c r="H752" s="4">
        <v>3.02</v>
      </c>
      <c r="I752" s="4">
        <v>1.1299999999999999</v>
      </c>
      <c r="J752" s="4">
        <v>0.26556999999999997</v>
      </c>
      <c r="K752" s="4" t="b">
        <v>1</v>
      </c>
      <c r="L752" s="4" t="b">
        <v>0</v>
      </c>
    </row>
    <row r="753" spans="1:13" ht="13">
      <c r="A753" s="4" t="s">
        <v>8604</v>
      </c>
      <c r="B753" s="4" t="s">
        <v>4951</v>
      </c>
      <c r="C753" s="4" t="s">
        <v>108</v>
      </c>
      <c r="D753" s="4" t="s">
        <v>4952</v>
      </c>
      <c r="E753" s="4" t="s">
        <v>18</v>
      </c>
      <c r="F753" s="4" t="s">
        <v>8605</v>
      </c>
      <c r="G753" s="4" t="s">
        <v>8606</v>
      </c>
      <c r="H753" s="4">
        <v>3.03</v>
      </c>
      <c r="I753" s="4">
        <v>1.04</v>
      </c>
      <c r="J753" s="4">
        <v>0.23332</v>
      </c>
      <c r="K753" s="4" t="b">
        <v>1</v>
      </c>
      <c r="L753" s="4" t="b">
        <v>0</v>
      </c>
    </row>
    <row r="754" spans="1:13" ht="13">
      <c r="A754" s="4" t="s">
        <v>8607</v>
      </c>
      <c r="B754" s="4" t="s">
        <v>4951</v>
      </c>
      <c r="C754" s="4" t="s">
        <v>108</v>
      </c>
      <c r="D754" s="4" t="s">
        <v>4952</v>
      </c>
      <c r="E754" s="4" t="s">
        <v>18</v>
      </c>
      <c r="F754" s="4" t="s">
        <v>8608</v>
      </c>
      <c r="G754" s="4" t="s">
        <v>8609</v>
      </c>
      <c r="H754" s="4">
        <v>3.03</v>
      </c>
      <c r="I754" s="4">
        <v>1.1299999999999999</v>
      </c>
      <c r="J754" s="4">
        <v>0.26846999999999999</v>
      </c>
      <c r="K754" s="4" t="b">
        <v>1</v>
      </c>
      <c r="L754" s="4" t="b">
        <v>0</v>
      </c>
    </row>
    <row r="755" spans="1:13" ht="13">
      <c r="A755" s="4" t="s">
        <v>8610</v>
      </c>
      <c r="B755" s="4" t="s">
        <v>4951</v>
      </c>
      <c r="C755" s="4" t="s">
        <v>108</v>
      </c>
      <c r="D755" s="4" t="s">
        <v>4952</v>
      </c>
      <c r="E755" s="4" t="s">
        <v>18</v>
      </c>
      <c r="F755" s="4" t="s">
        <v>8611</v>
      </c>
      <c r="G755" s="4" t="s">
        <v>8612</v>
      </c>
      <c r="H755" s="4">
        <v>3.04</v>
      </c>
      <c r="I755" s="4">
        <v>1.0900000000000001</v>
      </c>
      <c r="J755" s="4">
        <v>0.26379000000000002</v>
      </c>
      <c r="K755" s="4" t="b">
        <v>1</v>
      </c>
      <c r="L755" s="4" t="b">
        <v>0</v>
      </c>
    </row>
    <row r="756" spans="1:13" ht="13">
      <c r="A756" s="4" t="s">
        <v>8613</v>
      </c>
      <c r="B756" s="4" t="s">
        <v>4951</v>
      </c>
      <c r="C756" s="4" t="s">
        <v>108</v>
      </c>
      <c r="D756" s="4" t="s">
        <v>4952</v>
      </c>
      <c r="E756" s="4" t="s">
        <v>18</v>
      </c>
      <c r="F756" s="4" t="s">
        <v>8614</v>
      </c>
      <c r="G756" s="4" t="s">
        <v>8615</v>
      </c>
      <c r="H756" s="4">
        <v>3.05</v>
      </c>
      <c r="I756" s="4">
        <v>1.1299999999999999</v>
      </c>
      <c r="J756" s="4">
        <v>0.30689</v>
      </c>
      <c r="K756" s="4" t="b">
        <v>1</v>
      </c>
      <c r="L756" s="4" t="b">
        <v>0</v>
      </c>
    </row>
    <row r="757" spans="1:13" ht="13">
      <c r="A757" s="4" t="s">
        <v>8616</v>
      </c>
      <c r="B757" s="4" t="s">
        <v>4951</v>
      </c>
      <c r="C757" s="4" t="s">
        <v>108</v>
      </c>
      <c r="D757" s="4" t="s">
        <v>4952</v>
      </c>
      <c r="E757" s="4" t="s">
        <v>18</v>
      </c>
      <c r="F757" s="4" t="s">
        <v>8617</v>
      </c>
      <c r="G757" s="4" t="s">
        <v>8618</v>
      </c>
      <c r="H757" s="4">
        <v>3.05</v>
      </c>
      <c r="I757" s="4">
        <v>1.1499999999999999</v>
      </c>
      <c r="J757" s="4">
        <v>0.24867</v>
      </c>
      <c r="K757" s="4" t="b">
        <v>1</v>
      </c>
      <c r="L757" s="4" t="b">
        <v>0</v>
      </c>
    </row>
    <row r="758" spans="1:13" ht="13">
      <c r="A758" s="4" t="s">
        <v>8619</v>
      </c>
      <c r="B758" s="4" t="s">
        <v>4951</v>
      </c>
      <c r="C758" s="4" t="s">
        <v>108</v>
      </c>
      <c r="D758" s="4" t="s">
        <v>4952</v>
      </c>
      <c r="E758" s="4" t="s">
        <v>18</v>
      </c>
      <c r="F758" s="4" t="s">
        <v>8620</v>
      </c>
      <c r="G758" s="4" t="s">
        <v>8621</v>
      </c>
      <c r="H758" s="4">
        <v>3.05</v>
      </c>
      <c r="I758" s="4">
        <v>1.0900000000000001</v>
      </c>
      <c r="J758" s="4">
        <v>0.26952999999999999</v>
      </c>
      <c r="K758" s="4" t="b">
        <v>1</v>
      </c>
      <c r="L758" s="4" t="b">
        <v>0</v>
      </c>
    </row>
    <row r="759" spans="1:13" ht="13">
      <c r="A759" s="4" t="s">
        <v>8622</v>
      </c>
      <c r="B759" s="4" t="s">
        <v>4951</v>
      </c>
      <c r="C759" s="4" t="s">
        <v>108</v>
      </c>
      <c r="D759" s="4" t="s">
        <v>4952</v>
      </c>
      <c r="E759" s="4" t="s">
        <v>18</v>
      </c>
      <c r="F759" s="4" t="s">
        <v>8623</v>
      </c>
      <c r="G759" s="4" t="s">
        <v>8624</v>
      </c>
      <c r="H759" s="4">
        <v>3.06</v>
      </c>
      <c r="I759" s="4">
        <v>1.07</v>
      </c>
      <c r="J759" s="4">
        <v>0.26819999999999999</v>
      </c>
      <c r="K759" s="4" t="b">
        <v>1</v>
      </c>
      <c r="L759" s="4" t="b">
        <v>0</v>
      </c>
    </row>
    <row r="760" spans="1:13" ht="13">
      <c r="A760" s="4" t="s">
        <v>8625</v>
      </c>
      <c r="B760" s="4" t="s">
        <v>4951</v>
      </c>
      <c r="C760" s="4" t="s">
        <v>108</v>
      </c>
      <c r="D760" s="4" t="s">
        <v>4952</v>
      </c>
      <c r="E760" s="4" t="s">
        <v>18</v>
      </c>
      <c r="F760" s="4" t="s">
        <v>8626</v>
      </c>
      <c r="G760" s="4" t="s">
        <v>8627</v>
      </c>
      <c r="H760" s="4">
        <v>3.06</v>
      </c>
      <c r="I760" s="4">
        <v>1.1000000000000001</v>
      </c>
      <c r="J760" s="4">
        <v>0.26900000000000002</v>
      </c>
      <c r="K760" s="4" t="b">
        <v>1</v>
      </c>
      <c r="L760" s="4" t="b">
        <v>0</v>
      </c>
    </row>
    <row r="761" spans="1:13" ht="13">
      <c r="A761" s="4" t="s">
        <v>8628</v>
      </c>
      <c r="B761" s="4" t="s">
        <v>4951</v>
      </c>
      <c r="C761" s="4" t="s">
        <v>108</v>
      </c>
      <c r="D761" s="4" t="s">
        <v>4952</v>
      </c>
      <c r="E761" s="4" t="s">
        <v>18</v>
      </c>
      <c r="F761" s="4" t="s">
        <v>8629</v>
      </c>
      <c r="G761" s="4" t="s">
        <v>8630</v>
      </c>
      <c r="H761" s="4">
        <v>3.07</v>
      </c>
      <c r="I761" s="4">
        <v>1.07</v>
      </c>
      <c r="J761" s="4">
        <v>0.26341999999999999</v>
      </c>
      <c r="K761" s="4" t="b">
        <v>1</v>
      </c>
      <c r="L761" s="4" t="b">
        <v>0</v>
      </c>
    </row>
    <row r="762" spans="1:13" ht="13">
      <c r="A762" s="4" t="s">
        <v>8631</v>
      </c>
      <c r="B762" s="4" t="s">
        <v>4951</v>
      </c>
      <c r="C762" s="4" t="s">
        <v>108</v>
      </c>
      <c r="D762" s="4" t="s">
        <v>4952</v>
      </c>
      <c r="E762" s="4" t="s">
        <v>18</v>
      </c>
      <c r="F762" s="4" t="s">
        <v>8632</v>
      </c>
      <c r="G762" s="4" t="s">
        <v>8633</v>
      </c>
      <c r="H762" s="4">
        <v>3.07</v>
      </c>
      <c r="I762" s="4">
        <v>1.03</v>
      </c>
      <c r="J762" s="4">
        <v>0.24353</v>
      </c>
      <c r="K762" s="4" t="b">
        <v>1</v>
      </c>
      <c r="L762" s="4" t="b">
        <v>0</v>
      </c>
    </row>
    <row r="763" spans="1:13" ht="13">
      <c r="A763" s="4" t="s">
        <v>8634</v>
      </c>
      <c r="B763" s="4" t="s">
        <v>4951</v>
      </c>
      <c r="C763" s="4" t="s">
        <v>108</v>
      </c>
      <c r="D763" s="4" t="s">
        <v>4952</v>
      </c>
      <c r="E763" s="4" t="s">
        <v>18</v>
      </c>
      <c r="F763" s="4" t="s">
        <v>8635</v>
      </c>
      <c r="G763" s="4" t="s">
        <v>8636</v>
      </c>
      <c r="H763" s="4">
        <v>3.08</v>
      </c>
      <c r="I763" s="4">
        <v>1.05</v>
      </c>
      <c r="J763" s="4">
        <v>0.25266</v>
      </c>
      <c r="K763" s="4" t="b">
        <v>1</v>
      </c>
      <c r="L763" s="4" t="b">
        <v>0</v>
      </c>
    </row>
    <row r="764" spans="1:13" ht="13">
      <c r="A764" s="4" t="s">
        <v>8637</v>
      </c>
      <c r="B764" s="4" t="s">
        <v>4951</v>
      </c>
      <c r="C764" s="4" t="s">
        <v>108</v>
      </c>
      <c r="D764" s="4" t="s">
        <v>4952</v>
      </c>
      <c r="E764" s="4" t="s">
        <v>18</v>
      </c>
      <c r="F764" s="4" t="s">
        <v>8638</v>
      </c>
      <c r="G764" s="4" t="s">
        <v>8639</v>
      </c>
      <c r="H764" s="4">
        <v>3.08</v>
      </c>
      <c r="I764" s="4">
        <v>1.05</v>
      </c>
      <c r="J764" s="4">
        <v>0.26462000000000002</v>
      </c>
      <c r="K764" s="4" t="b">
        <v>1</v>
      </c>
      <c r="L764" s="4" t="b">
        <v>0</v>
      </c>
    </row>
    <row r="765" spans="1:13" ht="13">
      <c r="A765" s="4" t="s">
        <v>3143</v>
      </c>
      <c r="B765" s="4" t="s">
        <v>4951</v>
      </c>
      <c r="C765" s="4" t="s">
        <v>108</v>
      </c>
      <c r="D765" s="4" t="s">
        <v>4952</v>
      </c>
      <c r="E765" s="4" t="s">
        <v>18</v>
      </c>
      <c r="F765" s="4" t="s">
        <v>4970</v>
      </c>
      <c r="G765" s="4" t="s">
        <v>3039</v>
      </c>
      <c r="H765" s="4">
        <v>3.09</v>
      </c>
      <c r="I765" s="4">
        <v>1.07</v>
      </c>
      <c r="J765" s="4">
        <v>0.25034000000000001</v>
      </c>
      <c r="K765" s="4" t="b">
        <v>1</v>
      </c>
      <c r="L765" s="4" t="b">
        <v>1</v>
      </c>
      <c r="M765" s="41" t="s">
        <v>4929</v>
      </c>
    </row>
    <row r="766" spans="1:13" ht="13">
      <c r="A766" s="4" t="s">
        <v>8640</v>
      </c>
      <c r="B766" s="4" t="s">
        <v>4951</v>
      </c>
      <c r="C766" s="4" t="s">
        <v>108</v>
      </c>
      <c r="D766" s="4" t="s">
        <v>4952</v>
      </c>
      <c r="E766" s="4" t="s">
        <v>18</v>
      </c>
      <c r="F766" s="4" t="s">
        <v>8641</v>
      </c>
      <c r="G766" s="4" t="s">
        <v>8642</v>
      </c>
      <c r="H766" s="4">
        <v>3.1</v>
      </c>
      <c r="I766" s="4">
        <v>1.2</v>
      </c>
      <c r="J766" s="4">
        <v>0.28438000000000002</v>
      </c>
      <c r="K766" s="4" t="b">
        <v>1</v>
      </c>
      <c r="L766" s="4" t="b">
        <v>0</v>
      </c>
    </row>
    <row r="767" spans="1:13" ht="13">
      <c r="A767" s="4" t="s">
        <v>8643</v>
      </c>
      <c r="B767" s="4" t="s">
        <v>4951</v>
      </c>
      <c r="C767" s="4" t="s">
        <v>108</v>
      </c>
      <c r="D767" s="4" t="s">
        <v>4952</v>
      </c>
      <c r="E767" s="4" t="s">
        <v>18</v>
      </c>
      <c r="F767" s="4" t="s">
        <v>8644</v>
      </c>
      <c r="G767" s="4" t="s">
        <v>8645</v>
      </c>
      <c r="H767" s="4">
        <v>3.1</v>
      </c>
      <c r="I767" s="4">
        <v>1.05</v>
      </c>
      <c r="J767" s="4">
        <v>0.24743000000000001</v>
      </c>
      <c r="K767" s="4" t="b">
        <v>1</v>
      </c>
      <c r="L767" s="4" t="b">
        <v>0</v>
      </c>
    </row>
    <row r="768" spans="1:13" ht="13">
      <c r="A768" s="4" t="s">
        <v>8649</v>
      </c>
      <c r="B768" s="4" t="s">
        <v>4951</v>
      </c>
      <c r="C768" s="4" t="s">
        <v>108</v>
      </c>
      <c r="D768" s="4" t="s">
        <v>4952</v>
      </c>
      <c r="E768" s="4" t="s">
        <v>18</v>
      </c>
      <c r="F768" s="4" t="s">
        <v>8650</v>
      </c>
      <c r="G768" s="4" t="s">
        <v>8651</v>
      </c>
      <c r="H768" s="4">
        <v>3.11</v>
      </c>
      <c r="I768" s="4">
        <v>1.23</v>
      </c>
      <c r="J768" s="4">
        <v>0.23419000000000001</v>
      </c>
      <c r="K768" s="4" t="b">
        <v>1</v>
      </c>
      <c r="L768" s="4" t="b">
        <v>0</v>
      </c>
    </row>
    <row r="769" spans="1:12" ht="13">
      <c r="A769" s="4" t="s">
        <v>8652</v>
      </c>
      <c r="B769" s="4" t="s">
        <v>4951</v>
      </c>
      <c r="C769" s="4" t="s">
        <v>108</v>
      </c>
      <c r="D769" s="4" t="s">
        <v>4952</v>
      </c>
      <c r="E769" s="4" t="s">
        <v>18</v>
      </c>
      <c r="F769" s="4" t="s">
        <v>8653</v>
      </c>
      <c r="G769" s="4" t="s">
        <v>8654</v>
      </c>
      <c r="H769" s="4">
        <v>3.12</v>
      </c>
      <c r="I769" s="4">
        <v>1.63</v>
      </c>
      <c r="J769" s="4">
        <v>0.23705000000000001</v>
      </c>
      <c r="K769" s="4" t="b">
        <v>1</v>
      </c>
      <c r="L769" s="4" t="b">
        <v>0</v>
      </c>
    </row>
    <row r="770" spans="1:12" ht="13">
      <c r="A770" s="4" t="s">
        <v>8655</v>
      </c>
      <c r="B770" s="4" t="s">
        <v>4951</v>
      </c>
      <c r="C770" s="4" t="s">
        <v>108</v>
      </c>
      <c r="D770" s="4" t="s">
        <v>4952</v>
      </c>
      <c r="E770" s="4" t="s">
        <v>18</v>
      </c>
      <c r="F770" s="4" t="s">
        <v>8656</v>
      </c>
      <c r="G770" s="4" t="s">
        <v>8657</v>
      </c>
      <c r="H770" s="4">
        <v>3.12</v>
      </c>
      <c r="I770" s="4">
        <v>1</v>
      </c>
      <c r="J770" s="4">
        <v>0.23380999999999999</v>
      </c>
      <c r="K770" s="4" t="b">
        <v>1</v>
      </c>
      <c r="L770" s="4" t="b">
        <v>0</v>
      </c>
    </row>
    <row r="771" spans="1:12" ht="13">
      <c r="A771" s="4" t="s">
        <v>8658</v>
      </c>
      <c r="B771" s="4" t="s">
        <v>4951</v>
      </c>
      <c r="C771" s="4" t="s">
        <v>108</v>
      </c>
      <c r="D771" s="4" t="s">
        <v>4952</v>
      </c>
      <c r="E771" s="4" t="s">
        <v>18</v>
      </c>
      <c r="F771" s="4" t="s">
        <v>8659</v>
      </c>
      <c r="G771" s="4" t="s">
        <v>8660</v>
      </c>
      <c r="H771" s="4">
        <v>3.14</v>
      </c>
      <c r="I771" s="4">
        <v>1.1399999999999999</v>
      </c>
      <c r="J771" s="4">
        <v>0.25028</v>
      </c>
      <c r="K771" s="4" t="b">
        <v>1</v>
      </c>
      <c r="L771" s="4" t="b">
        <v>0</v>
      </c>
    </row>
    <row r="772" spans="1:12" ht="13">
      <c r="A772" s="4" t="s">
        <v>8661</v>
      </c>
      <c r="B772" s="4" t="s">
        <v>4951</v>
      </c>
      <c r="C772" s="4" t="s">
        <v>108</v>
      </c>
      <c r="D772" s="4" t="s">
        <v>4952</v>
      </c>
      <c r="E772" s="4" t="s">
        <v>18</v>
      </c>
      <c r="F772" s="4" t="s">
        <v>8662</v>
      </c>
      <c r="G772" s="4" t="s">
        <v>8663</v>
      </c>
      <c r="H772" s="4">
        <v>3.15</v>
      </c>
      <c r="I772" s="4">
        <v>1.1100000000000001</v>
      </c>
      <c r="J772" s="4">
        <v>0.23438000000000001</v>
      </c>
      <c r="K772" s="4" t="b">
        <v>1</v>
      </c>
      <c r="L772" s="4" t="b">
        <v>0</v>
      </c>
    </row>
    <row r="773" spans="1:12" ht="13">
      <c r="A773" s="4" t="s">
        <v>8664</v>
      </c>
      <c r="B773" s="4" t="s">
        <v>4951</v>
      </c>
      <c r="C773" s="4" t="s">
        <v>108</v>
      </c>
      <c r="D773" s="4" t="s">
        <v>4952</v>
      </c>
      <c r="E773" s="4" t="s">
        <v>18</v>
      </c>
      <c r="F773" s="4" t="s">
        <v>8665</v>
      </c>
      <c r="G773" s="4" t="s">
        <v>8666</v>
      </c>
      <c r="H773" s="4">
        <v>3.15</v>
      </c>
      <c r="I773" s="4">
        <v>1.53</v>
      </c>
      <c r="J773" s="4">
        <v>0.24474000000000001</v>
      </c>
      <c r="K773" s="4" t="b">
        <v>1</v>
      </c>
      <c r="L773" s="4" t="b">
        <v>0</v>
      </c>
    </row>
    <row r="774" spans="1:12" ht="13">
      <c r="A774" s="4" t="s">
        <v>8667</v>
      </c>
      <c r="B774" s="4" t="s">
        <v>4951</v>
      </c>
      <c r="C774" s="4" t="s">
        <v>108</v>
      </c>
      <c r="D774" s="4" t="s">
        <v>4952</v>
      </c>
      <c r="E774" s="4" t="s">
        <v>18</v>
      </c>
      <c r="F774" s="4" t="s">
        <v>8668</v>
      </c>
      <c r="G774" s="4" t="s">
        <v>8669</v>
      </c>
      <c r="H774" s="4">
        <v>3.16</v>
      </c>
      <c r="I774" s="4">
        <v>1.1200000000000001</v>
      </c>
      <c r="J774" s="4">
        <v>0.26479000000000003</v>
      </c>
      <c r="K774" s="4" t="b">
        <v>1</v>
      </c>
      <c r="L774" s="4" t="b">
        <v>0</v>
      </c>
    </row>
    <row r="775" spans="1:12" ht="13">
      <c r="A775" s="4" t="s">
        <v>8670</v>
      </c>
      <c r="B775" s="4" t="s">
        <v>4951</v>
      </c>
      <c r="C775" s="4" t="s">
        <v>108</v>
      </c>
      <c r="D775" s="4" t="s">
        <v>4952</v>
      </c>
      <c r="E775" s="4" t="s">
        <v>18</v>
      </c>
      <c r="F775" s="4" t="s">
        <v>8671</v>
      </c>
      <c r="G775" s="4" t="s">
        <v>8672</v>
      </c>
      <c r="H775" s="4">
        <v>3.16</v>
      </c>
      <c r="I775" s="4">
        <v>1.07</v>
      </c>
      <c r="J775" s="4">
        <v>0.26080999999999999</v>
      </c>
      <c r="K775" s="4" t="b">
        <v>1</v>
      </c>
      <c r="L775" s="4" t="b">
        <v>0</v>
      </c>
    </row>
    <row r="776" spans="1:12" ht="13">
      <c r="A776" s="4" t="s">
        <v>8673</v>
      </c>
      <c r="B776" s="4" t="s">
        <v>4951</v>
      </c>
      <c r="C776" s="4" t="s">
        <v>108</v>
      </c>
      <c r="D776" s="4" t="s">
        <v>4952</v>
      </c>
      <c r="E776" s="4" t="s">
        <v>18</v>
      </c>
      <c r="F776" s="4" t="s">
        <v>8674</v>
      </c>
      <c r="G776" s="4" t="s">
        <v>8675</v>
      </c>
      <c r="H776" s="4">
        <v>3.17</v>
      </c>
      <c r="I776" s="4">
        <v>1.0900000000000001</v>
      </c>
      <c r="J776" s="4">
        <v>0.25339</v>
      </c>
      <c r="K776" s="4" t="b">
        <v>1</v>
      </c>
      <c r="L776" s="4" t="b">
        <v>0</v>
      </c>
    </row>
    <row r="777" spans="1:12" ht="13">
      <c r="A777" s="4" t="s">
        <v>8676</v>
      </c>
      <c r="B777" s="4" t="s">
        <v>4951</v>
      </c>
      <c r="C777" s="4" t="s">
        <v>108</v>
      </c>
      <c r="D777" s="4" t="s">
        <v>4952</v>
      </c>
      <c r="E777" s="4" t="s">
        <v>18</v>
      </c>
      <c r="F777" s="4" t="s">
        <v>8677</v>
      </c>
      <c r="G777" s="4" t="s">
        <v>8678</v>
      </c>
      <c r="H777" s="4">
        <v>3.18</v>
      </c>
      <c r="I777" s="4">
        <v>1.1399999999999999</v>
      </c>
      <c r="J777" s="4">
        <v>0.25724999999999998</v>
      </c>
      <c r="K777" s="4" t="b">
        <v>1</v>
      </c>
      <c r="L777" s="4" t="b">
        <v>0</v>
      </c>
    </row>
    <row r="778" spans="1:12" ht="13">
      <c r="A778" s="4" t="s">
        <v>8679</v>
      </c>
      <c r="B778" s="4" t="s">
        <v>4951</v>
      </c>
      <c r="C778" s="4" t="s">
        <v>108</v>
      </c>
      <c r="D778" s="4" t="s">
        <v>4952</v>
      </c>
      <c r="E778" s="4" t="s">
        <v>18</v>
      </c>
      <c r="F778" s="4" t="s">
        <v>8680</v>
      </c>
      <c r="G778" s="4" t="s">
        <v>8681</v>
      </c>
      <c r="H778" s="4">
        <v>3.18</v>
      </c>
      <c r="I778" s="4">
        <v>1.1299999999999999</v>
      </c>
      <c r="J778" s="4">
        <v>0.28043000000000001</v>
      </c>
      <c r="K778" s="4" t="b">
        <v>1</v>
      </c>
      <c r="L778" s="4" t="b">
        <v>0</v>
      </c>
    </row>
    <row r="779" spans="1:12" ht="13">
      <c r="A779" s="4" t="s">
        <v>8682</v>
      </c>
      <c r="B779" s="4" t="s">
        <v>4951</v>
      </c>
      <c r="C779" s="4" t="s">
        <v>108</v>
      </c>
      <c r="D779" s="4" t="s">
        <v>4952</v>
      </c>
      <c r="E779" s="4" t="s">
        <v>18</v>
      </c>
      <c r="F779" s="4" t="s">
        <v>8683</v>
      </c>
      <c r="G779" s="4" t="s">
        <v>8684</v>
      </c>
      <c r="H779" s="4">
        <v>3.18</v>
      </c>
      <c r="I779" s="4">
        <v>1.1599999999999999</v>
      </c>
      <c r="J779" s="4">
        <v>0.25485000000000002</v>
      </c>
      <c r="K779" s="4" t="b">
        <v>1</v>
      </c>
      <c r="L779" s="4" t="b">
        <v>0</v>
      </c>
    </row>
    <row r="780" spans="1:12" ht="13">
      <c r="A780" s="4" t="s">
        <v>8685</v>
      </c>
      <c r="B780" s="4" t="s">
        <v>4951</v>
      </c>
      <c r="C780" s="4" t="s">
        <v>108</v>
      </c>
      <c r="D780" s="4" t="s">
        <v>4952</v>
      </c>
      <c r="E780" s="4" t="s">
        <v>18</v>
      </c>
      <c r="F780" s="4" t="s">
        <v>8686</v>
      </c>
      <c r="G780" s="4" t="s">
        <v>8687</v>
      </c>
      <c r="H780" s="4">
        <v>3.19</v>
      </c>
      <c r="I780" s="4">
        <v>1.25</v>
      </c>
      <c r="J780" s="4">
        <v>0.27600999999999998</v>
      </c>
      <c r="K780" s="4" t="b">
        <v>1</v>
      </c>
      <c r="L780" s="4" t="b">
        <v>0</v>
      </c>
    </row>
    <row r="781" spans="1:12" ht="13">
      <c r="A781" s="4" t="s">
        <v>8691</v>
      </c>
      <c r="B781" s="4" t="s">
        <v>4951</v>
      </c>
      <c r="C781" s="4" t="s">
        <v>108</v>
      </c>
      <c r="D781" s="4" t="s">
        <v>4952</v>
      </c>
      <c r="E781" s="4" t="s">
        <v>18</v>
      </c>
      <c r="F781" s="4" t="s">
        <v>8692</v>
      </c>
      <c r="G781" s="4" t="s">
        <v>8693</v>
      </c>
      <c r="H781" s="4">
        <v>3.2</v>
      </c>
      <c r="I781" s="4">
        <v>1.58</v>
      </c>
      <c r="J781" s="4">
        <v>0.25685999999999998</v>
      </c>
      <c r="K781" s="4" t="b">
        <v>1</v>
      </c>
      <c r="L781" s="4" t="b">
        <v>0</v>
      </c>
    </row>
    <row r="782" spans="1:12" ht="13">
      <c r="A782" s="4" t="s">
        <v>8694</v>
      </c>
      <c r="B782" s="4" t="s">
        <v>4951</v>
      </c>
      <c r="C782" s="4" t="s">
        <v>108</v>
      </c>
      <c r="D782" s="4" t="s">
        <v>4952</v>
      </c>
      <c r="E782" s="4" t="s">
        <v>18</v>
      </c>
      <c r="F782" s="4" t="s">
        <v>8695</v>
      </c>
      <c r="G782" s="4" t="s">
        <v>8696</v>
      </c>
      <c r="H782" s="4">
        <v>3.21</v>
      </c>
      <c r="I782" s="4">
        <v>1.1000000000000001</v>
      </c>
      <c r="J782" s="4">
        <v>0.25156000000000001</v>
      </c>
      <c r="K782" s="4" t="b">
        <v>1</v>
      </c>
      <c r="L782" s="4" t="b">
        <v>0</v>
      </c>
    </row>
    <row r="783" spans="1:12" ht="13">
      <c r="A783" s="4" t="s">
        <v>8697</v>
      </c>
      <c r="B783" s="4" t="s">
        <v>4951</v>
      </c>
      <c r="C783" s="4" t="s">
        <v>108</v>
      </c>
      <c r="D783" s="4" t="s">
        <v>4952</v>
      </c>
      <c r="E783" s="4" t="s">
        <v>18</v>
      </c>
      <c r="F783" s="4" t="s">
        <v>8698</v>
      </c>
      <c r="G783" s="4" t="s">
        <v>8699</v>
      </c>
      <c r="H783" s="4">
        <v>3.21</v>
      </c>
      <c r="I783" s="4">
        <v>1.22</v>
      </c>
      <c r="J783" s="4">
        <v>0.2666</v>
      </c>
      <c r="K783" s="4" t="b">
        <v>1</v>
      </c>
      <c r="L783" s="4" t="b">
        <v>0</v>
      </c>
    </row>
    <row r="784" spans="1:12" ht="13">
      <c r="A784" s="4" t="s">
        <v>8700</v>
      </c>
      <c r="B784" s="4" t="s">
        <v>4951</v>
      </c>
      <c r="C784" s="4" t="s">
        <v>108</v>
      </c>
      <c r="D784" s="4" t="s">
        <v>4952</v>
      </c>
      <c r="E784" s="4" t="s">
        <v>18</v>
      </c>
      <c r="F784" s="4" t="s">
        <v>8701</v>
      </c>
      <c r="G784" s="4" t="s">
        <v>8702</v>
      </c>
      <c r="H784" s="4">
        <v>3.22</v>
      </c>
      <c r="I784" s="4">
        <v>1.1100000000000001</v>
      </c>
      <c r="J784" s="4">
        <v>0.23910999999999999</v>
      </c>
      <c r="K784" s="4" t="b">
        <v>1</v>
      </c>
      <c r="L784" s="4" t="b">
        <v>0</v>
      </c>
    </row>
    <row r="785" spans="1:13" ht="13">
      <c r="A785" s="4" t="s">
        <v>8703</v>
      </c>
      <c r="B785" s="4" t="s">
        <v>4951</v>
      </c>
      <c r="C785" s="4" t="s">
        <v>108</v>
      </c>
      <c r="D785" s="4" t="s">
        <v>4952</v>
      </c>
      <c r="E785" s="4" t="s">
        <v>18</v>
      </c>
      <c r="F785" s="4" t="s">
        <v>8704</v>
      </c>
      <c r="G785" s="4" t="s">
        <v>8705</v>
      </c>
      <c r="H785" s="4">
        <v>3.22</v>
      </c>
      <c r="I785" s="4">
        <v>1.27</v>
      </c>
      <c r="J785" s="4">
        <v>0.24887000000000001</v>
      </c>
      <c r="K785" s="4" t="b">
        <v>1</v>
      </c>
      <c r="L785" s="4" t="b">
        <v>0</v>
      </c>
    </row>
    <row r="786" spans="1:13" ht="13">
      <c r="A786" s="4" t="s">
        <v>8706</v>
      </c>
      <c r="B786" s="4" t="s">
        <v>4951</v>
      </c>
      <c r="C786" s="4" t="s">
        <v>108</v>
      </c>
      <c r="D786" s="4" t="s">
        <v>4952</v>
      </c>
      <c r="E786" s="4" t="s">
        <v>18</v>
      </c>
      <c r="F786" s="4" t="s">
        <v>8707</v>
      </c>
      <c r="G786" s="4" t="s">
        <v>8708</v>
      </c>
      <c r="H786" s="4">
        <v>3.23</v>
      </c>
      <c r="I786" s="4">
        <v>1.1499999999999999</v>
      </c>
      <c r="J786" s="4">
        <v>0.25285000000000002</v>
      </c>
      <c r="K786" s="4" t="b">
        <v>1</v>
      </c>
      <c r="L786" s="4" t="b">
        <v>0</v>
      </c>
    </row>
    <row r="787" spans="1:13" ht="13">
      <c r="A787" s="4" t="s">
        <v>8709</v>
      </c>
      <c r="B787" s="4" t="s">
        <v>4951</v>
      </c>
      <c r="C787" s="4" t="s">
        <v>108</v>
      </c>
      <c r="D787" s="4" t="s">
        <v>4952</v>
      </c>
      <c r="E787" s="4" t="s">
        <v>18</v>
      </c>
      <c r="F787" s="4" t="s">
        <v>8710</v>
      </c>
      <c r="G787" s="4" t="s">
        <v>8711</v>
      </c>
      <c r="H787" s="4">
        <v>3.23</v>
      </c>
      <c r="I787" s="4">
        <v>1.32</v>
      </c>
      <c r="J787" s="4">
        <v>0.25394</v>
      </c>
      <c r="K787" s="4" t="b">
        <v>1</v>
      </c>
      <c r="L787" s="4" t="b">
        <v>0</v>
      </c>
    </row>
    <row r="788" spans="1:13" ht="13">
      <c r="A788" s="4" t="s">
        <v>8712</v>
      </c>
      <c r="B788" s="4" t="s">
        <v>4951</v>
      </c>
      <c r="C788" s="4" t="s">
        <v>108</v>
      </c>
      <c r="D788" s="4" t="s">
        <v>4952</v>
      </c>
      <c r="E788" s="4" t="s">
        <v>18</v>
      </c>
      <c r="F788" s="4" t="s">
        <v>8713</v>
      </c>
      <c r="G788" s="4" t="s">
        <v>8714</v>
      </c>
      <c r="H788" s="4">
        <v>3.24</v>
      </c>
      <c r="I788" s="4">
        <v>1.1100000000000001</v>
      </c>
      <c r="J788" s="4">
        <v>0.23219000000000001</v>
      </c>
      <c r="K788" s="4" t="b">
        <v>1</v>
      </c>
      <c r="L788" s="4" t="b">
        <v>0</v>
      </c>
    </row>
    <row r="789" spans="1:13" ht="13">
      <c r="A789" s="4" t="s">
        <v>8715</v>
      </c>
      <c r="B789" s="4" t="s">
        <v>4951</v>
      </c>
      <c r="C789" s="4" t="s">
        <v>108</v>
      </c>
      <c r="D789" s="4" t="s">
        <v>4952</v>
      </c>
      <c r="E789" s="4" t="s">
        <v>18</v>
      </c>
      <c r="F789" s="4" t="s">
        <v>8716</v>
      </c>
      <c r="G789" s="4" t="s">
        <v>8717</v>
      </c>
      <c r="H789" s="4">
        <v>3.24</v>
      </c>
      <c r="I789" s="4">
        <v>1.1000000000000001</v>
      </c>
      <c r="J789" s="4">
        <v>0.2288</v>
      </c>
      <c r="K789" s="4" t="b">
        <v>1</v>
      </c>
      <c r="L789" s="4" t="b">
        <v>0</v>
      </c>
    </row>
    <row r="790" spans="1:13" ht="13">
      <c r="A790" s="4" t="s">
        <v>8718</v>
      </c>
      <c r="B790" s="4" t="s">
        <v>4951</v>
      </c>
      <c r="C790" s="4" t="s">
        <v>108</v>
      </c>
      <c r="D790" s="4" t="s">
        <v>4952</v>
      </c>
      <c r="E790" s="4" t="s">
        <v>18</v>
      </c>
      <c r="F790" s="4" t="s">
        <v>8719</v>
      </c>
      <c r="G790" s="4" t="s">
        <v>8720</v>
      </c>
      <c r="H790" s="4">
        <v>0.22</v>
      </c>
      <c r="I790" s="4">
        <v>1.1000000000000001</v>
      </c>
      <c r="J790" s="4">
        <v>0.23354</v>
      </c>
      <c r="K790" s="4" t="b">
        <v>1</v>
      </c>
      <c r="L790" s="4" t="b">
        <v>0</v>
      </c>
    </row>
    <row r="791" spans="1:13" ht="13">
      <c r="A791" s="4" t="s">
        <v>8721</v>
      </c>
      <c r="B791" s="4" t="s">
        <v>4951</v>
      </c>
      <c r="C791" s="4" t="s">
        <v>108</v>
      </c>
      <c r="D791" s="4" t="s">
        <v>4952</v>
      </c>
      <c r="E791" s="4" t="s">
        <v>18</v>
      </c>
      <c r="F791" s="4" t="s">
        <v>8722</v>
      </c>
      <c r="G791" s="4" t="s">
        <v>8723</v>
      </c>
      <c r="H791" s="4">
        <v>0.22</v>
      </c>
      <c r="I791" s="4">
        <v>1.27</v>
      </c>
      <c r="J791" s="4">
        <v>0.25901999999999997</v>
      </c>
      <c r="K791" s="4" t="b">
        <v>1</v>
      </c>
      <c r="L791" s="4" t="b">
        <v>0</v>
      </c>
    </row>
    <row r="792" spans="1:13" ht="13">
      <c r="A792" s="4" t="s">
        <v>3144</v>
      </c>
      <c r="B792" s="4" t="s">
        <v>4951</v>
      </c>
      <c r="C792" s="4" t="s">
        <v>108</v>
      </c>
      <c r="D792" s="4" t="s">
        <v>4952</v>
      </c>
      <c r="E792" s="4" t="s">
        <v>18</v>
      </c>
      <c r="F792" s="4" t="s">
        <v>4971</v>
      </c>
      <c r="G792" s="4" t="s">
        <v>3040</v>
      </c>
      <c r="H792" s="4">
        <v>0.23</v>
      </c>
      <c r="I792" s="4">
        <v>1.29</v>
      </c>
      <c r="J792" s="4">
        <v>0.2626</v>
      </c>
      <c r="K792" s="4" t="b">
        <v>1</v>
      </c>
      <c r="L792" s="4" t="b">
        <v>1</v>
      </c>
      <c r="M792" s="41" t="s">
        <v>4929</v>
      </c>
    </row>
    <row r="793" spans="1:13" ht="13">
      <c r="A793" s="4" t="s">
        <v>8724</v>
      </c>
      <c r="B793" s="4" t="s">
        <v>4951</v>
      </c>
      <c r="C793" s="4" t="s">
        <v>108</v>
      </c>
      <c r="D793" s="4" t="s">
        <v>4952</v>
      </c>
      <c r="E793" s="4" t="s">
        <v>18</v>
      </c>
      <c r="F793" s="4" t="s">
        <v>8725</v>
      </c>
      <c r="G793" s="4" t="s">
        <v>8726</v>
      </c>
      <c r="H793" s="4">
        <v>0.23</v>
      </c>
      <c r="I793" s="4">
        <v>1.1599999999999999</v>
      </c>
      <c r="J793" s="4">
        <v>0.24190999999999999</v>
      </c>
      <c r="K793" s="4" t="b">
        <v>1</v>
      </c>
      <c r="L793" s="4" t="b">
        <v>0</v>
      </c>
    </row>
    <row r="794" spans="1:13" ht="13">
      <c r="A794" s="4" t="s">
        <v>8727</v>
      </c>
      <c r="B794" s="4" t="s">
        <v>4951</v>
      </c>
      <c r="C794" s="4" t="s">
        <v>108</v>
      </c>
      <c r="D794" s="4" t="s">
        <v>4952</v>
      </c>
      <c r="E794" s="4" t="s">
        <v>18</v>
      </c>
      <c r="F794" s="4" t="s">
        <v>8728</v>
      </c>
      <c r="G794" s="4" t="s">
        <v>8729</v>
      </c>
      <c r="H794" s="4">
        <v>0.24</v>
      </c>
      <c r="I794" s="4">
        <v>1.0900000000000001</v>
      </c>
      <c r="J794" s="4">
        <v>0.24973000000000001</v>
      </c>
      <c r="K794" s="4" t="b">
        <v>1</v>
      </c>
      <c r="L794" s="4" t="b">
        <v>0</v>
      </c>
    </row>
    <row r="795" spans="1:13" ht="13">
      <c r="A795" s="4" t="s">
        <v>8730</v>
      </c>
      <c r="B795" s="4" t="s">
        <v>4951</v>
      </c>
      <c r="C795" s="4" t="s">
        <v>108</v>
      </c>
      <c r="D795" s="4" t="s">
        <v>4952</v>
      </c>
      <c r="E795" s="4" t="s">
        <v>18</v>
      </c>
      <c r="F795" s="4" t="s">
        <v>8731</v>
      </c>
      <c r="G795" s="4" t="s">
        <v>8732</v>
      </c>
      <c r="H795" s="4">
        <v>0.24</v>
      </c>
      <c r="I795" s="4">
        <v>1.1200000000000001</v>
      </c>
      <c r="J795" s="4">
        <v>0.2636</v>
      </c>
      <c r="K795" s="4" t="b">
        <v>1</v>
      </c>
      <c r="L795" s="4" t="b">
        <v>0</v>
      </c>
    </row>
    <row r="796" spans="1:13" ht="13">
      <c r="A796" s="4" t="s">
        <v>8733</v>
      </c>
      <c r="B796" s="4" t="s">
        <v>4951</v>
      </c>
      <c r="C796" s="4" t="s">
        <v>108</v>
      </c>
      <c r="D796" s="4" t="s">
        <v>4952</v>
      </c>
      <c r="E796" s="4" t="s">
        <v>18</v>
      </c>
      <c r="F796" s="4" t="s">
        <v>8734</v>
      </c>
      <c r="G796" s="4" t="s">
        <v>8735</v>
      </c>
      <c r="H796" s="4">
        <v>0.24</v>
      </c>
      <c r="I796" s="4">
        <v>1.1599999999999999</v>
      </c>
      <c r="J796" s="4">
        <v>0.24177999999999999</v>
      </c>
      <c r="K796" s="4" t="b">
        <v>1</v>
      </c>
      <c r="L796" s="4" t="b">
        <v>0</v>
      </c>
    </row>
    <row r="797" spans="1:13" ht="13">
      <c r="A797" s="4" t="s">
        <v>8736</v>
      </c>
      <c r="B797" s="4" t="s">
        <v>4951</v>
      </c>
      <c r="C797" s="4" t="s">
        <v>108</v>
      </c>
      <c r="D797" s="4" t="s">
        <v>4952</v>
      </c>
      <c r="E797" s="4" t="s">
        <v>18</v>
      </c>
      <c r="F797" s="4" t="s">
        <v>8737</v>
      </c>
      <c r="G797" s="4" t="s">
        <v>8738</v>
      </c>
      <c r="H797" s="4">
        <v>0.25</v>
      </c>
      <c r="I797" s="4">
        <v>1.08</v>
      </c>
      <c r="J797" s="4">
        <v>0.25607000000000002</v>
      </c>
      <c r="K797" s="4" t="b">
        <v>1</v>
      </c>
      <c r="L797" s="4" t="b">
        <v>0</v>
      </c>
    </row>
    <row r="798" spans="1:13" ht="13">
      <c r="A798" s="4" t="s">
        <v>8739</v>
      </c>
      <c r="B798" s="4" t="s">
        <v>4951</v>
      </c>
      <c r="C798" s="4" t="s">
        <v>108</v>
      </c>
      <c r="D798" s="4" t="s">
        <v>4952</v>
      </c>
      <c r="E798" s="4" t="s">
        <v>18</v>
      </c>
      <c r="F798" s="4" t="s">
        <v>8740</v>
      </c>
      <c r="G798" s="4" t="s">
        <v>8741</v>
      </c>
      <c r="H798" s="4">
        <v>0.25</v>
      </c>
      <c r="I798" s="4">
        <v>1.01</v>
      </c>
      <c r="J798" s="4">
        <v>0.23003000000000001</v>
      </c>
      <c r="K798" s="4" t="b">
        <v>1</v>
      </c>
      <c r="L798" s="4" t="b">
        <v>0</v>
      </c>
    </row>
    <row r="799" spans="1:13" ht="13">
      <c r="A799" s="4" t="s">
        <v>8742</v>
      </c>
      <c r="B799" s="4" t="s">
        <v>4951</v>
      </c>
      <c r="C799" s="4" t="s">
        <v>108</v>
      </c>
      <c r="D799" s="4" t="s">
        <v>4952</v>
      </c>
      <c r="E799" s="4" t="s">
        <v>18</v>
      </c>
      <c r="F799" s="4" t="s">
        <v>8743</v>
      </c>
      <c r="G799" s="4" t="s">
        <v>8744</v>
      </c>
      <c r="H799" s="4">
        <v>0.26</v>
      </c>
      <c r="I799" s="4">
        <v>1.06</v>
      </c>
      <c r="J799" s="4">
        <v>0.24534</v>
      </c>
      <c r="K799" s="4" t="b">
        <v>1</v>
      </c>
      <c r="L799" s="4" t="b">
        <v>0</v>
      </c>
    </row>
    <row r="800" spans="1:13" ht="13">
      <c r="A800" s="4" t="s">
        <v>8745</v>
      </c>
      <c r="B800" s="4" t="s">
        <v>4951</v>
      </c>
      <c r="C800" s="4" t="s">
        <v>108</v>
      </c>
      <c r="D800" s="4" t="s">
        <v>4952</v>
      </c>
      <c r="E800" s="4" t="s">
        <v>18</v>
      </c>
      <c r="F800" s="4" t="s">
        <v>8746</v>
      </c>
      <c r="G800" s="4" t="s">
        <v>8747</v>
      </c>
      <c r="H800" s="4">
        <v>0.26</v>
      </c>
      <c r="I800" s="4">
        <v>1.17</v>
      </c>
      <c r="J800" s="4">
        <v>0.23638000000000001</v>
      </c>
      <c r="K800" s="4" t="b">
        <v>1</v>
      </c>
      <c r="L800" s="4" t="b">
        <v>0</v>
      </c>
    </row>
    <row r="801" spans="1:13" ht="13">
      <c r="A801" s="4" t="s">
        <v>8748</v>
      </c>
      <c r="B801" s="4" t="s">
        <v>4951</v>
      </c>
      <c r="C801" s="4" t="s">
        <v>108</v>
      </c>
      <c r="D801" s="4" t="s">
        <v>4952</v>
      </c>
      <c r="E801" s="4" t="s">
        <v>18</v>
      </c>
      <c r="F801" s="4" t="s">
        <v>8749</v>
      </c>
      <c r="G801" s="4" t="s">
        <v>8750</v>
      </c>
      <c r="H801" s="4">
        <v>0.27</v>
      </c>
      <c r="I801" s="4">
        <v>1.1000000000000001</v>
      </c>
      <c r="J801" s="4">
        <v>0.24431</v>
      </c>
      <c r="K801" s="4" t="b">
        <v>1</v>
      </c>
      <c r="L801" s="4" t="b">
        <v>0</v>
      </c>
    </row>
    <row r="802" spans="1:13" ht="13">
      <c r="A802" s="4" t="s">
        <v>8751</v>
      </c>
      <c r="B802" s="4" t="s">
        <v>4951</v>
      </c>
      <c r="C802" s="4" t="s">
        <v>108</v>
      </c>
      <c r="D802" s="4" t="s">
        <v>4952</v>
      </c>
      <c r="E802" s="4" t="s">
        <v>18</v>
      </c>
      <c r="F802" s="4" t="s">
        <v>8752</v>
      </c>
      <c r="G802" s="4" t="s">
        <v>8753</v>
      </c>
      <c r="H802" s="4">
        <v>0.27</v>
      </c>
      <c r="I802" s="4">
        <v>1.24</v>
      </c>
      <c r="J802" s="4">
        <v>0.30979000000000001</v>
      </c>
      <c r="K802" s="4" t="b">
        <v>1</v>
      </c>
      <c r="L802" s="4" t="b">
        <v>0</v>
      </c>
    </row>
    <row r="803" spans="1:13" ht="13">
      <c r="A803" s="4" t="s">
        <v>8760</v>
      </c>
      <c r="B803" s="4" t="s">
        <v>4951</v>
      </c>
      <c r="C803" s="4" t="s">
        <v>108</v>
      </c>
      <c r="D803" s="4" t="s">
        <v>4952</v>
      </c>
      <c r="E803" s="4" t="s">
        <v>18</v>
      </c>
      <c r="F803" s="4" t="s">
        <v>8761</v>
      </c>
      <c r="G803" s="4" t="s">
        <v>8762</v>
      </c>
      <c r="H803" s="4">
        <v>0.28000000000000003</v>
      </c>
      <c r="I803" s="4">
        <v>1.18</v>
      </c>
      <c r="J803" s="4">
        <v>0.27105000000000001</v>
      </c>
      <c r="K803" s="4" t="b">
        <v>1</v>
      </c>
      <c r="L803" s="4" t="b">
        <v>0</v>
      </c>
    </row>
    <row r="804" spans="1:13" ht="13">
      <c r="A804" s="4" t="s">
        <v>8763</v>
      </c>
      <c r="B804" s="4" t="s">
        <v>4951</v>
      </c>
      <c r="C804" s="4" t="s">
        <v>108</v>
      </c>
      <c r="D804" s="4" t="s">
        <v>4952</v>
      </c>
      <c r="E804" s="4" t="s">
        <v>18</v>
      </c>
      <c r="F804" s="4" t="s">
        <v>8764</v>
      </c>
      <c r="G804" s="4" t="s">
        <v>8765</v>
      </c>
      <c r="H804" s="4">
        <v>0.28000000000000003</v>
      </c>
      <c r="I804" s="4">
        <v>1.31</v>
      </c>
      <c r="J804" s="4">
        <v>0.24814</v>
      </c>
      <c r="K804" s="4" t="b">
        <v>1</v>
      </c>
      <c r="L804" s="4" t="b">
        <v>0</v>
      </c>
    </row>
    <row r="805" spans="1:13" ht="13">
      <c r="A805" s="4" t="s">
        <v>8766</v>
      </c>
      <c r="B805" s="4" t="s">
        <v>4951</v>
      </c>
      <c r="C805" s="4" t="s">
        <v>108</v>
      </c>
      <c r="D805" s="4" t="s">
        <v>4952</v>
      </c>
      <c r="E805" s="4" t="s">
        <v>18</v>
      </c>
      <c r="F805" s="4" t="s">
        <v>8767</v>
      </c>
      <c r="G805" s="4" t="s">
        <v>8768</v>
      </c>
      <c r="H805" s="4">
        <v>0.28999999999999998</v>
      </c>
      <c r="I805" s="4">
        <v>1.22</v>
      </c>
      <c r="J805" s="4">
        <v>0.26057999999999998</v>
      </c>
      <c r="K805" s="4" t="b">
        <v>1</v>
      </c>
      <c r="L805" s="4" t="b">
        <v>0</v>
      </c>
    </row>
    <row r="806" spans="1:13" ht="13">
      <c r="A806" s="4" t="s">
        <v>3145</v>
      </c>
      <c r="B806" s="4" t="s">
        <v>4951</v>
      </c>
      <c r="C806" s="4" t="s">
        <v>108</v>
      </c>
      <c r="D806" s="4" t="s">
        <v>4952</v>
      </c>
      <c r="E806" s="4" t="s">
        <v>18</v>
      </c>
      <c r="F806" s="4" t="s">
        <v>5138</v>
      </c>
      <c r="G806" s="4" t="s">
        <v>3041</v>
      </c>
      <c r="H806" s="4">
        <v>0.28999999999999998</v>
      </c>
      <c r="I806" s="4">
        <v>1.08</v>
      </c>
      <c r="J806" s="4">
        <v>0.24068999999999999</v>
      </c>
      <c r="K806" s="4" t="b">
        <v>1</v>
      </c>
      <c r="L806" s="4" t="b">
        <v>1</v>
      </c>
      <c r="M806" s="41" t="s">
        <v>4929</v>
      </c>
    </row>
    <row r="807" spans="1:13" ht="13">
      <c r="A807" s="4" t="s">
        <v>8769</v>
      </c>
      <c r="B807" s="4" t="s">
        <v>4951</v>
      </c>
      <c r="C807" s="4" t="s">
        <v>108</v>
      </c>
      <c r="D807" s="4" t="s">
        <v>4952</v>
      </c>
      <c r="E807" s="4" t="s">
        <v>18</v>
      </c>
      <c r="F807" s="4" t="s">
        <v>8770</v>
      </c>
      <c r="G807" s="4" t="s">
        <v>8771</v>
      </c>
      <c r="H807" s="4">
        <v>0.3</v>
      </c>
      <c r="I807" s="4">
        <v>1.1200000000000001</v>
      </c>
      <c r="J807" s="4">
        <v>0.24690999999999999</v>
      </c>
      <c r="K807" s="4" t="b">
        <v>1</v>
      </c>
      <c r="L807" s="4" t="b">
        <v>0</v>
      </c>
    </row>
    <row r="808" spans="1:13" ht="13">
      <c r="A808" s="4" t="s">
        <v>8772</v>
      </c>
      <c r="B808" s="4" t="s">
        <v>4951</v>
      </c>
      <c r="C808" s="4" t="s">
        <v>108</v>
      </c>
      <c r="D808" s="4" t="s">
        <v>4952</v>
      </c>
      <c r="E808" s="4" t="s">
        <v>18</v>
      </c>
      <c r="F808" s="4" t="s">
        <v>8773</v>
      </c>
      <c r="G808" s="4" t="s">
        <v>8774</v>
      </c>
      <c r="H808" s="4">
        <v>0.3</v>
      </c>
      <c r="I808" s="4">
        <v>1.08</v>
      </c>
      <c r="J808" s="4">
        <v>0.24501999999999999</v>
      </c>
      <c r="K808" s="4" t="b">
        <v>1</v>
      </c>
      <c r="L808" s="4" t="b">
        <v>0</v>
      </c>
    </row>
    <row r="809" spans="1:13" ht="13">
      <c r="A809" s="4" t="s">
        <v>8775</v>
      </c>
      <c r="B809" s="4" t="s">
        <v>4951</v>
      </c>
      <c r="C809" s="4" t="s">
        <v>108</v>
      </c>
      <c r="D809" s="4" t="s">
        <v>4952</v>
      </c>
      <c r="E809" s="4" t="s">
        <v>18</v>
      </c>
      <c r="F809" s="4" t="s">
        <v>8776</v>
      </c>
      <c r="G809" s="4" t="s">
        <v>8777</v>
      </c>
      <c r="H809" s="4">
        <v>0.31</v>
      </c>
      <c r="I809" s="4">
        <v>1.1399999999999999</v>
      </c>
      <c r="J809" s="4">
        <v>0.24703</v>
      </c>
      <c r="K809" s="4" t="b">
        <v>1</v>
      </c>
      <c r="L809" s="4" t="b">
        <v>0</v>
      </c>
    </row>
    <row r="810" spans="1:13" ht="13">
      <c r="A810" s="4" t="s">
        <v>8778</v>
      </c>
      <c r="B810" s="4" t="s">
        <v>4951</v>
      </c>
      <c r="C810" s="4" t="s">
        <v>108</v>
      </c>
      <c r="D810" s="4" t="s">
        <v>4952</v>
      </c>
      <c r="E810" s="4" t="s">
        <v>18</v>
      </c>
      <c r="F810" s="4" t="s">
        <v>8779</v>
      </c>
      <c r="G810" s="4" t="s">
        <v>8780</v>
      </c>
      <c r="H810" s="4">
        <v>0.31</v>
      </c>
      <c r="I810" s="4">
        <v>1.1299999999999999</v>
      </c>
      <c r="J810" s="4">
        <v>0.28406999999999999</v>
      </c>
      <c r="K810" s="4" t="b">
        <v>1</v>
      </c>
      <c r="L810" s="4" t="b">
        <v>0</v>
      </c>
    </row>
    <row r="811" spans="1:13" ht="13">
      <c r="A811" s="4" t="s">
        <v>8784</v>
      </c>
      <c r="B811" s="4" t="s">
        <v>4951</v>
      </c>
      <c r="C811" s="4" t="s">
        <v>108</v>
      </c>
      <c r="D811" s="4" t="s">
        <v>4952</v>
      </c>
      <c r="E811" s="4" t="s">
        <v>18</v>
      </c>
      <c r="F811" s="4" t="s">
        <v>8785</v>
      </c>
      <c r="G811" s="4" t="s">
        <v>8786</v>
      </c>
      <c r="H811" s="4">
        <v>0.32</v>
      </c>
      <c r="I811" s="4">
        <v>1.0900000000000001</v>
      </c>
      <c r="J811" s="4">
        <v>0.23815</v>
      </c>
      <c r="K811" s="4" t="b">
        <v>1</v>
      </c>
      <c r="L811" s="4" t="b">
        <v>0</v>
      </c>
    </row>
    <row r="812" spans="1:13" ht="13">
      <c r="A812" s="4" t="s">
        <v>8787</v>
      </c>
      <c r="B812" s="4" t="s">
        <v>4951</v>
      </c>
      <c r="C812" s="4" t="s">
        <v>108</v>
      </c>
      <c r="D812" s="4" t="s">
        <v>4952</v>
      </c>
      <c r="E812" s="4" t="s">
        <v>18</v>
      </c>
      <c r="F812" s="4" t="s">
        <v>8788</v>
      </c>
      <c r="G812" s="4" t="s">
        <v>8789</v>
      </c>
      <c r="H812" s="4">
        <v>0.32</v>
      </c>
      <c r="I812" s="4">
        <v>1.0900000000000001</v>
      </c>
      <c r="J812" s="4">
        <v>0.25625999999999999</v>
      </c>
      <c r="K812" s="4" t="b">
        <v>1</v>
      </c>
      <c r="L812" s="4" t="b">
        <v>0</v>
      </c>
    </row>
    <row r="813" spans="1:13" ht="13">
      <c r="A813" s="4" t="s">
        <v>8790</v>
      </c>
      <c r="B813" s="4" t="s">
        <v>4951</v>
      </c>
      <c r="C813" s="4" t="s">
        <v>108</v>
      </c>
      <c r="D813" s="4" t="s">
        <v>4952</v>
      </c>
      <c r="E813" s="4" t="s">
        <v>18</v>
      </c>
      <c r="F813" s="4" t="s">
        <v>8791</v>
      </c>
      <c r="G813" s="4" t="s">
        <v>8792</v>
      </c>
      <c r="H813" s="4">
        <v>0.33</v>
      </c>
      <c r="I813" s="4">
        <v>1.0900000000000001</v>
      </c>
      <c r="J813" s="4">
        <v>0.24579999999999999</v>
      </c>
      <c r="K813" s="4" t="b">
        <v>1</v>
      </c>
      <c r="L813" s="4" t="b">
        <v>0</v>
      </c>
    </row>
    <row r="814" spans="1:13" ht="13">
      <c r="A814" s="4" t="s">
        <v>8796</v>
      </c>
      <c r="B814" s="4" t="s">
        <v>4951</v>
      </c>
      <c r="C814" s="4" t="s">
        <v>108</v>
      </c>
      <c r="D814" s="4" t="s">
        <v>4952</v>
      </c>
      <c r="E814" s="4" t="s">
        <v>18</v>
      </c>
      <c r="F814" s="4" t="s">
        <v>8797</v>
      </c>
      <c r="G814" s="4" t="s">
        <v>8798</v>
      </c>
      <c r="H814" s="4">
        <v>0.34</v>
      </c>
      <c r="I814" s="4">
        <v>1.1399999999999999</v>
      </c>
      <c r="J814" s="4">
        <v>0.25422</v>
      </c>
      <c r="K814" s="4" t="b">
        <v>1</v>
      </c>
      <c r="L814" s="4" t="b">
        <v>0</v>
      </c>
    </row>
    <row r="815" spans="1:13" ht="13">
      <c r="A815" s="4" t="s">
        <v>8799</v>
      </c>
      <c r="B815" s="4" t="s">
        <v>4951</v>
      </c>
      <c r="C815" s="4" t="s">
        <v>108</v>
      </c>
      <c r="D815" s="4" t="s">
        <v>4952</v>
      </c>
      <c r="E815" s="4" t="s">
        <v>18</v>
      </c>
      <c r="F815" s="4" t="s">
        <v>8800</v>
      </c>
      <c r="G815" s="4" t="s">
        <v>8801</v>
      </c>
      <c r="H815" s="4">
        <v>0.34</v>
      </c>
      <c r="I815" s="4">
        <v>1.08</v>
      </c>
      <c r="J815" s="4">
        <v>0.24654999999999999</v>
      </c>
      <c r="K815" s="4" t="b">
        <v>1</v>
      </c>
      <c r="L815" s="4" t="b">
        <v>0</v>
      </c>
    </row>
    <row r="816" spans="1:13" ht="13">
      <c r="A816" s="4" t="s">
        <v>8802</v>
      </c>
      <c r="B816" s="4" t="s">
        <v>4951</v>
      </c>
      <c r="C816" s="4" t="s">
        <v>108</v>
      </c>
      <c r="D816" s="4" t="s">
        <v>4952</v>
      </c>
      <c r="E816" s="4" t="s">
        <v>18</v>
      </c>
      <c r="F816" s="4" t="s">
        <v>8803</v>
      </c>
      <c r="G816" s="4" t="s">
        <v>8804</v>
      </c>
      <c r="H816" s="4">
        <v>0.34</v>
      </c>
      <c r="I816" s="4">
        <v>1.1399999999999999</v>
      </c>
      <c r="J816" s="4">
        <v>0.25362000000000001</v>
      </c>
      <c r="K816" s="4" t="b">
        <v>1</v>
      </c>
      <c r="L816" s="4" t="b">
        <v>0</v>
      </c>
    </row>
    <row r="817" spans="1:12" ht="13">
      <c r="A817" s="4" t="s">
        <v>8805</v>
      </c>
      <c r="B817" s="4" t="s">
        <v>4951</v>
      </c>
      <c r="C817" s="4" t="s">
        <v>108</v>
      </c>
      <c r="D817" s="4" t="s">
        <v>4952</v>
      </c>
      <c r="E817" s="4" t="s">
        <v>18</v>
      </c>
      <c r="F817" s="4" t="s">
        <v>8806</v>
      </c>
      <c r="G817" s="4" t="s">
        <v>8807</v>
      </c>
      <c r="H817" s="4">
        <v>0.35</v>
      </c>
      <c r="I817" s="4">
        <v>1.24</v>
      </c>
      <c r="J817" s="4">
        <v>0.27887000000000001</v>
      </c>
      <c r="K817" s="4" t="b">
        <v>1</v>
      </c>
      <c r="L817" s="4" t="b">
        <v>0</v>
      </c>
    </row>
    <row r="818" spans="1:12" ht="13">
      <c r="A818" s="4" t="s">
        <v>8808</v>
      </c>
      <c r="B818" s="4" t="s">
        <v>4951</v>
      </c>
      <c r="C818" s="4" t="s">
        <v>108</v>
      </c>
      <c r="D818" s="4" t="s">
        <v>4952</v>
      </c>
      <c r="E818" s="4" t="s">
        <v>18</v>
      </c>
      <c r="F818" s="4" t="s">
        <v>8809</v>
      </c>
      <c r="G818" s="4" t="s">
        <v>8810</v>
      </c>
      <c r="H818" s="4">
        <v>0.35</v>
      </c>
      <c r="I818" s="4">
        <v>1.04</v>
      </c>
      <c r="J818" s="4">
        <v>0.24116000000000001</v>
      </c>
      <c r="K818" s="4" t="b">
        <v>1</v>
      </c>
      <c r="L818" s="4" t="b">
        <v>0</v>
      </c>
    </row>
    <row r="819" spans="1:12" ht="13">
      <c r="A819" s="4" t="s">
        <v>8811</v>
      </c>
      <c r="B819" s="4" t="s">
        <v>4951</v>
      </c>
      <c r="C819" s="4" t="s">
        <v>108</v>
      </c>
      <c r="D819" s="4" t="s">
        <v>4952</v>
      </c>
      <c r="E819" s="4" t="s">
        <v>18</v>
      </c>
      <c r="F819" s="4" t="s">
        <v>8812</v>
      </c>
      <c r="G819" s="4" t="s">
        <v>8813</v>
      </c>
      <c r="H819" s="4">
        <v>0.36</v>
      </c>
      <c r="I819" s="4">
        <v>1.2</v>
      </c>
      <c r="J819" s="4">
        <v>0.22345999999999999</v>
      </c>
      <c r="K819" s="4" t="b">
        <v>1</v>
      </c>
      <c r="L819" s="4" t="b">
        <v>0</v>
      </c>
    </row>
    <row r="820" spans="1:12" ht="13">
      <c r="A820" s="4" t="s">
        <v>8814</v>
      </c>
      <c r="B820" s="4" t="s">
        <v>4951</v>
      </c>
      <c r="C820" s="4" t="s">
        <v>108</v>
      </c>
      <c r="D820" s="4" t="s">
        <v>4952</v>
      </c>
      <c r="E820" s="4" t="s">
        <v>18</v>
      </c>
      <c r="F820" s="4" t="s">
        <v>8815</v>
      </c>
      <c r="G820" s="4" t="s">
        <v>8816</v>
      </c>
      <c r="H820" s="4">
        <v>0.36</v>
      </c>
      <c r="I820" s="4">
        <v>1.1299999999999999</v>
      </c>
      <c r="J820" s="4">
        <v>0.24756</v>
      </c>
      <c r="K820" s="4" t="b">
        <v>1</v>
      </c>
      <c r="L820" s="4" t="b">
        <v>0</v>
      </c>
    </row>
    <row r="821" spans="1:12" ht="13">
      <c r="A821" s="4" t="s">
        <v>8817</v>
      </c>
      <c r="B821" s="4" t="s">
        <v>4951</v>
      </c>
      <c r="C821" s="4" t="s">
        <v>108</v>
      </c>
      <c r="D821" s="4" t="s">
        <v>4952</v>
      </c>
      <c r="E821" s="4" t="s">
        <v>18</v>
      </c>
      <c r="F821" s="4" t="s">
        <v>8818</v>
      </c>
      <c r="G821" s="4" t="s">
        <v>8819</v>
      </c>
      <c r="H821" s="4">
        <v>0.36</v>
      </c>
      <c r="I821" s="4">
        <v>1.19</v>
      </c>
      <c r="J821" s="4">
        <v>0.26585999999999999</v>
      </c>
      <c r="K821" s="4" t="b">
        <v>1</v>
      </c>
      <c r="L821" s="4" t="b">
        <v>0</v>
      </c>
    </row>
    <row r="822" spans="1:12" ht="13">
      <c r="A822" s="4" t="s">
        <v>8820</v>
      </c>
      <c r="B822" s="4" t="s">
        <v>4951</v>
      </c>
      <c r="C822" s="4" t="s">
        <v>108</v>
      </c>
      <c r="D822" s="4" t="s">
        <v>4952</v>
      </c>
      <c r="E822" s="4" t="s">
        <v>18</v>
      </c>
      <c r="F822" s="4" t="s">
        <v>8821</v>
      </c>
      <c r="G822" s="4" t="s">
        <v>8822</v>
      </c>
      <c r="H822" s="4">
        <v>0.37</v>
      </c>
      <c r="I822" s="4">
        <v>1.1100000000000001</v>
      </c>
      <c r="J822" s="4">
        <v>0.26229000000000002</v>
      </c>
      <c r="K822" s="4" t="b">
        <v>1</v>
      </c>
      <c r="L822" s="4" t="b">
        <v>0</v>
      </c>
    </row>
    <row r="823" spans="1:12" ht="13">
      <c r="A823" s="4" t="s">
        <v>8823</v>
      </c>
      <c r="B823" s="4" t="s">
        <v>4951</v>
      </c>
      <c r="C823" s="4" t="s">
        <v>108</v>
      </c>
      <c r="D823" s="4" t="s">
        <v>4952</v>
      </c>
      <c r="E823" s="4" t="s">
        <v>18</v>
      </c>
      <c r="F823" s="4" t="s">
        <v>8824</v>
      </c>
      <c r="G823" s="4" t="s">
        <v>8825</v>
      </c>
      <c r="H823" s="4">
        <v>0.37</v>
      </c>
      <c r="I823" s="4">
        <v>1.07</v>
      </c>
      <c r="J823" s="4">
        <v>0.25636999999999999</v>
      </c>
      <c r="K823" s="4" t="b">
        <v>1</v>
      </c>
      <c r="L823" s="4" t="b">
        <v>0</v>
      </c>
    </row>
    <row r="824" spans="1:12" ht="13">
      <c r="A824" s="4" t="s">
        <v>8826</v>
      </c>
      <c r="B824" s="4" t="s">
        <v>4951</v>
      </c>
      <c r="C824" s="4" t="s">
        <v>108</v>
      </c>
      <c r="D824" s="4" t="s">
        <v>4952</v>
      </c>
      <c r="E824" s="4" t="s">
        <v>18</v>
      </c>
      <c r="F824" s="4" t="s">
        <v>8827</v>
      </c>
      <c r="G824" s="4" t="s">
        <v>8828</v>
      </c>
      <c r="H824" s="4">
        <v>0.37</v>
      </c>
      <c r="I824" s="4">
        <v>1.17</v>
      </c>
      <c r="J824" s="4">
        <v>0.26852999999999999</v>
      </c>
      <c r="K824" s="4" t="b">
        <v>1</v>
      </c>
      <c r="L824" s="4" t="b">
        <v>0</v>
      </c>
    </row>
    <row r="825" spans="1:12" ht="13">
      <c r="A825" s="4" t="s">
        <v>8829</v>
      </c>
      <c r="B825" s="4" t="s">
        <v>4951</v>
      </c>
      <c r="C825" s="4" t="s">
        <v>108</v>
      </c>
      <c r="D825" s="4" t="s">
        <v>4952</v>
      </c>
      <c r="E825" s="4" t="s">
        <v>18</v>
      </c>
      <c r="F825" s="4" t="s">
        <v>8830</v>
      </c>
      <c r="G825" s="4" t="s">
        <v>8831</v>
      </c>
      <c r="H825" s="4">
        <v>0.38</v>
      </c>
      <c r="I825" s="4">
        <v>1.1399999999999999</v>
      </c>
      <c r="J825" s="4">
        <v>0.25857000000000002</v>
      </c>
      <c r="K825" s="4" t="b">
        <v>1</v>
      </c>
      <c r="L825" s="4" t="b">
        <v>0</v>
      </c>
    </row>
    <row r="826" spans="1:12" ht="13">
      <c r="A826" s="4" t="s">
        <v>8832</v>
      </c>
      <c r="B826" s="4" t="s">
        <v>4951</v>
      </c>
      <c r="C826" s="4" t="s">
        <v>108</v>
      </c>
      <c r="D826" s="4" t="s">
        <v>4952</v>
      </c>
      <c r="E826" s="4" t="s">
        <v>18</v>
      </c>
      <c r="F826" s="4" t="s">
        <v>8833</v>
      </c>
      <c r="G826" s="4" t="s">
        <v>8834</v>
      </c>
      <c r="H826" s="4">
        <v>0.38</v>
      </c>
      <c r="I826" s="4">
        <v>1.0900000000000001</v>
      </c>
      <c r="J826" s="4">
        <v>0.25080000000000002</v>
      </c>
      <c r="K826" s="4" t="b">
        <v>1</v>
      </c>
      <c r="L826" s="4" t="b">
        <v>0</v>
      </c>
    </row>
    <row r="827" spans="1:12" ht="13">
      <c r="A827" s="4" t="s">
        <v>8835</v>
      </c>
      <c r="B827" s="4" t="s">
        <v>4951</v>
      </c>
      <c r="C827" s="4" t="s">
        <v>108</v>
      </c>
      <c r="D827" s="4" t="s">
        <v>4952</v>
      </c>
      <c r="E827" s="4" t="s">
        <v>18</v>
      </c>
      <c r="F827" s="4" t="s">
        <v>8836</v>
      </c>
      <c r="G827" s="4" t="s">
        <v>8837</v>
      </c>
      <c r="H827" s="4">
        <v>0.39</v>
      </c>
      <c r="I827" s="4">
        <v>1.1100000000000001</v>
      </c>
      <c r="J827" s="4">
        <v>0.2555</v>
      </c>
      <c r="K827" s="4" t="b">
        <v>1</v>
      </c>
      <c r="L827" s="4" t="b">
        <v>0</v>
      </c>
    </row>
    <row r="828" spans="1:12" ht="13">
      <c r="A828" s="4" t="s">
        <v>8838</v>
      </c>
      <c r="B828" s="4" t="s">
        <v>4951</v>
      </c>
      <c r="C828" s="4" t="s">
        <v>108</v>
      </c>
      <c r="D828" s="4" t="s">
        <v>4952</v>
      </c>
      <c r="E828" s="4" t="s">
        <v>18</v>
      </c>
      <c r="F828" s="4" t="s">
        <v>8839</v>
      </c>
      <c r="G828" s="4" t="s">
        <v>8840</v>
      </c>
      <c r="H828" s="4">
        <v>0.39</v>
      </c>
      <c r="I828" s="4">
        <v>1.1599999999999999</v>
      </c>
      <c r="J828" s="4">
        <v>0.25402999999999998</v>
      </c>
      <c r="K828" s="4" t="b">
        <v>1</v>
      </c>
      <c r="L828" s="4" t="b">
        <v>0</v>
      </c>
    </row>
    <row r="829" spans="1:12" ht="13">
      <c r="A829" s="4" t="s">
        <v>8841</v>
      </c>
      <c r="B829" s="4" t="s">
        <v>4951</v>
      </c>
      <c r="C829" s="4" t="s">
        <v>108</v>
      </c>
      <c r="D829" s="4" t="s">
        <v>4952</v>
      </c>
      <c r="E829" s="4" t="s">
        <v>18</v>
      </c>
      <c r="F829" s="4" t="s">
        <v>8842</v>
      </c>
      <c r="G829" s="4" t="s">
        <v>8843</v>
      </c>
      <c r="H829" s="4">
        <v>0.39</v>
      </c>
      <c r="I829" s="4">
        <v>1.1399999999999999</v>
      </c>
      <c r="J829" s="4">
        <v>0.26832</v>
      </c>
      <c r="K829" s="4" t="b">
        <v>1</v>
      </c>
      <c r="L829" s="4" t="b">
        <v>0</v>
      </c>
    </row>
    <row r="830" spans="1:12" ht="13">
      <c r="A830" s="4" t="s">
        <v>8844</v>
      </c>
      <c r="B830" s="4" t="s">
        <v>4951</v>
      </c>
      <c r="C830" s="4" t="s">
        <v>108</v>
      </c>
      <c r="D830" s="4" t="s">
        <v>4952</v>
      </c>
      <c r="E830" s="4" t="s">
        <v>18</v>
      </c>
      <c r="F830" s="4" t="s">
        <v>8845</v>
      </c>
      <c r="G830" s="4" t="s">
        <v>8846</v>
      </c>
      <c r="H830" s="4">
        <v>0.4</v>
      </c>
      <c r="I830" s="4">
        <v>1.07</v>
      </c>
      <c r="J830" s="4">
        <v>0.2364</v>
      </c>
      <c r="K830" s="4" t="b">
        <v>1</v>
      </c>
      <c r="L830" s="4" t="b">
        <v>0</v>
      </c>
    </row>
    <row r="831" spans="1:12" ht="13">
      <c r="A831" s="4" t="s">
        <v>8847</v>
      </c>
      <c r="B831" s="4" t="s">
        <v>4951</v>
      </c>
      <c r="C831" s="4" t="s">
        <v>108</v>
      </c>
      <c r="D831" s="4" t="s">
        <v>4952</v>
      </c>
      <c r="E831" s="4" t="s">
        <v>18</v>
      </c>
      <c r="F831" s="4" t="s">
        <v>8848</v>
      </c>
      <c r="G831" s="4" t="s">
        <v>8849</v>
      </c>
      <c r="H831" s="4">
        <v>0.4</v>
      </c>
      <c r="I831" s="4">
        <v>1.19</v>
      </c>
      <c r="J831" s="4">
        <v>0.25547999999999998</v>
      </c>
      <c r="K831" s="4" t="b">
        <v>1</v>
      </c>
      <c r="L831" s="4" t="b">
        <v>0</v>
      </c>
    </row>
    <row r="832" spans="1:12" ht="13">
      <c r="A832" s="4" t="s">
        <v>8850</v>
      </c>
      <c r="B832" s="4" t="s">
        <v>4951</v>
      </c>
      <c r="C832" s="4" t="s">
        <v>108</v>
      </c>
      <c r="D832" s="4" t="s">
        <v>4952</v>
      </c>
      <c r="E832" s="4" t="s">
        <v>18</v>
      </c>
      <c r="F832" s="4" t="s">
        <v>8851</v>
      </c>
      <c r="G832" s="4" t="s">
        <v>8852</v>
      </c>
      <c r="H832" s="4">
        <v>0.41</v>
      </c>
      <c r="I832" s="4">
        <v>1.24</v>
      </c>
      <c r="J832" s="4">
        <v>0.24396999999999999</v>
      </c>
      <c r="K832" s="4" t="b">
        <v>1</v>
      </c>
      <c r="L832" s="4" t="b">
        <v>0</v>
      </c>
    </row>
    <row r="833" spans="1:12" ht="13">
      <c r="A833" s="4" t="s">
        <v>8853</v>
      </c>
      <c r="B833" s="4" t="s">
        <v>4951</v>
      </c>
      <c r="C833" s="4" t="s">
        <v>108</v>
      </c>
      <c r="D833" s="4" t="s">
        <v>4952</v>
      </c>
      <c r="E833" s="4" t="s">
        <v>18</v>
      </c>
      <c r="F833" s="4" t="s">
        <v>8854</v>
      </c>
      <c r="G833" s="4" t="s">
        <v>8855</v>
      </c>
      <c r="H833" s="4">
        <v>0.42</v>
      </c>
      <c r="I833" s="4">
        <v>1.1200000000000001</v>
      </c>
      <c r="J833" s="4">
        <v>0.25947999999999999</v>
      </c>
      <c r="K833" s="4" t="b">
        <v>1</v>
      </c>
      <c r="L833" s="4" t="b">
        <v>0</v>
      </c>
    </row>
    <row r="834" spans="1:12" ht="13">
      <c r="A834" s="4" t="s">
        <v>8856</v>
      </c>
      <c r="B834" s="4" t="s">
        <v>4951</v>
      </c>
      <c r="C834" s="4" t="s">
        <v>108</v>
      </c>
      <c r="D834" s="4" t="s">
        <v>4952</v>
      </c>
      <c r="E834" s="4" t="s">
        <v>18</v>
      </c>
      <c r="F834" s="4" t="s">
        <v>8857</v>
      </c>
      <c r="G834" s="4" t="s">
        <v>8858</v>
      </c>
      <c r="H834" s="4">
        <v>0.42</v>
      </c>
      <c r="I834" s="4">
        <v>1.1599999999999999</v>
      </c>
      <c r="J834" s="4">
        <v>0.25547999999999998</v>
      </c>
      <c r="K834" s="4" t="b">
        <v>1</v>
      </c>
      <c r="L834" s="4" t="b">
        <v>0</v>
      </c>
    </row>
    <row r="835" spans="1:12" ht="13">
      <c r="A835" s="4" t="s">
        <v>8859</v>
      </c>
      <c r="B835" s="4" t="s">
        <v>4951</v>
      </c>
      <c r="C835" s="4" t="s">
        <v>108</v>
      </c>
      <c r="D835" s="4" t="s">
        <v>4952</v>
      </c>
      <c r="E835" s="4" t="s">
        <v>18</v>
      </c>
      <c r="F835" s="4" t="s">
        <v>8860</v>
      </c>
      <c r="G835" s="4" t="s">
        <v>8861</v>
      </c>
      <c r="H835" s="4">
        <v>0.42</v>
      </c>
      <c r="I835" s="4">
        <v>1.1299999999999999</v>
      </c>
      <c r="J835" s="4">
        <v>0.29102</v>
      </c>
      <c r="K835" s="4" t="b">
        <v>1</v>
      </c>
      <c r="L835" s="4" t="b">
        <v>0</v>
      </c>
    </row>
    <row r="836" spans="1:12" ht="13">
      <c r="A836" s="4" t="s">
        <v>8862</v>
      </c>
      <c r="B836" s="4" t="s">
        <v>4951</v>
      </c>
      <c r="C836" s="4" t="s">
        <v>108</v>
      </c>
      <c r="D836" s="4" t="s">
        <v>4952</v>
      </c>
      <c r="E836" s="4" t="s">
        <v>18</v>
      </c>
      <c r="F836" s="4" t="s">
        <v>8863</v>
      </c>
      <c r="G836" s="4" t="s">
        <v>8864</v>
      </c>
      <c r="H836" s="4">
        <v>0.43</v>
      </c>
      <c r="I836" s="4">
        <v>1.23</v>
      </c>
      <c r="J836" s="4">
        <v>0.28333999999999998</v>
      </c>
      <c r="K836" s="4" t="b">
        <v>1</v>
      </c>
      <c r="L836" s="4" t="b">
        <v>0</v>
      </c>
    </row>
    <row r="837" spans="1:12" ht="13">
      <c r="A837" s="4" t="s">
        <v>8865</v>
      </c>
      <c r="B837" s="4" t="s">
        <v>4951</v>
      </c>
      <c r="C837" s="4" t="s">
        <v>108</v>
      </c>
      <c r="D837" s="4" t="s">
        <v>4952</v>
      </c>
      <c r="E837" s="4" t="s">
        <v>18</v>
      </c>
      <c r="F837" s="4" t="s">
        <v>8866</v>
      </c>
      <c r="G837" s="4" t="s">
        <v>8867</v>
      </c>
      <c r="H837" s="4">
        <v>0.43</v>
      </c>
      <c r="I837" s="4">
        <v>1.1399999999999999</v>
      </c>
      <c r="J837" s="4">
        <v>0.27637</v>
      </c>
      <c r="K837" s="4" t="b">
        <v>1</v>
      </c>
      <c r="L837" s="4" t="b">
        <v>0</v>
      </c>
    </row>
    <row r="838" spans="1:12" ht="13">
      <c r="A838" s="4" t="s">
        <v>8868</v>
      </c>
      <c r="B838" s="4" t="s">
        <v>4951</v>
      </c>
      <c r="C838" s="4" t="s">
        <v>108</v>
      </c>
      <c r="D838" s="4" t="s">
        <v>4952</v>
      </c>
      <c r="E838" s="4" t="s">
        <v>18</v>
      </c>
      <c r="F838" s="4" t="s">
        <v>8869</v>
      </c>
      <c r="G838" s="4" t="s">
        <v>8870</v>
      </c>
      <c r="H838" s="4">
        <v>0.43</v>
      </c>
      <c r="I838" s="4">
        <v>1.07</v>
      </c>
      <c r="J838" s="4">
        <v>0.24981</v>
      </c>
      <c r="K838" s="4" t="b">
        <v>1</v>
      </c>
      <c r="L838" s="4" t="b">
        <v>0</v>
      </c>
    </row>
    <row r="839" spans="1:12" ht="13">
      <c r="A839" s="4" t="s">
        <v>8871</v>
      </c>
      <c r="B839" s="4" t="s">
        <v>4951</v>
      </c>
      <c r="C839" s="4" t="s">
        <v>108</v>
      </c>
      <c r="D839" s="4" t="s">
        <v>4952</v>
      </c>
      <c r="E839" s="4" t="s">
        <v>18</v>
      </c>
      <c r="F839" s="4" t="s">
        <v>8872</v>
      </c>
      <c r="G839" s="4" t="s">
        <v>8873</v>
      </c>
      <c r="H839" s="4">
        <v>0.44</v>
      </c>
      <c r="I839" s="4">
        <v>1.23</v>
      </c>
      <c r="J839" s="4">
        <v>0.30847999999999998</v>
      </c>
      <c r="K839" s="4" t="b">
        <v>1</v>
      </c>
      <c r="L839" s="4" t="b">
        <v>0</v>
      </c>
    </row>
    <row r="840" spans="1:12" ht="13">
      <c r="A840" s="4" t="s">
        <v>8874</v>
      </c>
      <c r="B840" s="4" t="s">
        <v>4951</v>
      </c>
      <c r="C840" s="4" t="s">
        <v>108</v>
      </c>
      <c r="D840" s="4" t="s">
        <v>4952</v>
      </c>
      <c r="E840" s="4" t="s">
        <v>18</v>
      </c>
      <c r="F840" s="4" t="s">
        <v>8875</v>
      </c>
      <c r="G840" s="4" t="s">
        <v>8876</v>
      </c>
      <c r="H840" s="4">
        <v>0.44</v>
      </c>
      <c r="I840" s="4">
        <v>1.1399999999999999</v>
      </c>
      <c r="J840" s="4">
        <v>0.26595000000000002</v>
      </c>
      <c r="K840" s="4" t="b">
        <v>1</v>
      </c>
      <c r="L840" s="4" t="b">
        <v>0</v>
      </c>
    </row>
    <row r="841" spans="1:12" ht="13">
      <c r="A841" s="4" t="s">
        <v>8877</v>
      </c>
      <c r="B841" s="4" t="s">
        <v>4951</v>
      </c>
      <c r="C841" s="4" t="s">
        <v>108</v>
      </c>
      <c r="D841" s="4" t="s">
        <v>4952</v>
      </c>
      <c r="E841" s="4" t="s">
        <v>18</v>
      </c>
      <c r="F841" s="4" t="s">
        <v>8878</v>
      </c>
      <c r="G841" s="4" t="s">
        <v>8879</v>
      </c>
      <c r="H841" s="4">
        <v>0.45</v>
      </c>
      <c r="I841" s="4">
        <v>1.33</v>
      </c>
      <c r="J841" s="4">
        <v>0.26100000000000001</v>
      </c>
      <c r="K841" s="4" t="b">
        <v>1</v>
      </c>
      <c r="L841" s="4" t="b">
        <v>0</v>
      </c>
    </row>
    <row r="842" spans="1:12" ht="13">
      <c r="A842" s="4" t="s">
        <v>8880</v>
      </c>
      <c r="B842" s="4" t="s">
        <v>4951</v>
      </c>
      <c r="C842" s="4" t="s">
        <v>108</v>
      </c>
      <c r="D842" s="4" t="s">
        <v>4952</v>
      </c>
      <c r="E842" s="4" t="s">
        <v>18</v>
      </c>
      <c r="F842" s="4" t="s">
        <v>8881</v>
      </c>
      <c r="G842" s="4" t="s">
        <v>8882</v>
      </c>
      <c r="H842" s="4">
        <v>0.46</v>
      </c>
      <c r="I842" s="4">
        <v>1.1499999999999999</v>
      </c>
      <c r="J842" s="4">
        <v>0.23247000000000001</v>
      </c>
      <c r="K842" s="4" t="b">
        <v>1</v>
      </c>
      <c r="L842" s="4" t="b">
        <v>0</v>
      </c>
    </row>
    <row r="843" spans="1:12" ht="13">
      <c r="A843" s="4" t="s">
        <v>8883</v>
      </c>
      <c r="B843" s="4" t="s">
        <v>4951</v>
      </c>
      <c r="C843" s="4" t="s">
        <v>108</v>
      </c>
      <c r="D843" s="4" t="s">
        <v>4952</v>
      </c>
      <c r="E843" s="4" t="s">
        <v>18</v>
      </c>
      <c r="F843" s="4" t="s">
        <v>8884</v>
      </c>
      <c r="G843" s="4" t="s">
        <v>8885</v>
      </c>
      <c r="H843" s="4">
        <v>0.46</v>
      </c>
      <c r="I843" s="4">
        <v>1.17</v>
      </c>
      <c r="J843" s="4">
        <v>0.25220999999999999</v>
      </c>
      <c r="K843" s="4" t="b">
        <v>1</v>
      </c>
      <c r="L843" s="4" t="b">
        <v>0</v>
      </c>
    </row>
    <row r="844" spans="1:12" ht="13">
      <c r="A844" s="4" t="s">
        <v>8886</v>
      </c>
      <c r="B844" s="4" t="s">
        <v>4951</v>
      </c>
      <c r="C844" s="4" t="s">
        <v>108</v>
      </c>
      <c r="D844" s="4" t="s">
        <v>4952</v>
      </c>
      <c r="E844" s="4" t="s">
        <v>18</v>
      </c>
      <c r="F844" s="4" t="s">
        <v>8887</v>
      </c>
      <c r="G844" s="4" t="s">
        <v>8888</v>
      </c>
      <c r="H844" s="4">
        <v>0.47</v>
      </c>
      <c r="I844" s="4">
        <v>1.23</v>
      </c>
      <c r="J844" s="4">
        <v>0.25778000000000001</v>
      </c>
      <c r="K844" s="4" t="b">
        <v>1</v>
      </c>
      <c r="L844" s="4" t="b">
        <v>0</v>
      </c>
    </row>
    <row r="845" spans="1:12" ht="13">
      <c r="A845" s="4" t="s">
        <v>8889</v>
      </c>
      <c r="B845" s="4" t="s">
        <v>4951</v>
      </c>
      <c r="C845" s="4" t="s">
        <v>108</v>
      </c>
      <c r="D845" s="4" t="s">
        <v>4952</v>
      </c>
      <c r="E845" s="4" t="s">
        <v>18</v>
      </c>
      <c r="F845" s="4" t="s">
        <v>8890</v>
      </c>
      <c r="G845" s="4" t="s">
        <v>8891</v>
      </c>
      <c r="H845" s="4">
        <v>0.47</v>
      </c>
      <c r="I845" s="4">
        <v>1.1000000000000001</v>
      </c>
      <c r="J845" s="4">
        <v>0.23863999999999999</v>
      </c>
      <c r="K845" s="4" t="b">
        <v>1</v>
      </c>
      <c r="L845" s="4" t="b">
        <v>0</v>
      </c>
    </row>
    <row r="846" spans="1:12" ht="13">
      <c r="A846" s="4" t="s">
        <v>8892</v>
      </c>
      <c r="B846" s="4" t="s">
        <v>4951</v>
      </c>
      <c r="C846" s="4" t="s">
        <v>108</v>
      </c>
      <c r="D846" s="4" t="s">
        <v>4952</v>
      </c>
      <c r="E846" s="4" t="s">
        <v>18</v>
      </c>
      <c r="F846" s="4" t="s">
        <v>8893</v>
      </c>
      <c r="G846" s="4" t="s">
        <v>8894</v>
      </c>
      <c r="H846" s="4">
        <v>0.48</v>
      </c>
      <c r="I846" s="4">
        <v>1.04</v>
      </c>
      <c r="J846" s="4">
        <v>0.24143000000000001</v>
      </c>
      <c r="K846" s="4" t="b">
        <v>1</v>
      </c>
      <c r="L846" s="4" t="b">
        <v>0</v>
      </c>
    </row>
    <row r="847" spans="1:12" ht="13">
      <c r="A847" s="4" t="s">
        <v>8895</v>
      </c>
      <c r="B847" s="4" t="s">
        <v>4951</v>
      </c>
      <c r="C847" s="4" t="s">
        <v>108</v>
      </c>
      <c r="D847" s="4" t="s">
        <v>4952</v>
      </c>
      <c r="E847" s="4" t="s">
        <v>18</v>
      </c>
      <c r="F847" s="4" t="s">
        <v>8896</v>
      </c>
      <c r="G847" s="4" t="s">
        <v>8897</v>
      </c>
      <c r="H847" s="4">
        <v>0.48</v>
      </c>
      <c r="I847" s="4">
        <v>1.07</v>
      </c>
      <c r="J847" s="4">
        <v>0.23063</v>
      </c>
      <c r="K847" s="4" t="b">
        <v>1</v>
      </c>
      <c r="L847" s="4" t="b">
        <v>0</v>
      </c>
    </row>
    <row r="848" spans="1:12" ht="13">
      <c r="A848" s="4" t="s">
        <v>8898</v>
      </c>
      <c r="B848" s="4" t="s">
        <v>4951</v>
      </c>
      <c r="C848" s="4" t="s">
        <v>108</v>
      </c>
      <c r="D848" s="4" t="s">
        <v>4952</v>
      </c>
      <c r="E848" s="4" t="s">
        <v>18</v>
      </c>
      <c r="F848" s="4" t="s">
        <v>8899</v>
      </c>
      <c r="G848" s="4" t="s">
        <v>8900</v>
      </c>
      <c r="H848" s="4">
        <v>0.48</v>
      </c>
      <c r="I848" s="4">
        <v>1.27</v>
      </c>
      <c r="J848" s="4">
        <v>0.29425000000000001</v>
      </c>
      <c r="K848" s="4" t="b">
        <v>1</v>
      </c>
      <c r="L848" s="4" t="b">
        <v>0</v>
      </c>
    </row>
    <row r="849" spans="1:13" ht="13">
      <c r="A849" s="4" t="s">
        <v>8901</v>
      </c>
      <c r="B849" s="4" t="s">
        <v>4951</v>
      </c>
      <c r="C849" s="4" t="s">
        <v>108</v>
      </c>
      <c r="D849" s="4" t="s">
        <v>4952</v>
      </c>
      <c r="E849" s="4" t="s">
        <v>18</v>
      </c>
      <c r="F849" s="4" t="s">
        <v>8902</v>
      </c>
      <c r="G849" s="4" t="s">
        <v>8903</v>
      </c>
      <c r="H849" s="4">
        <v>0.49</v>
      </c>
      <c r="I849" s="4">
        <v>1.1100000000000001</v>
      </c>
      <c r="J849" s="4">
        <v>0.26196999999999998</v>
      </c>
      <c r="K849" s="4" t="b">
        <v>1</v>
      </c>
      <c r="L849" s="4" t="b">
        <v>0</v>
      </c>
    </row>
    <row r="850" spans="1:13" ht="13">
      <c r="A850" s="4" t="s">
        <v>3146</v>
      </c>
      <c r="B850" s="4" t="s">
        <v>4951</v>
      </c>
      <c r="C850" s="4" t="s">
        <v>108</v>
      </c>
      <c r="D850" s="4" t="s">
        <v>4952</v>
      </c>
      <c r="E850" s="4" t="s">
        <v>18</v>
      </c>
      <c r="F850" s="4" t="s">
        <v>5139</v>
      </c>
      <c r="G850" s="4" t="s">
        <v>3042</v>
      </c>
      <c r="H850" s="4">
        <v>0.49</v>
      </c>
      <c r="I850" s="4">
        <v>1.1100000000000001</v>
      </c>
      <c r="J850" s="4">
        <v>0.23796999999999999</v>
      </c>
      <c r="K850" s="4" t="b">
        <v>1</v>
      </c>
      <c r="L850" s="4" t="b">
        <v>1</v>
      </c>
      <c r="M850" s="41" t="s">
        <v>4929</v>
      </c>
    </row>
    <row r="851" spans="1:13" ht="13">
      <c r="A851" s="4" t="s">
        <v>8904</v>
      </c>
      <c r="B851" s="4" t="s">
        <v>4951</v>
      </c>
      <c r="C851" s="4" t="s">
        <v>108</v>
      </c>
      <c r="D851" s="4" t="s">
        <v>4952</v>
      </c>
      <c r="E851" s="4" t="s">
        <v>18</v>
      </c>
      <c r="F851" s="4" t="s">
        <v>8905</v>
      </c>
      <c r="G851" s="4" t="s">
        <v>8906</v>
      </c>
      <c r="H851" s="4">
        <v>0.5</v>
      </c>
      <c r="I851" s="4">
        <v>1.23</v>
      </c>
      <c r="J851" s="4">
        <v>0.24640999999999999</v>
      </c>
      <c r="K851" s="4" t="b">
        <v>1</v>
      </c>
      <c r="L851" s="4" t="b">
        <v>0</v>
      </c>
    </row>
    <row r="852" spans="1:13" ht="13">
      <c r="A852" s="4" t="s">
        <v>8907</v>
      </c>
      <c r="B852" s="4" t="s">
        <v>4951</v>
      </c>
      <c r="C852" s="4" t="s">
        <v>108</v>
      </c>
      <c r="D852" s="4" t="s">
        <v>4952</v>
      </c>
      <c r="E852" s="4" t="s">
        <v>18</v>
      </c>
      <c r="F852" s="4" t="s">
        <v>8908</v>
      </c>
      <c r="G852" s="4" t="s">
        <v>8909</v>
      </c>
      <c r="H852" s="4">
        <v>0.5</v>
      </c>
      <c r="I852" s="4">
        <v>1.24</v>
      </c>
      <c r="J852" s="4">
        <v>0.28567999999999999</v>
      </c>
      <c r="K852" s="4" t="b">
        <v>1</v>
      </c>
      <c r="L852" s="4" t="b">
        <v>0</v>
      </c>
    </row>
    <row r="853" spans="1:13" ht="13">
      <c r="A853" s="4" t="s">
        <v>8910</v>
      </c>
      <c r="B853" s="4" t="s">
        <v>4951</v>
      </c>
      <c r="C853" s="4" t="s">
        <v>108</v>
      </c>
      <c r="D853" s="4" t="s">
        <v>4952</v>
      </c>
      <c r="E853" s="4" t="s">
        <v>18</v>
      </c>
      <c r="F853" s="4" t="s">
        <v>8911</v>
      </c>
      <c r="G853" s="4" t="s">
        <v>8912</v>
      </c>
      <c r="H853" s="4">
        <v>0.51</v>
      </c>
      <c r="I853" s="4">
        <v>1.08</v>
      </c>
      <c r="J853" s="4">
        <v>0.24429999999999999</v>
      </c>
      <c r="K853" s="4" t="b">
        <v>1</v>
      </c>
      <c r="L853" s="4" t="b">
        <v>0</v>
      </c>
    </row>
    <row r="854" spans="1:13" ht="13">
      <c r="A854" s="4" t="s">
        <v>8913</v>
      </c>
      <c r="B854" s="4" t="s">
        <v>4951</v>
      </c>
      <c r="C854" s="4" t="s">
        <v>108</v>
      </c>
      <c r="D854" s="4" t="s">
        <v>4952</v>
      </c>
      <c r="E854" s="4" t="s">
        <v>18</v>
      </c>
      <c r="F854" s="4" t="s">
        <v>8914</v>
      </c>
      <c r="G854" s="4" t="s">
        <v>8915</v>
      </c>
      <c r="H854" s="4">
        <v>0.51</v>
      </c>
      <c r="I854" s="4">
        <v>1.05</v>
      </c>
      <c r="J854" s="4">
        <v>0.23569999999999999</v>
      </c>
      <c r="K854" s="4" t="b">
        <v>1</v>
      </c>
      <c r="L854" s="4" t="b">
        <v>0</v>
      </c>
    </row>
    <row r="855" spans="1:13" ht="13">
      <c r="A855" s="4" t="s">
        <v>8916</v>
      </c>
      <c r="B855" s="4" t="s">
        <v>4951</v>
      </c>
      <c r="C855" s="4" t="s">
        <v>108</v>
      </c>
      <c r="D855" s="4" t="s">
        <v>4952</v>
      </c>
      <c r="E855" s="4" t="s">
        <v>18</v>
      </c>
      <c r="F855" s="4" t="s">
        <v>8917</v>
      </c>
      <c r="G855" s="4" t="s">
        <v>8918</v>
      </c>
      <c r="H855" s="4">
        <v>0.52</v>
      </c>
      <c r="I855" s="4">
        <v>1.1499999999999999</v>
      </c>
      <c r="J855" s="4">
        <v>0.28129999999999999</v>
      </c>
      <c r="K855" s="4" t="b">
        <v>1</v>
      </c>
      <c r="L855" s="4" t="b">
        <v>0</v>
      </c>
    </row>
    <row r="856" spans="1:13" ht="13">
      <c r="A856" s="4" t="s">
        <v>8922</v>
      </c>
      <c r="B856" s="4" t="s">
        <v>4951</v>
      </c>
      <c r="C856" s="4" t="s">
        <v>108</v>
      </c>
      <c r="D856" s="4" t="s">
        <v>4952</v>
      </c>
      <c r="E856" s="4" t="s">
        <v>18</v>
      </c>
      <c r="F856" s="4" t="s">
        <v>8923</v>
      </c>
      <c r="G856" s="4" t="s">
        <v>8924</v>
      </c>
      <c r="H856" s="4">
        <v>0.53</v>
      </c>
      <c r="I856" s="4">
        <v>1.21</v>
      </c>
      <c r="J856" s="4">
        <v>0.28347</v>
      </c>
      <c r="K856" s="4" t="b">
        <v>1</v>
      </c>
      <c r="L856" s="4" t="b">
        <v>0</v>
      </c>
    </row>
    <row r="857" spans="1:13" ht="13">
      <c r="A857" s="4" t="s">
        <v>8925</v>
      </c>
      <c r="B857" s="4" t="s">
        <v>4951</v>
      </c>
      <c r="C857" s="4" t="s">
        <v>108</v>
      </c>
      <c r="D857" s="4" t="s">
        <v>4952</v>
      </c>
      <c r="E857" s="4" t="s">
        <v>18</v>
      </c>
      <c r="F857" s="4" t="s">
        <v>8926</v>
      </c>
      <c r="G857" s="4" t="s">
        <v>8927</v>
      </c>
      <c r="H857" s="4">
        <v>0.53</v>
      </c>
      <c r="I857" s="4">
        <v>1.19</v>
      </c>
      <c r="J857" s="4">
        <v>0.2903</v>
      </c>
      <c r="K857" s="4" t="b">
        <v>1</v>
      </c>
      <c r="L857" s="4" t="b">
        <v>0</v>
      </c>
    </row>
    <row r="858" spans="1:13" ht="13">
      <c r="A858" s="4" t="s">
        <v>8928</v>
      </c>
      <c r="B858" s="4" t="s">
        <v>4951</v>
      </c>
      <c r="C858" s="4" t="s">
        <v>108</v>
      </c>
      <c r="D858" s="4" t="s">
        <v>4952</v>
      </c>
      <c r="E858" s="4" t="s">
        <v>18</v>
      </c>
      <c r="F858" s="4" t="s">
        <v>8929</v>
      </c>
      <c r="G858" s="4" t="s">
        <v>8930</v>
      </c>
      <c r="H858" s="4">
        <v>0.53</v>
      </c>
      <c r="I858" s="4">
        <v>1.04</v>
      </c>
      <c r="J858" s="4">
        <v>0.24499000000000001</v>
      </c>
      <c r="K858" s="4" t="b">
        <v>1</v>
      </c>
      <c r="L858" s="4" t="b">
        <v>0</v>
      </c>
    </row>
    <row r="859" spans="1:13" ht="13">
      <c r="A859" s="4" t="s">
        <v>8931</v>
      </c>
      <c r="B859" s="4" t="s">
        <v>4951</v>
      </c>
      <c r="C859" s="4" t="s">
        <v>108</v>
      </c>
      <c r="D859" s="4" t="s">
        <v>4952</v>
      </c>
      <c r="E859" s="4" t="s">
        <v>18</v>
      </c>
      <c r="F859" s="4" t="s">
        <v>8932</v>
      </c>
      <c r="G859" s="4" t="s">
        <v>8933</v>
      </c>
      <c r="H859" s="4">
        <v>0.53</v>
      </c>
      <c r="I859" s="4">
        <v>1.1299999999999999</v>
      </c>
      <c r="J859" s="4">
        <v>0.2465</v>
      </c>
      <c r="K859" s="4" t="b">
        <v>1</v>
      </c>
      <c r="L859" s="4" t="b">
        <v>0</v>
      </c>
    </row>
    <row r="860" spans="1:13" ht="13">
      <c r="A860" s="4" t="s">
        <v>8934</v>
      </c>
      <c r="B860" s="4" t="s">
        <v>4951</v>
      </c>
      <c r="C860" s="4" t="s">
        <v>108</v>
      </c>
      <c r="D860" s="4" t="s">
        <v>4952</v>
      </c>
      <c r="E860" s="4" t="s">
        <v>18</v>
      </c>
      <c r="F860" s="4" t="s">
        <v>8935</v>
      </c>
      <c r="G860" s="4" t="s">
        <v>8936</v>
      </c>
      <c r="H860" s="4">
        <v>0.54</v>
      </c>
      <c r="I860" s="4">
        <v>1.1499999999999999</v>
      </c>
      <c r="J860" s="4">
        <v>0.28938000000000003</v>
      </c>
      <c r="K860" s="4" t="b">
        <v>1</v>
      </c>
      <c r="L860" s="4" t="b">
        <v>0</v>
      </c>
    </row>
    <row r="861" spans="1:13" ht="13">
      <c r="A861" s="4" t="s">
        <v>8937</v>
      </c>
      <c r="B861" s="4" t="s">
        <v>4951</v>
      </c>
      <c r="C861" s="4" t="s">
        <v>108</v>
      </c>
      <c r="D861" s="4" t="s">
        <v>4952</v>
      </c>
      <c r="E861" s="4" t="s">
        <v>18</v>
      </c>
      <c r="F861" s="4" t="s">
        <v>8938</v>
      </c>
      <c r="G861" s="4" t="s">
        <v>8939</v>
      </c>
      <c r="H861" s="4">
        <v>0.54</v>
      </c>
      <c r="I861" s="4">
        <v>1.07</v>
      </c>
      <c r="J861" s="4">
        <v>0.24740000000000001</v>
      </c>
      <c r="K861" s="4" t="b">
        <v>1</v>
      </c>
      <c r="L861" s="4" t="b">
        <v>0</v>
      </c>
    </row>
    <row r="862" spans="1:13" ht="13">
      <c r="A862" s="4" t="s">
        <v>8940</v>
      </c>
      <c r="B862" s="4" t="s">
        <v>4951</v>
      </c>
      <c r="C862" s="4" t="s">
        <v>108</v>
      </c>
      <c r="D862" s="4" t="s">
        <v>4952</v>
      </c>
      <c r="E862" s="4" t="s">
        <v>18</v>
      </c>
      <c r="F862" s="4" t="s">
        <v>8941</v>
      </c>
      <c r="G862" s="4" t="s">
        <v>8942</v>
      </c>
      <c r="H862" s="4">
        <v>0.55000000000000004</v>
      </c>
      <c r="I862" s="4">
        <v>1.1299999999999999</v>
      </c>
      <c r="J862" s="4">
        <v>0.29364000000000001</v>
      </c>
      <c r="K862" s="4" t="b">
        <v>1</v>
      </c>
      <c r="L862" s="4" t="b">
        <v>0</v>
      </c>
    </row>
    <row r="863" spans="1:13" ht="13">
      <c r="A863" s="4" t="s">
        <v>8943</v>
      </c>
      <c r="B863" s="4" t="s">
        <v>4951</v>
      </c>
      <c r="C863" s="4" t="s">
        <v>108</v>
      </c>
      <c r="D863" s="4" t="s">
        <v>4952</v>
      </c>
      <c r="E863" s="4" t="s">
        <v>18</v>
      </c>
      <c r="F863" s="4" t="s">
        <v>8944</v>
      </c>
      <c r="G863" s="4" t="s">
        <v>8945</v>
      </c>
      <c r="H863" s="4">
        <v>0.55000000000000004</v>
      </c>
      <c r="I863" s="4">
        <v>1.06</v>
      </c>
      <c r="J863" s="4">
        <v>0.24487</v>
      </c>
      <c r="K863" s="4" t="b">
        <v>1</v>
      </c>
      <c r="L863" s="4" t="b">
        <v>0</v>
      </c>
    </row>
    <row r="864" spans="1:13" ht="13">
      <c r="A864" s="4" t="s">
        <v>8946</v>
      </c>
      <c r="B864" s="4" t="s">
        <v>4951</v>
      </c>
      <c r="C864" s="4" t="s">
        <v>108</v>
      </c>
      <c r="D864" s="4" t="s">
        <v>4952</v>
      </c>
      <c r="E864" s="4" t="s">
        <v>18</v>
      </c>
      <c r="F864" s="4" t="s">
        <v>8947</v>
      </c>
      <c r="G864" s="4" t="s">
        <v>8948</v>
      </c>
      <c r="H864" s="4">
        <v>0.55000000000000004</v>
      </c>
      <c r="I864" s="4">
        <v>1.1200000000000001</v>
      </c>
      <c r="J864" s="4">
        <v>0.26019999999999999</v>
      </c>
      <c r="K864" s="4" t="b">
        <v>1</v>
      </c>
      <c r="L864" s="4" t="b">
        <v>0</v>
      </c>
    </row>
    <row r="865" spans="1:12" ht="13">
      <c r="A865" s="4" t="s">
        <v>8949</v>
      </c>
      <c r="B865" s="4" t="s">
        <v>4951</v>
      </c>
      <c r="C865" s="4" t="s">
        <v>108</v>
      </c>
      <c r="D865" s="4" t="s">
        <v>4952</v>
      </c>
      <c r="E865" s="4" t="s">
        <v>18</v>
      </c>
      <c r="F865" s="4" t="s">
        <v>8950</v>
      </c>
      <c r="G865" s="4" t="s">
        <v>8951</v>
      </c>
      <c r="H865" s="4">
        <v>0.56000000000000005</v>
      </c>
      <c r="I865" s="4">
        <v>1.1399999999999999</v>
      </c>
      <c r="J865" s="4">
        <v>0.27126</v>
      </c>
      <c r="K865" s="4" t="b">
        <v>1</v>
      </c>
      <c r="L865" s="4" t="b">
        <v>0</v>
      </c>
    </row>
    <row r="866" spans="1:12" ht="13">
      <c r="A866" s="4" t="s">
        <v>8952</v>
      </c>
      <c r="B866" s="4" t="s">
        <v>4951</v>
      </c>
      <c r="C866" s="4" t="s">
        <v>108</v>
      </c>
      <c r="D866" s="4" t="s">
        <v>4952</v>
      </c>
      <c r="E866" s="4" t="s">
        <v>18</v>
      </c>
      <c r="F866" s="4" t="s">
        <v>8953</v>
      </c>
      <c r="G866" s="4" t="s">
        <v>8954</v>
      </c>
      <c r="H866" s="4">
        <v>0.56000000000000005</v>
      </c>
      <c r="I866" s="4">
        <v>1.1299999999999999</v>
      </c>
      <c r="J866" s="4">
        <v>0.27212999999999998</v>
      </c>
      <c r="K866" s="4" t="b">
        <v>1</v>
      </c>
      <c r="L866" s="4" t="b">
        <v>0</v>
      </c>
    </row>
    <row r="867" spans="1:12" ht="13">
      <c r="A867" s="4" t="s">
        <v>8955</v>
      </c>
      <c r="B867" s="4" t="s">
        <v>4951</v>
      </c>
      <c r="C867" s="4" t="s">
        <v>108</v>
      </c>
      <c r="D867" s="4" t="s">
        <v>4952</v>
      </c>
      <c r="E867" s="4" t="s">
        <v>18</v>
      </c>
      <c r="F867" s="4" t="s">
        <v>8956</v>
      </c>
      <c r="G867" s="4" t="s">
        <v>8957</v>
      </c>
      <c r="H867" s="4">
        <v>0.56999999999999995</v>
      </c>
      <c r="I867" s="4">
        <v>1.07</v>
      </c>
      <c r="J867" s="4">
        <v>0.24277000000000001</v>
      </c>
      <c r="K867" s="4" t="b">
        <v>1</v>
      </c>
      <c r="L867" s="4" t="b">
        <v>0</v>
      </c>
    </row>
    <row r="868" spans="1:12" ht="13">
      <c r="A868" s="4" t="s">
        <v>8958</v>
      </c>
      <c r="B868" s="4" t="s">
        <v>4951</v>
      </c>
      <c r="C868" s="4" t="s">
        <v>108</v>
      </c>
      <c r="D868" s="4" t="s">
        <v>4952</v>
      </c>
      <c r="E868" s="4" t="s">
        <v>18</v>
      </c>
      <c r="F868" s="4" t="s">
        <v>8959</v>
      </c>
      <c r="G868" s="4" t="s">
        <v>8960</v>
      </c>
      <c r="H868" s="4">
        <v>0.56999999999999995</v>
      </c>
      <c r="I868" s="4">
        <v>1.31</v>
      </c>
      <c r="J868" s="4">
        <v>0.25524000000000002</v>
      </c>
      <c r="K868" s="4" t="b">
        <v>1</v>
      </c>
      <c r="L868" s="4" t="b">
        <v>0</v>
      </c>
    </row>
    <row r="869" spans="1:12" ht="13">
      <c r="A869" s="4" t="s">
        <v>8961</v>
      </c>
      <c r="B869" s="4" t="s">
        <v>4951</v>
      </c>
      <c r="C869" s="4" t="s">
        <v>108</v>
      </c>
      <c r="D869" s="4" t="s">
        <v>4952</v>
      </c>
      <c r="E869" s="4" t="s">
        <v>18</v>
      </c>
      <c r="F869" s="4" t="s">
        <v>8962</v>
      </c>
      <c r="G869" s="4" t="s">
        <v>8963</v>
      </c>
      <c r="H869" s="4">
        <v>0.57999999999999996</v>
      </c>
      <c r="I869" s="4">
        <v>1.1399999999999999</v>
      </c>
      <c r="J869" s="4">
        <v>0.28500999999999999</v>
      </c>
      <c r="K869" s="4" t="b">
        <v>1</v>
      </c>
      <c r="L869" s="4" t="b">
        <v>0</v>
      </c>
    </row>
    <row r="870" spans="1:12" ht="13">
      <c r="A870" s="4" t="s">
        <v>8964</v>
      </c>
      <c r="B870" s="4" t="s">
        <v>4951</v>
      </c>
      <c r="C870" s="4" t="s">
        <v>108</v>
      </c>
      <c r="D870" s="4" t="s">
        <v>4952</v>
      </c>
      <c r="E870" s="4" t="s">
        <v>18</v>
      </c>
      <c r="F870" s="4" t="s">
        <v>8965</v>
      </c>
      <c r="G870" s="4" t="s">
        <v>8966</v>
      </c>
      <c r="H870" s="4">
        <v>0.59</v>
      </c>
      <c r="I870" s="4">
        <v>1.0900000000000001</v>
      </c>
      <c r="J870" s="4">
        <v>0.24768000000000001</v>
      </c>
      <c r="K870" s="4" t="b">
        <v>1</v>
      </c>
      <c r="L870" s="4" t="b">
        <v>0</v>
      </c>
    </row>
    <row r="871" spans="1:12" ht="13">
      <c r="A871" s="4" t="s">
        <v>8967</v>
      </c>
      <c r="B871" s="4" t="s">
        <v>4951</v>
      </c>
      <c r="C871" s="4" t="s">
        <v>108</v>
      </c>
      <c r="D871" s="4" t="s">
        <v>4952</v>
      </c>
      <c r="E871" s="4" t="s">
        <v>18</v>
      </c>
      <c r="F871" s="4" t="s">
        <v>8968</v>
      </c>
      <c r="G871" s="4" t="s">
        <v>8969</v>
      </c>
      <c r="H871" s="4">
        <v>0.59</v>
      </c>
      <c r="I871" s="4">
        <v>1.19</v>
      </c>
      <c r="J871" s="4">
        <v>0.26078000000000001</v>
      </c>
      <c r="K871" s="4" t="b">
        <v>1</v>
      </c>
      <c r="L871" s="4" t="b">
        <v>0</v>
      </c>
    </row>
    <row r="872" spans="1:12" ht="13">
      <c r="A872" s="4" t="s">
        <v>8970</v>
      </c>
      <c r="B872" s="4" t="s">
        <v>4951</v>
      </c>
      <c r="C872" s="4" t="s">
        <v>108</v>
      </c>
      <c r="D872" s="4" t="s">
        <v>4952</v>
      </c>
      <c r="E872" s="4" t="s">
        <v>18</v>
      </c>
      <c r="F872" s="4" t="s">
        <v>8971</v>
      </c>
      <c r="G872" s="4" t="s">
        <v>8972</v>
      </c>
      <c r="H872" s="4">
        <v>0.6</v>
      </c>
      <c r="I872" s="4">
        <v>1.1100000000000001</v>
      </c>
      <c r="J872" s="4">
        <v>0.26208999999999999</v>
      </c>
      <c r="K872" s="4" t="b">
        <v>1</v>
      </c>
      <c r="L872" s="4" t="b">
        <v>0</v>
      </c>
    </row>
    <row r="873" spans="1:12" ht="13">
      <c r="A873" s="4" t="s">
        <v>8973</v>
      </c>
      <c r="B873" s="4" t="s">
        <v>4951</v>
      </c>
      <c r="C873" s="4" t="s">
        <v>108</v>
      </c>
      <c r="D873" s="4" t="s">
        <v>4952</v>
      </c>
      <c r="E873" s="4" t="s">
        <v>18</v>
      </c>
      <c r="F873" s="4" t="s">
        <v>8974</v>
      </c>
      <c r="G873" s="4" t="s">
        <v>8975</v>
      </c>
      <c r="H873" s="4">
        <v>0.6</v>
      </c>
      <c r="I873" s="4">
        <v>1.1200000000000001</v>
      </c>
      <c r="J873" s="4">
        <v>0.24929000000000001</v>
      </c>
      <c r="K873" s="4" t="b">
        <v>1</v>
      </c>
      <c r="L873" s="4" t="b">
        <v>0</v>
      </c>
    </row>
    <row r="874" spans="1:12" ht="13">
      <c r="A874" s="4" t="s">
        <v>8979</v>
      </c>
      <c r="B874" s="4" t="s">
        <v>4951</v>
      </c>
      <c r="C874" s="4" t="s">
        <v>108</v>
      </c>
      <c r="D874" s="4" t="s">
        <v>4952</v>
      </c>
      <c r="E874" s="4" t="s">
        <v>18</v>
      </c>
      <c r="F874" s="4" t="s">
        <v>8980</v>
      </c>
      <c r="G874" s="4" t="s">
        <v>8981</v>
      </c>
      <c r="H874" s="4">
        <v>0.61</v>
      </c>
      <c r="I874" s="4">
        <v>1.28</v>
      </c>
      <c r="J874" s="4">
        <v>0.29571999999999998</v>
      </c>
      <c r="K874" s="4" t="b">
        <v>1</v>
      </c>
      <c r="L874" s="4" t="b">
        <v>0</v>
      </c>
    </row>
    <row r="875" spans="1:12" ht="13">
      <c r="A875" s="4" t="s">
        <v>8982</v>
      </c>
      <c r="B875" s="4" t="s">
        <v>4951</v>
      </c>
      <c r="C875" s="4" t="s">
        <v>108</v>
      </c>
      <c r="D875" s="4" t="s">
        <v>4952</v>
      </c>
      <c r="E875" s="4" t="s">
        <v>18</v>
      </c>
      <c r="F875" s="4" t="s">
        <v>8983</v>
      </c>
      <c r="G875" s="4" t="s">
        <v>8984</v>
      </c>
      <c r="H875" s="4">
        <v>0.62</v>
      </c>
      <c r="I875" s="4">
        <v>1.47</v>
      </c>
      <c r="J875" s="4">
        <v>0.23458999999999999</v>
      </c>
      <c r="K875" s="4" t="b">
        <v>1</v>
      </c>
      <c r="L875" s="4" t="b">
        <v>0</v>
      </c>
    </row>
    <row r="876" spans="1:12" ht="13">
      <c r="A876" s="4" t="s">
        <v>8985</v>
      </c>
      <c r="B876" s="4" t="s">
        <v>4951</v>
      </c>
      <c r="C876" s="4" t="s">
        <v>108</v>
      </c>
      <c r="D876" s="4" t="s">
        <v>4952</v>
      </c>
      <c r="E876" s="4" t="s">
        <v>18</v>
      </c>
      <c r="F876" s="4" t="s">
        <v>8986</v>
      </c>
      <c r="G876" s="4" t="s">
        <v>8987</v>
      </c>
      <c r="H876" s="4">
        <v>0.62</v>
      </c>
      <c r="I876" s="4">
        <v>1.2</v>
      </c>
      <c r="J876" s="4">
        <v>0.25680999999999998</v>
      </c>
      <c r="K876" s="4" t="b">
        <v>1</v>
      </c>
      <c r="L876" s="4" t="b">
        <v>0</v>
      </c>
    </row>
    <row r="877" spans="1:12" ht="13">
      <c r="A877" s="4" t="s">
        <v>8988</v>
      </c>
      <c r="B877" s="4" t="s">
        <v>4951</v>
      </c>
      <c r="C877" s="4" t="s">
        <v>108</v>
      </c>
      <c r="D877" s="4" t="s">
        <v>4952</v>
      </c>
      <c r="E877" s="4" t="s">
        <v>18</v>
      </c>
      <c r="F877" s="4" t="s">
        <v>8989</v>
      </c>
      <c r="G877" s="4" t="s">
        <v>8990</v>
      </c>
      <c r="H877" s="4">
        <v>0.63</v>
      </c>
      <c r="I877" s="4">
        <v>1.1000000000000001</v>
      </c>
      <c r="J877" s="4">
        <v>0.26368999999999998</v>
      </c>
      <c r="K877" s="4" t="b">
        <v>1</v>
      </c>
      <c r="L877" s="4" t="b">
        <v>0</v>
      </c>
    </row>
    <row r="878" spans="1:12" ht="13">
      <c r="A878" s="4" t="s">
        <v>8991</v>
      </c>
      <c r="B878" s="4" t="s">
        <v>4951</v>
      </c>
      <c r="C878" s="4" t="s">
        <v>108</v>
      </c>
      <c r="D878" s="4" t="s">
        <v>4952</v>
      </c>
      <c r="E878" s="4" t="s">
        <v>18</v>
      </c>
      <c r="F878" s="4" t="s">
        <v>8992</v>
      </c>
      <c r="G878" s="4" t="s">
        <v>8993</v>
      </c>
      <c r="H878" s="4">
        <v>0.63</v>
      </c>
      <c r="I878" s="4">
        <v>1.08</v>
      </c>
      <c r="J878" s="4">
        <v>0.24870999999999999</v>
      </c>
      <c r="K878" s="4" t="b">
        <v>1</v>
      </c>
      <c r="L878" s="4" t="b">
        <v>0</v>
      </c>
    </row>
    <row r="879" spans="1:12" ht="13">
      <c r="A879" s="4" t="s">
        <v>8994</v>
      </c>
      <c r="B879" s="4" t="s">
        <v>4951</v>
      </c>
      <c r="C879" s="4" t="s">
        <v>108</v>
      </c>
      <c r="D879" s="4" t="s">
        <v>4952</v>
      </c>
      <c r="E879" s="4" t="s">
        <v>18</v>
      </c>
      <c r="F879" s="4" t="s">
        <v>8995</v>
      </c>
      <c r="G879" s="4" t="s">
        <v>8996</v>
      </c>
      <c r="H879" s="4">
        <v>0.64</v>
      </c>
      <c r="I879" s="4">
        <v>1.1200000000000001</v>
      </c>
      <c r="J879" s="4">
        <v>0.25513999999999998</v>
      </c>
      <c r="K879" s="4" t="b">
        <v>1</v>
      </c>
      <c r="L879" s="4" t="b">
        <v>0</v>
      </c>
    </row>
    <row r="880" spans="1:12" ht="13">
      <c r="A880" s="4" t="s">
        <v>8997</v>
      </c>
      <c r="B880" s="4" t="s">
        <v>4951</v>
      </c>
      <c r="C880" s="4" t="s">
        <v>108</v>
      </c>
      <c r="D880" s="4" t="s">
        <v>4952</v>
      </c>
      <c r="E880" s="4" t="s">
        <v>18</v>
      </c>
      <c r="F880" s="4" t="s">
        <v>8998</v>
      </c>
      <c r="G880" s="4" t="s">
        <v>8999</v>
      </c>
      <c r="H880" s="4">
        <v>0.73</v>
      </c>
      <c r="I880" s="4">
        <v>1.1000000000000001</v>
      </c>
      <c r="J880" s="4">
        <v>0.27540999999999999</v>
      </c>
      <c r="K880" s="4" t="b">
        <v>1</v>
      </c>
      <c r="L880" s="4" t="b">
        <v>0</v>
      </c>
    </row>
    <row r="881" spans="1:12" ht="13">
      <c r="A881" s="4" t="s">
        <v>9000</v>
      </c>
      <c r="B881" s="4" t="s">
        <v>4951</v>
      </c>
      <c r="C881" s="4" t="s">
        <v>108</v>
      </c>
      <c r="D881" s="4" t="s">
        <v>4952</v>
      </c>
      <c r="E881" s="4" t="s">
        <v>18</v>
      </c>
      <c r="F881" s="4" t="s">
        <v>9001</v>
      </c>
      <c r="G881" s="4" t="s">
        <v>9002</v>
      </c>
      <c r="H881" s="4">
        <v>0.74</v>
      </c>
      <c r="I881" s="4">
        <v>1.23</v>
      </c>
      <c r="J881" s="4">
        <v>0.26774999999999999</v>
      </c>
      <c r="K881" s="4" t="b">
        <v>1</v>
      </c>
      <c r="L881" s="4" t="b">
        <v>0</v>
      </c>
    </row>
    <row r="882" spans="1:12" ht="13">
      <c r="A882" s="4" t="s">
        <v>9003</v>
      </c>
      <c r="B882" s="4" t="s">
        <v>4951</v>
      </c>
      <c r="C882" s="4" t="s">
        <v>108</v>
      </c>
      <c r="D882" s="4" t="s">
        <v>4952</v>
      </c>
      <c r="E882" s="4" t="s">
        <v>18</v>
      </c>
      <c r="F882" s="4" t="s">
        <v>9004</v>
      </c>
      <c r="G882" s="4" t="s">
        <v>9005</v>
      </c>
      <c r="H882" s="4">
        <v>0.74</v>
      </c>
      <c r="I882" s="4">
        <v>1.07</v>
      </c>
      <c r="J882" s="4">
        <v>0.2555</v>
      </c>
      <c r="K882" s="4" t="b">
        <v>1</v>
      </c>
      <c r="L882" s="4" t="b">
        <v>0</v>
      </c>
    </row>
    <row r="883" spans="1:12" ht="13">
      <c r="A883" s="4" t="s">
        <v>9006</v>
      </c>
      <c r="B883" s="4" t="s">
        <v>4951</v>
      </c>
      <c r="C883" s="4" t="s">
        <v>108</v>
      </c>
      <c r="D883" s="41" t="s">
        <v>4952</v>
      </c>
      <c r="E883" s="4" t="s">
        <v>18</v>
      </c>
      <c r="F883" s="4" t="s">
        <v>9007</v>
      </c>
      <c r="G883" s="4" t="s">
        <v>9008</v>
      </c>
      <c r="H883" s="4">
        <v>0.75</v>
      </c>
      <c r="I883" s="4">
        <v>1.05</v>
      </c>
      <c r="J883" s="4">
        <v>0.23830999999999999</v>
      </c>
      <c r="K883" s="4" t="b">
        <v>1</v>
      </c>
      <c r="L883" s="4" t="b">
        <v>0</v>
      </c>
    </row>
    <row r="884" spans="1:12" ht="13">
      <c r="A884" s="4" t="s">
        <v>9009</v>
      </c>
      <c r="B884" s="4" t="s">
        <v>4951</v>
      </c>
      <c r="C884" s="4" t="s">
        <v>108</v>
      </c>
      <c r="D884" s="41" t="s">
        <v>4952</v>
      </c>
      <c r="E884" s="4" t="s">
        <v>18</v>
      </c>
      <c r="F884" s="4" t="s">
        <v>9010</v>
      </c>
      <c r="G884" s="4" t="s">
        <v>9011</v>
      </c>
      <c r="H884" s="4">
        <v>0.75</v>
      </c>
      <c r="I884" s="4">
        <v>1.08</v>
      </c>
      <c r="J884" s="4">
        <v>0.24163999999999999</v>
      </c>
      <c r="K884" s="4" t="b">
        <v>1</v>
      </c>
      <c r="L884" s="4" t="b">
        <v>0</v>
      </c>
    </row>
    <row r="885" spans="1:12" ht="13">
      <c r="A885" s="4" t="s">
        <v>9012</v>
      </c>
      <c r="B885" s="4" t="s">
        <v>4951</v>
      </c>
      <c r="C885" s="4" t="s">
        <v>108</v>
      </c>
      <c r="D885" s="4" t="s">
        <v>4952</v>
      </c>
      <c r="E885" s="4" t="s">
        <v>18</v>
      </c>
      <c r="F885" s="4" t="s">
        <v>9013</v>
      </c>
      <c r="G885" s="4" t="s">
        <v>9014</v>
      </c>
      <c r="H885" s="4">
        <v>0.75</v>
      </c>
      <c r="I885" s="4">
        <v>1.1000000000000001</v>
      </c>
      <c r="J885" s="4">
        <v>0.27285999999999999</v>
      </c>
      <c r="K885" s="4" t="b">
        <v>1</v>
      </c>
      <c r="L885" s="4" t="b">
        <v>0</v>
      </c>
    </row>
    <row r="886" spans="1:12" ht="13">
      <c r="A886" s="4" t="s">
        <v>9015</v>
      </c>
      <c r="B886" s="4" t="s">
        <v>4951</v>
      </c>
      <c r="C886" s="4" t="s">
        <v>108</v>
      </c>
      <c r="D886" s="4" t="s">
        <v>4952</v>
      </c>
      <c r="E886" s="4" t="s">
        <v>18</v>
      </c>
      <c r="F886" s="4" t="s">
        <v>9016</v>
      </c>
      <c r="G886" s="4" t="s">
        <v>9017</v>
      </c>
      <c r="H886" s="4">
        <v>0.76</v>
      </c>
      <c r="I886" s="4">
        <v>1.1299999999999999</v>
      </c>
      <c r="J886" s="4">
        <v>0.25462000000000001</v>
      </c>
      <c r="K886" s="4" t="b">
        <v>1</v>
      </c>
      <c r="L886" s="4" t="b">
        <v>0</v>
      </c>
    </row>
    <row r="887" spans="1:12" ht="13">
      <c r="A887" s="4" t="s">
        <v>9018</v>
      </c>
      <c r="B887" s="4" t="s">
        <v>4951</v>
      </c>
      <c r="C887" s="4" t="s">
        <v>108</v>
      </c>
      <c r="D887" s="4" t="s">
        <v>4952</v>
      </c>
      <c r="E887" s="4" t="s">
        <v>18</v>
      </c>
      <c r="F887" s="4" t="s">
        <v>9019</v>
      </c>
      <c r="G887" s="4" t="s">
        <v>9020</v>
      </c>
      <c r="H887" s="4">
        <v>0.76</v>
      </c>
      <c r="I887" s="4">
        <v>1.04</v>
      </c>
      <c r="J887" s="4">
        <v>0.24121999999999999</v>
      </c>
      <c r="K887" s="4" t="b">
        <v>1</v>
      </c>
      <c r="L887" s="4" t="b">
        <v>0</v>
      </c>
    </row>
    <row r="888" spans="1:12" ht="13">
      <c r="A888" s="4" t="s">
        <v>9021</v>
      </c>
      <c r="B888" s="4" t="s">
        <v>4951</v>
      </c>
      <c r="C888" s="4" t="s">
        <v>108</v>
      </c>
      <c r="D888" s="4" t="s">
        <v>4952</v>
      </c>
      <c r="E888" s="4" t="s">
        <v>18</v>
      </c>
      <c r="F888" s="4" t="s">
        <v>9022</v>
      </c>
      <c r="G888" s="4" t="s">
        <v>9023</v>
      </c>
      <c r="H888" s="4">
        <v>0.77</v>
      </c>
      <c r="I888" s="4">
        <v>1.1599999999999999</v>
      </c>
      <c r="J888" s="4">
        <v>0.25700000000000001</v>
      </c>
      <c r="K888" s="4" t="b">
        <v>1</v>
      </c>
      <c r="L888" s="4" t="b">
        <v>0</v>
      </c>
    </row>
    <row r="889" spans="1:12" ht="13">
      <c r="A889" s="4" t="s">
        <v>9024</v>
      </c>
      <c r="B889" s="4" t="s">
        <v>4951</v>
      </c>
      <c r="C889" s="4" t="s">
        <v>108</v>
      </c>
      <c r="D889" s="4" t="s">
        <v>4952</v>
      </c>
      <c r="E889" s="4" t="s">
        <v>18</v>
      </c>
      <c r="F889" s="4" t="s">
        <v>9025</v>
      </c>
      <c r="G889" s="4" t="s">
        <v>9026</v>
      </c>
      <c r="H889" s="4">
        <v>0.77</v>
      </c>
      <c r="I889" s="4">
        <v>1.08</v>
      </c>
      <c r="J889" s="4">
        <v>0.26549</v>
      </c>
      <c r="K889" s="4" t="b">
        <v>1</v>
      </c>
      <c r="L889" s="4" t="b">
        <v>0</v>
      </c>
    </row>
    <row r="890" spans="1:12" ht="13">
      <c r="A890" s="4" t="s">
        <v>9027</v>
      </c>
      <c r="B890" s="4" t="s">
        <v>4951</v>
      </c>
      <c r="C890" s="4" t="s">
        <v>108</v>
      </c>
      <c r="D890" s="4" t="s">
        <v>4952</v>
      </c>
      <c r="E890" s="4" t="s">
        <v>18</v>
      </c>
      <c r="F890" s="4" t="s">
        <v>9028</v>
      </c>
      <c r="G890" s="4" t="s">
        <v>9029</v>
      </c>
      <c r="H890" s="4">
        <v>0.77</v>
      </c>
      <c r="I890" s="4">
        <v>1.1499999999999999</v>
      </c>
      <c r="J890" s="4">
        <v>0.25996000000000002</v>
      </c>
      <c r="K890" s="4" t="b">
        <v>1</v>
      </c>
      <c r="L890" s="4" t="b">
        <v>0</v>
      </c>
    </row>
    <row r="891" spans="1:12" ht="13">
      <c r="A891" s="4" t="s">
        <v>9030</v>
      </c>
      <c r="B891" s="4" t="s">
        <v>4951</v>
      </c>
      <c r="C891" s="4" t="s">
        <v>108</v>
      </c>
      <c r="D891" s="4" t="s">
        <v>4952</v>
      </c>
      <c r="E891" s="4" t="s">
        <v>18</v>
      </c>
      <c r="F891" s="4" t="s">
        <v>9031</v>
      </c>
      <c r="G891" s="4" t="s">
        <v>9032</v>
      </c>
      <c r="H891" s="4">
        <v>0.78</v>
      </c>
      <c r="I891" s="4">
        <v>1.05</v>
      </c>
      <c r="J891" s="4">
        <v>0.24753</v>
      </c>
      <c r="K891" s="4" t="b">
        <v>1</v>
      </c>
      <c r="L891" s="4" t="b">
        <v>0</v>
      </c>
    </row>
    <row r="892" spans="1:12" ht="13">
      <c r="A892" s="4" t="s">
        <v>9033</v>
      </c>
      <c r="B892" s="4" t="s">
        <v>4951</v>
      </c>
      <c r="C892" s="4" t="s">
        <v>108</v>
      </c>
      <c r="D892" s="4" t="s">
        <v>4952</v>
      </c>
      <c r="E892" s="4" t="s">
        <v>18</v>
      </c>
      <c r="F892" s="4" t="s">
        <v>9034</v>
      </c>
      <c r="G892" s="4" t="s">
        <v>9035</v>
      </c>
      <c r="H892" s="4">
        <v>0.78</v>
      </c>
      <c r="I892" s="4">
        <v>1.1000000000000001</v>
      </c>
      <c r="J892" s="4">
        <v>0.23308000000000001</v>
      </c>
      <c r="K892" s="4" t="b">
        <v>1</v>
      </c>
      <c r="L892" s="4" t="b">
        <v>0</v>
      </c>
    </row>
    <row r="893" spans="1:12" ht="13">
      <c r="A893" s="4" t="s">
        <v>9036</v>
      </c>
      <c r="B893" s="4" t="s">
        <v>4951</v>
      </c>
      <c r="C893" s="4" t="s">
        <v>108</v>
      </c>
      <c r="D893" s="4" t="s">
        <v>4952</v>
      </c>
      <c r="E893" s="4" t="s">
        <v>18</v>
      </c>
      <c r="F893" s="4" t="s">
        <v>9037</v>
      </c>
      <c r="G893" s="4" t="s">
        <v>9038</v>
      </c>
      <c r="H893" s="4">
        <v>0.79</v>
      </c>
      <c r="I893" s="4">
        <v>1.03</v>
      </c>
      <c r="J893" s="4">
        <v>0.24157999999999999</v>
      </c>
      <c r="K893" s="4" t="b">
        <v>1</v>
      </c>
      <c r="L893" s="4" t="b">
        <v>0</v>
      </c>
    </row>
    <row r="894" spans="1:12" ht="13">
      <c r="A894" s="4" t="s">
        <v>9039</v>
      </c>
      <c r="B894" s="4" t="s">
        <v>4951</v>
      </c>
      <c r="C894" s="4" t="s">
        <v>108</v>
      </c>
      <c r="D894" s="4" t="s">
        <v>4952</v>
      </c>
      <c r="E894" s="4" t="s">
        <v>18</v>
      </c>
      <c r="F894" s="4" t="s">
        <v>9040</v>
      </c>
      <c r="G894" s="4" t="s">
        <v>9041</v>
      </c>
      <c r="H894" s="4">
        <v>0.79</v>
      </c>
      <c r="I894" s="4">
        <v>1.04</v>
      </c>
      <c r="J894" s="4">
        <v>0.24460999999999999</v>
      </c>
      <c r="K894" s="4" t="b">
        <v>1</v>
      </c>
      <c r="L894" s="4" t="b">
        <v>0</v>
      </c>
    </row>
    <row r="895" spans="1:12" ht="13">
      <c r="A895" s="4" t="s">
        <v>9045</v>
      </c>
      <c r="B895" s="4" t="s">
        <v>4951</v>
      </c>
      <c r="C895" s="4" t="s">
        <v>108</v>
      </c>
      <c r="D895" s="4" t="s">
        <v>4952</v>
      </c>
      <c r="E895" s="4" t="s">
        <v>18</v>
      </c>
      <c r="F895" s="4" t="s">
        <v>9046</v>
      </c>
      <c r="G895" s="4" t="s">
        <v>9047</v>
      </c>
      <c r="H895" s="4">
        <v>0.8</v>
      </c>
      <c r="I895" s="4">
        <v>1.08</v>
      </c>
      <c r="J895" s="4">
        <v>0.27405000000000002</v>
      </c>
      <c r="K895" s="4" t="b">
        <v>1</v>
      </c>
      <c r="L895" s="4" t="b">
        <v>0</v>
      </c>
    </row>
    <row r="896" spans="1:12" ht="13">
      <c r="A896" s="4" t="s">
        <v>9048</v>
      </c>
      <c r="B896" s="4" t="s">
        <v>4951</v>
      </c>
      <c r="C896" s="4" t="s">
        <v>108</v>
      </c>
      <c r="D896" s="4" t="s">
        <v>4952</v>
      </c>
      <c r="E896" s="4" t="s">
        <v>18</v>
      </c>
      <c r="F896" s="4" t="s">
        <v>9049</v>
      </c>
      <c r="G896" s="4" t="s">
        <v>9050</v>
      </c>
      <c r="H896" s="4">
        <v>0.81</v>
      </c>
      <c r="I896" s="4">
        <v>1.1000000000000001</v>
      </c>
      <c r="J896" s="4">
        <v>0.24823999999999999</v>
      </c>
      <c r="K896" s="4" t="b">
        <v>1</v>
      </c>
      <c r="L896" s="4" t="b">
        <v>0</v>
      </c>
    </row>
    <row r="897" spans="1:13" ht="13">
      <c r="A897" s="4" t="s">
        <v>9051</v>
      </c>
      <c r="B897" s="4" t="s">
        <v>4951</v>
      </c>
      <c r="C897" s="4" t="s">
        <v>108</v>
      </c>
      <c r="D897" s="4" t="s">
        <v>4952</v>
      </c>
      <c r="E897" s="4" t="s">
        <v>18</v>
      </c>
      <c r="F897" s="4" t="s">
        <v>9052</v>
      </c>
      <c r="G897" s="4" t="s">
        <v>9053</v>
      </c>
      <c r="H897" s="4">
        <v>0.81</v>
      </c>
      <c r="I897" s="4">
        <v>1.1200000000000001</v>
      </c>
      <c r="J897" s="4">
        <v>0.24185000000000001</v>
      </c>
      <c r="K897" s="4" t="b">
        <v>1</v>
      </c>
      <c r="L897" s="4" t="b">
        <v>0</v>
      </c>
    </row>
    <row r="898" spans="1:13" ht="13">
      <c r="A898" s="4" t="s">
        <v>9054</v>
      </c>
      <c r="B898" s="4" t="s">
        <v>4951</v>
      </c>
      <c r="C898" s="4" t="s">
        <v>108</v>
      </c>
      <c r="D898" s="4" t="s">
        <v>4952</v>
      </c>
      <c r="E898" s="4" t="s">
        <v>18</v>
      </c>
      <c r="F898" s="4" t="s">
        <v>9055</v>
      </c>
      <c r="G898" s="4" t="s">
        <v>9056</v>
      </c>
      <c r="H898" s="4">
        <v>0.81</v>
      </c>
      <c r="I898" s="4">
        <v>1.31</v>
      </c>
      <c r="J898" s="4">
        <v>0.25363000000000002</v>
      </c>
      <c r="K898" s="4" t="b">
        <v>1</v>
      </c>
      <c r="L898" s="4" t="b">
        <v>0</v>
      </c>
    </row>
    <row r="899" spans="1:13" ht="13">
      <c r="A899" s="4" t="s">
        <v>9057</v>
      </c>
      <c r="B899" s="4" t="s">
        <v>4951</v>
      </c>
      <c r="C899" s="4" t="s">
        <v>108</v>
      </c>
      <c r="D899" s="4" t="s">
        <v>4952</v>
      </c>
      <c r="E899" s="4" t="s">
        <v>18</v>
      </c>
      <c r="F899" s="4" t="s">
        <v>9058</v>
      </c>
      <c r="G899" s="4" t="s">
        <v>9059</v>
      </c>
      <c r="H899" s="4">
        <v>0.82</v>
      </c>
      <c r="I899" s="4">
        <v>1.0900000000000001</v>
      </c>
      <c r="J899" s="4">
        <v>0.24285000000000001</v>
      </c>
      <c r="K899" s="4" t="b">
        <v>1</v>
      </c>
      <c r="L899" s="4" t="b">
        <v>0</v>
      </c>
    </row>
    <row r="900" spans="1:13" ht="13">
      <c r="A900" s="4" t="s">
        <v>9060</v>
      </c>
      <c r="B900" s="4" t="s">
        <v>4951</v>
      </c>
      <c r="C900" s="4" t="s">
        <v>108</v>
      </c>
      <c r="D900" s="4" t="s">
        <v>4952</v>
      </c>
      <c r="E900" s="4" t="s">
        <v>18</v>
      </c>
      <c r="F900" s="4" t="s">
        <v>9061</v>
      </c>
      <c r="G900" s="4" t="s">
        <v>9062</v>
      </c>
      <c r="H900" s="4">
        <v>0.82</v>
      </c>
      <c r="I900" s="4">
        <v>1.24</v>
      </c>
      <c r="J900" s="4">
        <v>0.26346999999999998</v>
      </c>
      <c r="K900" s="4" t="b">
        <v>1</v>
      </c>
      <c r="L900" s="4" t="b">
        <v>0</v>
      </c>
    </row>
    <row r="901" spans="1:13" ht="13">
      <c r="A901" s="4" t="s">
        <v>3147</v>
      </c>
      <c r="B901" s="4" t="s">
        <v>4951</v>
      </c>
      <c r="C901" s="4" t="s">
        <v>108</v>
      </c>
      <c r="D901" s="4" t="s">
        <v>4952</v>
      </c>
      <c r="E901" s="4" t="s">
        <v>18</v>
      </c>
      <c r="F901" s="4" t="s">
        <v>5140</v>
      </c>
      <c r="G901" s="4" t="s">
        <v>3043</v>
      </c>
      <c r="H901" s="4">
        <v>0.83</v>
      </c>
      <c r="I901" s="4">
        <v>1.07</v>
      </c>
      <c r="J901" s="4">
        <v>0.23710999999999999</v>
      </c>
      <c r="K901" s="4" t="b">
        <v>1</v>
      </c>
      <c r="L901" s="4" t="b">
        <v>1</v>
      </c>
      <c r="M901" s="41" t="s">
        <v>4929</v>
      </c>
    </row>
    <row r="902" spans="1:13" ht="13">
      <c r="A902" s="4" t="s">
        <v>9063</v>
      </c>
      <c r="B902" s="4" t="s">
        <v>4951</v>
      </c>
      <c r="C902" s="4" t="s">
        <v>108</v>
      </c>
      <c r="D902" s="4" t="s">
        <v>4952</v>
      </c>
      <c r="E902" s="4" t="s">
        <v>18</v>
      </c>
      <c r="F902" s="4" t="s">
        <v>9064</v>
      </c>
      <c r="G902" s="4" t="s">
        <v>9065</v>
      </c>
      <c r="H902" s="4">
        <v>0.83</v>
      </c>
      <c r="I902" s="4">
        <v>1.0900000000000001</v>
      </c>
      <c r="J902" s="4">
        <v>0.25367000000000001</v>
      </c>
      <c r="K902" s="4" t="b">
        <v>1</v>
      </c>
      <c r="L902" s="4" t="b">
        <v>0</v>
      </c>
    </row>
    <row r="903" spans="1:13" ht="13">
      <c r="A903" s="4" t="s">
        <v>9066</v>
      </c>
      <c r="B903" s="4" t="s">
        <v>4951</v>
      </c>
      <c r="C903" s="4" t="s">
        <v>108</v>
      </c>
      <c r="D903" s="4" t="s">
        <v>4952</v>
      </c>
      <c r="E903" s="4" t="s">
        <v>18</v>
      </c>
      <c r="F903" s="4" t="s">
        <v>9067</v>
      </c>
      <c r="G903" s="4" t="s">
        <v>9068</v>
      </c>
      <c r="H903" s="4">
        <v>0.84</v>
      </c>
      <c r="I903" s="4">
        <v>1.23</v>
      </c>
      <c r="J903" s="4">
        <v>0.27018999999999999</v>
      </c>
      <c r="K903" s="4" t="b">
        <v>1</v>
      </c>
      <c r="L903" s="4" t="b">
        <v>0</v>
      </c>
    </row>
    <row r="904" spans="1:13" ht="13">
      <c r="A904" s="4" t="s">
        <v>9069</v>
      </c>
      <c r="B904" s="4" t="s">
        <v>4951</v>
      </c>
      <c r="C904" s="4" t="s">
        <v>108</v>
      </c>
      <c r="D904" s="4" t="s">
        <v>4952</v>
      </c>
      <c r="E904" s="4" t="s">
        <v>18</v>
      </c>
      <c r="F904" s="4" t="s">
        <v>9070</v>
      </c>
      <c r="G904" s="4" t="s">
        <v>9071</v>
      </c>
      <c r="H904" s="4">
        <v>0.85</v>
      </c>
      <c r="I904" s="4">
        <v>1.1100000000000001</v>
      </c>
      <c r="J904" s="4">
        <v>0.25462000000000001</v>
      </c>
      <c r="K904" s="4" t="b">
        <v>1</v>
      </c>
      <c r="L904" s="4" t="b">
        <v>0</v>
      </c>
    </row>
    <row r="905" spans="1:13" ht="13">
      <c r="A905" s="4" t="s">
        <v>9072</v>
      </c>
      <c r="B905" s="4" t="s">
        <v>4951</v>
      </c>
      <c r="C905" s="4" t="s">
        <v>108</v>
      </c>
      <c r="D905" s="4" t="s">
        <v>4952</v>
      </c>
      <c r="E905" s="4" t="s">
        <v>18</v>
      </c>
      <c r="F905" s="4" t="s">
        <v>9073</v>
      </c>
      <c r="G905" s="4" t="s">
        <v>9074</v>
      </c>
      <c r="H905" s="4">
        <v>0.85</v>
      </c>
      <c r="I905" s="4">
        <v>1.22</v>
      </c>
      <c r="J905" s="4">
        <v>0.28926000000000002</v>
      </c>
      <c r="K905" s="4" t="b">
        <v>1</v>
      </c>
      <c r="L905" s="4" t="b">
        <v>0</v>
      </c>
    </row>
    <row r="906" spans="1:13" ht="13">
      <c r="A906" s="4" t="s">
        <v>9075</v>
      </c>
      <c r="B906" s="4" t="s">
        <v>4951</v>
      </c>
      <c r="C906" s="4" t="s">
        <v>108</v>
      </c>
      <c r="D906" s="4" t="s">
        <v>4952</v>
      </c>
      <c r="E906" s="4" t="s">
        <v>18</v>
      </c>
      <c r="F906" s="4" t="s">
        <v>9076</v>
      </c>
      <c r="G906" s="4" t="s">
        <v>9077</v>
      </c>
      <c r="H906" s="4">
        <v>0.86</v>
      </c>
      <c r="I906" s="4">
        <v>1.1399999999999999</v>
      </c>
      <c r="J906" s="4">
        <v>0.26407999999999998</v>
      </c>
      <c r="K906" s="4" t="b">
        <v>1</v>
      </c>
      <c r="L906" s="4" t="b">
        <v>0</v>
      </c>
    </row>
    <row r="907" spans="1:13" ht="13">
      <c r="A907" s="4" t="s">
        <v>9078</v>
      </c>
      <c r="B907" s="4" t="s">
        <v>4951</v>
      </c>
      <c r="C907" s="4" t="s">
        <v>108</v>
      </c>
      <c r="D907" s="4" t="s">
        <v>4952</v>
      </c>
      <c r="E907" s="4" t="s">
        <v>18</v>
      </c>
      <c r="F907" s="4" t="s">
        <v>9079</v>
      </c>
      <c r="G907" s="4" t="s">
        <v>9080</v>
      </c>
      <c r="H907" s="4">
        <v>0.86</v>
      </c>
      <c r="I907" s="4">
        <v>1.05</v>
      </c>
      <c r="J907" s="4">
        <v>0.22639999999999999</v>
      </c>
      <c r="K907" s="4" t="b">
        <v>1</v>
      </c>
      <c r="L907" s="4" t="b">
        <v>0</v>
      </c>
    </row>
    <row r="908" spans="1:13" ht="13">
      <c r="A908" s="4" t="s">
        <v>9081</v>
      </c>
      <c r="B908" s="4" t="s">
        <v>4951</v>
      </c>
      <c r="C908" s="4" t="s">
        <v>108</v>
      </c>
      <c r="D908" s="4" t="s">
        <v>4952</v>
      </c>
      <c r="E908" s="4" t="s">
        <v>2911</v>
      </c>
      <c r="F908" s="4" t="s">
        <v>9082</v>
      </c>
      <c r="G908" s="4" t="s">
        <v>9083</v>
      </c>
      <c r="H908" s="4">
        <v>1.17</v>
      </c>
      <c r="I908" s="4">
        <v>1.05</v>
      </c>
      <c r="J908" s="4">
        <v>0.23230000000000001</v>
      </c>
      <c r="K908" s="4" t="b">
        <v>1</v>
      </c>
      <c r="L908" s="4" t="b">
        <v>0</v>
      </c>
    </row>
    <row r="909" spans="1:13" ht="13">
      <c r="A909" s="4" t="s">
        <v>9084</v>
      </c>
      <c r="B909" s="4" t="s">
        <v>4951</v>
      </c>
      <c r="C909" s="4" t="s">
        <v>108</v>
      </c>
      <c r="D909" s="4" t="s">
        <v>4952</v>
      </c>
      <c r="E909" s="4" t="s">
        <v>2911</v>
      </c>
      <c r="F909" s="4" t="s">
        <v>9085</v>
      </c>
      <c r="G909" s="4" t="s">
        <v>9086</v>
      </c>
      <c r="H909" s="4">
        <v>1.18</v>
      </c>
      <c r="I909" s="4">
        <v>1.04</v>
      </c>
      <c r="J909" s="4">
        <v>0.23196</v>
      </c>
      <c r="K909" s="4" t="b">
        <v>1</v>
      </c>
      <c r="L909" s="4" t="b">
        <v>0</v>
      </c>
    </row>
    <row r="910" spans="1:13" ht="13">
      <c r="A910" s="4" t="s">
        <v>9087</v>
      </c>
      <c r="B910" s="4" t="s">
        <v>4951</v>
      </c>
      <c r="C910" s="4" t="s">
        <v>108</v>
      </c>
      <c r="D910" s="4" t="s">
        <v>4952</v>
      </c>
      <c r="E910" s="4" t="s">
        <v>2911</v>
      </c>
      <c r="F910" s="4" t="s">
        <v>9088</v>
      </c>
      <c r="G910" s="4" t="s">
        <v>9089</v>
      </c>
      <c r="H910" s="4">
        <v>1.19</v>
      </c>
      <c r="I910" s="4">
        <v>1.03</v>
      </c>
      <c r="J910" s="4">
        <v>0.22028</v>
      </c>
      <c r="K910" s="4" t="b">
        <v>1</v>
      </c>
      <c r="L910" s="4" t="b">
        <v>0</v>
      </c>
    </row>
    <row r="911" spans="1:13" ht="13">
      <c r="A911" s="4" t="s">
        <v>9090</v>
      </c>
      <c r="B911" s="4" t="s">
        <v>4951</v>
      </c>
      <c r="C911" s="4" t="s">
        <v>108</v>
      </c>
      <c r="D911" s="4" t="s">
        <v>4952</v>
      </c>
      <c r="E911" s="4" t="s">
        <v>2911</v>
      </c>
      <c r="F911" s="4" t="s">
        <v>9091</v>
      </c>
      <c r="G911" s="4" t="s">
        <v>9092</v>
      </c>
      <c r="H911" s="4">
        <v>1.2</v>
      </c>
      <c r="I911" s="4">
        <v>1.05</v>
      </c>
      <c r="J911" s="4">
        <v>0.22025</v>
      </c>
      <c r="K911" s="4" t="b">
        <v>1</v>
      </c>
      <c r="L911" s="4" t="b">
        <v>0</v>
      </c>
    </row>
    <row r="912" spans="1:13" ht="13">
      <c r="A912" s="4" t="s">
        <v>9093</v>
      </c>
      <c r="B912" s="4" t="s">
        <v>4951</v>
      </c>
      <c r="C912" s="4" t="s">
        <v>108</v>
      </c>
      <c r="D912" s="4" t="s">
        <v>4952</v>
      </c>
      <c r="E912" s="4" t="s">
        <v>2911</v>
      </c>
      <c r="F912" s="4" t="s">
        <v>9094</v>
      </c>
      <c r="G912" s="4" t="s">
        <v>9095</v>
      </c>
      <c r="H912" s="4">
        <v>1.21</v>
      </c>
      <c r="I912" s="4">
        <v>1.01</v>
      </c>
      <c r="J912" s="4">
        <v>0.21687999999999999</v>
      </c>
      <c r="K912" s="4" t="b">
        <v>1</v>
      </c>
      <c r="L912" s="4" t="b">
        <v>0</v>
      </c>
    </row>
    <row r="913" spans="1:12" ht="13">
      <c r="A913" s="4" t="s">
        <v>9096</v>
      </c>
      <c r="B913" s="4" t="s">
        <v>4951</v>
      </c>
      <c r="C913" s="4" t="s">
        <v>108</v>
      </c>
      <c r="D913" s="4" t="s">
        <v>4952</v>
      </c>
      <c r="E913" s="4" t="s">
        <v>2911</v>
      </c>
      <c r="F913" s="4" t="s">
        <v>9097</v>
      </c>
      <c r="G913" s="4" t="s">
        <v>9098</v>
      </c>
      <c r="H913" s="4">
        <v>1.22</v>
      </c>
      <c r="I913" s="4">
        <v>1.07</v>
      </c>
      <c r="J913" s="4">
        <v>0.22844</v>
      </c>
      <c r="K913" s="4" t="b">
        <v>1</v>
      </c>
      <c r="L913" s="4" t="b">
        <v>0</v>
      </c>
    </row>
    <row r="914" spans="1:12" ht="13">
      <c r="A914" s="4" t="s">
        <v>9099</v>
      </c>
      <c r="B914" s="4" t="s">
        <v>4951</v>
      </c>
      <c r="C914" s="4" t="s">
        <v>108</v>
      </c>
      <c r="D914" s="4" t="s">
        <v>4952</v>
      </c>
      <c r="E914" s="4" t="s">
        <v>2911</v>
      </c>
      <c r="F914" s="4" t="s">
        <v>9100</v>
      </c>
      <c r="G914" s="4" t="s">
        <v>9101</v>
      </c>
      <c r="H914" s="4">
        <v>1.23</v>
      </c>
      <c r="I914" s="4">
        <v>1.1000000000000001</v>
      </c>
      <c r="J914" s="4">
        <v>0.23446</v>
      </c>
      <c r="K914" s="4" t="b">
        <v>1</v>
      </c>
      <c r="L914" s="4" t="b">
        <v>0</v>
      </c>
    </row>
    <row r="915" spans="1:12" ht="13">
      <c r="A915" s="4" t="s">
        <v>9102</v>
      </c>
      <c r="B915" s="4" t="s">
        <v>4951</v>
      </c>
      <c r="C915" s="4" t="s">
        <v>108</v>
      </c>
      <c r="D915" s="4" t="s">
        <v>4952</v>
      </c>
      <c r="E915" s="4" t="s">
        <v>2911</v>
      </c>
      <c r="F915" s="4" t="s">
        <v>9103</v>
      </c>
      <c r="G915" s="4" t="s">
        <v>9104</v>
      </c>
      <c r="H915" s="4">
        <v>1.24</v>
      </c>
      <c r="I915" s="4">
        <v>1.05</v>
      </c>
      <c r="J915" s="4">
        <v>0.23701</v>
      </c>
      <c r="K915" s="4" t="b">
        <v>1</v>
      </c>
      <c r="L915" s="4" t="b">
        <v>0</v>
      </c>
    </row>
    <row r="916" spans="1:12" ht="13">
      <c r="A916" s="4" t="s">
        <v>9105</v>
      </c>
      <c r="B916" s="4" t="s">
        <v>4951</v>
      </c>
      <c r="C916" s="4" t="s">
        <v>108</v>
      </c>
      <c r="D916" s="4" t="s">
        <v>4952</v>
      </c>
      <c r="E916" s="4" t="s">
        <v>2911</v>
      </c>
      <c r="F916" s="4" t="s">
        <v>9106</v>
      </c>
      <c r="G916" s="4" t="s">
        <v>9107</v>
      </c>
      <c r="H916" s="4">
        <v>1.25</v>
      </c>
      <c r="I916" s="4">
        <v>1.03</v>
      </c>
      <c r="J916" s="4">
        <v>0.22337000000000001</v>
      </c>
      <c r="K916" s="4" t="b">
        <v>1</v>
      </c>
      <c r="L916" s="4" t="b">
        <v>0</v>
      </c>
    </row>
    <row r="917" spans="1:12" ht="13">
      <c r="A917" s="4" t="s">
        <v>9108</v>
      </c>
      <c r="B917" s="4" t="s">
        <v>4951</v>
      </c>
      <c r="C917" s="4" t="s">
        <v>108</v>
      </c>
      <c r="D917" s="4" t="s">
        <v>4952</v>
      </c>
      <c r="E917" s="4" t="s">
        <v>2911</v>
      </c>
      <c r="F917" s="4" t="s">
        <v>9109</v>
      </c>
      <c r="G917" s="4" t="s">
        <v>9110</v>
      </c>
      <c r="H917" s="4">
        <v>1.25</v>
      </c>
      <c r="I917" s="4">
        <v>0.99</v>
      </c>
      <c r="J917" s="4">
        <v>0.22198999999999999</v>
      </c>
      <c r="K917" s="4" t="b">
        <v>1</v>
      </c>
      <c r="L917" s="4" t="b">
        <v>0</v>
      </c>
    </row>
    <row r="918" spans="1:12" ht="13">
      <c r="A918" s="4" t="s">
        <v>9111</v>
      </c>
      <c r="B918" s="4" t="s">
        <v>4951</v>
      </c>
      <c r="C918" s="4" t="s">
        <v>108</v>
      </c>
      <c r="D918" s="4" t="s">
        <v>4952</v>
      </c>
      <c r="E918" s="4" t="s">
        <v>2911</v>
      </c>
      <c r="F918" s="4" t="s">
        <v>9112</v>
      </c>
      <c r="G918" s="4" t="s">
        <v>9113</v>
      </c>
      <c r="H918" s="4">
        <v>1.26</v>
      </c>
      <c r="I918" s="4">
        <v>0.99</v>
      </c>
      <c r="J918" s="4">
        <v>0.21965000000000001</v>
      </c>
      <c r="K918" s="4" t="b">
        <v>1</v>
      </c>
      <c r="L918" s="4" t="b">
        <v>0</v>
      </c>
    </row>
    <row r="919" spans="1:12" ht="13">
      <c r="A919" s="4" t="s">
        <v>9114</v>
      </c>
      <c r="B919" s="4" t="s">
        <v>4951</v>
      </c>
      <c r="C919" s="4" t="s">
        <v>108</v>
      </c>
      <c r="D919" s="4" t="s">
        <v>4952</v>
      </c>
      <c r="E919" s="4" t="s">
        <v>2911</v>
      </c>
      <c r="F919" s="4" t="s">
        <v>9115</v>
      </c>
      <c r="G919" s="4" t="s">
        <v>9116</v>
      </c>
      <c r="H919" s="4">
        <v>1.27</v>
      </c>
      <c r="I919" s="4">
        <v>1.07</v>
      </c>
      <c r="J919" s="4">
        <v>0.23196</v>
      </c>
      <c r="K919" s="4" t="b">
        <v>1</v>
      </c>
      <c r="L919" s="4" t="b">
        <v>0</v>
      </c>
    </row>
    <row r="920" spans="1:12" ht="13">
      <c r="A920" s="4" t="s">
        <v>9117</v>
      </c>
      <c r="B920" s="4" t="s">
        <v>4951</v>
      </c>
      <c r="C920" s="4" t="s">
        <v>108</v>
      </c>
      <c r="D920" s="4" t="s">
        <v>4952</v>
      </c>
      <c r="E920" s="4" t="s">
        <v>2911</v>
      </c>
      <c r="F920" s="4" t="s">
        <v>9118</v>
      </c>
      <c r="G920" s="4" t="s">
        <v>9119</v>
      </c>
      <c r="H920" s="4">
        <v>1.28</v>
      </c>
      <c r="I920" s="4">
        <v>1.08</v>
      </c>
      <c r="J920" s="4">
        <v>0.23472000000000001</v>
      </c>
      <c r="K920" s="4" t="b">
        <v>1</v>
      </c>
      <c r="L920" s="4" t="b">
        <v>0</v>
      </c>
    </row>
    <row r="921" spans="1:12" ht="13">
      <c r="A921" s="4" t="s">
        <v>9120</v>
      </c>
      <c r="B921" s="4" t="s">
        <v>4951</v>
      </c>
      <c r="C921" s="4" t="s">
        <v>108</v>
      </c>
      <c r="D921" s="4" t="s">
        <v>4952</v>
      </c>
      <c r="E921" s="4" t="s">
        <v>2911</v>
      </c>
      <c r="F921" s="4" t="s">
        <v>9121</v>
      </c>
      <c r="G921" s="4" t="s">
        <v>9122</v>
      </c>
      <c r="H921" s="4">
        <v>1.29</v>
      </c>
      <c r="I921" s="4">
        <v>1.0900000000000001</v>
      </c>
      <c r="J921" s="4">
        <v>0.22775000000000001</v>
      </c>
      <c r="K921" s="4" t="b">
        <v>1</v>
      </c>
      <c r="L921" s="4" t="b">
        <v>0</v>
      </c>
    </row>
    <row r="922" spans="1:12" ht="13">
      <c r="A922" s="4" t="s">
        <v>9123</v>
      </c>
      <c r="B922" s="4" t="s">
        <v>4951</v>
      </c>
      <c r="C922" s="4" t="s">
        <v>108</v>
      </c>
      <c r="D922" s="4" t="s">
        <v>4952</v>
      </c>
      <c r="E922" s="4" t="s">
        <v>2911</v>
      </c>
      <c r="F922" s="4" t="s">
        <v>9124</v>
      </c>
      <c r="G922" s="4" t="s">
        <v>9125</v>
      </c>
      <c r="H922" s="4">
        <v>1.29</v>
      </c>
      <c r="I922" s="4">
        <v>1.0900000000000001</v>
      </c>
      <c r="J922" s="4">
        <v>0.23433999999999999</v>
      </c>
      <c r="K922" s="4" t="b">
        <v>1</v>
      </c>
      <c r="L922" s="4" t="b">
        <v>0</v>
      </c>
    </row>
    <row r="923" spans="1:12" ht="13">
      <c r="A923" s="4" t="s">
        <v>9126</v>
      </c>
      <c r="B923" s="4" t="s">
        <v>4951</v>
      </c>
      <c r="C923" s="4" t="s">
        <v>108</v>
      </c>
      <c r="D923" s="4" t="s">
        <v>4952</v>
      </c>
      <c r="E923" s="4" t="s">
        <v>2911</v>
      </c>
      <c r="F923" s="4" t="s">
        <v>9127</v>
      </c>
      <c r="G923" s="4" t="s">
        <v>9128</v>
      </c>
      <c r="H923" s="4">
        <v>1.31</v>
      </c>
      <c r="I923" s="4">
        <v>1.1000000000000001</v>
      </c>
      <c r="J923" s="4">
        <v>0.22950999999999999</v>
      </c>
      <c r="K923" s="4" t="b">
        <v>1</v>
      </c>
      <c r="L923" s="4" t="b">
        <v>0</v>
      </c>
    </row>
    <row r="924" spans="1:12" ht="13">
      <c r="A924" s="4" t="s">
        <v>9129</v>
      </c>
      <c r="B924" s="4" t="s">
        <v>4951</v>
      </c>
      <c r="C924" s="4" t="s">
        <v>108</v>
      </c>
      <c r="D924" s="4" t="s">
        <v>4952</v>
      </c>
      <c r="E924" s="4" t="s">
        <v>2911</v>
      </c>
      <c r="F924" s="4" t="s">
        <v>9130</v>
      </c>
      <c r="G924" s="4" t="s">
        <v>9131</v>
      </c>
      <c r="H924" s="4">
        <v>1.32</v>
      </c>
      <c r="I924" s="4">
        <v>1</v>
      </c>
      <c r="J924" s="4">
        <v>0.22033</v>
      </c>
      <c r="K924" s="4" t="b">
        <v>1</v>
      </c>
      <c r="L924" s="4" t="b">
        <v>0</v>
      </c>
    </row>
    <row r="925" spans="1:12" ht="13">
      <c r="A925" s="4" t="s">
        <v>9132</v>
      </c>
      <c r="B925" s="4" t="s">
        <v>4951</v>
      </c>
      <c r="C925" s="4" t="s">
        <v>108</v>
      </c>
      <c r="D925" s="4" t="s">
        <v>4952</v>
      </c>
      <c r="E925" s="4" t="s">
        <v>2911</v>
      </c>
      <c r="F925" s="4" t="s">
        <v>9133</v>
      </c>
      <c r="G925" s="4" t="s">
        <v>9134</v>
      </c>
      <c r="H925" s="4">
        <v>1.33</v>
      </c>
      <c r="I925" s="4">
        <v>1.0900000000000001</v>
      </c>
      <c r="J925" s="4">
        <v>0.23277</v>
      </c>
      <c r="K925" s="4" t="b">
        <v>1</v>
      </c>
      <c r="L925" s="4" t="b">
        <v>0</v>
      </c>
    </row>
    <row r="926" spans="1:12" ht="13">
      <c r="A926" s="4" t="s">
        <v>9135</v>
      </c>
      <c r="B926" s="4" t="s">
        <v>4951</v>
      </c>
      <c r="C926" s="4" t="s">
        <v>108</v>
      </c>
      <c r="D926" s="4" t="s">
        <v>4952</v>
      </c>
      <c r="E926" s="4" t="s">
        <v>2911</v>
      </c>
      <c r="F926" s="4" t="s">
        <v>9136</v>
      </c>
      <c r="G926" s="4" t="s">
        <v>9137</v>
      </c>
      <c r="H926" s="4">
        <v>1.34</v>
      </c>
      <c r="I926" s="4">
        <v>0.99</v>
      </c>
      <c r="J926" s="4">
        <v>0.22281999999999999</v>
      </c>
      <c r="K926" s="4" t="b">
        <v>1</v>
      </c>
      <c r="L926" s="4" t="b">
        <v>0</v>
      </c>
    </row>
    <row r="927" spans="1:12" ht="13">
      <c r="A927" s="4" t="s">
        <v>9138</v>
      </c>
      <c r="B927" s="4" t="s">
        <v>4951</v>
      </c>
      <c r="C927" s="4" t="s">
        <v>108</v>
      </c>
      <c r="D927" s="4" t="s">
        <v>4952</v>
      </c>
      <c r="E927" s="4" t="s">
        <v>2911</v>
      </c>
      <c r="F927" s="4" t="s">
        <v>9139</v>
      </c>
      <c r="G927" s="4" t="s">
        <v>9140</v>
      </c>
      <c r="H927" s="4">
        <v>1.36</v>
      </c>
      <c r="I927" s="4">
        <v>0.97</v>
      </c>
      <c r="J927" s="4">
        <v>0.2147</v>
      </c>
      <c r="K927" s="4" t="b">
        <v>1</v>
      </c>
      <c r="L927" s="4" t="b">
        <v>0</v>
      </c>
    </row>
    <row r="928" spans="1:12" ht="13">
      <c r="A928" s="4" t="s">
        <v>9141</v>
      </c>
      <c r="B928" s="4" t="s">
        <v>4951</v>
      </c>
      <c r="C928" s="4" t="s">
        <v>108</v>
      </c>
      <c r="D928" s="4" t="s">
        <v>4952</v>
      </c>
      <c r="E928" s="4" t="s">
        <v>2911</v>
      </c>
      <c r="F928" s="4" t="s">
        <v>9142</v>
      </c>
      <c r="G928" s="4" t="s">
        <v>9143</v>
      </c>
      <c r="H928" s="4">
        <v>1.38</v>
      </c>
      <c r="I928" s="4">
        <v>1.07</v>
      </c>
      <c r="J928" s="4">
        <v>0.2374</v>
      </c>
      <c r="K928" s="4" t="b">
        <v>1</v>
      </c>
      <c r="L928" s="4" t="b">
        <v>0</v>
      </c>
    </row>
    <row r="929" spans="1:12" ht="13">
      <c r="A929" s="4" t="s">
        <v>9144</v>
      </c>
      <c r="B929" s="4" t="s">
        <v>4951</v>
      </c>
      <c r="C929" s="4" t="s">
        <v>108</v>
      </c>
      <c r="D929" s="4" t="s">
        <v>4952</v>
      </c>
      <c r="E929" s="4" t="s">
        <v>2911</v>
      </c>
      <c r="F929" s="4" t="s">
        <v>9145</v>
      </c>
      <c r="G929" s="4" t="s">
        <v>9146</v>
      </c>
      <c r="H929" s="4">
        <v>1.39</v>
      </c>
      <c r="I929" s="4">
        <v>1.1299999999999999</v>
      </c>
      <c r="J929" s="4">
        <v>0.23296</v>
      </c>
      <c r="K929" s="4" t="b">
        <v>1</v>
      </c>
      <c r="L929" s="4" t="b">
        <v>0</v>
      </c>
    </row>
    <row r="930" spans="1:12" ht="13">
      <c r="A930" s="4" t="s">
        <v>9147</v>
      </c>
      <c r="B930" s="4" t="s">
        <v>4951</v>
      </c>
      <c r="C930" s="4" t="s">
        <v>108</v>
      </c>
      <c r="D930" s="4" t="s">
        <v>4952</v>
      </c>
      <c r="E930" s="4" t="s">
        <v>2911</v>
      </c>
      <c r="F930" s="4" t="s">
        <v>9148</v>
      </c>
      <c r="G930" s="4" t="s">
        <v>9149</v>
      </c>
      <c r="H930" s="4">
        <v>1.4</v>
      </c>
      <c r="I930" s="4">
        <v>1.07</v>
      </c>
      <c r="J930" s="4">
        <v>0.24027000000000001</v>
      </c>
      <c r="K930" s="4" t="b">
        <v>1</v>
      </c>
      <c r="L930" s="4" t="b">
        <v>0</v>
      </c>
    </row>
    <row r="931" spans="1:12" ht="13">
      <c r="A931" s="4" t="s">
        <v>9150</v>
      </c>
      <c r="B931" s="4" t="s">
        <v>4951</v>
      </c>
      <c r="C931" s="4" t="s">
        <v>108</v>
      </c>
      <c r="D931" s="4" t="s">
        <v>4952</v>
      </c>
      <c r="E931" s="4" t="s">
        <v>2911</v>
      </c>
      <c r="F931" s="4" t="s">
        <v>9151</v>
      </c>
      <c r="G931" s="4" t="s">
        <v>9152</v>
      </c>
      <c r="H931" s="4">
        <v>1.42</v>
      </c>
      <c r="I931" s="4">
        <v>1.08</v>
      </c>
      <c r="J931" s="4">
        <v>0.2366</v>
      </c>
      <c r="K931" s="4" t="b">
        <v>1</v>
      </c>
      <c r="L931" s="4" t="b">
        <v>0</v>
      </c>
    </row>
    <row r="932" spans="1:12" ht="13">
      <c r="A932" s="4" t="s">
        <v>9153</v>
      </c>
      <c r="B932" s="4" t="s">
        <v>4951</v>
      </c>
      <c r="C932" s="4" t="s">
        <v>108</v>
      </c>
      <c r="D932" s="4" t="s">
        <v>4952</v>
      </c>
      <c r="E932" s="4" t="s">
        <v>2911</v>
      </c>
      <c r="F932" s="4" t="s">
        <v>9154</v>
      </c>
      <c r="G932" s="4" t="s">
        <v>9155</v>
      </c>
      <c r="H932" s="4">
        <v>1.43</v>
      </c>
      <c r="I932" s="4">
        <v>1.1100000000000001</v>
      </c>
      <c r="J932" s="4">
        <v>0.23308000000000001</v>
      </c>
      <c r="K932" s="4" t="b">
        <v>1</v>
      </c>
      <c r="L932" s="4" t="b">
        <v>0</v>
      </c>
    </row>
    <row r="933" spans="1:12" ht="13">
      <c r="A933" s="4" t="s">
        <v>9156</v>
      </c>
      <c r="B933" s="4" t="s">
        <v>4951</v>
      </c>
      <c r="C933" s="4" t="s">
        <v>108</v>
      </c>
      <c r="D933" s="4" t="s">
        <v>4952</v>
      </c>
      <c r="E933" s="4" t="s">
        <v>2911</v>
      </c>
      <c r="F933" s="4" t="s">
        <v>9157</v>
      </c>
      <c r="G933" s="4" t="s">
        <v>9158</v>
      </c>
      <c r="H933" s="4">
        <v>1.43</v>
      </c>
      <c r="I933" s="4">
        <v>1.08</v>
      </c>
      <c r="J933" s="4">
        <v>0.22914000000000001</v>
      </c>
      <c r="K933" s="4" t="b">
        <v>1</v>
      </c>
      <c r="L933" s="4" t="b">
        <v>0</v>
      </c>
    </row>
    <row r="934" spans="1:12" ht="13">
      <c r="A934" s="4" t="s">
        <v>9159</v>
      </c>
      <c r="B934" s="4" t="s">
        <v>4951</v>
      </c>
      <c r="C934" s="4" t="s">
        <v>108</v>
      </c>
      <c r="D934" s="4" t="s">
        <v>4952</v>
      </c>
      <c r="E934" s="4" t="s">
        <v>2911</v>
      </c>
      <c r="F934" s="4" t="s">
        <v>9160</v>
      </c>
      <c r="G934" s="4" t="s">
        <v>9161</v>
      </c>
      <c r="H934" s="4">
        <v>1.44</v>
      </c>
      <c r="I934" s="4">
        <v>1.07</v>
      </c>
      <c r="J934" s="4">
        <v>0.23462</v>
      </c>
      <c r="K934" s="4" t="b">
        <v>1</v>
      </c>
      <c r="L934" s="4" t="b">
        <v>0</v>
      </c>
    </row>
    <row r="935" spans="1:12" ht="13">
      <c r="A935" s="4" t="s">
        <v>9162</v>
      </c>
      <c r="B935" s="4" t="s">
        <v>4951</v>
      </c>
      <c r="C935" s="4" t="s">
        <v>108</v>
      </c>
      <c r="D935" s="4" t="s">
        <v>4952</v>
      </c>
      <c r="E935" s="4" t="s">
        <v>2911</v>
      </c>
      <c r="F935" s="4" t="s">
        <v>9163</v>
      </c>
      <c r="G935" s="4" t="s">
        <v>9164</v>
      </c>
      <c r="H935" s="4">
        <v>1.45</v>
      </c>
      <c r="I935" s="4">
        <v>1.06</v>
      </c>
      <c r="J935" s="4">
        <v>0.23053000000000001</v>
      </c>
      <c r="K935" s="4" t="b">
        <v>1</v>
      </c>
      <c r="L935" s="4" t="b">
        <v>0</v>
      </c>
    </row>
    <row r="936" spans="1:12" ht="13">
      <c r="A936" s="4" t="s">
        <v>9165</v>
      </c>
      <c r="B936" s="4" t="s">
        <v>4951</v>
      </c>
      <c r="C936" s="4" t="s">
        <v>108</v>
      </c>
      <c r="D936" s="4" t="s">
        <v>4952</v>
      </c>
      <c r="E936" s="4" t="s">
        <v>2911</v>
      </c>
      <c r="F936" s="4" t="s">
        <v>9166</v>
      </c>
      <c r="G936" s="4" t="s">
        <v>9167</v>
      </c>
      <c r="H936" s="4">
        <v>1.46</v>
      </c>
      <c r="I936" s="4">
        <v>1.07</v>
      </c>
      <c r="J936" s="4">
        <v>0.23505000000000001</v>
      </c>
      <c r="K936" s="4" t="b">
        <v>1</v>
      </c>
      <c r="L936" s="4" t="b">
        <v>0</v>
      </c>
    </row>
    <row r="937" spans="1:12" ht="13">
      <c r="A937" s="4" t="s">
        <v>9168</v>
      </c>
      <c r="B937" s="4" t="s">
        <v>4951</v>
      </c>
      <c r="C937" s="4" t="s">
        <v>108</v>
      </c>
      <c r="D937" s="4" t="s">
        <v>4952</v>
      </c>
      <c r="E937" s="4" t="s">
        <v>2911</v>
      </c>
      <c r="F937" s="4" t="s">
        <v>9169</v>
      </c>
      <c r="G937" s="4" t="s">
        <v>9170</v>
      </c>
      <c r="H937" s="4">
        <v>1.46</v>
      </c>
      <c r="I937" s="4">
        <v>1.1000000000000001</v>
      </c>
      <c r="J937" s="4">
        <v>0.22824</v>
      </c>
      <c r="K937" s="4" t="b">
        <v>1</v>
      </c>
      <c r="L937" s="4" t="b">
        <v>0</v>
      </c>
    </row>
    <row r="938" spans="1:12" ht="13">
      <c r="A938" s="4" t="s">
        <v>9171</v>
      </c>
      <c r="B938" s="4" t="s">
        <v>4951</v>
      </c>
      <c r="C938" s="4" t="s">
        <v>108</v>
      </c>
      <c r="D938" s="4" t="s">
        <v>4952</v>
      </c>
      <c r="E938" s="4" t="s">
        <v>2911</v>
      </c>
      <c r="F938" s="4" t="s">
        <v>9172</v>
      </c>
      <c r="G938" s="4" t="s">
        <v>9173</v>
      </c>
      <c r="H938" s="4">
        <v>1.47</v>
      </c>
      <c r="I938" s="4">
        <v>1.1100000000000001</v>
      </c>
      <c r="J938" s="4">
        <v>0.23480000000000001</v>
      </c>
      <c r="K938" s="4" t="b">
        <v>1</v>
      </c>
      <c r="L938" s="4" t="b">
        <v>0</v>
      </c>
    </row>
    <row r="939" spans="1:12" ht="13">
      <c r="A939" s="4" t="s">
        <v>9174</v>
      </c>
      <c r="B939" s="4" t="s">
        <v>4951</v>
      </c>
      <c r="C939" s="4" t="s">
        <v>108</v>
      </c>
      <c r="D939" s="4" t="s">
        <v>4952</v>
      </c>
      <c r="E939" s="4" t="s">
        <v>2911</v>
      </c>
      <c r="F939" s="4" t="s">
        <v>9175</v>
      </c>
      <c r="G939" s="4" t="s">
        <v>9176</v>
      </c>
      <c r="H939" s="4">
        <v>1.48</v>
      </c>
      <c r="I939" s="4">
        <v>1.1100000000000001</v>
      </c>
      <c r="J939" s="4">
        <v>0.2341</v>
      </c>
      <c r="K939" s="4" t="b">
        <v>1</v>
      </c>
      <c r="L939" s="4" t="b">
        <v>0</v>
      </c>
    </row>
    <row r="940" spans="1:12" ht="13">
      <c r="A940" s="4" t="s">
        <v>9177</v>
      </c>
      <c r="B940" s="4" t="s">
        <v>4951</v>
      </c>
      <c r="C940" s="4" t="s">
        <v>108</v>
      </c>
      <c r="D940" s="4" t="s">
        <v>4952</v>
      </c>
      <c r="E940" s="4" t="s">
        <v>2911</v>
      </c>
      <c r="F940" s="4" t="s">
        <v>9178</v>
      </c>
      <c r="G940" s="4" t="s">
        <v>9179</v>
      </c>
      <c r="H940" s="4">
        <v>1.49</v>
      </c>
      <c r="I940" s="4">
        <v>1.1200000000000001</v>
      </c>
      <c r="J940" s="4">
        <v>0.23669000000000001</v>
      </c>
      <c r="K940" s="4" t="b">
        <v>1</v>
      </c>
      <c r="L940" s="4" t="b">
        <v>0</v>
      </c>
    </row>
    <row r="941" spans="1:12" ht="13">
      <c r="A941" s="4" t="s">
        <v>9180</v>
      </c>
      <c r="B941" s="4" t="s">
        <v>4951</v>
      </c>
      <c r="C941" s="4" t="s">
        <v>108</v>
      </c>
      <c r="D941" s="4" t="s">
        <v>4952</v>
      </c>
      <c r="E941" s="4" t="s">
        <v>2911</v>
      </c>
      <c r="F941" s="4" t="s">
        <v>9181</v>
      </c>
      <c r="G941" s="4" t="s">
        <v>9182</v>
      </c>
      <c r="H941" s="4">
        <v>1.5</v>
      </c>
      <c r="I941" s="4">
        <v>1.03</v>
      </c>
      <c r="J941" s="4">
        <v>0.22009000000000001</v>
      </c>
      <c r="K941" s="4" t="b">
        <v>1</v>
      </c>
      <c r="L941" s="4" t="b">
        <v>0</v>
      </c>
    </row>
    <row r="942" spans="1:12" ht="13">
      <c r="A942" s="4" t="s">
        <v>9183</v>
      </c>
      <c r="B942" s="4" t="s">
        <v>4951</v>
      </c>
      <c r="C942" s="4" t="s">
        <v>108</v>
      </c>
      <c r="D942" s="4" t="s">
        <v>4952</v>
      </c>
      <c r="E942" s="4" t="s">
        <v>2911</v>
      </c>
      <c r="F942" s="4" t="s">
        <v>9184</v>
      </c>
      <c r="G942" s="4" t="s">
        <v>9185</v>
      </c>
      <c r="H942" s="4">
        <v>1.5</v>
      </c>
      <c r="I942" s="4">
        <v>1.1299999999999999</v>
      </c>
      <c r="J942" s="4">
        <v>0.23602999999999999</v>
      </c>
      <c r="K942" s="4" t="b">
        <v>1</v>
      </c>
      <c r="L942" s="4" t="b">
        <v>0</v>
      </c>
    </row>
    <row r="943" spans="1:12" ht="13">
      <c r="A943" s="4" t="s">
        <v>9186</v>
      </c>
      <c r="B943" s="4" t="s">
        <v>4951</v>
      </c>
      <c r="C943" s="4" t="s">
        <v>108</v>
      </c>
      <c r="D943" s="4" t="s">
        <v>4952</v>
      </c>
      <c r="E943" s="4" t="s">
        <v>2911</v>
      </c>
      <c r="F943" s="4" t="s">
        <v>9187</v>
      </c>
      <c r="G943" s="4" t="s">
        <v>9188</v>
      </c>
      <c r="H943" s="4">
        <v>1.52</v>
      </c>
      <c r="I943" s="4">
        <v>1.07</v>
      </c>
      <c r="J943" s="4">
        <v>0.23426</v>
      </c>
      <c r="K943" s="4" t="b">
        <v>1</v>
      </c>
      <c r="L943" s="4" t="b">
        <v>0</v>
      </c>
    </row>
    <row r="944" spans="1:12" ht="13">
      <c r="A944" s="4" t="s">
        <v>9189</v>
      </c>
      <c r="B944" s="4" t="s">
        <v>4951</v>
      </c>
      <c r="C944" s="4" t="s">
        <v>108</v>
      </c>
      <c r="D944" s="4" t="s">
        <v>4952</v>
      </c>
      <c r="E944" s="4" t="s">
        <v>2911</v>
      </c>
      <c r="F944" s="4" t="s">
        <v>9190</v>
      </c>
      <c r="G944" s="4" t="s">
        <v>9191</v>
      </c>
      <c r="H944" s="4">
        <v>1.52</v>
      </c>
      <c r="I944" s="4">
        <v>0.98</v>
      </c>
      <c r="J944" s="4">
        <v>0.21714</v>
      </c>
      <c r="K944" s="4" t="b">
        <v>1</v>
      </c>
      <c r="L944" s="4" t="b">
        <v>0</v>
      </c>
    </row>
    <row r="945" spans="1:13" ht="13">
      <c r="A945" s="4" t="s">
        <v>9192</v>
      </c>
      <c r="B945" s="4" t="s">
        <v>4951</v>
      </c>
      <c r="C945" s="4" t="s">
        <v>108</v>
      </c>
      <c r="D945" s="4" t="s">
        <v>4952</v>
      </c>
      <c r="E945" s="4" t="s">
        <v>2911</v>
      </c>
      <c r="F945" s="4" t="s">
        <v>9193</v>
      </c>
      <c r="G945" s="4" t="s">
        <v>9194</v>
      </c>
      <c r="H945" s="4">
        <v>1.53</v>
      </c>
      <c r="I945" s="4">
        <v>1.25</v>
      </c>
      <c r="J945" s="4">
        <v>0.26733000000000001</v>
      </c>
      <c r="K945" s="4" t="b">
        <v>1</v>
      </c>
      <c r="L945" s="4" t="b">
        <v>0</v>
      </c>
    </row>
    <row r="946" spans="1:13" ht="13">
      <c r="A946" s="4" t="s">
        <v>9195</v>
      </c>
      <c r="B946" s="4" t="s">
        <v>4951</v>
      </c>
      <c r="C946" s="4" t="s">
        <v>108</v>
      </c>
      <c r="D946" s="4" t="s">
        <v>4952</v>
      </c>
      <c r="E946" s="4" t="s">
        <v>2911</v>
      </c>
      <c r="F946" s="4" t="s">
        <v>9196</v>
      </c>
      <c r="G946" s="4" t="s">
        <v>9197</v>
      </c>
      <c r="H946" s="4">
        <v>1.54</v>
      </c>
      <c r="I946" s="4">
        <v>1.06</v>
      </c>
      <c r="J946" s="4">
        <v>0.22785</v>
      </c>
      <c r="K946" s="4" t="b">
        <v>1</v>
      </c>
      <c r="L946" s="4" t="b">
        <v>0</v>
      </c>
    </row>
    <row r="947" spans="1:13" ht="13">
      <c r="A947" s="4" t="s">
        <v>9198</v>
      </c>
      <c r="B947" s="4" t="s">
        <v>4951</v>
      </c>
      <c r="C947" s="4" t="s">
        <v>108</v>
      </c>
      <c r="D947" s="4" t="s">
        <v>4952</v>
      </c>
      <c r="E947" s="4" t="s">
        <v>2911</v>
      </c>
      <c r="F947" s="4" t="s">
        <v>9199</v>
      </c>
      <c r="G947" s="4" t="s">
        <v>9200</v>
      </c>
      <c r="H947" s="4">
        <v>1.55</v>
      </c>
      <c r="I947" s="4">
        <v>1.1000000000000001</v>
      </c>
      <c r="J947" s="4">
        <v>0.23605000000000001</v>
      </c>
      <c r="K947" s="4" t="b">
        <v>1</v>
      </c>
      <c r="L947" s="4" t="b">
        <v>0</v>
      </c>
    </row>
    <row r="948" spans="1:13" ht="13">
      <c r="A948" s="4" t="s">
        <v>9201</v>
      </c>
      <c r="B948" s="4" t="s">
        <v>4951</v>
      </c>
      <c r="C948" s="4" t="s">
        <v>108</v>
      </c>
      <c r="D948" s="4" t="s">
        <v>4952</v>
      </c>
      <c r="E948" s="4" t="s">
        <v>2911</v>
      </c>
      <c r="F948" s="4" t="s">
        <v>9202</v>
      </c>
      <c r="G948" s="4" t="s">
        <v>9203</v>
      </c>
      <c r="H948" s="4">
        <v>1.56</v>
      </c>
      <c r="I948" s="4">
        <v>1.1499999999999999</v>
      </c>
      <c r="J948" s="4">
        <v>0.24504999999999999</v>
      </c>
      <c r="K948" s="4" t="b">
        <v>1</v>
      </c>
      <c r="L948" s="4" t="b">
        <v>0</v>
      </c>
    </row>
    <row r="949" spans="1:13" ht="13">
      <c r="A949" s="4" t="s">
        <v>9204</v>
      </c>
      <c r="B949" s="4" t="s">
        <v>4951</v>
      </c>
      <c r="C949" s="4" t="s">
        <v>108</v>
      </c>
      <c r="D949" s="4" t="s">
        <v>4952</v>
      </c>
      <c r="E949" s="4" t="s">
        <v>2911</v>
      </c>
      <c r="F949" s="4" t="s">
        <v>9205</v>
      </c>
      <c r="G949" s="4" t="s">
        <v>9206</v>
      </c>
      <c r="H949" s="4">
        <v>1.56</v>
      </c>
      <c r="I949" s="4">
        <v>1.06</v>
      </c>
      <c r="J949" s="4">
        <v>0.23476</v>
      </c>
      <c r="K949" s="4" t="b">
        <v>1</v>
      </c>
      <c r="L949" s="4" t="b">
        <v>0</v>
      </c>
    </row>
    <row r="950" spans="1:13" ht="13">
      <c r="A950" s="4" t="s">
        <v>9207</v>
      </c>
      <c r="B950" s="4" t="s">
        <v>4951</v>
      </c>
      <c r="C950" s="4" t="s">
        <v>108</v>
      </c>
      <c r="D950" s="4" t="s">
        <v>4952</v>
      </c>
      <c r="E950" s="4" t="s">
        <v>2911</v>
      </c>
      <c r="F950" s="4" t="s">
        <v>9208</v>
      </c>
      <c r="G950" s="4" t="s">
        <v>9209</v>
      </c>
      <c r="H950" s="4">
        <v>1.58</v>
      </c>
      <c r="I950" s="4">
        <v>1.1000000000000001</v>
      </c>
      <c r="J950" s="4">
        <v>0.2404</v>
      </c>
      <c r="K950" s="4" t="b">
        <v>1</v>
      </c>
      <c r="L950" s="4" t="b">
        <v>0</v>
      </c>
    </row>
    <row r="951" spans="1:13" ht="13">
      <c r="A951" s="4" t="s">
        <v>9210</v>
      </c>
      <c r="B951" s="4" t="s">
        <v>4951</v>
      </c>
      <c r="C951" s="4" t="s">
        <v>108</v>
      </c>
      <c r="D951" s="4" t="s">
        <v>4952</v>
      </c>
      <c r="E951" s="4" t="s">
        <v>2911</v>
      </c>
      <c r="F951" s="4" t="s">
        <v>9211</v>
      </c>
      <c r="G951" s="4" t="s">
        <v>9212</v>
      </c>
      <c r="H951" s="4">
        <v>1.59</v>
      </c>
      <c r="I951" s="4">
        <v>1.05</v>
      </c>
      <c r="J951" s="4">
        <v>0.23166999999999999</v>
      </c>
      <c r="K951" s="4" t="b">
        <v>1</v>
      </c>
      <c r="L951" s="4" t="b">
        <v>0</v>
      </c>
    </row>
    <row r="952" spans="1:13" ht="13">
      <c r="A952" s="4" t="s">
        <v>9213</v>
      </c>
      <c r="B952" s="4" t="s">
        <v>4951</v>
      </c>
      <c r="C952" s="4" t="s">
        <v>108</v>
      </c>
      <c r="D952" s="4" t="s">
        <v>4952</v>
      </c>
      <c r="E952" s="4" t="s">
        <v>2911</v>
      </c>
      <c r="F952" s="4" t="s">
        <v>9214</v>
      </c>
      <c r="G952" s="4" t="s">
        <v>9215</v>
      </c>
      <c r="H952" s="4">
        <v>1.59</v>
      </c>
      <c r="I952" s="4">
        <v>1.1299999999999999</v>
      </c>
      <c r="J952" s="4">
        <v>0.24024999999999999</v>
      </c>
      <c r="K952" s="4" t="b">
        <v>1</v>
      </c>
      <c r="L952" s="4" t="b">
        <v>0</v>
      </c>
    </row>
    <row r="953" spans="1:13" ht="13">
      <c r="A953" s="4" t="s">
        <v>9216</v>
      </c>
      <c r="B953" s="4" t="s">
        <v>4951</v>
      </c>
      <c r="C953" s="4" t="s">
        <v>108</v>
      </c>
      <c r="D953" s="4" t="s">
        <v>4952</v>
      </c>
      <c r="E953" s="4" t="s">
        <v>2911</v>
      </c>
      <c r="F953" s="4" t="s">
        <v>9217</v>
      </c>
      <c r="G953" s="4" t="s">
        <v>9218</v>
      </c>
      <c r="H953" s="4">
        <v>1.6</v>
      </c>
      <c r="I953" s="4">
        <v>1.08</v>
      </c>
      <c r="J953" s="4">
        <v>0.23596</v>
      </c>
      <c r="K953" s="4" t="b">
        <v>1</v>
      </c>
      <c r="L953" s="4" t="b">
        <v>0</v>
      </c>
    </row>
    <row r="954" spans="1:13" ht="13">
      <c r="A954" s="4" t="s">
        <v>9219</v>
      </c>
      <c r="B954" s="4" t="s">
        <v>4951</v>
      </c>
      <c r="C954" s="4" t="s">
        <v>108</v>
      </c>
      <c r="D954" s="4" t="s">
        <v>4952</v>
      </c>
      <c r="E954" s="4" t="s">
        <v>2911</v>
      </c>
      <c r="F954" s="4" t="s">
        <v>9220</v>
      </c>
      <c r="G954" s="4" t="s">
        <v>9221</v>
      </c>
      <c r="H954" s="4">
        <v>1.63</v>
      </c>
      <c r="I954" s="4">
        <v>1.18</v>
      </c>
      <c r="J954" s="4">
        <v>0.25052999999999997</v>
      </c>
      <c r="K954" s="4" t="b">
        <v>1</v>
      </c>
      <c r="L954" s="4" t="b">
        <v>0</v>
      </c>
    </row>
    <row r="955" spans="1:13" ht="13">
      <c r="A955" s="4" t="s">
        <v>9222</v>
      </c>
      <c r="B955" s="4" t="s">
        <v>4951</v>
      </c>
      <c r="C955" s="4" t="s">
        <v>108</v>
      </c>
      <c r="D955" s="4" t="s">
        <v>4952</v>
      </c>
      <c r="E955" s="4" t="s">
        <v>2911</v>
      </c>
      <c r="F955" s="4" t="s">
        <v>9223</v>
      </c>
      <c r="G955" s="4" t="s">
        <v>9224</v>
      </c>
      <c r="H955" s="4">
        <v>1.64</v>
      </c>
      <c r="I955" s="4">
        <v>0.97</v>
      </c>
      <c r="J955" s="4">
        <v>0.22170999999999999</v>
      </c>
      <c r="K955" s="4" t="b">
        <v>1</v>
      </c>
      <c r="L955" s="4" t="b">
        <v>0</v>
      </c>
    </row>
    <row r="956" spans="1:13" ht="13">
      <c r="A956" s="4" t="s">
        <v>9228</v>
      </c>
      <c r="B956" s="4" t="s">
        <v>4951</v>
      </c>
      <c r="C956" s="4" t="s">
        <v>108</v>
      </c>
      <c r="D956" s="4" t="s">
        <v>4952</v>
      </c>
      <c r="E956" s="4" t="s">
        <v>2911</v>
      </c>
      <c r="F956" s="4" t="s">
        <v>9229</v>
      </c>
      <c r="G956" s="4" t="s">
        <v>9230</v>
      </c>
      <c r="H956" s="4">
        <v>1.66</v>
      </c>
      <c r="I956" s="4">
        <v>1.0900000000000001</v>
      </c>
      <c r="J956" s="4">
        <v>0.22972000000000001</v>
      </c>
      <c r="K956" s="4" t="b">
        <v>1</v>
      </c>
      <c r="L956" s="4" t="b">
        <v>0</v>
      </c>
    </row>
    <row r="957" spans="1:13" ht="13">
      <c r="A957" s="4" t="s">
        <v>9231</v>
      </c>
      <c r="B957" s="4" t="s">
        <v>4951</v>
      </c>
      <c r="C957" s="4" t="s">
        <v>108</v>
      </c>
      <c r="D957" s="4" t="s">
        <v>4952</v>
      </c>
      <c r="E957" s="4" t="s">
        <v>2911</v>
      </c>
      <c r="F957" s="4" t="s">
        <v>9232</v>
      </c>
      <c r="G957" s="4" t="s">
        <v>9233</v>
      </c>
      <c r="H957" s="4">
        <v>1.67</v>
      </c>
      <c r="I957" s="4">
        <v>1.02</v>
      </c>
      <c r="J957" s="4">
        <v>0.21618999999999999</v>
      </c>
      <c r="K957" s="4" t="b">
        <v>1</v>
      </c>
      <c r="L957" s="4" t="b">
        <v>0</v>
      </c>
    </row>
    <row r="958" spans="1:13" ht="13">
      <c r="A958" s="4" t="s">
        <v>9234</v>
      </c>
      <c r="B958" s="4" t="s">
        <v>4951</v>
      </c>
      <c r="C958" s="4" t="s">
        <v>108</v>
      </c>
      <c r="D958" s="4" t="s">
        <v>4952</v>
      </c>
      <c r="E958" s="4" t="s">
        <v>2911</v>
      </c>
      <c r="F958" s="4" t="s">
        <v>9235</v>
      </c>
      <c r="G958" s="4" t="s">
        <v>9236</v>
      </c>
      <c r="H958" s="4">
        <v>1.68</v>
      </c>
      <c r="I958" s="4">
        <v>1.04</v>
      </c>
      <c r="J958" s="4">
        <v>0.22166</v>
      </c>
      <c r="K958" s="4" t="b">
        <v>1</v>
      </c>
      <c r="L958" s="4" t="b">
        <v>0</v>
      </c>
    </row>
    <row r="959" spans="1:13" ht="13">
      <c r="A959" s="4" t="s">
        <v>3148</v>
      </c>
      <c r="B959" s="4" t="s">
        <v>4951</v>
      </c>
      <c r="C959" s="4" t="s">
        <v>108</v>
      </c>
      <c r="D959" s="4" t="s">
        <v>4952</v>
      </c>
      <c r="E959" s="4" t="s">
        <v>2911</v>
      </c>
      <c r="F959" s="4" t="s">
        <v>5153</v>
      </c>
      <c r="G959" s="4" t="s">
        <v>3044</v>
      </c>
      <c r="H959" s="4">
        <v>1.69</v>
      </c>
      <c r="I959" s="4">
        <v>1.06</v>
      </c>
      <c r="J959" s="4">
        <v>0.22655</v>
      </c>
      <c r="K959" s="4" t="b">
        <v>1</v>
      </c>
      <c r="L959" s="4" t="b">
        <v>1</v>
      </c>
      <c r="M959" s="41" t="s">
        <v>4955</v>
      </c>
    </row>
    <row r="960" spans="1:13" ht="13">
      <c r="A960" s="4" t="s">
        <v>9237</v>
      </c>
      <c r="B960" s="4" t="s">
        <v>4951</v>
      </c>
      <c r="C960" s="4" t="s">
        <v>108</v>
      </c>
      <c r="D960" s="4" t="s">
        <v>4952</v>
      </c>
      <c r="E960" s="4" t="s">
        <v>2911</v>
      </c>
      <c r="F960" s="4" t="s">
        <v>9238</v>
      </c>
      <c r="G960" s="4" t="s">
        <v>9239</v>
      </c>
      <c r="H960" s="4">
        <v>1.71</v>
      </c>
      <c r="I960" s="4">
        <v>1.17</v>
      </c>
      <c r="J960" s="4">
        <v>0.25538</v>
      </c>
      <c r="K960" s="4" t="b">
        <v>1</v>
      </c>
      <c r="L960" s="4" t="b">
        <v>0</v>
      </c>
    </row>
    <row r="961" spans="1:13" ht="13">
      <c r="A961" s="4" t="s">
        <v>9240</v>
      </c>
      <c r="B961" s="4" t="s">
        <v>4951</v>
      </c>
      <c r="C961" s="4" t="s">
        <v>108</v>
      </c>
      <c r="D961" s="4" t="s">
        <v>4952</v>
      </c>
      <c r="E961" s="4" t="s">
        <v>2911</v>
      </c>
      <c r="F961" s="4" t="s">
        <v>9241</v>
      </c>
      <c r="G961" s="4" t="s">
        <v>9242</v>
      </c>
      <c r="H961" s="4">
        <v>1.72</v>
      </c>
      <c r="I961" s="4">
        <v>1.08</v>
      </c>
      <c r="J961" s="4">
        <v>0.22982</v>
      </c>
      <c r="K961" s="4" t="b">
        <v>1</v>
      </c>
      <c r="L961" s="4" t="b">
        <v>0</v>
      </c>
    </row>
    <row r="962" spans="1:13" ht="13">
      <c r="A962" s="4" t="s">
        <v>9243</v>
      </c>
      <c r="B962" s="4" t="s">
        <v>4951</v>
      </c>
      <c r="C962" s="4" t="s">
        <v>108</v>
      </c>
      <c r="D962" s="4" t="s">
        <v>4952</v>
      </c>
      <c r="E962" s="4" t="s">
        <v>2911</v>
      </c>
      <c r="F962" s="4" t="s">
        <v>9244</v>
      </c>
      <c r="G962" s="4" t="s">
        <v>9245</v>
      </c>
      <c r="H962" s="4">
        <v>1.72</v>
      </c>
      <c r="I962" s="4">
        <v>1.06</v>
      </c>
      <c r="J962" s="4">
        <v>0.22398999999999999</v>
      </c>
      <c r="K962" s="4" t="b">
        <v>1</v>
      </c>
      <c r="L962" s="4" t="b">
        <v>0</v>
      </c>
    </row>
    <row r="963" spans="1:13" ht="13">
      <c r="A963" s="4" t="s">
        <v>9246</v>
      </c>
      <c r="B963" s="4" t="s">
        <v>4951</v>
      </c>
      <c r="C963" s="4" t="s">
        <v>108</v>
      </c>
      <c r="D963" s="4" t="s">
        <v>4952</v>
      </c>
      <c r="E963" s="4" t="s">
        <v>2911</v>
      </c>
      <c r="F963" s="4" t="s">
        <v>9247</v>
      </c>
      <c r="G963" s="4" t="s">
        <v>9248</v>
      </c>
      <c r="H963" s="4">
        <v>1.74</v>
      </c>
      <c r="I963" s="4">
        <v>1.01</v>
      </c>
      <c r="J963" s="4">
        <v>0.21084</v>
      </c>
      <c r="K963" s="4" t="b">
        <v>1</v>
      </c>
      <c r="L963" s="4" t="b">
        <v>0</v>
      </c>
    </row>
    <row r="964" spans="1:13" ht="13">
      <c r="A964" s="4" t="s">
        <v>9249</v>
      </c>
      <c r="B964" s="4" t="s">
        <v>4951</v>
      </c>
      <c r="C964" s="4" t="s">
        <v>108</v>
      </c>
      <c r="D964" s="4" t="s">
        <v>4952</v>
      </c>
      <c r="E964" s="4" t="s">
        <v>2911</v>
      </c>
      <c r="F964" s="4" t="s">
        <v>9250</v>
      </c>
      <c r="G964" s="4" t="s">
        <v>9251</v>
      </c>
      <c r="H964" s="4">
        <v>1.74</v>
      </c>
      <c r="I964" s="4">
        <v>1.07</v>
      </c>
      <c r="J964" s="4">
        <v>0.22244</v>
      </c>
      <c r="K964" s="4" t="b">
        <v>1</v>
      </c>
      <c r="L964" s="4" t="b">
        <v>0</v>
      </c>
    </row>
    <row r="965" spans="1:13" ht="13">
      <c r="A965" s="4" t="s">
        <v>9252</v>
      </c>
      <c r="B965" s="4" t="s">
        <v>4951</v>
      </c>
      <c r="C965" s="4" t="s">
        <v>108</v>
      </c>
      <c r="D965" s="4" t="s">
        <v>4952</v>
      </c>
      <c r="E965" s="4" t="s">
        <v>2911</v>
      </c>
      <c r="F965" s="4" t="s">
        <v>9253</v>
      </c>
      <c r="G965" s="4" t="s">
        <v>9254</v>
      </c>
      <c r="H965" s="4">
        <v>1.75</v>
      </c>
      <c r="I965" s="4">
        <v>1.08</v>
      </c>
      <c r="J965" s="4">
        <v>0.22459000000000001</v>
      </c>
      <c r="K965" s="4" t="b">
        <v>1</v>
      </c>
      <c r="L965" s="4" t="b">
        <v>0</v>
      </c>
    </row>
    <row r="966" spans="1:13" ht="13">
      <c r="A966" s="4" t="s">
        <v>9255</v>
      </c>
      <c r="B966" s="4" t="s">
        <v>4951</v>
      </c>
      <c r="C966" s="4" t="s">
        <v>108</v>
      </c>
      <c r="D966" s="4" t="s">
        <v>4952</v>
      </c>
      <c r="E966" s="4" t="s">
        <v>2911</v>
      </c>
      <c r="F966" s="4" t="s">
        <v>9256</v>
      </c>
      <c r="G966" s="4" t="s">
        <v>9257</v>
      </c>
      <c r="H966" s="4">
        <v>1.77</v>
      </c>
      <c r="I966" s="4">
        <v>1.1399999999999999</v>
      </c>
      <c r="J966" s="4">
        <v>0.21653</v>
      </c>
      <c r="K966" s="4" t="b">
        <v>1</v>
      </c>
      <c r="L966" s="4" t="b">
        <v>0</v>
      </c>
    </row>
    <row r="967" spans="1:13" ht="13">
      <c r="A967" s="4" t="s">
        <v>9258</v>
      </c>
      <c r="B967" s="4" t="s">
        <v>4951</v>
      </c>
      <c r="C967" s="4" t="s">
        <v>108</v>
      </c>
      <c r="D967" s="4" t="s">
        <v>4952</v>
      </c>
      <c r="E967" s="4" t="s">
        <v>2911</v>
      </c>
      <c r="F967" s="4" t="s">
        <v>9259</v>
      </c>
      <c r="G967" s="4" t="s">
        <v>9260</v>
      </c>
      <c r="H967" s="4">
        <v>1.78</v>
      </c>
      <c r="I967" s="4">
        <v>1.1399999999999999</v>
      </c>
      <c r="J967" s="4">
        <v>0.23458999999999999</v>
      </c>
      <c r="K967" s="4" t="b">
        <v>1</v>
      </c>
      <c r="L967" s="4" t="b">
        <v>0</v>
      </c>
    </row>
    <row r="968" spans="1:13" ht="13">
      <c r="A968" s="4" t="s">
        <v>9261</v>
      </c>
      <c r="B968" s="4" t="s">
        <v>4951</v>
      </c>
      <c r="C968" s="4" t="s">
        <v>108</v>
      </c>
      <c r="D968" s="4" t="s">
        <v>4952</v>
      </c>
      <c r="E968" s="4" t="s">
        <v>2911</v>
      </c>
      <c r="F968" s="4" t="s">
        <v>9262</v>
      </c>
      <c r="G968" s="4" t="s">
        <v>9263</v>
      </c>
      <c r="H968" s="4">
        <v>0.8</v>
      </c>
      <c r="I968" s="4">
        <v>1.08</v>
      </c>
      <c r="J968" s="4">
        <v>0.24789</v>
      </c>
      <c r="K968" s="4" t="b">
        <v>1</v>
      </c>
      <c r="L968" s="4" t="b">
        <v>0</v>
      </c>
    </row>
    <row r="969" spans="1:13" ht="13">
      <c r="A969" s="4" t="s">
        <v>9264</v>
      </c>
      <c r="B969" s="4" t="s">
        <v>4951</v>
      </c>
      <c r="C969" s="4" t="s">
        <v>108</v>
      </c>
      <c r="D969" s="4" t="s">
        <v>4952</v>
      </c>
      <c r="E969" s="4" t="s">
        <v>2911</v>
      </c>
      <c r="F969" s="4" t="s">
        <v>9265</v>
      </c>
      <c r="G969" s="4" t="s">
        <v>9266</v>
      </c>
      <c r="H969" s="4">
        <v>0.8</v>
      </c>
      <c r="I969" s="4">
        <v>1.26</v>
      </c>
      <c r="J969" s="4">
        <v>0.2616</v>
      </c>
      <c r="K969" s="4" t="b">
        <v>1</v>
      </c>
      <c r="L969" s="4" t="b">
        <v>0</v>
      </c>
    </row>
    <row r="970" spans="1:13" ht="13">
      <c r="A970" s="4" t="s">
        <v>9267</v>
      </c>
      <c r="B970" s="4" t="s">
        <v>4951</v>
      </c>
      <c r="C970" s="4" t="s">
        <v>108</v>
      </c>
      <c r="D970" s="4" t="s">
        <v>4952</v>
      </c>
      <c r="E970" s="4" t="s">
        <v>2911</v>
      </c>
      <c r="F970" s="4" t="s">
        <v>9268</v>
      </c>
      <c r="G970" s="4" t="s">
        <v>9269</v>
      </c>
      <c r="H970" s="4">
        <v>0.82</v>
      </c>
      <c r="I970" s="4">
        <v>1.1100000000000001</v>
      </c>
      <c r="J970" s="4">
        <v>0.23218</v>
      </c>
      <c r="K970" s="4" t="b">
        <v>1</v>
      </c>
      <c r="L970" s="4" t="b">
        <v>0</v>
      </c>
    </row>
    <row r="971" spans="1:13" ht="13">
      <c r="A971" s="4" t="s">
        <v>9270</v>
      </c>
      <c r="B971" s="4" t="s">
        <v>4951</v>
      </c>
      <c r="C971" s="4" t="s">
        <v>108</v>
      </c>
      <c r="D971" s="4" t="s">
        <v>4952</v>
      </c>
      <c r="E971" s="4" t="s">
        <v>2911</v>
      </c>
      <c r="F971" s="4" t="s">
        <v>9271</v>
      </c>
      <c r="G971" s="4" t="s">
        <v>9272</v>
      </c>
      <c r="H971" s="4">
        <v>0.82</v>
      </c>
      <c r="I971" s="4">
        <v>1.1000000000000001</v>
      </c>
      <c r="J971" s="4">
        <v>0.25322</v>
      </c>
      <c r="K971" s="4" t="b">
        <v>1</v>
      </c>
      <c r="L971" s="4" t="b">
        <v>0</v>
      </c>
    </row>
    <row r="972" spans="1:13" ht="13">
      <c r="A972" s="4" t="s">
        <v>3149</v>
      </c>
      <c r="B972" s="4" t="s">
        <v>4951</v>
      </c>
      <c r="C972" s="4" t="s">
        <v>108</v>
      </c>
      <c r="D972" s="4" t="s">
        <v>4952</v>
      </c>
      <c r="E972" s="4" t="s">
        <v>2911</v>
      </c>
      <c r="F972" s="4" t="s">
        <v>4972</v>
      </c>
      <c r="G972" s="4" t="s">
        <v>3045</v>
      </c>
      <c r="H972" s="4">
        <v>0.83</v>
      </c>
      <c r="I972" s="4">
        <v>1.1100000000000001</v>
      </c>
      <c r="J972" s="4">
        <v>0.247</v>
      </c>
      <c r="K972" s="4" t="b">
        <v>1</v>
      </c>
      <c r="L972" s="4" t="b">
        <v>1</v>
      </c>
      <c r="M972" s="41" t="s">
        <v>4929</v>
      </c>
    </row>
    <row r="973" spans="1:13" ht="13">
      <c r="A973" s="4" t="s">
        <v>9273</v>
      </c>
      <c r="B973" s="4" t="s">
        <v>4951</v>
      </c>
      <c r="C973" s="4" t="s">
        <v>108</v>
      </c>
      <c r="D973" s="4" t="s">
        <v>4952</v>
      </c>
      <c r="E973" s="4" t="s">
        <v>2911</v>
      </c>
      <c r="F973" s="4" t="s">
        <v>9274</v>
      </c>
      <c r="G973" s="4" t="s">
        <v>9275</v>
      </c>
      <c r="H973" s="4">
        <v>0.85</v>
      </c>
      <c r="I973" s="4">
        <v>1.08</v>
      </c>
      <c r="J973" s="4">
        <v>0.23938999999999999</v>
      </c>
      <c r="K973" s="4" t="b">
        <v>1</v>
      </c>
      <c r="L973" s="4" t="b">
        <v>0</v>
      </c>
    </row>
    <row r="974" spans="1:13" ht="13">
      <c r="A974" s="4" t="s">
        <v>9276</v>
      </c>
      <c r="B974" s="4" t="s">
        <v>4951</v>
      </c>
      <c r="C974" s="4" t="s">
        <v>108</v>
      </c>
      <c r="D974" s="4" t="s">
        <v>4952</v>
      </c>
      <c r="E974" s="4" t="s">
        <v>2911</v>
      </c>
      <c r="F974" s="4" t="s">
        <v>9277</v>
      </c>
      <c r="G974" s="4" t="s">
        <v>9278</v>
      </c>
      <c r="H974" s="4">
        <v>0.86</v>
      </c>
      <c r="I974" s="4">
        <v>1.1200000000000001</v>
      </c>
      <c r="J974" s="4">
        <v>0.23871999999999999</v>
      </c>
      <c r="K974" s="4" t="b">
        <v>1</v>
      </c>
      <c r="L974" s="4" t="b">
        <v>0</v>
      </c>
    </row>
    <row r="975" spans="1:13" ht="13">
      <c r="A975" s="4" t="s">
        <v>9279</v>
      </c>
      <c r="B975" s="4" t="s">
        <v>4951</v>
      </c>
      <c r="C975" s="4" t="s">
        <v>108</v>
      </c>
      <c r="D975" s="4" t="s">
        <v>4952</v>
      </c>
      <c r="E975" s="4" t="s">
        <v>2911</v>
      </c>
      <c r="F975" s="4" t="s">
        <v>9280</v>
      </c>
      <c r="G975" s="4" t="s">
        <v>9281</v>
      </c>
      <c r="H975" s="4">
        <v>0.86</v>
      </c>
      <c r="I975" s="4">
        <v>1.08</v>
      </c>
      <c r="J975" s="4">
        <v>0.24673</v>
      </c>
      <c r="K975" s="4" t="b">
        <v>1</v>
      </c>
      <c r="L975" s="4" t="b">
        <v>0</v>
      </c>
    </row>
    <row r="976" spans="1:13" ht="13">
      <c r="A976" s="4" t="s">
        <v>9282</v>
      </c>
      <c r="B976" s="4" t="s">
        <v>4951</v>
      </c>
      <c r="C976" s="4" t="s">
        <v>108</v>
      </c>
      <c r="D976" s="4" t="s">
        <v>4952</v>
      </c>
      <c r="E976" s="4" t="s">
        <v>2911</v>
      </c>
      <c r="F976" s="4" t="s">
        <v>9283</v>
      </c>
      <c r="G976" s="4" t="s">
        <v>9284</v>
      </c>
      <c r="H976" s="4">
        <v>0.87</v>
      </c>
      <c r="I976" s="4">
        <v>1.1000000000000001</v>
      </c>
      <c r="J976" s="4">
        <v>0.25274999999999997</v>
      </c>
      <c r="K976" s="4" t="b">
        <v>1</v>
      </c>
      <c r="L976" s="4" t="b">
        <v>0</v>
      </c>
    </row>
    <row r="977" spans="1:12" ht="13">
      <c r="A977" s="4" t="s">
        <v>5189</v>
      </c>
      <c r="B977" s="4" t="s">
        <v>4951</v>
      </c>
      <c r="C977" s="4" t="s">
        <v>108</v>
      </c>
      <c r="D977" s="4" t="s">
        <v>4952</v>
      </c>
      <c r="E977" s="4" t="s">
        <v>2911</v>
      </c>
      <c r="F977" s="4" t="s">
        <v>5190</v>
      </c>
      <c r="G977" s="4" t="s">
        <v>5191</v>
      </c>
      <c r="H977" s="4">
        <v>0.87</v>
      </c>
      <c r="I977" s="4">
        <v>1.06</v>
      </c>
      <c r="J977" s="4">
        <v>0.22778000000000001</v>
      </c>
      <c r="K977" s="4" t="b">
        <v>1</v>
      </c>
      <c r="L977" s="4" t="b">
        <v>0</v>
      </c>
    </row>
    <row r="978" spans="1:12" ht="13">
      <c r="A978" s="4" t="s">
        <v>9285</v>
      </c>
      <c r="B978" s="4" t="s">
        <v>4951</v>
      </c>
      <c r="C978" s="4" t="s">
        <v>108</v>
      </c>
      <c r="D978" s="4" t="s">
        <v>4952</v>
      </c>
      <c r="E978" s="4" t="s">
        <v>2911</v>
      </c>
      <c r="F978" s="4" t="s">
        <v>9286</v>
      </c>
      <c r="G978" s="4" t="s">
        <v>9287</v>
      </c>
      <c r="H978" s="4">
        <v>0.88</v>
      </c>
      <c r="I978" s="4">
        <v>1.06</v>
      </c>
      <c r="J978" s="4">
        <v>0.26695999999999998</v>
      </c>
      <c r="K978" s="4" t="b">
        <v>1</v>
      </c>
      <c r="L978" s="4" t="b">
        <v>0</v>
      </c>
    </row>
    <row r="979" spans="1:12" ht="13">
      <c r="A979" s="4" t="s">
        <v>9288</v>
      </c>
      <c r="B979" s="4" t="s">
        <v>4951</v>
      </c>
      <c r="C979" s="4" t="s">
        <v>108</v>
      </c>
      <c r="D979" s="4" t="s">
        <v>4952</v>
      </c>
      <c r="E979" s="4" t="s">
        <v>2911</v>
      </c>
      <c r="F979" s="4" t="s">
        <v>9289</v>
      </c>
      <c r="G979" s="4" t="s">
        <v>9290</v>
      </c>
      <c r="H979" s="4">
        <v>0.89</v>
      </c>
      <c r="I979" s="4">
        <v>1.25</v>
      </c>
      <c r="J979" s="4">
        <v>0.26566000000000001</v>
      </c>
      <c r="K979" s="4" t="b">
        <v>1</v>
      </c>
      <c r="L979" s="4" t="b">
        <v>0</v>
      </c>
    </row>
    <row r="980" spans="1:12" ht="13">
      <c r="A980" s="4" t="s">
        <v>9291</v>
      </c>
      <c r="B980" s="4" t="s">
        <v>4951</v>
      </c>
      <c r="C980" s="4" t="s">
        <v>108</v>
      </c>
      <c r="D980" s="4" t="s">
        <v>4952</v>
      </c>
      <c r="E980" s="4" t="s">
        <v>2911</v>
      </c>
      <c r="F980" s="4" t="s">
        <v>9292</v>
      </c>
      <c r="G980" s="4" t="s">
        <v>9293</v>
      </c>
      <c r="H980" s="4">
        <v>0.9</v>
      </c>
      <c r="I980" s="4">
        <v>1.18</v>
      </c>
      <c r="J980" s="4">
        <v>0.26949000000000001</v>
      </c>
      <c r="K980" s="4" t="b">
        <v>1</v>
      </c>
      <c r="L980" s="4" t="b">
        <v>0</v>
      </c>
    </row>
    <row r="981" spans="1:12" ht="13">
      <c r="A981" s="4" t="s">
        <v>9294</v>
      </c>
      <c r="B981" s="4" t="s">
        <v>4951</v>
      </c>
      <c r="C981" s="4" t="s">
        <v>108</v>
      </c>
      <c r="D981" s="4" t="s">
        <v>4952</v>
      </c>
      <c r="E981" s="4" t="s">
        <v>2911</v>
      </c>
      <c r="F981" s="4" t="s">
        <v>9295</v>
      </c>
      <c r="G981" s="4" t="s">
        <v>9296</v>
      </c>
      <c r="H981" s="4">
        <v>0.91</v>
      </c>
      <c r="I981" s="4">
        <v>1.18</v>
      </c>
      <c r="J981" s="4">
        <v>0.25327</v>
      </c>
      <c r="K981" s="4" t="b">
        <v>1</v>
      </c>
      <c r="L981" s="4" t="b">
        <v>0</v>
      </c>
    </row>
    <row r="982" spans="1:12" ht="13">
      <c r="A982" s="4" t="s">
        <v>9297</v>
      </c>
      <c r="B982" s="4" t="s">
        <v>4951</v>
      </c>
      <c r="C982" s="4" t="s">
        <v>108</v>
      </c>
      <c r="D982" s="4" t="s">
        <v>4952</v>
      </c>
      <c r="E982" s="4" t="s">
        <v>2911</v>
      </c>
      <c r="F982" s="4" t="s">
        <v>9298</v>
      </c>
      <c r="G982" s="4" t="s">
        <v>9299</v>
      </c>
      <c r="H982" s="4">
        <v>0.91</v>
      </c>
      <c r="I982" s="4">
        <v>1.1599999999999999</v>
      </c>
      <c r="J982" s="4">
        <v>0.24995000000000001</v>
      </c>
      <c r="K982" s="4" t="b">
        <v>1</v>
      </c>
      <c r="L982" s="4" t="b">
        <v>0</v>
      </c>
    </row>
    <row r="983" spans="1:12" ht="13">
      <c r="A983" s="4" t="s">
        <v>9300</v>
      </c>
      <c r="B983" s="4" t="s">
        <v>4951</v>
      </c>
      <c r="C983" s="4" t="s">
        <v>108</v>
      </c>
      <c r="D983" s="4" t="s">
        <v>4952</v>
      </c>
      <c r="E983" s="4" t="s">
        <v>2911</v>
      </c>
      <c r="F983" s="4" t="s">
        <v>9301</v>
      </c>
      <c r="G983" s="4" t="s">
        <v>9302</v>
      </c>
      <c r="H983" s="4">
        <v>0.92</v>
      </c>
      <c r="I983" s="4">
        <v>1.1200000000000001</v>
      </c>
      <c r="J983" s="4">
        <v>0.23577000000000001</v>
      </c>
      <c r="K983" s="4" t="b">
        <v>1</v>
      </c>
      <c r="L983" s="4" t="b">
        <v>0</v>
      </c>
    </row>
    <row r="984" spans="1:12" ht="13">
      <c r="A984" s="4" t="s">
        <v>9303</v>
      </c>
      <c r="B984" s="4" t="s">
        <v>4951</v>
      </c>
      <c r="C984" s="4" t="s">
        <v>108</v>
      </c>
      <c r="D984" s="4" t="s">
        <v>4952</v>
      </c>
      <c r="E984" s="4" t="s">
        <v>2911</v>
      </c>
      <c r="F984" s="4" t="s">
        <v>9304</v>
      </c>
      <c r="G984" s="4" t="s">
        <v>9305</v>
      </c>
      <c r="H984" s="4">
        <v>0.93</v>
      </c>
      <c r="I984" s="4">
        <v>1.1200000000000001</v>
      </c>
      <c r="J984" s="4">
        <v>0.25778000000000001</v>
      </c>
      <c r="K984" s="4" t="b">
        <v>1</v>
      </c>
      <c r="L984" s="4" t="b">
        <v>0</v>
      </c>
    </row>
    <row r="985" spans="1:12" ht="13">
      <c r="A985" s="4" t="s">
        <v>9306</v>
      </c>
      <c r="B985" s="4" t="s">
        <v>4951</v>
      </c>
      <c r="C985" s="4" t="s">
        <v>108</v>
      </c>
      <c r="D985" s="4" t="s">
        <v>4952</v>
      </c>
      <c r="E985" s="4" t="s">
        <v>2911</v>
      </c>
      <c r="F985" s="4" t="s">
        <v>9307</v>
      </c>
      <c r="G985" s="4" t="s">
        <v>9308</v>
      </c>
      <c r="H985" s="4">
        <v>0.95</v>
      </c>
      <c r="I985" s="4">
        <v>1.1100000000000001</v>
      </c>
      <c r="J985" s="4">
        <v>0.23807</v>
      </c>
      <c r="K985" s="4" t="b">
        <v>1</v>
      </c>
      <c r="L985" s="4" t="b">
        <v>0</v>
      </c>
    </row>
    <row r="986" spans="1:12" ht="13">
      <c r="A986" s="4" t="s">
        <v>9309</v>
      </c>
      <c r="B986" s="4" t="s">
        <v>4951</v>
      </c>
      <c r="C986" s="4" t="s">
        <v>108</v>
      </c>
      <c r="D986" s="4" t="s">
        <v>4952</v>
      </c>
      <c r="E986" s="4" t="s">
        <v>2911</v>
      </c>
      <c r="F986" s="4" t="s">
        <v>9310</v>
      </c>
      <c r="G986" s="4" t="s">
        <v>9311</v>
      </c>
      <c r="H986" s="4">
        <v>0.96</v>
      </c>
      <c r="I986" s="4">
        <v>1.08</v>
      </c>
      <c r="J986" s="4">
        <v>0.25612000000000001</v>
      </c>
      <c r="K986" s="4" t="b">
        <v>1</v>
      </c>
      <c r="L986" s="4" t="b">
        <v>0</v>
      </c>
    </row>
    <row r="987" spans="1:12" ht="13">
      <c r="A987" s="4" t="s">
        <v>9312</v>
      </c>
      <c r="B987" s="4" t="s">
        <v>4951</v>
      </c>
      <c r="C987" s="4" t="s">
        <v>108</v>
      </c>
      <c r="D987" s="4" t="s">
        <v>4952</v>
      </c>
      <c r="E987" s="4" t="s">
        <v>2911</v>
      </c>
      <c r="F987" s="4" t="s">
        <v>9313</v>
      </c>
      <c r="G987" s="4" t="s">
        <v>9314</v>
      </c>
      <c r="H987" s="4">
        <v>0.96</v>
      </c>
      <c r="I987" s="4">
        <v>1.1399999999999999</v>
      </c>
      <c r="J987" s="4">
        <v>0.24389</v>
      </c>
      <c r="K987" s="4" t="b">
        <v>1</v>
      </c>
      <c r="L987" s="4" t="b">
        <v>0</v>
      </c>
    </row>
    <row r="988" spans="1:12" ht="13">
      <c r="A988" s="4" t="s">
        <v>9315</v>
      </c>
      <c r="B988" s="4" t="s">
        <v>4951</v>
      </c>
      <c r="C988" s="4" t="s">
        <v>108</v>
      </c>
      <c r="D988" s="4" t="s">
        <v>4952</v>
      </c>
      <c r="E988" s="4" t="s">
        <v>2911</v>
      </c>
      <c r="F988" s="4" t="s">
        <v>9316</v>
      </c>
      <c r="G988" s="4" t="s">
        <v>9317</v>
      </c>
      <c r="H988" s="4">
        <v>0.97</v>
      </c>
      <c r="I988" s="4">
        <v>1.25</v>
      </c>
      <c r="J988" s="4">
        <v>0.2581</v>
      </c>
      <c r="K988" s="4" t="b">
        <v>1</v>
      </c>
      <c r="L988" s="4" t="b">
        <v>0</v>
      </c>
    </row>
    <row r="989" spans="1:12" ht="13">
      <c r="A989" s="4" t="s">
        <v>9318</v>
      </c>
      <c r="B989" s="4" t="s">
        <v>4951</v>
      </c>
      <c r="C989" s="4" t="s">
        <v>108</v>
      </c>
      <c r="D989" s="4" t="s">
        <v>4952</v>
      </c>
      <c r="E989" s="4" t="s">
        <v>2911</v>
      </c>
      <c r="F989" s="4" t="s">
        <v>9319</v>
      </c>
      <c r="G989" s="4" t="s">
        <v>9320</v>
      </c>
      <c r="H989" s="4">
        <v>0.98</v>
      </c>
      <c r="I989" s="4">
        <v>1.1200000000000001</v>
      </c>
      <c r="J989" s="4">
        <v>0.24679000000000001</v>
      </c>
      <c r="K989" s="4" t="b">
        <v>1</v>
      </c>
      <c r="L989" s="4" t="b">
        <v>0</v>
      </c>
    </row>
    <row r="990" spans="1:12" ht="13">
      <c r="A990" s="4" t="s">
        <v>9321</v>
      </c>
      <c r="B990" s="4" t="s">
        <v>4951</v>
      </c>
      <c r="C990" s="4" t="s">
        <v>108</v>
      </c>
      <c r="D990" s="4" t="s">
        <v>4952</v>
      </c>
      <c r="E990" s="4" t="s">
        <v>2911</v>
      </c>
      <c r="F990" s="4" t="s">
        <v>9322</v>
      </c>
      <c r="G990" s="4" t="s">
        <v>9323</v>
      </c>
      <c r="H990" s="4">
        <v>0.99</v>
      </c>
      <c r="I990" s="4">
        <v>1.07</v>
      </c>
      <c r="J990" s="4">
        <v>0.25046000000000002</v>
      </c>
      <c r="K990" s="4" t="b">
        <v>1</v>
      </c>
      <c r="L990" s="4" t="b">
        <v>0</v>
      </c>
    </row>
    <row r="991" spans="1:12" ht="13">
      <c r="A991" s="4" t="s">
        <v>9324</v>
      </c>
      <c r="B991" s="4" t="s">
        <v>4951</v>
      </c>
      <c r="C991" s="4" t="s">
        <v>108</v>
      </c>
      <c r="D991" s="4" t="s">
        <v>4952</v>
      </c>
      <c r="E991" s="4" t="s">
        <v>2911</v>
      </c>
      <c r="F991" s="4" t="s">
        <v>9325</v>
      </c>
      <c r="G991" s="4" t="s">
        <v>9326</v>
      </c>
      <c r="H991" s="4">
        <v>0.99</v>
      </c>
      <c r="I991" s="4">
        <v>1.1299999999999999</v>
      </c>
      <c r="J991" s="4">
        <v>0.26212999999999997</v>
      </c>
      <c r="K991" s="4" t="b">
        <v>1</v>
      </c>
      <c r="L991" s="4" t="b">
        <v>0</v>
      </c>
    </row>
    <row r="992" spans="1:12" ht="13">
      <c r="A992" s="4" t="s">
        <v>9327</v>
      </c>
      <c r="B992" s="4" t="s">
        <v>4951</v>
      </c>
      <c r="C992" s="4" t="s">
        <v>108</v>
      </c>
      <c r="D992" s="4" t="s">
        <v>4952</v>
      </c>
      <c r="E992" s="4" t="s">
        <v>2911</v>
      </c>
      <c r="F992" s="4" t="s">
        <v>9328</v>
      </c>
      <c r="G992" s="4" t="s">
        <v>9329</v>
      </c>
      <c r="H992" s="4">
        <v>1</v>
      </c>
      <c r="I992" s="4">
        <v>1.0900000000000001</v>
      </c>
      <c r="J992" s="4">
        <v>0.2671</v>
      </c>
      <c r="K992" s="4" t="b">
        <v>1</v>
      </c>
      <c r="L992" s="4" t="b">
        <v>0</v>
      </c>
    </row>
    <row r="993" spans="1:13" ht="13">
      <c r="A993" s="4" t="s">
        <v>9330</v>
      </c>
      <c r="B993" s="4" t="s">
        <v>4951</v>
      </c>
      <c r="C993" s="4" t="s">
        <v>108</v>
      </c>
      <c r="D993" s="4" t="s">
        <v>4952</v>
      </c>
      <c r="E993" s="4" t="s">
        <v>2911</v>
      </c>
      <c r="F993" s="4" t="s">
        <v>9331</v>
      </c>
      <c r="G993" s="4" t="s">
        <v>9332</v>
      </c>
      <c r="H993" s="4">
        <v>1.01</v>
      </c>
      <c r="I993" s="4">
        <v>1.06</v>
      </c>
      <c r="J993" s="4">
        <v>0.24979000000000001</v>
      </c>
      <c r="K993" s="4" t="b">
        <v>1</v>
      </c>
      <c r="L993" s="4" t="b">
        <v>0</v>
      </c>
    </row>
    <row r="994" spans="1:13" ht="13">
      <c r="A994" s="4" t="s">
        <v>9333</v>
      </c>
      <c r="B994" s="4" t="s">
        <v>4951</v>
      </c>
      <c r="C994" s="4" t="s">
        <v>108</v>
      </c>
      <c r="D994" s="4" t="s">
        <v>4952</v>
      </c>
      <c r="E994" s="4" t="s">
        <v>2911</v>
      </c>
      <c r="F994" s="4" t="s">
        <v>9334</v>
      </c>
      <c r="G994" s="4" t="s">
        <v>9335</v>
      </c>
      <c r="H994" s="4">
        <v>1.01</v>
      </c>
      <c r="I994" s="4">
        <v>1.1000000000000001</v>
      </c>
      <c r="J994" s="4">
        <v>0.24481</v>
      </c>
      <c r="K994" s="4" t="b">
        <v>1</v>
      </c>
      <c r="L994" s="4" t="b">
        <v>0</v>
      </c>
    </row>
    <row r="995" spans="1:13" ht="13">
      <c r="A995" s="4" t="s">
        <v>9336</v>
      </c>
      <c r="B995" s="4" t="s">
        <v>4951</v>
      </c>
      <c r="C995" s="4" t="s">
        <v>108</v>
      </c>
      <c r="D995" s="4" t="s">
        <v>4952</v>
      </c>
      <c r="E995" s="4" t="s">
        <v>2911</v>
      </c>
      <c r="F995" s="4" t="s">
        <v>9337</v>
      </c>
      <c r="G995" s="4" t="s">
        <v>9338</v>
      </c>
      <c r="H995" s="4">
        <v>1.02</v>
      </c>
      <c r="I995" s="4">
        <v>1.1299999999999999</v>
      </c>
      <c r="J995" s="4">
        <v>0.24299999999999999</v>
      </c>
      <c r="K995" s="4" t="b">
        <v>1</v>
      </c>
      <c r="L995" s="4" t="b">
        <v>0</v>
      </c>
    </row>
    <row r="996" spans="1:13" ht="13">
      <c r="A996" s="4" t="s">
        <v>3150</v>
      </c>
      <c r="B996" s="4" t="s">
        <v>4951</v>
      </c>
      <c r="C996" s="4" t="s">
        <v>108</v>
      </c>
      <c r="D996" s="4" t="s">
        <v>4952</v>
      </c>
      <c r="E996" s="4" t="s">
        <v>2911</v>
      </c>
      <c r="F996" s="4" t="s">
        <v>4973</v>
      </c>
      <c r="G996" s="4" t="s">
        <v>3046</v>
      </c>
      <c r="H996" s="4">
        <v>1.02</v>
      </c>
      <c r="I996" s="4">
        <v>1.08</v>
      </c>
      <c r="J996" s="4">
        <v>0.25290000000000001</v>
      </c>
      <c r="K996" s="4" t="b">
        <v>1</v>
      </c>
      <c r="L996" s="4" t="b">
        <v>1</v>
      </c>
      <c r="M996" s="41" t="s">
        <v>4929</v>
      </c>
    </row>
    <row r="997" spans="1:13" ht="13">
      <c r="A997" s="4" t="s">
        <v>9339</v>
      </c>
      <c r="B997" s="4" t="s">
        <v>4951</v>
      </c>
      <c r="C997" s="4" t="s">
        <v>108</v>
      </c>
      <c r="D997" s="4" t="s">
        <v>4952</v>
      </c>
      <c r="E997" s="4" t="s">
        <v>2911</v>
      </c>
      <c r="F997" s="4" t="s">
        <v>9340</v>
      </c>
      <c r="G997" s="4" t="s">
        <v>9341</v>
      </c>
      <c r="H997" s="4">
        <v>1.03</v>
      </c>
      <c r="I997" s="4">
        <v>1.0900000000000001</v>
      </c>
      <c r="J997" s="4">
        <v>0.25370999999999999</v>
      </c>
      <c r="K997" s="4" t="b">
        <v>1</v>
      </c>
      <c r="L997" s="4" t="b">
        <v>0</v>
      </c>
    </row>
    <row r="998" spans="1:13" ht="13">
      <c r="A998" s="4" t="s">
        <v>9342</v>
      </c>
      <c r="B998" s="4" t="s">
        <v>4951</v>
      </c>
      <c r="C998" s="4" t="s">
        <v>108</v>
      </c>
      <c r="D998" s="4" t="s">
        <v>4952</v>
      </c>
      <c r="E998" s="4" t="s">
        <v>2911</v>
      </c>
      <c r="F998" s="4" t="s">
        <v>9343</v>
      </c>
      <c r="G998" s="4" t="s">
        <v>9344</v>
      </c>
      <c r="H998" s="4">
        <v>1.04</v>
      </c>
      <c r="I998" s="4">
        <v>1.1499999999999999</v>
      </c>
      <c r="J998" s="4">
        <v>0.26030999999999999</v>
      </c>
      <c r="K998" s="4" t="b">
        <v>1</v>
      </c>
      <c r="L998" s="4" t="b">
        <v>0</v>
      </c>
    </row>
    <row r="999" spans="1:13" ht="13">
      <c r="A999" s="4" t="s">
        <v>9345</v>
      </c>
      <c r="B999" s="4" t="s">
        <v>4951</v>
      </c>
      <c r="C999" s="4" t="s">
        <v>108</v>
      </c>
      <c r="D999" s="4" t="s">
        <v>4952</v>
      </c>
      <c r="E999" s="4" t="s">
        <v>2911</v>
      </c>
      <c r="F999" s="4" t="s">
        <v>9346</v>
      </c>
      <c r="G999" s="4" t="s">
        <v>9347</v>
      </c>
      <c r="H999" s="4">
        <v>1.05</v>
      </c>
      <c r="I999" s="4">
        <v>1.1100000000000001</v>
      </c>
      <c r="J999" s="4">
        <v>0.25557999999999997</v>
      </c>
      <c r="K999" s="4" t="b">
        <v>1</v>
      </c>
      <c r="L999" s="4" t="b">
        <v>0</v>
      </c>
    </row>
    <row r="1000" spans="1:13" ht="13">
      <c r="A1000" s="4" t="s">
        <v>9348</v>
      </c>
      <c r="B1000" s="4" t="s">
        <v>4951</v>
      </c>
      <c r="C1000" s="4" t="s">
        <v>108</v>
      </c>
      <c r="D1000" s="4" t="s">
        <v>4952</v>
      </c>
      <c r="E1000" s="4" t="s">
        <v>2911</v>
      </c>
      <c r="F1000" s="4" t="s">
        <v>9349</v>
      </c>
      <c r="G1000" s="4" t="s">
        <v>9350</v>
      </c>
      <c r="H1000" s="4">
        <v>1.06</v>
      </c>
      <c r="I1000" s="4">
        <v>1.1499999999999999</v>
      </c>
      <c r="J1000" s="4">
        <v>0.28149000000000002</v>
      </c>
      <c r="K1000" s="4" t="b">
        <v>1</v>
      </c>
      <c r="L1000" s="4" t="b">
        <v>0</v>
      </c>
    </row>
    <row r="1001" spans="1:13" ht="13">
      <c r="A1001" s="4" t="s">
        <v>9351</v>
      </c>
      <c r="B1001" s="4" t="s">
        <v>4951</v>
      </c>
      <c r="C1001" s="4" t="s">
        <v>108</v>
      </c>
      <c r="D1001" s="4" t="s">
        <v>4952</v>
      </c>
      <c r="E1001" s="4" t="s">
        <v>2911</v>
      </c>
      <c r="F1001" s="4" t="s">
        <v>9352</v>
      </c>
      <c r="G1001" s="4" t="s">
        <v>9353</v>
      </c>
      <c r="H1001" s="4">
        <v>1.07</v>
      </c>
      <c r="I1001" s="4">
        <v>1.1000000000000001</v>
      </c>
      <c r="J1001" s="4">
        <v>0.25086000000000003</v>
      </c>
      <c r="K1001" s="4" t="b">
        <v>1</v>
      </c>
      <c r="L1001" s="4" t="b">
        <v>0</v>
      </c>
    </row>
    <row r="1002" spans="1:13" ht="13">
      <c r="A1002" s="4" t="s">
        <v>9354</v>
      </c>
      <c r="B1002" s="4" t="s">
        <v>4951</v>
      </c>
      <c r="C1002" s="4" t="s">
        <v>108</v>
      </c>
      <c r="D1002" s="4" t="s">
        <v>4952</v>
      </c>
      <c r="E1002" s="4" t="s">
        <v>2911</v>
      </c>
      <c r="F1002" s="4" t="s">
        <v>9355</v>
      </c>
      <c r="G1002" s="4" t="s">
        <v>9356</v>
      </c>
      <c r="H1002" s="4">
        <v>1.08</v>
      </c>
      <c r="I1002" s="4">
        <v>1.22</v>
      </c>
      <c r="J1002" s="4">
        <v>0.25389</v>
      </c>
      <c r="K1002" s="4" t="b">
        <v>1</v>
      </c>
      <c r="L1002" s="4" t="b">
        <v>0</v>
      </c>
    </row>
    <row r="1003" spans="1:13" ht="13">
      <c r="A1003" s="4" t="s">
        <v>9357</v>
      </c>
      <c r="B1003" s="4" t="s">
        <v>4951</v>
      </c>
      <c r="C1003" s="4" t="s">
        <v>108</v>
      </c>
      <c r="D1003" s="4" t="s">
        <v>4952</v>
      </c>
      <c r="E1003" s="4" t="s">
        <v>2911</v>
      </c>
      <c r="F1003" s="4" t="s">
        <v>9358</v>
      </c>
      <c r="G1003" s="4" t="s">
        <v>9359</v>
      </c>
      <c r="H1003" s="4">
        <v>1.1000000000000001</v>
      </c>
      <c r="I1003" s="4">
        <v>1.1000000000000001</v>
      </c>
      <c r="J1003" s="4">
        <v>0.23018</v>
      </c>
      <c r="K1003" s="4" t="b">
        <v>1</v>
      </c>
      <c r="L1003" s="4" t="b">
        <v>0</v>
      </c>
    </row>
    <row r="1004" spans="1:13" ht="13">
      <c r="A1004" s="4" t="s">
        <v>9360</v>
      </c>
      <c r="B1004" s="4" t="s">
        <v>4951</v>
      </c>
      <c r="C1004" s="4" t="s">
        <v>108</v>
      </c>
      <c r="D1004" s="4" t="s">
        <v>4952</v>
      </c>
      <c r="E1004" s="4" t="s">
        <v>2911</v>
      </c>
      <c r="F1004" s="4" t="s">
        <v>9361</v>
      </c>
      <c r="G1004" s="4" t="s">
        <v>9362</v>
      </c>
      <c r="H1004" s="4">
        <v>1.1000000000000001</v>
      </c>
      <c r="I1004" s="4">
        <v>1.1599999999999999</v>
      </c>
      <c r="J1004" s="4">
        <v>0.25303999999999999</v>
      </c>
      <c r="K1004" s="4" t="b">
        <v>1</v>
      </c>
      <c r="L1004" s="4" t="b">
        <v>0</v>
      </c>
    </row>
    <row r="1005" spans="1:13" ht="13">
      <c r="A1005" s="4" t="s">
        <v>9363</v>
      </c>
      <c r="B1005" s="4" t="s">
        <v>4951</v>
      </c>
      <c r="C1005" s="4" t="s">
        <v>108</v>
      </c>
      <c r="D1005" s="4" t="s">
        <v>4952</v>
      </c>
      <c r="E1005" s="4" t="s">
        <v>2911</v>
      </c>
      <c r="F1005" s="4" t="s">
        <v>9364</v>
      </c>
      <c r="G1005" s="4" t="s">
        <v>9365</v>
      </c>
      <c r="H1005" s="4">
        <v>1.1100000000000001</v>
      </c>
      <c r="I1005" s="4">
        <v>1.1499999999999999</v>
      </c>
      <c r="J1005" s="4">
        <v>0.26466000000000001</v>
      </c>
      <c r="K1005" s="4" t="b">
        <v>1</v>
      </c>
      <c r="L1005" s="4" t="b">
        <v>0</v>
      </c>
    </row>
    <row r="1006" spans="1:13" ht="13">
      <c r="A1006" s="4" t="s">
        <v>9366</v>
      </c>
      <c r="B1006" s="4" t="s">
        <v>4951</v>
      </c>
      <c r="C1006" s="4" t="s">
        <v>108</v>
      </c>
      <c r="D1006" s="4" t="s">
        <v>4952</v>
      </c>
      <c r="E1006" s="4" t="s">
        <v>2911</v>
      </c>
      <c r="F1006" s="4" t="s">
        <v>9367</v>
      </c>
      <c r="G1006" s="4" t="s">
        <v>9368</v>
      </c>
      <c r="H1006" s="4">
        <v>1.1200000000000001</v>
      </c>
      <c r="I1006" s="4">
        <v>1.1399999999999999</v>
      </c>
      <c r="J1006" s="4">
        <v>0.2747</v>
      </c>
      <c r="K1006" s="4" t="b">
        <v>1</v>
      </c>
      <c r="L1006" s="4" t="b">
        <v>0</v>
      </c>
    </row>
    <row r="1007" spans="1:13" ht="13">
      <c r="A1007" s="4" t="s">
        <v>9369</v>
      </c>
      <c r="B1007" s="4" t="s">
        <v>4951</v>
      </c>
      <c r="C1007" s="4" t="s">
        <v>108</v>
      </c>
      <c r="D1007" s="4" t="s">
        <v>4952</v>
      </c>
      <c r="E1007" s="4" t="s">
        <v>2911</v>
      </c>
      <c r="F1007" s="4" t="s">
        <v>9370</v>
      </c>
      <c r="G1007" s="4" t="s">
        <v>9371</v>
      </c>
      <c r="H1007" s="4">
        <v>1.1200000000000001</v>
      </c>
      <c r="I1007" s="4">
        <v>1.1000000000000001</v>
      </c>
      <c r="J1007" s="4">
        <v>0.25046000000000002</v>
      </c>
      <c r="K1007" s="4" t="b">
        <v>1</v>
      </c>
      <c r="L1007" s="4" t="b">
        <v>0</v>
      </c>
    </row>
    <row r="1008" spans="1:13" ht="13">
      <c r="A1008" s="4" t="s">
        <v>9372</v>
      </c>
      <c r="B1008" s="4" t="s">
        <v>4951</v>
      </c>
      <c r="C1008" s="4" t="s">
        <v>108</v>
      </c>
      <c r="D1008" s="4" t="s">
        <v>4952</v>
      </c>
      <c r="E1008" s="4" t="s">
        <v>2911</v>
      </c>
      <c r="F1008" s="4" t="s">
        <v>9373</v>
      </c>
      <c r="G1008" s="4" t="s">
        <v>9374</v>
      </c>
      <c r="H1008" s="4">
        <v>1.1299999999999999</v>
      </c>
      <c r="I1008" s="4">
        <v>1.17</v>
      </c>
      <c r="J1008" s="4">
        <v>0.26545999999999997</v>
      </c>
      <c r="K1008" s="4" t="b">
        <v>1</v>
      </c>
      <c r="L1008" s="4" t="b">
        <v>0</v>
      </c>
    </row>
    <row r="1009" spans="1:13" ht="13">
      <c r="A1009" s="4" t="s">
        <v>9375</v>
      </c>
      <c r="B1009" s="4" t="s">
        <v>4951</v>
      </c>
      <c r="C1009" s="4" t="s">
        <v>108</v>
      </c>
      <c r="D1009" s="4" t="s">
        <v>4952</v>
      </c>
      <c r="E1009" s="4" t="s">
        <v>2911</v>
      </c>
      <c r="F1009" s="4" t="s">
        <v>9376</v>
      </c>
      <c r="G1009" s="4" t="s">
        <v>9377</v>
      </c>
      <c r="H1009" s="4">
        <v>1.1399999999999999</v>
      </c>
      <c r="I1009" s="4">
        <v>1.2</v>
      </c>
      <c r="J1009" s="4">
        <v>0.24412</v>
      </c>
      <c r="K1009" s="4" t="b">
        <v>1</v>
      </c>
      <c r="L1009" s="4" t="b">
        <v>0</v>
      </c>
    </row>
    <row r="1010" spans="1:13" ht="13">
      <c r="A1010" s="4" t="s">
        <v>3151</v>
      </c>
      <c r="B1010" s="4" t="s">
        <v>4951</v>
      </c>
      <c r="C1010" s="4" t="s">
        <v>108</v>
      </c>
      <c r="D1010" s="4" t="s">
        <v>4952</v>
      </c>
      <c r="E1010" s="4" t="s">
        <v>2911</v>
      </c>
      <c r="F1010" s="4" t="s">
        <v>4974</v>
      </c>
      <c r="G1010" s="4" t="s">
        <v>3047</v>
      </c>
      <c r="H1010" s="4">
        <v>1.1399999999999999</v>
      </c>
      <c r="I1010" s="4">
        <v>1.19</v>
      </c>
      <c r="J1010" s="4">
        <v>0.24109</v>
      </c>
      <c r="K1010" s="4" t="b">
        <v>1</v>
      </c>
      <c r="L1010" s="4" t="b">
        <v>1</v>
      </c>
      <c r="M1010" s="41" t="s">
        <v>4929</v>
      </c>
    </row>
    <row r="1011" spans="1:13" ht="13">
      <c r="A1011" s="4" t="s">
        <v>9378</v>
      </c>
      <c r="B1011" s="4" t="s">
        <v>4951</v>
      </c>
      <c r="C1011" s="4" t="s">
        <v>108</v>
      </c>
      <c r="D1011" s="4" t="s">
        <v>4952</v>
      </c>
      <c r="E1011" s="4" t="s">
        <v>2911</v>
      </c>
      <c r="F1011" s="4" t="s">
        <v>9379</v>
      </c>
      <c r="G1011" s="4" t="s">
        <v>9380</v>
      </c>
      <c r="H1011" s="4">
        <v>1.1499999999999999</v>
      </c>
      <c r="I1011" s="4">
        <v>1.1000000000000001</v>
      </c>
      <c r="J1011" s="4">
        <v>0.24676000000000001</v>
      </c>
      <c r="K1011" s="4" t="b">
        <v>1</v>
      </c>
      <c r="L1011" s="4" t="b">
        <v>0</v>
      </c>
    </row>
    <row r="1012" spans="1:13" ht="13">
      <c r="A1012" s="4" t="s">
        <v>9381</v>
      </c>
      <c r="B1012" s="4" t="s">
        <v>4951</v>
      </c>
      <c r="C1012" s="4" t="s">
        <v>108</v>
      </c>
      <c r="D1012" s="4" t="s">
        <v>4952</v>
      </c>
      <c r="E1012" s="4" t="s">
        <v>2911</v>
      </c>
      <c r="F1012" s="4" t="s">
        <v>9382</v>
      </c>
      <c r="G1012" s="4" t="s">
        <v>9383</v>
      </c>
      <c r="H1012" s="4">
        <v>1.1599999999999999</v>
      </c>
      <c r="I1012" s="4">
        <v>1.06</v>
      </c>
      <c r="J1012" s="4">
        <v>0.26121</v>
      </c>
      <c r="K1012" s="4" t="b">
        <v>1</v>
      </c>
      <c r="L1012" s="4" t="b">
        <v>0</v>
      </c>
    </row>
    <row r="1013" spans="1:13" ht="13">
      <c r="A1013" s="4" t="s">
        <v>9384</v>
      </c>
      <c r="B1013" s="4" t="s">
        <v>4951</v>
      </c>
      <c r="C1013" s="4" t="s">
        <v>108</v>
      </c>
      <c r="D1013" s="4" t="s">
        <v>4952</v>
      </c>
      <c r="E1013" s="4" t="s">
        <v>2911</v>
      </c>
      <c r="F1013" s="4" t="s">
        <v>9385</v>
      </c>
      <c r="G1013" s="4" t="s">
        <v>9386</v>
      </c>
      <c r="H1013" s="4">
        <v>1.1599999999999999</v>
      </c>
      <c r="I1013" s="4">
        <v>1.04</v>
      </c>
      <c r="J1013" s="4">
        <v>0.23215</v>
      </c>
      <c r="K1013" s="4" t="b">
        <v>1</v>
      </c>
      <c r="L1013" s="4" t="b">
        <v>0</v>
      </c>
    </row>
    <row r="1014" spans="1:13" ht="13">
      <c r="A1014" s="4" t="s">
        <v>9387</v>
      </c>
      <c r="B1014" s="4" t="s">
        <v>4951</v>
      </c>
      <c r="C1014" s="4" t="s">
        <v>108</v>
      </c>
      <c r="D1014" s="4" t="s">
        <v>4952</v>
      </c>
      <c r="E1014" s="4" t="s">
        <v>2911</v>
      </c>
      <c r="F1014" s="4" t="s">
        <v>9388</v>
      </c>
      <c r="G1014" s="4" t="s">
        <v>9389</v>
      </c>
      <c r="H1014" s="4">
        <v>1.17</v>
      </c>
      <c r="I1014" s="4">
        <v>1.1000000000000001</v>
      </c>
      <c r="J1014" s="4">
        <v>0.25322</v>
      </c>
      <c r="K1014" s="4" t="b">
        <v>1</v>
      </c>
      <c r="L1014" s="4" t="b">
        <v>0</v>
      </c>
    </row>
    <row r="1015" spans="1:13" ht="13">
      <c r="A1015" s="4" t="s">
        <v>9390</v>
      </c>
      <c r="B1015" s="4" t="s">
        <v>4951</v>
      </c>
      <c r="C1015" s="4" t="s">
        <v>108</v>
      </c>
      <c r="D1015" s="4" t="s">
        <v>4952</v>
      </c>
      <c r="E1015" s="4" t="s">
        <v>2911</v>
      </c>
      <c r="F1015" s="4" t="s">
        <v>9391</v>
      </c>
      <c r="G1015" s="4" t="s">
        <v>9392</v>
      </c>
      <c r="H1015" s="4">
        <v>1.18</v>
      </c>
      <c r="I1015" s="4">
        <v>1.1000000000000001</v>
      </c>
      <c r="J1015" s="4">
        <v>0.24207999999999999</v>
      </c>
      <c r="K1015" s="4" t="b">
        <v>1</v>
      </c>
      <c r="L1015" s="4" t="b">
        <v>0</v>
      </c>
    </row>
    <row r="1016" spans="1:13" ht="13">
      <c r="A1016" s="4" t="s">
        <v>9393</v>
      </c>
      <c r="B1016" s="4" t="s">
        <v>4951</v>
      </c>
      <c r="C1016" s="4" t="s">
        <v>108</v>
      </c>
      <c r="D1016" s="4" t="s">
        <v>4952</v>
      </c>
      <c r="E1016" s="4" t="s">
        <v>2911</v>
      </c>
      <c r="F1016" s="4" t="s">
        <v>9394</v>
      </c>
      <c r="G1016" s="4" t="s">
        <v>9395</v>
      </c>
      <c r="H1016" s="4">
        <v>1.19</v>
      </c>
      <c r="I1016" s="4">
        <v>1.1000000000000001</v>
      </c>
      <c r="J1016" s="4">
        <v>0.23835000000000001</v>
      </c>
      <c r="K1016" s="4" t="b">
        <v>1</v>
      </c>
      <c r="L1016" s="4" t="b">
        <v>0</v>
      </c>
    </row>
    <row r="1017" spans="1:13" ht="13">
      <c r="A1017" s="4" t="s">
        <v>9396</v>
      </c>
      <c r="B1017" s="4" t="s">
        <v>4951</v>
      </c>
      <c r="C1017" s="4" t="s">
        <v>108</v>
      </c>
      <c r="D1017" s="4" t="s">
        <v>4952</v>
      </c>
      <c r="E1017" s="4" t="s">
        <v>2911</v>
      </c>
      <c r="F1017" s="4" t="s">
        <v>9397</v>
      </c>
      <c r="G1017" s="4" t="s">
        <v>9398</v>
      </c>
      <c r="H1017" s="4">
        <v>1.19</v>
      </c>
      <c r="I1017" s="4">
        <v>1.0900000000000001</v>
      </c>
      <c r="J1017" s="4">
        <v>0.24843000000000001</v>
      </c>
      <c r="K1017" s="4" t="b">
        <v>1</v>
      </c>
      <c r="L1017" s="4" t="b">
        <v>0</v>
      </c>
    </row>
    <row r="1018" spans="1:13" ht="13">
      <c r="A1018" s="4" t="s">
        <v>9399</v>
      </c>
      <c r="B1018" s="4" t="s">
        <v>4951</v>
      </c>
      <c r="C1018" s="4" t="s">
        <v>108</v>
      </c>
      <c r="D1018" s="4" t="s">
        <v>4952</v>
      </c>
      <c r="E1018" s="4" t="s">
        <v>2911</v>
      </c>
      <c r="F1018" s="4" t="s">
        <v>9400</v>
      </c>
      <c r="G1018" s="4" t="s">
        <v>9401</v>
      </c>
      <c r="H1018" s="4">
        <v>1.2</v>
      </c>
      <c r="I1018" s="4">
        <v>1.1100000000000001</v>
      </c>
      <c r="J1018" s="4">
        <v>0.25416</v>
      </c>
      <c r="K1018" s="4" t="b">
        <v>1</v>
      </c>
      <c r="L1018" s="4" t="b">
        <v>0</v>
      </c>
    </row>
    <row r="1019" spans="1:13" ht="13">
      <c r="A1019" s="4" t="s">
        <v>9402</v>
      </c>
      <c r="B1019" s="4" t="s">
        <v>4951</v>
      </c>
      <c r="C1019" s="4" t="s">
        <v>108</v>
      </c>
      <c r="D1019" s="4" t="s">
        <v>4952</v>
      </c>
      <c r="E1019" s="4" t="s">
        <v>2911</v>
      </c>
      <c r="F1019" s="4" t="s">
        <v>9403</v>
      </c>
      <c r="G1019" s="4" t="s">
        <v>9404</v>
      </c>
      <c r="H1019" s="4">
        <v>1.21</v>
      </c>
      <c r="I1019" s="4">
        <v>1.1000000000000001</v>
      </c>
      <c r="J1019" s="4">
        <v>0.25629000000000002</v>
      </c>
      <c r="K1019" s="4" t="b">
        <v>1</v>
      </c>
      <c r="L1019" s="4" t="b">
        <v>0</v>
      </c>
    </row>
    <row r="1020" spans="1:13" ht="13">
      <c r="A1020" s="4" t="s">
        <v>9405</v>
      </c>
      <c r="B1020" s="4" t="s">
        <v>4951</v>
      </c>
      <c r="C1020" s="4" t="s">
        <v>108</v>
      </c>
      <c r="D1020" s="4" t="s">
        <v>4952</v>
      </c>
      <c r="E1020" s="4" t="s">
        <v>2911</v>
      </c>
      <c r="F1020" s="4" t="s">
        <v>9406</v>
      </c>
      <c r="G1020" s="4" t="s">
        <v>9407</v>
      </c>
      <c r="H1020" s="4">
        <v>1.22</v>
      </c>
      <c r="I1020" s="4">
        <v>1.1399999999999999</v>
      </c>
      <c r="J1020" s="4">
        <v>0.25348999999999999</v>
      </c>
      <c r="K1020" s="4" t="b">
        <v>1</v>
      </c>
      <c r="L1020" s="4" t="b">
        <v>0</v>
      </c>
    </row>
    <row r="1021" spans="1:13" ht="13">
      <c r="A1021" s="4" t="s">
        <v>9408</v>
      </c>
      <c r="B1021" s="4" t="s">
        <v>4951</v>
      </c>
      <c r="C1021" s="4" t="s">
        <v>108</v>
      </c>
      <c r="D1021" s="4" t="s">
        <v>4952</v>
      </c>
      <c r="E1021" s="4" t="s">
        <v>2911</v>
      </c>
      <c r="F1021" s="4" t="s">
        <v>9409</v>
      </c>
      <c r="G1021" s="4" t="s">
        <v>9410</v>
      </c>
      <c r="H1021" s="4">
        <v>1.22</v>
      </c>
      <c r="I1021" s="4">
        <v>1.1399999999999999</v>
      </c>
      <c r="J1021" s="4">
        <v>0.25979000000000002</v>
      </c>
      <c r="K1021" s="4" t="b">
        <v>1</v>
      </c>
      <c r="L1021" s="4" t="b">
        <v>0</v>
      </c>
    </row>
    <row r="1022" spans="1:13" ht="13">
      <c r="A1022" s="4" t="s">
        <v>9411</v>
      </c>
      <c r="B1022" s="4" t="s">
        <v>4951</v>
      </c>
      <c r="C1022" s="4" t="s">
        <v>108</v>
      </c>
      <c r="D1022" s="4" t="s">
        <v>4952</v>
      </c>
      <c r="E1022" s="4" t="s">
        <v>2911</v>
      </c>
      <c r="F1022" s="4" t="s">
        <v>9412</v>
      </c>
      <c r="G1022" s="4" t="s">
        <v>9413</v>
      </c>
      <c r="H1022" s="4">
        <v>1.22</v>
      </c>
      <c r="I1022" s="4">
        <v>1.1399999999999999</v>
      </c>
      <c r="J1022" s="4">
        <v>0.26622000000000001</v>
      </c>
      <c r="K1022" s="4" t="b">
        <v>1</v>
      </c>
      <c r="L1022" s="4" t="b">
        <v>0</v>
      </c>
    </row>
    <row r="1023" spans="1:13" ht="13">
      <c r="A1023" s="4" t="s">
        <v>9414</v>
      </c>
      <c r="B1023" s="4" t="s">
        <v>4951</v>
      </c>
      <c r="C1023" s="4" t="s">
        <v>108</v>
      </c>
      <c r="D1023" s="4" t="s">
        <v>4952</v>
      </c>
      <c r="E1023" s="4" t="s">
        <v>2911</v>
      </c>
      <c r="F1023" s="4" t="s">
        <v>9415</v>
      </c>
      <c r="G1023" s="4" t="s">
        <v>9416</v>
      </c>
      <c r="H1023" s="4">
        <v>1.23</v>
      </c>
      <c r="I1023" s="4">
        <v>1.1100000000000001</v>
      </c>
      <c r="J1023" s="4">
        <v>0.2487</v>
      </c>
      <c r="K1023" s="4" t="b">
        <v>1</v>
      </c>
      <c r="L1023" s="4" t="b">
        <v>0</v>
      </c>
    </row>
    <row r="1024" spans="1:13" ht="13">
      <c r="A1024" s="4" t="s">
        <v>9417</v>
      </c>
      <c r="B1024" s="4" t="s">
        <v>4951</v>
      </c>
      <c r="C1024" s="4" t="s">
        <v>108</v>
      </c>
      <c r="D1024" s="4" t="s">
        <v>4952</v>
      </c>
      <c r="E1024" s="4" t="s">
        <v>2911</v>
      </c>
      <c r="F1024" s="4" t="s">
        <v>9418</v>
      </c>
      <c r="G1024" s="4" t="s">
        <v>9419</v>
      </c>
      <c r="H1024" s="4">
        <v>1.24</v>
      </c>
      <c r="I1024" s="4">
        <v>1.1399999999999999</v>
      </c>
      <c r="J1024" s="4">
        <v>0.27567000000000003</v>
      </c>
      <c r="K1024" s="4" t="b">
        <v>1</v>
      </c>
      <c r="L1024" s="4" t="b">
        <v>0</v>
      </c>
    </row>
    <row r="1025" spans="1:13" ht="13">
      <c r="A1025" s="4" t="s">
        <v>9420</v>
      </c>
      <c r="B1025" s="4" t="s">
        <v>4951</v>
      </c>
      <c r="C1025" s="4" t="s">
        <v>108</v>
      </c>
      <c r="D1025" s="4" t="s">
        <v>4952</v>
      </c>
      <c r="E1025" s="4" t="s">
        <v>2911</v>
      </c>
      <c r="F1025" s="4" t="s">
        <v>9421</v>
      </c>
      <c r="G1025" s="4" t="s">
        <v>9422</v>
      </c>
      <c r="H1025" s="4">
        <v>1.25</v>
      </c>
      <c r="I1025" s="4">
        <v>1.1000000000000001</v>
      </c>
      <c r="J1025" s="4">
        <v>0.23688000000000001</v>
      </c>
      <c r="K1025" s="4" t="b">
        <v>1</v>
      </c>
      <c r="L1025" s="4" t="b">
        <v>0</v>
      </c>
    </row>
    <row r="1026" spans="1:13" ht="13">
      <c r="A1026" s="4" t="s">
        <v>3152</v>
      </c>
      <c r="B1026" s="4" t="s">
        <v>4951</v>
      </c>
      <c r="C1026" s="4" t="s">
        <v>108</v>
      </c>
      <c r="D1026" s="4" t="s">
        <v>4952</v>
      </c>
      <c r="E1026" s="4" t="s">
        <v>2911</v>
      </c>
      <c r="F1026" s="4" t="s">
        <v>5154</v>
      </c>
      <c r="G1026" s="4" t="s">
        <v>3048</v>
      </c>
      <c r="H1026" s="4">
        <v>1.25</v>
      </c>
      <c r="I1026" s="4">
        <v>1.03</v>
      </c>
      <c r="J1026" s="4">
        <v>0.22505</v>
      </c>
      <c r="K1026" s="4" t="b">
        <v>1</v>
      </c>
      <c r="L1026" s="4" t="b">
        <v>1</v>
      </c>
      <c r="M1026" s="41" t="s">
        <v>4955</v>
      </c>
    </row>
    <row r="1027" spans="1:13" ht="13">
      <c r="A1027" s="4" t="s">
        <v>3153</v>
      </c>
      <c r="B1027" s="4" t="s">
        <v>4951</v>
      </c>
      <c r="C1027" s="4" t="s">
        <v>108</v>
      </c>
      <c r="D1027" s="4" t="s">
        <v>4952</v>
      </c>
      <c r="E1027" s="4" t="s">
        <v>2911</v>
      </c>
      <c r="F1027" s="4" t="s">
        <v>5141</v>
      </c>
      <c r="G1027" s="4" t="s">
        <v>3049</v>
      </c>
      <c r="H1027" s="4">
        <v>1.26</v>
      </c>
      <c r="I1027" s="4">
        <v>1.05</v>
      </c>
      <c r="J1027" s="4">
        <v>0.22771</v>
      </c>
      <c r="K1027" s="4" t="b">
        <v>1</v>
      </c>
      <c r="L1027" s="4" t="b">
        <v>1</v>
      </c>
      <c r="M1027" s="41" t="s">
        <v>4929</v>
      </c>
    </row>
    <row r="1028" spans="1:13" ht="13">
      <c r="A1028" s="4" t="s">
        <v>9423</v>
      </c>
      <c r="B1028" s="4" t="s">
        <v>4951</v>
      </c>
      <c r="C1028" s="4" t="s">
        <v>108</v>
      </c>
      <c r="D1028" s="4" t="s">
        <v>4952</v>
      </c>
      <c r="E1028" s="4" t="s">
        <v>2911</v>
      </c>
      <c r="F1028" s="4" t="s">
        <v>9424</v>
      </c>
      <c r="G1028" s="4" t="s">
        <v>9425</v>
      </c>
      <c r="H1028" s="4">
        <v>1.27</v>
      </c>
      <c r="I1028" s="4">
        <v>1.1499999999999999</v>
      </c>
      <c r="J1028" s="4">
        <v>0.2495</v>
      </c>
      <c r="K1028" s="4" t="b">
        <v>1</v>
      </c>
      <c r="L1028" s="4" t="b">
        <v>0</v>
      </c>
    </row>
    <row r="1029" spans="1:13" ht="13">
      <c r="A1029" s="4" t="s">
        <v>9426</v>
      </c>
      <c r="B1029" s="4" t="s">
        <v>4951</v>
      </c>
      <c r="C1029" s="4" t="s">
        <v>108</v>
      </c>
      <c r="D1029" s="4" t="s">
        <v>4952</v>
      </c>
      <c r="E1029" s="4" t="s">
        <v>2911</v>
      </c>
      <c r="F1029" s="4" t="s">
        <v>9427</v>
      </c>
      <c r="G1029" s="4" t="s">
        <v>9428</v>
      </c>
      <c r="H1029" s="4">
        <v>1.27</v>
      </c>
      <c r="I1029" s="4">
        <v>1.2</v>
      </c>
      <c r="J1029" s="4">
        <v>0.27953</v>
      </c>
      <c r="K1029" s="4" t="b">
        <v>1</v>
      </c>
      <c r="L1029" s="4" t="b">
        <v>0</v>
      </c>
    </row>
    <row r="1030" spans="1:13" ht="13">
      <c r="A1030" s="4" t="s">
        <v>9429</v>
      </c>
      <c r="B1030" s="4" t="s">
        <v>4951</v>
      </c>
      <c r="C1030" s="4" t="s">
        <v>108</v>
      </c>
      <c r="D1030" s="4" t="s">
        <v>4952</v>
      </c>
      <c r="E1030" s="4" t="s">
        <v>2911</v>
      </c>
      <c r="F1030" s="4" t="s">
        <v>9430</v>
      </c>
      <c r="G1030" s="4" t="s">
        <v>9431</v>
      </c>
      <c r="H1030" s="4">
        <v>1.28</v>
      </c>
      <c r="I1030" s="4">
        <v>1.1000000000000001</v>
      </c>
      <c r="J1030" s="4">
        <v>0.26643</v>
      </c>
      <c r="K1030" s="4" t="b">
        <v>1</v>
      </c>
      <c r="L1030" s="4" t="b">
        <v>0</v>
      </c>
    </row>
    <row r="1031" spans="1:13" ht="13">
      <c r="A1031" s="4" t="s">
        <v>9432</v>
      </c>
      <c r="B1031" s="4" t="s">
        <v>4951</v>
      </c>
      <c r="C1031" s="4" t="s">
        <v>108</v>
      </c>
      <c r="D1031" s="4" t="s">
        <v>4952</v>
      </c>
      <c r="E1031" s="4" t="s">
        <v>2911</v>
      </c>
      <c r="F1031" s="4" t="s">
        <v>9433</v>
      </c>
      <c r="G1031" s="4" t="s">
        <v>9434</v>
      </c>
      <c r="H1031" s="4">
        <v>1.28</v>
      </c>
      <c r="I1031" s="4">
        <v>1.26</v>
      </c>
      <c r="J1031" s="4">
        <v>0.23533000000000001</v>
      </c>
      <c r="K1031" s="4" t="b">
        <v>1</v>
      </c>
      <c r="L1031" s="4" t="b">
        <v>0</v>
      </c>
    </row>
    <row r="1032" spans="1:13" ht="13">
      <c r="A1032" s="4" t="s">
        <v>9435</v>
      </c>
      <c r="B1032" s="4" t="s">
        <v>4951</v>
      </c>
      <c r="C1032" s="4" t="s">
        <v>108</v>
      </c>
      <c r="D1032" s="4" t="s">
        <v>4952</v>
      </c>
      <c r="E1032" s="4" t="s">
        <v>2911</v>
      </c>
      <c r="F1032" s="4" t="s">
        <v>9436</v>
      </c>
      <c r="G1032" s="4" t="s">
        <v>9437</v>
      </c>
      <c r="H1032" s="4">
        <v>1.29</v>
      </c>
      <c r="I1032" s="4">
        <v>1.07</v>
      </c>
      <c r="J1032" s="4">
        <v>0.23501</v>
      </c>
      <c r="K1032" s="4" t="b">
        <v>1</v>
      </c>
      <c r="L1032" s="4" t="b">
        <v>0</v>
      </c>
    </row>
    <row r="1033" spans="1:13" ht="13">
      <c r="A1033" s="4" t="s">
        <v>9438</v>
      </c>
      <c r="B1033" s="4" t="s">
        <v>4951</v>
      </c>
      <c r="C1033" s="4" t="s">
        <v>108</v>
      </c>
      <c r="D1033" s="4" t="s">
        <v>4952</v>
      </c>
      <c r="E1033" s="4" t="s">
        <v>2911</v>
      </c>
      <c r="F1033" s="4" t="s">
        <v>9439</v>
      </c>
      <c r="G1033" s="4" t="s">
        <v>9440</v>
      </c>
      <c r="H1033" s="4">
        <v>1.3</v>
      </c>
      <c r="I1033" s="4">
        <v>1.04</v>
      </c>
      <c r="J1033" s="4">
        <v>0.23322999999999999</v>
      </c>
      <c r="K1033" s="4" t="b">
        <v>1</v>
      </c>
      <c r="L1033" s="4" t="b">
        <v>0</v>
      </c>
    </row>
    <row r="1034" spans="1:13" ht="13">
      <c r="A1034" s="4" t="s">
        <v>9441</v>
      </c>
      <c r="B1034" s="4" t="s">
        <v>4951</v>
      </c>
      <c r="C1034" s="4" t="s">
        <v>108</v>
      </c>
      <c r="D1034" s="4" t="s">
        <v>4952</v>
      </c>
      <c r="E1034" s="4" t="s">
        <v>2911</v>
      </c>
      <c r="F1034" s="4" t="s">
        <v>9442</v>
      </c>
      <c r="G1034" s="4" t="s">
        <v>9443</v>
      </c>
      <c r="H1034" s="4">
        <v>1.3</v>
      </c>
      <c r="I1034" s="4">
        <v>1.1200000000000001</v>
      </c>
      <c r="J1034" s="4">
        <v>0.23896000000000001</v>
      </c>
      <c r="K1034" s="4" t="b">
        <v>1</v>
      </c>
      <c r="L1034" s="4" t="b">
        <v>0</v>
      </c>
    </row>
    <row r="1035" spans="1:13" ht="13">
      <c r="A1035" s="4" t="s">
        <v>9444</v>
      </c>
      <c r="B1035" s="4" t="s">
        <v>4951</v>
      </c>
      <c r="C1035" s="4" t="s">
        <v>108</v>
      </c>
      <c r="D1035" s="4" t="s">
        <v>4952</v>
      </c>
      <c r="E1035" s="4" t="s">
        <v>2911</v>
      </c>
      <c r="F1035" s="4" t="s">
        <v>9445</v>
      </c>
      <c r="G1035" s="4" t="s">
        <v>9446</v>
      </c>
      <c r="H1035" s="4">
        <v>1.31</v>
      </c>
      <c r="I1035" s="4">
        <v>1.1000000000000001</v>
      </c>
      <c r="J1035" s="4">
        <v>0.22406999999999999</v>
      </c>
      <c r="K1035" s="4" t="b">
        <v>1</v>
      </c>
      <c r="L1035" s="4" t="b">
        <v>0</v>
      </c>
    </row>
    <row r="1036" spans="1:13" ht="13">
      <c r="A1036" s="4" t="s">
        <v>9447</v>
      </c>
      <c r="B1036" s="4" t="s">
        <v>4951</v>
      </c>
      <c r="C1036" s="4" t="s">
        <v>108</v>
      </c>
      <c r="D1036" s="4" t="s">
        <v>4952</v>
      </c>
      <c r="E1036" s="4" t="s">
        <v>2911</v>
      </c>
      <c r="F1036" s="4" t="s">
        <v>9448</v>
      </c>
      <c r="G1036" s="4" t="s">
        <v>9449</v>
      </c>
      <c r="H1036" s="4">
        <v>1.31</v>
      </c>
      <c r="I1036" s="4">
        <v>1.05</v>
      </c>
      <c r="J1036" s="4">
        <v>0.24093999999999999</v>
      </c>
      <c r="K1036" s="4" t="b">
        <v>1</v>
      </c>
      <c r="L1036" s="4" t="b">
        <v>0</v>
      </c>
    </row>
    <row r="1037" spans="1:13" ht="13">
      <c r="A1037" s="4" t="s">
        <v>9450</v>
      </c>
      <c r="B1037" s="4" t="s">
        <v>4951</v>
      </c>
      <c r="C1037" s="4" t="s">
        <v>108</v>
      </c>
      <c r="D1037" s="4" t="s">
        <v>4952</v>
      </c>
      <c r="E1037" s="4" t="s">
        <v>2911</v>
      </c>
      <c r="F1037" s="4" t="s">
        <v>9451</v>
      </c>
      <c r="G1037" s="4" t="s">
        <v>9452</v>
      </c>
      <c r="H1037" s="4">
        <v>1.32</v>
      </c>
      <c r="I1037" s="4">
        <v>1.1399999999999999</v>
      </c>
      <c r="J1037" s="4">
        <v>0.25023000000000001</v>
      </c>
      <c r="K1037" s="4" t="b">
        <v>1</v>
      </c>
      <c r="L1037" s="4" t="b">
        <v>0</v>
      </c>
    </row>
    <row r="1038" spans="1:13" ht="13">
      <c r="A1038" s="4" t="s">
        <v>9453</v>
      </c>
      <c r="B1038" s="4" t="s">
        <v>4951</v>
      </c>
      <c r="C1038" s="4" t="s">
        <v>108</v>
      </c>
      <c r="D1038" s="4" t="s">
        <v>4952</v>
      </c>
      <c r="E1038" s="4" t="s">
        <v>2911</v>
      </c>
      <c r="F1038" s="4" t="s">
        <v>9454</v>
      </c>
      <c r="G1038" s="4" t="s">
        <v>9455</v>
      </c>
      <c r="H1038" s="4">
        <v>1.32</v>
      </c>
      <c r="I1038" s="4">
        <v>1.1299999999999999</v>
      </c>
      <c r="J1038" s="4">
        <v>0.25592999999999999</v>
      </c>
      <c r="K1038" s="4" t="b">
        <v>1</v>
      </c>
      <c r="L1038" s="4" t="b">
        <v>0</v>
      </c>
    </row>
    <row r="1039" spans="1:13" ht="13">
      <c r="A1039" s="4" t="s">
        <v>9456</v>
      </c>
      <c r="B1039" s="4" t="s">
        <v>4951</v>
      </c>
      <c r="C1039" s="4" t="s">
        <v>108</v>
      </c>
      <c r="D1039" s="4" t="s">
        <v>4952</v>
      </c>
      <c r="E1039" s="4" t="s">
        <v>2911</v>
      </c>
      <c r="F1039" s="4" t="s">
        <v>9457</v>
      </c>
      <c r="G1039" s="4" t="s">
        <v>9458</v>
      </c>
      <c r="H1039" s="4">
        <v>1.33</v>
      </c>
      <c r="I1039" s="4">
        <v>1.1599999999999999</v>
      </c>
      <c r="J1039" s="4">
        <v>0.24459</v>
      </c>
      <c r="K1039" s="4" t="b">
        <v>1</v>
      </c>
      <c r="L1039" s="4" t="b">
        <v>0</v>
      </c>
    </row>
    <row r="1040" spans="1:13" ht="13">
      <c r="A1040" s="4" t="s">
        <v>9459</v>
      </c>
      <c r="B1040" s="4" t="s">
        <v>4951</v>
      </c>
      <c r="C1040" s="4" t="s">
        <v>108</v>
      </c>
      <c r="D1040" s="4" t="s">
        <v>4952</v>
      </c>
      <c r="E1040" s="4" t="s">
        <v>2911</v>
      </c>
      <c r="F1040" s="4" t="s">
        <v>9460</v>
      </c>
      <c r="G1040" s="4" t="s">
        <v>9461</v>
      </c>
      <c r="H1040" s="4">
        <v>1.33</v>
      </c>
      <c r="I1040" s="4">
        <v>1.17</v>
      </c>
      <c r="J1040" s="4">
        <v>0.25512000000000001</v>
      </c>
      <c r="K1040" s="4" t="b">
        <v>1</v>
      </c>
      <c r="L1040" s="4" t="b">
        <v>0</v>
      </c>
    </row>
    <row r="1041" spans="1:13" ht="13">
      <c r="A1041" s="4" t="s">
        <v>3154</v>
      </c>
      <c r="B1041" s="4" t="s">
        <v>4951</v>
      </c>
      <c r="C1041" s="4" t="s">
        <v>108</v>
      </c>
      <c r="D1041" s="4" t="s">
        <v>4952</v>
      </c>
      <c r="E1041" s="4" t="s">
        <v>2911</v>
      </c>
      <c r="F1041" s="4" t="s">
        <v>5175</v>
      </c>
      <c r="G1041" s="4" t="s">
        <v>3050</v>
      </c>
      <c r="H1041" s="4">
        <v>1.34</v>
      </c>
      <c r="I1041" s="4">
        <v>1.05</v>
      </c>
      <c r="J1041" s="4">
        <v>0.23277</v>
      </c>
      <c r="K1041" s="4" t="b">
        <v>1</v>
      </c>
      <c r="L1041" s="4" t="b">
        <v>1</v>
      </c>
      <c r="M1041" s="41" t="s">
        <v>5164</v>
      </c>
    </row>
    <row r="1042" spans="1:13" ht="13">
      <c r="A1042" s="4" t="s">
        <v>9462</v>
      </c>
      <c r="B1042" s="4" t="s">
        <v>4951</v>
      </c>
      <c r="C1042" s="4" t="s">
        <v>108</v>
      </c>
      <c r="D1042" s="4" t="s">
        <v>4952</v>
      </c>
      <c r="E1042" s="4" t="s">
        <v>2911</v>
      </c>
      <c r="F1042" s="4" t="s">
        <v>9463</v>
      </c>
      <c r="G1042" s="4" t="s">
        <v>9464</v>
      </c>
      <c r="H1042" s="4">
        <v>1.35</v>
      </c>
      <c r="I1042" s="4">
        <v>1.08</v>
      </c>
      <c r="J1042" s="4">
        <v>0.23843</v>
      </c>
      <c r="K1042" s="4" t="b">
        <v>1</v>
      </c>
      <c r="L1042" s="4" t="b">
        <v>0</v>
      </c>
    </row>
    <row r="1043" spans="1:13" ht="13">
      <c r="A1043" s="4" t="s">
        <v>9465</v>
      </c>
      <c r="B1043" s="4" t="s">
        <v>4951</v>
      </c>
      <c r="C1043" s="4" t="s">
        <v>108</v>
      </c>
      <c r="D1043" s="4" t="s">
        <v>4952</v>
      </c>
      <c r="E1043" s="4" t="s">
        <v>2911</v>
      </c>
      <c r="F1043" s="4" t="s">
        <v>9466</v>
      </c>
      <c r="G1043" s="4" t="s">
        <v>9467</v>
      </c>
      <c r="H1043" s="4">
        <v>1.35</v>
      </c>
      <c r="I1043" s="4">
        <v>1.1399999999999999</v>
      </c>
      <c r="J1043" s="4">
        <v>0.24151</v>
      </c>
      <c r="K1043" s="4" t="b">
        <v>1</v>
      </c>
      <c r="L1043" s="4" t="b">
        <v>0</v>
      </c>
    </row>
    <row r="1044" spans="1:13" ht="13">
      <c r="A1044" s="4" t="s">
        <v>9468</v>
      </c>
      <c r="B1044" s="4" t="s">
        <v>4951</v>
      </c>
      <c r="C1044" s="4" t="s">
        <v>108</v>
      </c>
      <c r="D1044" s="4" t="s">
        <v>4952</v>
      </c>
      <c r="E1044" s="4" t="s">
        <v>2911</v>
      </c>
      <c r="F1044" s="4" t="s">
        <v>9469</v>
      </c>
      <c r="G1044" s="4" t="s">
        <v>9470</v>
      </c>
      <c r="H1044" s="4">
        <v>1.36</v>
      </c>
      <c r="I1044" s="4">
        <v>1.1499999999999999</v>
      </c>
      <c r="J1044" s="4">
        <v>0.25125999999999998</v>
      </c>
      <c r="K1044" s="4" t="b">
        <v>1</v>
      </c>
      <c r="L1044" s="4" t="b">
        <v>0</v>
      </c>
    </row>
    <row r="1045" spans="1:13" ht="13">
      <c r="A1045" s="4" t="s">
        <v>9471</v>
      </c>
      <c r="B1045" s="4" t="s">
        <v>4951</v>
      </c>
      <c r="C1045" s="4" t="s">
        <v>108</v>
      </c>
      <c r="D1045" s="4" t="s">
        <v>4952</v>
      </c>
      <c r="E1045" s="4" t="s">
        <v>2911</v>
      </c>
      <c r="F1045" s="4" t="s">
        <v>9472</v>
      </c>
      <c r="G1045" s="4" t="s">
        <v>9473</v>
      </c>
      <c r="H1045" s="4">
        <v>1.36</v>
      </c>
      <c r="I1045" s="4">
        <v>1.1599999999999999</v>
      </c>
      <c r="J1045" s="4">
        <v>0.25507000000000002</v>
      </c>
      <c r="K1045" s="4" t="b">
        <v>1</v>
      </c>
      <c r="L1045" s="4" t="b">
        <v>0</v>
      </c>
    </row>
    <row r="1046" spans="1:13" ht="13">
      <c r="A1046" s="4" t="s">
        <v>9474</v>
      </c>
      <c r="B1046" s="4" t="s">
        <v>4951</v>
      </c>
      <c r="C1046" s="4" t="s">
        <v>108</v>
      </c>
      <c r="D1046" s="4" t="s">
        <v>4952</v>
      </c>
      <c r="E1046" s="4" t="s">
        <v>2911</v>
      </c>
      <c r="F1046" s="4" t="s">
        <v>9475</v>
      </c>
      <c r="G1046" s="4" t="s">
        <v>9476</v>
      </c>
      <c r="H1046" s="4">
        <v>1.37</v>
      </c>
      <c r="I1046" s="4">
        <v>1.0900000000000001</v>
      </c>
      <c r="J1046" s="4">
        <v>0.25305</v>
      </c>
      <c r="K1046" s="4" t="b">
        <v>1</v>
      </c>
      <c r="L1046" s="4" t="b">
        <v>0</v>
      </c>
    </row>
    <row r="1047" spans="1:13" ht="13">
      <c r="A1047" s="4" t="s">
        <v>9477</v>
      </c>
      <c r="B1047" s="4" t="s">
        <v>4951</v>
      </c>
      <c r="C1047" s="4" t="s">
        <v>108</v>
      </c>
      <c r="D1047" s="4" t="s">
        <v>4952</v>
      </c>
      <c r="E1047" s="4" t="s">
        <v>2911</v>
      </c>
      <c r="F1047" s="4" t="s">
        <v>9478</v>
      </c>
      <c r="G1047" s="4" t="s">
        <v>9479</v>
      </c>
      <c r="H1047" s="4">
        <v>1.38</v>
      </c>
      <c r="I1047" s="4">
        <v>1.1200000000000001</v>
      </c>
      <c r="J1047" s="4">
        <v>0.25466</v>
      </c>
      <c r="K1047" s="4" t="b">
        <v>1</v>
      </c>
      <c r="L1047" s="4" t="b">
        <v>0</v>
      </c>
    </row>
    <row r="1048" spans="1:13" ht="13">
      <c r="A1048" s="4" t="s">
        <v>9480</v>
      </c>
      <c r="B1048" s="4" t="s">
        <v>4951</v>
      </c>
      <c r="C1048" s="4" t="s">
        <v>108</v>
      </c>
      <c r="D1048" s="4" t="s">
        <v>4952</v>
      </c>
      <c r="E1048" s="4" t="s">
        <v>2911</v>
      </c>
      <c r="F1048" s="4" t="s">
        <v>9481</v>
      </c>
      <c r="G1048" s="4" t="s">
        <v>9482</v>
      </c>
      <c r="H1048" s="4">
        <v>1.39</v>
      </c>
      <c r="I1048" s="4">
        <v>1.0900000000000001</v>
      </c>
      <c r="J1048" s="4">
        <v>0.22942000000000001</v>
      </c>
      <c r="K1048" s="4" t="b">
        <v>1</v>
      </c>
      <c r="L1048" s="4" t="b">
        <v>0</v>
      </c>
    </row>
    <row r="1049" spans="1:13" ht="13">
      <c r="A1049" s="4" t="s">
        <v>9483</v>
      </c>
      <c r="B1049" s="4" t="s">
        <v>4951</v>
      </c>
      <c r="C1049" s="4" t="s">
        <v>108</v>
      </c>
      <c r="D1049" s="4" t="s">
        <v>4952</v>
      </c>
      <c r="E1049" s="4" t="s">
        <v>2911</v>
      </c>
      <c r="F1049" s="4" t="s">
        <v>9484</v>
      </c>
      <c r="G1049" s="4" t="s">
        <v>9485</v>
      </c>
      <c r="H1049" s="4">
        <v>1.39</v>
      </c>
      <c r="I1049" s="4">
        <v>1.07</v>
      </c>
      <c r="J1049" s="4">
        <v>0.23599000000000001</v>
      </c>
      <c r="K1049" s="4" t="b">
        <v>1</v>
      </c>
      <c r="L1049" s="4" t="b">
        <v>0</v>
      </c>
    </row>
    <row r="1050" spans="1:13" ht="13">
      <c r="A1050" s="4" t="s">
        <v>9486</v>
      </c>
      <c r="B1050" s="4" t="s">
        <v>4951</v>
      </c>
      <c r="C1050" s="4" t="s">
        <v>108</v>
      </c>
      <c r="D1050" s="4" t="s">
        <v>4952</v>
      </c>
      <c r="E1050" s="4" t="s">
        <v>2911</v>
      </c>
      <c r="F1050" s="4" t="s">
        <v>9487</v>
      </c>
      <c r="G1050" s="4" t="s">
        <v>9488</v>
      </c>
      <c r="H1050" s="4">
        <v>1.4</v>
      </c>
      <c r="I1050" s="4">
        <v>1.1100000000000001</v>
      </c>
      <c r="J1050" s="4">
        <v>0.25438</v>
      </c>
      <c r="K1050" s="4" t="b">
        <v>1</v>
      </c>
      <c r="L1050" s="4" t="b">
        <v>0</v>
      </c>
    </row>
    <row r="1051" spans="1:13" ht="13">
      <c r="A1051" s="4" t="s">
        <v>9489</v>
      </c>
      <c r="B1051" s="4" t="s">
        <v>4951</v>
      </c>
      <c r="C1051" s="4" t="s">
        <v>108</v>
      </c>
      <c r="D1051" s="4" t="s">
        <v>4952</v>
      </c>
      <c r="E1051" s="4" t="s">
        <v>2911</v>
      </c>
      <c r="F1051" s="4" t="s">
        <v>9490</v>
      </c>
      <c r="G1051" s="4" t="s">
        <v>9491</v>
      </c>
      <c r="H1051" s="4">
        <v>1.4</v>
      </c>
      <c r="I1051" s="4">
        <v>1.1000000000000001</v>
      </c>
      <c r="J1051" s="4">
        <v>0.24568000000000001</v>
      </c>
      <c r="K1051" s="4" t="b">
        <v>1</v>
      </c>
      <c r="L1051" s="4" t="b">
        <v>0</v>
      </c>
    </row>
    <row r="1052" spans="1:13" ht="13">
      <c r="A1052" s="4" t="s">
        <v>9492</v>
      </c>
      <c r="B1052" s="4" t="s">
        <v>4951</v>
      </c>
      <c r="C1052" s="4" t="s">
        <v>108</v>
      </c>
      <c r="D1052" s="4" t="s">
        <v>4952</v>
      </c>
      <c r="E1052" s="4" t="s">
        <v>2911</v>
      </c>
      <c r="F1052" s="4" t="s">
        <v>9493</v>
      </c>
      <c r="G1052" s="4" t="s">
        <v>9494</v>
      </c>
      <c r="H1052" s="4">
        <v>1.41</v>
      </c>
      <c r="I1052" s="4">
        <v>1.0900000000000001</v>
      </c>
      <c r="J1052" s="4">
        <v>0.24635000000000001</v>
      </c>
      <c r="K1052" s="4" t="b">
        <v>1</v>
      </c>
      <c r="L1052" s="4" t="b">
        <v>0</v>
      </c>
    </row>
    <row r="1053" spans="1:13" ht="13">
      <c r="A1053" s="4" t="s">
        <v>9495</v>
      </c>
      <c r="B1053" s="4" t="s">
        <v>4951</v>
      </c>
      <c r="C1053" s="4" t="s">
        <v>108</v>
      </c>
      <c r="D1053" s="4" t="s">
        <v>4952</v>
      </c>
      <c r="E1053" s="4" t="s">
        <v>2911</v>
      </c>
      <c r="F1053" s="4" t="s">
        <v>9496</v>
      </c>
      <c r="G1053" s="4" t="s">
        <v>9497</v>
      </c>
      <c r="H1053" s="4">
        <v>1.41</v>
      </c>
      <c r="I1053" s="4">
        <v>1.17</v>
      </c>
      <c r="J1053" s="4">
        <v>0.26901000000000003</v>
      </c>
      <c r="K1053" s="4" t="b">
        <v>1</v>
      </c>
      <c r="L1053" s="4" t="b">
        <v>0</v>
      </c>
    </row>
    <row r="1054" spans="1:13" ht="13">
      <c r="A1054" s="4" t="s">
        <v>9498</v>
      </c>
      <c r="B1054" s="4" t="s">
        <v>4951</v>
      </c>
      <c r="C1054" s="4" t="s">
        <v>108</v>
      </c>
      <c r="D1054" s="4" t="s">
        <v>4952</v>
      </c>
      <c r="E1054" s="4" t="s">
        <v>2911</v>
      </c>
      <c r="F1054" s="4" t="s">
        <v>9499</v>
      </c>
      <c r="G1054" s="4" t="s">
        <v>9500</v>
      </c>
      <c r="H1054" s="4">
        <v>1.42</v>
      </c>
      <c r="I1054" s="4">
        <v>1.07</v>
      </c>
      <c r="J1054" s="4">
        <v>0.23404</v>
      </c>
      <c r="K1054" s="4" t="b">
        <v>1</v>
      </c>
      <c r="L1054" s="4" t="b">
        <v>0</v>
      </c>
    </row>
    <row r="1055" spans="1:13" ht="13">
      <c r="A1055" s="4" t="s">
        <v>9501</v>
      </c>
      <c r="B1055" s="4" t="s">
        <v>4951</v>
      </c>
      <c r="C1055" s="4" t="s">
        <v>108</v>
      </c>
      <c r="D1055" s="4" t="s">
        <v>4952</v>
      </c>
      <c r="E1055" s="4" t="s">
        <v>2911</v>
      </c>
      <c r="F1055" s="4" t="s">
        <v>9502</v>
      </c>
      <c r="G1055" s="4" t="s">
        <v>9503</v>
      </c>
      <c r="H1055" s="4">
        <v>1.43</v>
      </c>
      <c r="I1055" s="4">
        <v>1.07</v>
      </c>
      <c r="J1055" s="4">
        <v>0.22681999999999999</v>
      </c>
      <c r="K1055" s="4" t="b">
        <v>1</v>
      </c>
      <c r="L1055" s="4" t="b">
        <v>0</v>
      </c>
    </row>
    <row r="1056" spans="1:13" ht="13">
      <c r="A1056" s="4" t="s">
        <v>9504</v>
      </c>
      <c r="B1056" s="4" t="s">
        <v>4951</v>
      </c>
      <c r="C1056" s="4" t="s">
        <v>108</v>
      </c>
      <c r="D1056" s="4" t="s">
        <v>4952</v>
      </c>
      <c r="E1056" s="4" t="s">
        <v>2911</v>
      </c>
      <c r="F1056" s="4" t="s">
        <v>9505</v>
      </c>
      <c r="G1056" s="4" t="s">
        <v>9506</v>
      </c>
      <c r="H1056" s="4">
        <v>1.43</v>
      </c>
      <c r="I1056" s="4">
        <v>1.1599999999999999</v>
      </c>
      <c r="J1056" s="4">
        <v>0.25396999999999997</v>
      </c>
      <c r="K1056" s="4" t="b">
        <v>1</v>
      </c>
      <c r="L1056" s="4" t="b">
        <v>0</v>
      </c>
    </row>
    <row r="1057" spans="1:12" ht="13">
      <c r="A1057" s="4" t="s">
        <v>9507</v>
      </c>
      <c r="B1057" s="4" t="s">
        <v>4951</v>
      </c>
      <c r="C1057" s="4" t="s">
        <v>108</v>
      </c>
      <c r="D1057" s="4" t="s">
        <v>4952</v>
      </c>
      <c r="E1057" s="4" t="s">
        <v>2911</v>
      </c>
      <c r="F1057" s="4" t="s">
        <v>9508</v>
      </c>
      <c r="G1057" s="4" t="s">
        <v>8040</v>
      </c>
      <c r="H1057" s="4">
        <v>1.44</v>
      </c>
      <c r="I1057" s="4">
        <v>1.1100000000000001</v>
      </c>
      <c r="J1057" s="4">
        <v>0.23685999999999999</v>
      </c>
      <c r="K1057" s="4" t="b">
        <v>1</v>
      </c>
      <c r="L1057" s="4" t="b">
        <v>0</v>
      </c>
    </row>
    <row r="1058" spans="1:12" ht="13">
      <c r="A1058" s="4" t="s">
        <v>9509</v>
      </c>
      <c r="B1058" s="4" t="s">
        <v>4951</v>
      </c>
      <c r="C1058" s="4" t="s">
        <v>108</v>
      </c>
      <c r="D1058" s="4" t="s">
        <v>4952</v>
      </c>
      <c r="E1058" s="4" t="s">
        <v>2911</v>
      </c>
      <c r="F1058" s="4" t="s">
        <v>9510</v>
      </c>
      <c r="G1058" s="4" t="s">
        <v>9511</v>
      </c>
      <c r="H1058" s="4">
        <v>1.45</v>
      </c>
      <c r="I1058" s="4">
        <v>1.1100000000000001</v>
      </c>
      <c r="J1058" s="4">
        <v>0.24659</v>
      </c>
      <c r="K1058" s="4" t="b">
        <v>1</v>
      </c>
      <c r="L1058" s="4" t="b">
        <v>0</v>
      </c>
    </row>
    <row r="1059" spans="1:12" ht="13">
      <c r="A1059" s="4" t="s">
        <v>9512</v>
      </c>
      <c r="B1059" s="4" t="s">
        <v>4951</v>
      </c>
      <c r="C1059" s="4" t="s">
        <v>108</v>
      </c>
      <c r="D1059" s="4" t="s">
        <v>4952</v>
      </c>
      <c r="E1059" s="4" t="s">
        <v>2911</v>
      </c>
      <c r="F1059" s="4" t="s">
        <v>9513</v>
      </c>
      <c r="G1059" s="4" t="s">
        <v>9514</v>
      </c>
      <c r="H1059" s="4">
        <v>1.46</v>
      </c>
      <c r="I1059" s="4">
        <v>1.08</v>
      </c>
      <c r="J1059" s="4">
        <v>0.23286000000000001</v>
      </c>
      <c r="K1059" s="4" t="b">
        <v>1</v>
      </c>
      <c r="L1059" s="4" t="b">
        <v>0</v>
      </c>
    </row>
    <row r="1060" spans="1:12" ht="13">
      <c r="A1060" s="4" t="s">
        <v>9515</v>
      </c>
      <c r="B1060" s="4" t="s">
        <v>4951</v>
      </c>
      <c r="C1060" s="4" t="s">
        <v>108</v>
      </c>
      <c r="D1060" s="4" t="s">
        <v>4952</v>
      </c>
      <c r="E1060" s="4" t="s">
        <v>2911</v>
      </c>
      <c r="F1060" s="4" t="s">
        <v>9516</v>
      </c>
      <c r="G1060" s="4" t="s">
        <v>9517</v>
      </c>
      <c r="H1060" s="4">
        <v>1.46</v>
      </c>
      <c r="I1060" s="4">
        <v>1.1100000000000001</v>
      </c>
      <c r="J1060" s="4">
        <v>0.27973999999999999</v>
      </c>
      <c r="K1060" s="4" t="b">
        <v>1</v>
      </c>
      <c r="L1060" s="4" t="b">
        <v>0</v>
      </c>
    </row>
    <row r="1061" spans="1:12" ht="13">
      <c r="A1061" s="4" t="s">
        <v>9518</v>
      </c>
      <c r="B1061" s="4" t="s">
        <v>4951</v>
      </c>
      <c r="C1061" s="4" t="s">
        <v>108</v>
      </c>
      <c r="D1061" s="4" t="s">
        <v>4952</v>
      </c>
      <c r="E1061" s="4" t="s">
        <v>2911</v>
      </c>
      <c r="F1061" s="4" t="s">
        <v>9519</v>
      </c>
      <c r="G1061" s="4" t="s">
        <v>9520</v>
      </c>
      <c r="H1061" s="4">
        <v>1.47</v>
      </c>
      <c r="I1061" s="4">
        <v>1.18</v>
      </c>
      <c r="J1061" s="4">
        <v>0.24965999999999999</v>
      </c>
      <c r="K1061" s="4" t="b">
        <v>1</v>
      </c>
      <c r="L1061" s="4" t="b">
        <v>0</v>
      </c>
    </row>
    <row r="1062" spans="1:12" ht="13">
      <c r="A1062" s="4" t="s">
        <v>9521</v>
      </c>
      <c r="B1062" s="4" t="s">
        <v>4951</v>
      </c>
      <c r="C1062" s="4" t="s">
        <v>108</v>
      </c>
      <c r="D1062" s="4" t="s">
        <v>4952</v>
      </c>
      <c r="E1062" s="4" t="s">
        <v>2911</v>
      </c>
      <c r="F1062" s="4" t="s">
        <v>9522</v>
      </c>
      <c r="G1062" s="4" t="s">
        <v>9523</v>
      </c>
      <c r="H1062" s="4">
        <v>1.47</v>
      </c>
      <c r="I1062" s="4">
        <v>1.1399999999999999</v>
      </c>
      <c r="J1062" s="4">
        <v>0.25984000000000002</v>
      </c>
      <c r="K1062" s="4" t="b">
        <v>1</v>
      </c>
      <c r="L1062" s="4" t="b">
        <v>0</v>
      </c>
    </row>
    <row r="1063" spans="1:12" ht="13">
      <c r="A1063" s="4" t="s">
        <v>9524</v>
      </c>
      <c r="B1063" s="4" t="s">
        <v>4951</v>
      </c>
      <c r="C1063" s="4" t="s">
        <v>108</v>
      </c>
      <c r="D1063" s="4" t="s">
        <v>4952</v>
      </c>
      <c r="E1063" s="4" t="s">
        <v>2911</v>
      </c>
      <c r="F1063" s="4" t="s">
        <v>9525</v>
      </c>
      <c r="G1063" s="4" t="s">
        <v>9526</v>
      </c>
      <c r="H1063" s="4">
        <v>1.5</v>
      </c>
      <c r="I1063" s="4">
        <v>1.1100000000000001</v>
      </c>
      <c r="J1063" s="4">
        <v>0.25162000000000001</v>
      </c>
      <c r="K1063" s="4" t="b">
        <v>1</v>
      </c>
      <c r="L1063" s="4" t="b">
        <v>0</v>
      </c>
    </row>
    <row r="1064" spans="1:12" ht="13">
      <c r="A1064" s="4" t="s">
        <v>9527</v>
      </c>
      <c r="B1064" s="4" t="s">
        <v>4951</v>
      </c>
      <c r="C1064" s="4" t="s">
        <v>108</v>
      </c>
      <c r="D1064" s="4" t="s">
        <v>4952</v>
      </c>
      <c r="E1064" s="4" t="s">
        <v>2911</v>
      </c>
      <c r="F1064" s="4" t="s">
        <v>9528</v>
      </c>
      <c r="G1064" s="4" t="s">
        <v>9529</v>
      </c>
      <c r="H1064" s="4">
        <v>1.51</v>
      </c>
      <c r="I1064" s="4">
        <v>1.1100000000000001</v>
      </c>
      <c r="J1064" s="4">
        <v>0.24722</v>
      </c>
      <c r="K1064" s="4" t="b">
        <v>1</v>
      </c>
      <c r="L1064" s="4" t="b">
        <v>0</v>
      </c>
    </row>
    <row r="1065" spans="1:12" ht="13">
      <c r="A1065" s="4" t="s">
        <v>9530</v>
      </c>
      <c r="B1065" s="4" t="s">
        <v>4951</v>
      </c>
      <c r="C1065" s="4" t="s">
        <v>108</v>
      </c>
      <c r="D1065" s="4" t="s">
        <v>4952</v>
      </c>
      <c r="E1065" s="4" t="s">
        <v>2911</v>
      </c>
      <c r="F1065" s="4" t="s">
        <v>9531</v>
      </c>
      <c r="G1065" s="4" t="s">
        <v>9532</v>
      </c>
      <c r="H1065" s="4">
        <v>1.52</v>
      </c>
      <c r="I1065" s="4">
        <v>1.0900000000000001</v>
      </c>
      <c r="J1065" s="4">
        <v>0.25614999999999999</v>
      </c>
      <c r="K1065" s="4" t="b">
        <v>1</v>
      </c>
      <c r="L1065" s="4" t="b">
        <v>0</v>
      </c>
    </row>
    <row r="1066" spans="1:12" ht="13">
      <c r="A1066" s="4" t="s">
        <v>9533</v>
      </c>
      <c r="B1066" s="4" t="s">
        <v>4951</v>
      </c>
      <c r="C1066" s="4" t="s">
        <v>108</v>
      </c>
      <c r="D1066" s="4" t="s">
        <v>4952</v>
      </c>
      <c r="E1066" s="4" t="s">
        <v>2911</v>
      </c>
      <c r="F1066" s="4" t="s">
        <v>9534</v>
      </c>
      <c r="G1066" s="4" t="s">
        <v>9535</v>
      </c>
      <c r="H1066" s="4">
        <v>1.53</v>
      </c>
      <c r="I1066" s="4">
        <v>1.06</v>
      </c>
      <c r="J1066" s="4">
        <v>0.23282</v>
      </c>
      <c r="K1066" s="4" t="b">
        <v>1</v>
      </c>
      <c r="L1066" s="4" t="b">
        <v>0</v>
      </c>
    </row>
    <row r="1067" spans="1:12" ht="13">
      <c r="A1067" s="4" t="s">
        <v>9536</v>
      </c>
      <c r="B1067" s="4" t="s">
        <v>4951</v>
      </c>
      <c r="C1067" s="4" t="s">
        <v>108</v>
      </c>
      <c r="D1067" s="4" t="s">
        <v>4952</v>
      </c>
      <c r="E1067" s="4" t="s">
        <v>2911</v>
      </c>
      <c r="F1067" s="4" t="s">
        <v>9537</v>
      </c>
      <c r="G1067" s="4" t="s">
        <v>9538</v>
      </c>
      <c r="H1067" s="4">
        <v>1.53</v>
      </c>
      <c r="I1067" s="4">
        <v>1.1399999999999999</v>
      </c>
      <c r="J1067" s="4">
        <v>0.24796000000000001</v>
      </c>
      <c r="K1067" s="4" t="b">
        <v>1</v>
      </c>
      <c r="L1067" s="4" t="b">
        <v>0</v>
      </c>
    </row>
    <row r="1068" spans="1:12" ht="13">
      <c r="A1068" s="4" t="s">
        <v>9539</v>
      </c>
      <c r="B1068" s="4" t="s">
        <v>4951</v>
      </c>
      <c r="C1068" s="4" t="s">
        <v>108</v>
      </c>
      <c r="D1068" s="4" t="s">
        <v>4952</v>
      </c>
      <c r="E1068" s="4" t="s">
        <v>2911</v>
      </c>
      <c r="F1068" s="4" t="s">
        <v>9540</v>
      </c>
      <c r="G1068" s="4" t="s">
        <v>9541</v>
      </c>
      <c r="H1068" s="4">
        <v>1.55</v>
      </c>
      <c r="I1068" s="4">
        <v>1.08</v>
      </c>
      <c r="J1068" s="4">
        <v>0.24263999999999999</v>
      </c>
      <c r="K1068" s="4" t="b">
        <v>1</v>
      </c>
      <c r="L1068" s="4" t="b">
        <v>0</v>
      </c>
    </row>
    <row r="1069" spans="1:12" ht="13">
      <c r="A1069" s="4" t="s">
        <v>9542</v>
      </c>
      <c r="B1069" s="4" t="s">
        <v>4951</v>
      </c>
      <c r="C1069" s="4" t="s">
        <v>108</v>
      </c>
      <c r="D1069" s="4" t="s">
        <v>4952</v>
      </c>
      <c r="E1069" s="4" t="s">
        <v>2911</v>
      </c>
      <c r="F1069" s="4" t="s">
        <v>9543</v>
      </c>
      <c r="G1069" s="4" t="s">
        <v>9544</v>
      </c>
      <c r="H1069" s="4">
        <v>1.55</v>
      </c>
      <c r="I1069" s="4">
        <v>1.05</v>
      </c>
      <c r="J1069" s="4">
        <v>0.23139000000000001</v>
      </c>
      <c r="K1069" s="4" t="b">
        <v>1</v>
      </c>
      <c r="L1069" s="4" t="b">
        <v>0</v>
      </c>
    </row>
    <row r="1070" spans="1:12" ht="13">
      <c r="A1070" s="4" t="s">
        <v>9545</v>
      </c>
      <c r="B1070" s="4" t="s">
        <v>4951</v>
      </c>
      <c r="C1070" s="4" t="s">
        <v>108</v>
      </c>
      <c r="D1070" s="4" t="s">
        <v>4952</v>
      </c>
      <c r="E1070" s="4" t="s">
        <v>2911</v>
      </c>
      <c r="F1070" s="4" t="s">
        <v>9546</v>
      </c>
      <c r="G1070" s="4" t="s">
        <v>9547</v>
      </c>
      <c r="H1070" s="4">
        <v>1.56</v>
      </c>
      <c r="I1070" s="4">
        <v>1.23</v>
      </c>
      <c r="J1070" s="4">
        <v>0.24493000000000001</v>
      </c>
      <c r="K1070" s="4" t="b">
        <v>1</v>
      </c>
      <c r="L1070" s="4" t="b">
        <v>0</v>
      </c>
    </row>
    <row r="1071" spans="1:12" ht="13">
      <c r="A1071" s="4" t="s">
        <v>9548</v>
      </c>
      <c r="B1071" s="4" t="s">
        <v>4951</v>
      </c>
      <c r="C1071" s="4" t="s">
        <v>108</v>
      </c>
      <c r="D1071" s="4" t="s">
        <v>4952</v>
      </c>
      <c r="E1071" s="4" t="s">
        <v>2911</v>
      </c>
      <c r="F1071" s="4" t="s">
        <v>9549</v>
      </c>
      <c r="G1071" s="4" t="s">
        <v>9550</v>
      </c>
      <c r="H1071" s="4">
        <v>1.57</v>
      </c>
      <c r="I1071" s="4">
        <v>1.0900000000000001</v>
      </c>
      <c r="J1071" s="4">
        <v>0.23877000000000001</v>
      </c>
      <c r="K1071" s="4" t="b">
        <v>1</v>
      </c>
      <c r="L1071" s="4" t="b">
        <v>0</v>
      </c>
    </row>
    <row r="1072" spans="1:12" ht="13">
      <c r="A1072" s="4" t="s">
        <v>9551</v>
      </c>
      <c r="B1072" s="4" t="s">
        <v>4951</v>
      </c>
      <c r="C1072" s="4" t="s">
        <v>108</v>
      </c>
      <c r="D1072" s="4" t="s">
        <v>4952</v>
      </c>
      <c r="E1072" s="4" t="s">
        <v>2911</v>
      </c>
      <c r="F1072" s="4" t="s">
        <v>9552</v>
      </c>
      <c r="G1072" s="4" t="s">
        <v>9553</v>
      </c>
      <c r="H1072" s="4">
        <v>1.58</v>
      </c>
      <c r="I1072" s="4">
        <v>1.1000000000000001</v>
      </c>
      <c r="J1072" s="4">
        <v>0.26046000000000002</v>
      </c>
      <c r="K1072" s="4" t="b">
        <v>1</v>
      </c>
      <c r="L1072" s="4" t="b">
        <v>0</v>
      </c>
    </row>
    <row r="1073" spans="1:13" ht="13">
      <c r="A1073" s="4" t="s">
        <v>9554</v>
      </c>
      <c r="B1073" s="4" t="s">
        <v>4951</v>
      </c>
      <c r="C1073" s="4" t="s">
        <v>108</v>
      </c>
      <c r="D1073" s="4" t="s">
        <v>4952</v>
      </c>
      <c r="E1073" s="4" t="s">
        <v>2911</v>
      </c>
      <c r="F1073" s="4" t="s">
        <v>9555</v>
      </c>
      <c r="G1073" s="4" t="s">
        <v>9556</v>
      </c>
      <c r="H1073" s="4">
        <v>1.58</v>
      </c>
      <c r="I1073" s="4">
        <v>1.17</v>
      </c>
      <c r="J1073" s="4">
        <v>0.25468000000000002</v>
      </c>
      <c r="K1073" s="4" t="b">
        <v>1</v>
      </c>
      <c r="L1073" s="4" t="b">
        <v>0</v>
      </c>
    </row>
    <row r="1074" spans="1:13" ht="13">
      <c r="A1074" s="4" t="s">
        <v>5062</v>
      </c>
      <c r="B1074" s="4" t="s">
        <v>4951</v>
      </c>
      <c r="C1074" s="4" t="s">
        <v>108</v>
      </c>
      <c r="D1074" s="4" t="s">
        <v>4952</v>
      </c>
      <c r="E1074" s="4" t="s">
        <v>2911</v>
      </c>
      <c r="F1074" s="4" t="s">
        <v>5063</v>
      </c>
      <c r="G1074" s="4" t="s">
        <v>5064</v>
      </c>
      <c r="H1074" s="4">
        <v>1.59</v>
      </c>
      <c r="I1074" s="4">
        <v>1.1599999999999999</v>
      </c>
      <c r="J1074" s="4">
        <v>0.24009</v>
      </c>
      <c r="K1074" s="4" t="b">
        <v>1</v>
      </c>
      <c r="L1074" s="4" t="b">
        <v>0</v>
      </c>
    </row>
    <row r="1075" spans="1:13" ht="13">
      <c r="A1075" s="4" t="s">
        <v>9557</v>
      </c>
      <c r="B1075" s="4" t="s">
        <v>4951</v>
      </c>
      <c r="C1075" s="4" t="s">
        <v>108</v>
      </c>
      <c r="D1075" s="4" t="s">
        <v>4952</v>
      </c>
      <c r="E1075" s="4" t="s">
        <v>2911</v>
      </c>
      <c r="F1075" s="4" t="s">
        <v>9558</v>
      </c>
      <c r="G1075" s="4" t="s">
        <v>9559</v>
      </c>
      <c r="H1075" s="4">
        <v>1.31</v>
      </c>
      <c r="I1075" s="4">
        <v>1.07</v>
      </c>
      <c r="J1075" s="4">
        <v>0.24887000000000001</v>
      </c>
      <c r="K1075" s="4" t="b">
        <v>1</v>
      </c>
      <c r="L1075" s="4" t="b">
        <v>0</v>
      </c>
    </row>
    <row r="1076" spans="1:13" ht="13">
      <c r="A1076" s="4" t="s">
        <v>9560</v>
      </c>
      <c r="B1076" s="4" t="s">
        <v>4951</v>
      </c>
      <c r="C1076" s="4" t="s">
        <v>108</v>
      </c>
      <c r="D1076" s="4" t="s">
        <v>4952</v>
      </c>
      <c r="E1076" s="4" t="s">
        <v>2911</v>
      </c>
      <c r="F1076" s="4" t="s">
        <v>9561</v>
      </c>
      <c r="G1076" s="4" t="s">
        <v>9562</v>
      </c>
      <c r="H1076" s="4">
        <v>1.32</v>
      </c>
      <c r="I1076" s="4">
        <v>1.1100000000000001</v>
      </c>
      <c r="J1076" s="4">
        <v>0.23186000000000001</v>
      </c>
      <c r="K1076" s="4" t="b">
        <v>1</v>
      </c>
      <c r="L1076" s="4" t="b">
        <v>0</v>
      </c>
    </row>
    <row r="1077" spans="1:13" ht="13">
      <c r="A1077" s="4" t="s">
        <v>9563</v>
      </c>
      <c r="B1077" s="4" t="s">
        <v>4951</v>
      </c>
      <c r="C1077" s="4" t="s">
        <v>108</v>
      </c>
      <c r="D1077" s="4" t="s">
        <v>4952</v>
      </c>
      <c r="E1077" s="4" t="s">
        <v>2911</v>
      </c>
      <c r="F1077" s="4" t="s">
        <v>9564</v>
      </c>
      <c r="G1077" s="4" t="s">
        <v>9565</v>
      </c>
      <c r="H1077" s="4">
        <v>1.33</v>
      </c>
      <c r="I1077" s="4">
        <v>1.1299999999999999</v>
      </c>
      <c r="J1077" s="4">
        <v>0.24459</v>
      </c>
      <c r="K1077" s="4" t="b">
        <v>1</v>
      </c>
      <c r="L1077" s="4" t="b">
        <v>0</v>
      </c>
    </row>
    <row r="1078" spans="1:13" ht="13">
      <c r="A1078" s="4" t="s">
        <v>9566</v>
      </c>
      <c r="B1078" s="4" t="s">
        <v>4951</v>
      </c>
      <c r="C1078" s="4" t="s">
        <v>108</v>
      </c>
      <c r="D1078" s="4" t="s">
        <v>4952</v>
      </c>
      <c r="E1078" s="4" t="s">
        <v>2911</v>
      </c>
      <c r="F1078" s="4" t="s">
        <v>9567</v>
      </c>
      <c r="G1078" s="4" t="s">
        <v>9568</v>
      </c>
      <c r="H1078" s="4">
        <v>1.34</v>
      </c>
      <c r="I1078" s="4">
        <v>1.1299999999999999</v>
      </c>
      <c r="J1078" s="4">
        <v>0.2414</v>
      </c>
      <c r="K1078" s="4" t="b">
        <v>1</v>
      </c>
      <c r="L1078" s="4" t="b">
        <v>0</v>
      </c>
    </row>
    <row r="1079" spans="1:13" ht="13">
      <c r="A1079" s="4" t="s">
        <v>9569</v>
      </c>
      <c r="B1079" s="4" t="s">
        <v>4951</v>
      </c>
      <c r="C1079" s="4" t="s">
        <v>108</v>
      </c>
      <c r="D1079" s="4" t="s">
        <v>4952</v>
      </c>
      <c r="E1079" s="4" t="s">
        <v>2911</v>
      </c>
      <c r="F1079" s="4" t="s">
        <v>9570</v>
      </c>
      <c r="G1079" s="4" t="s">
        <v>9571</v>
      </c>
      <c r="H1079" s="4">
        <v>1.34</v>
      </c>
      <c r="I1079" s="4">
        <v>1.1000000000000001</v>
      </c>
      <c r="J1079" s="4">
        <v>0.22852</v>
      </c>
      <c r="K1079" s="4" t="b">
        <v>1</v>
      </c>
      <c r="L1079" s="4" t="b">
        <v>0</v>
      </c>
    </row>
    <row r="1080" spans="1:13" ht="13">
      <c r="A1080" s="4" t="s">
        <v>9572</v>
      </c>
      <c r="B1080" s="4" t="s">
        <v>4951</v>
      </c>
      <c r="C1080" s="4" t="s">
        <v>108</v>
      </c>
      <c r="D1080" s="4" t="s">
        <v>4952</v>
      </c>
      <c r="E1080" s="4" t="s">
        <v>2911</v>
      </c>
      <c r="F1080" s="4" t="s">
        <v>9573</v>
      </c>
      <c r="G1080" s="4" t="s">
        <v>9574</v>
      </c>
      <c r="H1080" s="4">
        <v>1.35</v>
      </c>
      <c r="I1080" s="4">
        <v>1.05</v>
      </c>
      <c r="J1080" s="4">
        <v>0.23491000000000001</v>
      </c>
      <c r="K1080" s="4" t="b">
        <v>1</v>
      </c>
      <c r="L1080" s="4" t="b">
        <v>0</v>
      </c>
    </row>
    <row r="1081" spans="1:13" ht="13">
      <c r="A1081" s="4" t="s">
        <v>9575</v>
      </c>
      <c r="B1081" s="4" t="s">
        <v>4951</v>
      </c>
      <c r="C1081" s="4" t="s">
        <v>108</v>
      </c>
      <c r="D1081" s="4" t="s">
        <v>4952</v>
      </c>
      <c r="E1081" s="4" t="s">
        <v>2911</v>
      </c>
      <c r="F1081" s="4" t="s">
        <v>9576</v>
      </c>
      <c r="G1081" s="4" t="s">
        <v>9577</v>
      </c>
      <c r="H1081" s="4">
        <v>1.36</v>
      </c>
      <c r="I1081" s="4">
        <v>1.1200000000000001</v>
      </c>
      <c r="J1081" s="4">
        <v>0.24568999999999999</v>
      </c>
      <c r="K1081" s="4" t="b">
        <v>1</v>
      </c>
      <c r="L1081" s="4" t="b">
        <v>0</v>
      </c>
    </row>
    <row r="1082" spans="1:13" ht="13">
      <c r="A1082" s="4" t="s">
        <v>9578</v>
      </c>
      <c r="B1082" s="4" t="s">
        <v>4951</v>
      </c>
      <c r="C1082" s="4" t="s">
        <v>108</v>
      </c>
      <c r="D1082" s="4" t="s">
        <v>4952</v>
      </c>
      <c r="E1082" s="4" t="s">
        <v>2911</v>
      </c>
      <c r="F1082" s="4" t="s">
        <v>9579</v>
      </c>
      <c r="G1082" s="4" t="s">
        <v>9580</v>
      </c>
      <c r="H1082" s="4">
        <v>1.36</v>
      </c>
      <c r="I1082" s="4">
        <v>1.1100000000000001</v>
      </c>
      <c r="J1082" s="4">
        <v>0.23027</v>
      </c>
      <c r="K1082" s="4" t="b">
        <v>1</v>
      </c>
      <c r="L1082" s="4" t="b">
        <v>0</v>
      </c>
    </row>
    <row r="1083" spans="1:13" ht="13">
      <c r="A1083" s="4" t="s">
        <v>9581</v>
      </c>
      <c r="B1083" s="4" t="s">
        <v>4951</v>
      </c>
      <c r="C1083" s="4" t="s">
        <v>108</v>
      </c>
      <c r="D1083" s="4" t="s">
        <v>4952</v>
      </c>
      <c r="E1083" s="4" t="s">
        <v>2911</v>
      </c>
      <c r="F1083" s="4" t="s">
        <v>9582</v>
      </c>
      <c r="G1083" s="4" t="s">
        <v>9583</v>
      </c>
      <c r="H1083" s="4">
        <v>1.37</v>
      </c>
      <c r="I1083" s="4">
        <v>1.05</v>
      </c>
      <c r="J1083" s="4">
        <v>0.23386000000000001</v>
      </c>
      <c r="K1083" s="4" t="b">
        <v>1</v>
      </c>
      <c r="L1083" s="4" t="b">
        <v>0</v>
      </c>
    </row>
    <row r="1084" spans="1:13" ht="13">
      <c r="A1084" s="4" t="s">
        <v>3155</v>
      </c>
      <c r="B1084" s="4" t="s">
        <v>4951</v>
      </c>
      <c r="C1084" s="4" t="s">
        <v>108</v>
      </c>
      <c r="D1084" s="4" t="s">
        <v>4952</v>
      </c>
      <c r="E1084" s="4" t="s">
        <v>2911</v>
      </c>
      <c r="F1084" s="4" t="s">
        <v>5169</v>
      </c>
      <c r="G1084" s="4" t="s">
        <v>3051</v>
      </c>
      <c r="H1084" s="4">
        <v>1.38</v>
      </c>
      <c r="I1084" s="4">
        <v>1.08</v>
      </c>
      <c r="J1084" s="4">
        <v>0.22871</v>
      </c>
      <c r="K1084" s="4" t="b">
        <v>1</v>
      </c>
      <c r="L1084" s="4" t="b">
        <v>1</v>
      </c>
      <c r="M1084" s="41" t="s">
        <v>5164</v>
      </c>
    </row>
    <row r="1085" spans="1:13" ht="13">
      <c r="A1085" s="4" t="s">
        <v>9584</v>
      </c>
      <c r="B1085" s="4" t="s">
        <v>4951</v>
      </c>
      <c r="C1085" s="4" t="s">
        <v>108</v>
      </c>
      <c r="D1085" s="4" t="s">
        <v>4952</v>
      </c>
      <c r="E1085" s="4" t="s">
        <v>2911</v>
      </c>
      <c r="F1085" s="4" t="s">
        <v>9585</v>
      </c>
      <c r="G1085" s="4" t="s">
        <v>9586</v>
      </c>
      <c r="H1085" s="4">
        <v>1.41</v>
      </c>
      <c r="I1085" s="4">
        <v>1.1000000000000001</v>
      </c>
      <c r="J1085" s="4">
        <v>0.24426</v>
      </c>
      <c r="K1085" s="4" t="b">
        <v>1</v>
      </c>
      <c r="L1085" s="4" t="b">
        <v>0</v>
      </c>
    </row>
    <row r="1086" spans="1:13" ht="13">
      <c r="A1086" s="4" t="s">
        <v>9587</v>
      </c>
      <c r="B1086" s="4" t="s">
        <v>4951</v>
      </c>
      <c r="C1086" s="4" t="s">
        <v>108</v>
      </c>
      <c r="D1086" s="4" t="s">
        <v>4952</v>
      </c>
      <c r="E1086" s="4" t="s">
        <v>2911</v>
      </c>
      <c r="F1086" s="4" t="s">
        <v>9588</v>
      </c>
      <c r="G1086" s="4" t="s">
        <v>9589</v>
      </c>
      <c r="H1086" s="4">
        <v>1.42</v>
      </c>
      <c r="I1086" s="4">
        <v>1.05</v>
      </c>
      <c r="J1086" s="4">
        <v>0.23382</v>
      </c>
      <c r="K1086" s="4" t="b">
        <v>1</v>
      </c>
      <c r="L1086" s="4" t="b">
        <v>0</v>
      </c>
    </row>
    <row r="1087" spans="1:13" ht="13">
      <c r="A1087" s="4" t="s">
        <v>5065</v>
      </c>
      <c r="B1087" s="4" t="s">
        <v>4951</v>
      </c>
      <c r="C1087" s="4" t="s">
        <v>108</v>
      </c>
      <c r="D1087" s="4" t="s">
        <v>4952</v>
      </c>
      <c r="E1087" s="4" t="s">
        <v>2911</v>
      </c>
      <c r="F1087" s="4" t="s">
        <v>5066</v>
      </c>
      <c r="G1087" s="4" t="s">
        <v>5067</v>
      </c>
      <c r="H1087" s="4">
        <v>1.43</v>
      </c>
      <c r="I1087" s="4">
        <v>1.19</v>
      </c>
      <c r="J1087" s="4">
        <v>0.23893</v>
      </c>
      <c r="K1087" s="4" t="b">
        <v>1</v>
      </c>
      <c r="L1087" s="4" t="b">
        <v>0</v>
      </c>
    </row>
    <row r="1088" spans="1:13" ht="13">
      <c r="A1088" s="4" t="s">
        <v>5192</v>
      </c>
      <c r="B1088" s="4" t="s">
        <v>4951</v>
      </c>
      <c r="C1088" s="4" t="s">
        <v>108</v>
      </c>
      <c r="D1088" s="4" t="s">
        <v>4952</v>
      </c>
      <c r="E1088" s="4" t="s">
        <v>2911</v>
      </c>
      <c r="F1088" s="4" t="s">
        <v>5193</v>
      </c>
      <c r="G1088" s="4" t="s">
        <v>5194</v>
      </c>
      <c r="H1088" s="4">
        <v>1.44</v>
      </c>
      <c r="I1088" s="4">
        <v>1.0900000000000001</v>
      </c>
      <c r="J1088" s="4">
        <v>0.22322</v>
      </c>
      <c r="K1088" s="4" t="b">
        <v>1</v>
      </c>
      <c r="L1088" s="4" t="b">
        <v>0</v>
      </c>
    </row>
    <row r="1089" spans="1:14" ht="13">
      <c r="A1089" s="4" t="s">
        <v>9590</v>
      </c>
      <c r="B1089" s="4" t="s">
        <v>4951</v>
      </c>
      <c r="C1089" s="4" t="s">
        <v>108</v>
      </c>
      <c r="D1089" s="4" t="s">
        <v>4952</v>
      </c>
      <c r="E1089" s="4" t="s">
        <v>2911</v>
      </c>
      <c r="F1089" s="4" t="s">
        <v>9591</v>
      </c>
      <c r="G1089" s="4" t="s">
        <v>9592</v>
      </c>
      <c r="H1089" s="4">
        <v>1.44</v>
      </c>
      <c r="I1089" s="4">
        <v>1.05</v>
      </c>
      <c r="J1089" s="4">
        <v>0.22941</v>
      </c>
      <c r="K1089" s="4" t="b">
        <v>1</v>
      </c>
      <c r="L1089" s="4" t="b">
        <v>0</v>
      </c>
    </row>
    <row r="1090" spans="1:14" ht="13">
      <c r="A1090" s="4" t="s">
        <v>9593</v>
      </c>
      <c r="B1090" s="4" t="s">
        <v>4951</v>
      </c>
      <c r="C1090" s="4" t="s">
        <v>108</v>
      </c>
      <c r="D1090" s="4" t="s">
        <v>4952</v>
      </c>
      <c r="E1090" s="4" t="s">
        <v>2911</v>
      </c>
      <c r="F1090" s="4" t="s">
        <v>9594</v>
      </c>
      <c r="G1090" s="4" t="s">
        <v>9595</v>
      </c>
      <c r="H1090" s="4">
        <v>1.45</v>
      </c>
      <c r="I1090" s="4">
        <v>1.1499999999999999</v>
      </c>
      <c r="J1090" s="4">
        <v>0.25302999999999998</v>
      </c>
      <c r="K1090" s="4" t="b">
        <v>1</v>
      </c>
      <c r="L1090" s="4" t="b">
        <v>0</v>
      </c>
    </row>
    <row r="1091" spans="1:14" ht="13">
      <c r="A1091" s="4" t="s">
        <v>9596</v>
      </c>
      <c r="B1091" s="4" t="s">
        <v>4951</v>
      </c>
      <c r="C1091" s="4" t="s">
        <v>108</v>
      </c>
      <c r="D1091" s="4" t="s">
        <v>4952</v>
      </c>
      <c r="E1091" s="4" t="s">
        <v>2911</v>
      </c>
      <c r="F1091" s="4" t="s">
        <v>9597</v>
      </c>
      <c r="G1091" s="4" t="s">
        <v>9598</v>
      </c>
      <c r="H1091" s="4">
        <v>1.46</v>
      </c>
      <c r="I1091" s="4">
        <v>1.06</v>
      </c>
      <c r="J1091" s="4">
        <v>0.22713</v>
      </c>
      <c r="K1091" s="4" t="b">
        <v>1</v>
      </c>
      <c r="L1091" s="4" t="b">
        <v>0</v>
      </c>
    </row>
    <row r="1092" spans="1:14" ht="13">
      <c r="A1092" s="4" t="s">
        <v>9599</v>
      </c>
      <c r="B1092" s="4" t="s">
        <v>4951</v>
      </c>
      <c r="C1092" s="4" t="s">
        <v>108</v>
      </c>
      <c r="D1092" s="4" t="s">
        <v>4952</v>
      </c>
      <c r="E1092" s="4" t="s">
        <v>2911</v>
      </c>
      <c r="F1092" s="4" t="s">
        <v>9600</v>
      </c>
      <c r="G1092" s="4" t="s">
        <v>9601</v>
      </c>
      <c r="H1092" s="4">
        <v>1.47</v>
      </c>
      <c r="I1092" s="4">
        <v>1.07</v>
      </c>
      <c r="J1092" s="4">
        <v>0.216</v>
      </c>
      <c r="K1092" s="4" t="b">
        <v>1</v>
      </c>
      <c r="L1092" s="4" t="b">
        <v>0</v>
      </c>
    </row>
    <row r="1093" spans="1:14" ht="13">
      <c r="A1093" s="4" t="s">
        <v>9602</v>
      </c>
      <c r="B1093" s="4" t="s">
        <v>4951</v>
      </c>
      <c r="C1093" s="4" t="s">
        <v>108</v>
      </c>
      <c r="D1093" s="4" t="s">
        <v>4952</v>
      </c>
      <c r="E1093" s="4" t="s">
        <v>2911</v>
      </c>
      <c r="F1093" s="4" t="s">
        <v>9603</v>
      </c>
      <c r="G1093" s="4" t="s">
        <v>9604</v>
      </c>
      <c r="H1093" s="4">
        <v>1.48</v>
      </c>
      <c r="I1093" s="4">
        <v>1.1200000000000001</v>
      </c>
      <c r="J1093" s="4">
        <v>0.24843999999999999</v>
      </c>
      <c r="K1093" s="4" t="b">
        <v>1</v>
      </c>
      <c r="L1093" s="4" t="b">
        <v>0</v>
      </c>
    </row>
    <row r="1094" spans="1:14" ht="13">
      <c r="A1094" s="4" t="s">
        <v>9605</v>
      </c>
      <c r="B1094" s="4" t="s">
        <v>4951</v>
      </c>
      <c r="C1094" s="4" t="s">
        <v>108</v>
      </c>
      <c r="D1094" s="4" t="s">
        <v>4952</v>
      </c>
      <c r="E1094" s="4" t="s">
        <v>2911</v>
      </c>
      <c r="F1094" s="4" t="s">
        <v>9606</v>
      </c>
      <c r="G1094" s="4" t="s">
        <v>9607</v>
      </c>
      <c r="H1094" s="4">
        <v>1.48</v>
      </c>
      <c r="I1094" s="4">
        <v>1.2</v>
      </c>
      <c r="J1094" s="4">
        <v>0.24257000000000001</v>
      </c>
      <c r="K1094" s="4" t="b">
        <v>1</v>
      </c>
      <c r="L1094" s="4" t="b">
        <v>0</v>
      </c>
    </row>
    <row r="1095" spans="1:14" ht="13">
      <c r="A1095" s="4" t="s">
        <v>9608</v>
      </c>
      <c r="B1095" s="4" t="s">
        <v>4951</v>
      </c>
      <c r="C1095" s="4" t="s">
        <v>108</v>
      </c>
      <c r="D1095" s="4" t="s">
        <v>4952</v>
      </c>
      <c r="E1095" s="4" t="s">
        <v>2911</v>
      </c>
      <c r="F1095" s="4" t="s">
        <v>9609</v>
      </c>
      <c r="G1095" s="4" t="s">
        <v>9610</v>
      </c>
      <c r="H1095" s="4">
        <v>1.49</v>
      </c>
      <c r="I1095" s="4">
        <v>1.07</v>
      </c>
      <c r="J1095" s="4">
        <v>0.22667999999999999</v>
      </c>
      <c r="K1095" s="4" t="b">
        <v>1</v>
      </c>
      <c r="L1095" s="4" t="b">
        <v>0</v>
      </c>
    </row>
    <row r="1096" spans="1:14" ht="13">
      <c r="A1096" s="4" t="s">
        <v>3156</v>
      </c>
      <c r="B1096" s="4" t="s">
        <v>4951</v>
      </c>
      <c r="C1096" s="4" t="s">
        <v>108</v>
      </c>
      <c r="D1096" s="4" t="s">
        <v>4952</v>
      </c>
      <c r="E1096" s="4" t="s">
        <v>2911</v>
      </c>
      <c r="F1096" s="4" t="s">
        <v>5086</v>
      </c>
      <c r="G1096" s="4" t="s">
        <v>3052</v>
      </c>
      <c r="H1096" s="4">
        <v>1.5</v>
      </c>
      <c r="I1096" s="4">
        <v>1.07</v>
      </c>
      <c r="J1096" s="4">
        <v>0.21249000000000001</v>
      </c>
      <c r="K1096" s="4" t="b">
        <v>1</v>
      </c>
      <c r="L1096" s="4" t="b">
        <v>1</v>
      </c>
      <c r="M1096" s="41" t="s">
        <v>5087</v>
      </c>
      <c r="N1096" s="41" t="s">
        <v>4995</v>
      </c>
    </row>
    <row r="1097" spans="1:14" ht="13">
      <c r="A1097" s="4" t="s">
        <v>5068</v>
      </c>
      <c r="B1097" s="4" t="s">
        <v>4951</v>
      </c>
      <c r="C1097" s="4" t="s">
        <v>108</v>
      </c>
      <c r="D1097" s="4" t="s">
        <v>4952</v>
      </c>
      <c r="E1097" s="4" t="s">
        <v>2911</v>
      </c>
      <c r="F1097" s="4" t="s">
        <v>5069</v>
      </c>
      <c r="G1097" s="4" t="s">
        <v>5070</v>
      </c>
      <c r="H1097" s="4">
        <v>1.51</v>
      </c>
      <c r="I1097" s="4">
        <v>1.1499999999999999</v>
      </c>
      <c r="J1097" s="4">
        <v>0.2364</v>
      </c>
      <c r="K1097" s="4" t="b">
        <v>1</v>
      </c>
      <c r="L1097" s="4" t="b">
        <v>0</v>
      </c>
    </row>
    <row r="1098" spans="1:14" ht="13">
      <c r="A1098" s="4" t="s">
        <v>9611</v>
      </c>
      <c r="B1098" s="4" t="s">
        <v>4951</v>
      </c>
      <c r="C1098" s="4" t="s">
        <v>108</v>
      </c>
      <c r="D1098" s="4" t="s">
        <v>4952</v>
      </c>
      <c r="E1098" s="4" t="s">
        <v>2911</v>
      </c>
      <c r="F1098" s="4" t="s">
        <v>9612</v>
      </c>
      <c r="G1098" s="4" t="s">
        <v>9613</v>
      </c>
      <c r="H1098" s="4">
        <v>1.51</v>
      </c>
      <c r="I1098" s="4">
        <v>1.1299999999999999</v>
      </c>
      <c r="J1098" s="4">
        <v>0.23644999999999999</v>
      </c>
      <c r="K1098" s="4" t="b">
        <v>1</v>
      </c>
      <c r="L1098" s="4" t="b">
        <v>0</v>
      </c>
    </row>
    <row r="1099" spans="1:14" ht="13">
      <c r="A1099" s="4" t="s">
        <v>9614</v>
      </c>
      <c r="B1099" s="4" t="s">
        <v>4951</v>
      </c>
      <c r="C1099" s="4" t="s">
        <v>108</v>
      </c>
      <c r="D1099" s="4" t="s">
        <v>4952</v>
      </c>
      <c r="E1099" s="4" t="s">
        <v>2911</v>
      </c>
      <c r="F1099" s="4" t="s">
        <v>9615</v>
      </c>
      <c r="G1099" s="4" t="s">
        <v>9616</v>
      </c>
      <c r="H1099" s="4">
        <v>1.52</v>
      </c>
      <c r="I1099" s="4">
        <v>1.1000000000000001</v>
      </c>
      <c r="J1099" s="4">
        <v>0.23264000000000001</v>
      </c>
      <c r="K1099" s="4" t="b">
        <v>1</v>
      </c>
      <c r="L1099" s="4" t="b">
        <v>0</v>
      </c>
    </row>
    <row r="1100" spans="1:14" ht="13">
      <c r="A1100" s="4" t="s">
        <v>9617</v>
      </c>
      <c r="B1100" s="4" t="s">
        <v>4951</v>
      </c>
      <c r="C1100" s="4" t="s">
        <v>108</v>
      </c>
      <c r="D1100" s="4" t="s">
        <v>4952</v>
      </c>
      <c r="E1100" s="4" t="s">
        <v>2911</v>
      </c>
      <c r="F1100" s="4" t="s">
        <v>9618</v>
      </c>
      <c r="G1100" s="4" t="s">
        <v>9619</v>
      </c>
      <c r="H1100" s="4">
        <v>1.52</v>
      </c>
      <c r="I1100" s="4">
        <v>1.08</v>
      </c>
      <c r="J1100" s="4">
        <v>0.22578000000000001</v>
      </c>
      <c r="K1100" s="4" t="b">
        <v>1</v>
      </c>
      <c r="L1100" s="4" t="b">
        <v>0</v>
      </c>
    </row>
    <row r="1101" spans="1:14" ht="13">
      <c r="A1101" s="4" t="s">
        <v>9620</v>
      </c>
      <c r="B1101" s="4" t="s">
        <v>4951</v>
      </c>
      <c r="C1101" s="4" t="s">
        <v>108</v>
      </c>
      <c r="D1101" s="4" t="s">
        <v>4952</v>
      </c>
      <c r="E1101" s="4" t="s">
        <v>2911</v>
      </c>
      <c r="F1101" s="4" t="s">
        <v>9621</v>
      </c>
      <c r="G1101" s="4" t="s">
        <v>9622</v>
      </c>
      <c r="H1101" s="4">
        <v>1.54</v>
      </c>
      <c r="I1101" s="4">
        <v>0.96</v>
      </c>
      <c r="J1101" s="4">
        <v>0.20759</v>
      </c>
      <c r="K1101" s="4" t="b">
        <v>1</v>
      </c>
      <c r="L1101" s="4" t="b">
        <v>0</v>
      </c>
    </row>
    <row r="1102" spans="1:14" ht="13">
      <c r="A1102" s="4" t="s">
        <v>9623</v>
      </c>
      <c r="B1102" s="4" t="s">
        <v>4951</v>
      </c>
      <c r="C1102" s="4" t="s">
        <v>108</v>
      </c>
      <c r="D1102" s="4" t="s">
        <v>4952</v>
      </c>
      <c r="E1102" s="4" t="s">
        <v>2911</v>
      </c>
      <c r="F1102" s="4" t="s">
        <v>9624</v>
      </c>
      <c r="G1102" s="4" t="s">
        <v>9625</v>
      </c>
      <c r="H1102" s="4">
        <v>1.55</v>
      </c>
      <c r="I1102" s="4">
        <v>1.06</v>
      </c>
      <c r="J1102" s="4">
        <v>0.22797000000000001</v>
      </c>
      <c r="K1102" s="4" t="b">
        <v>1</v>
      </c>
      <c r="L1102" s="4" t="b">
        <v>0</v>
      </c>
    </row>
    <row r="1103" spans="1:14" ht="13">
      <c r="A1103" s="4" t="s">
        <v>9626</v>
      </c>
      <c r="B1103" s="4" t="s">
        <v>4951</v>
      </c>
      <c r="C1103" s="4" t="s">
        <v>108</v>
      </c>
      <c r="D1103" s="4" t="s">
        <v>4952</v>
      </c>
      <c r="E1103" s="4" t="s">
        <v>2911</v>
      </c>
      <c r="F1103" s="4" t="s">
        <v>9627</v>
      </c>
      <c r="G1103" s="4" t="s">
        <v>9628</v>
      </c>
      <c r="H1103" s="4">
        <v>1.57</v>
      </c>
      <c r="I1103" s="4">
        <v>1.06</v>
      </c>
      <c r="J1103" s="4">
        <v>0.21708</v>
      </c>
      <c r="K1103" s="4" t="b">
        <v>1</v>
      </c>
      <c r="L1103" s="4" t="b">
        <v>0</v>
      </c>
    </row>
    <row r="1104" spans="1:14" ht="13">
      <c r="A1104" s="4" t="s">
        <v>9629</v>
      </c>
      <c r="B1104" s="4" t="s">
        <v>4951</v>
      </c>
      <c r="C1104" s="4" t="s">
        <v>108</v>
      </c>
      <c r="D1104" s="4" t="s">
        <v>4952</v>
      </c>
      <c r="E1104" s="4" t="s">
        <v>2911</v>
      </c>
      <c r="F1104" s="4" t="s">
        <v>9630</v>
      </c>
      <c r="G1104" s="4" t="s">
        <v>9631</v>
      </c>
      <c r="H1104" s="4">
        <v>1.58</v>
      </c>
      <c r="I1104" s="4">
        <v>1.06</v>
      </c>
      <c r="J1104" s="4">
        <v>0.22642000000000001</v>
      </c>
      <c r="K1104" s="4" t="b">
        <v>1</v>
      </c>
      <c r="L1104" s="4" t="b">
        <v>0</v>
      </c>
    </row>
    <row r="1105" spans="1:12" ht="13">
      <c r="A1105" s="4" t="s">
        <v>9632</v>
      </c>
      <c r="B1105" s="4" t="s">
        <v>4951</v>
      </c>
      <c r="C1105" s="4" t="s">
        <v>108</v>
      </c>
      <c r="D1105" s="4" t="s">
        <v>4952</v>
      </c>
      <c r="E1105" s="4" t="s">
        <v>2911</v>
      </c>
      <c r="F1105" s="4" t="s">
        <v>9633</v>
      </c>
      <c r="G1105" s="4" t="s">
        <v>9634</v>
      </c>
      <c r="H1105" s="4">
        <v>1.59</v>
      </c>
      <c r="I1105" s="4">
        <v>1.1200000000000001</v>
      </c>
      <c r="J1105" s="4">
        <v>0.23777999999999999</v>
      </c>
      <c r="K1105" s="4" t="b">
        <v>1</v>
      </c>
      <c r="L1105" s="4" t="b">
        <v>0</v>
      </c>
    </row>
    <row r="1106" spans="1:12" ht="13">
      <c r="A1106" s="4" t="s">
        <v>9635</v>
      </c>
      <c r="B1106" s="4" t="s">
        <v>4951</v>
      </c>
      <c r="C1106" s="4" t="s">
        <v>108</v>
      </c>
      <c r="D1106" s="4" t="s">
        <v>4952</v>
      </c>
      <c r="E1106" s="4" t="s">
        <v>2911</v>
      </c>
      <c r="F1106" s="4" t="s">
        <v>9636</v>
      </c>
      <c r="G1106" s="4" t="s">
        <v>9637</v>
      </c>
      <c r="H1106" s="4">
        <v>1.6</v>
      </c>
      <c r="I1106" s="4">
        <v>1.66</v>
      </c>
      <c r="J1106" s="4">
        <v>0.19212000000000001</v>
      </c>
      <c r="K1106" s="4" t="b">
        <v>1</v>
      </c>
      <c r="L1106" s="4" t="b">
        <v>0</v>
      </c>
    </row>
    <row r="1107" spans="1:12" ht="13">
      <c r="A1107" s="4" t="s">
        <v>9638</v>
      </c>
      <c r="B1107" s="4" t="s">
        <v>4951</v>
      </c>
      <c r="C1107" s="4" t="s">
        <v>108</v>
      </c>
      <c r="D1107" s="4" t="s">
        <v>4952</v>
      </c>
      <c r="E1107" s="4" t="s">
        <v>2911</v>
      </c>
      <c r="F1107" s="4" t="s">
        <v>9639</v>
      </c>
      <c r="G1107" s="4" t="s">
        <v>9640</v>
      </c>
      <c r="H1107" s="4">
        <v>1.61</v>
      </c>
      <c r="I1107" s="4">
        <v>1.08</v>
      </c>
      <c r="J1107" s="4">
        <v>0.22567999999999999</v>
      </c>
      <c r="K1107" s="4" t="b">
        <v>1</v>
      </c>
      <c r="L1107" s="4" t="b">
        <v>0</v>
      </c>
    </row>
    <row r="1108" spans="1:12" ht="13">
      <c r="A1108" s="4" t="s">
        <v>9641</v>
      </c>
      <c r="B1108" s="4" t="s">
        <v>4951</v>
      </c>
      <c r="C1108" s="4" t="s">
        <v>108</v>
      </c>
      <c r="D1108" s="4" t="s">
        <v>4952</v>
      </c>
      <c r="E1108" s="4" t="s">
        <v>2911</v>
      </c>
      <c r="F1108" s="4" t="s">
        <v>9642</v>
      </c>
      <c r="G1108" s="4" t="s">
        <v>9643</v>
      </c>
      <c r="H1108" s="4">
        <v>1.61</v>
      </c>
      <c r="I1108" s="4">
        <v>1.17</v>
      </c>
      <c r="J1108" s="4">
        <v>0.2495</v>
      </c>
      <c r="K1108" s="4" t="b">
        <v>1</v>
      </c>
      <c r="L1108" s="4" t="b">
        <v>0</v>
      </c>
    </row>
    <row r="1109" spans="1:12" ht="13">
      <c r="A1109" s="4" t="s">
        <v>9644</v>
      </c>
      <c r="B1109" s="4" t="s">
        <v>4951</v>
      </c>
      <c r="C1109" s="4" t="s">
        <v>108</v>
      </c>
      <c r="D1109" s="4" t="s">
        <v>4952</v>
      </c>
      <c r="E1109" s="4" t="s">
        <v>2911</v>
      </c>
      <c r="F1109" s="4" t="s">
        <v>9645</v>
      </c>
      <c r="G1109" s="4" t="s">
        <v>9646</v>
      </c>
      <c r="H1109" s="4">
        <v>1.62</v>
      </c>
      <c r="I1109" s="4">
        <v>1.1200000000000001</v>
      </c>
      <c r="J1109" s="4">
        <v>0.247</v>
      </c>
      <c r="K1109" s="4" t="b">
        <v>1</v>
      </c>
      <c r="L1109" s="4" t="b">
        <v>0</v>
      </c>
    </row>
    <row r="1110" spans="1:12" ht="13">
      <c r="A1110" s="4" t="s">
        <v>9647</v>
      </c>
      <c r="B1110" s="4" t="s">
        <v>4951</v>
      </c>
      <c r="C1110" s="4" t="s">
        <v>108</v>
      </c>
      <c r="D1110" s="4" t="s">
        <v>4952</v>
      </c>
      <c r="E1110" s="4" t="s">
        <v>2911</v>
      </c>
      <c r="F1110" s="4" t="s">
        <v>9648</v>
      </c>
      <c r="G1110" s="4" t="s">
        <v>9649</v>
      </c>
      <c r="H1110" s="4">
        <v>1.62</v>
      </c>
      <c r="I1110" s="4">
        <v>1.01</v>
      </c>
      <c r="J1110" s="4">
        <v>0.21711</v>
      </c>
      <c r="K1110" s="4" t="b">
        <v>1</v>
      </c>
      <c r="L1110" s="4" t="b">
        <v>0</v>
      </c>
    </row>
    <row r="1111" spans="1:12" ht="13">
      <c r="A1111" s="4" t="s">
        <v>9650</v>
      </c>
      <c r="B1111" s="4" t="s">
        <v>4951</v>
      </c>
      <c r="C1111" s="4" t="s">
        <v>108</v>
      </c>
      <c r="D1111" s="4" t="s">
        <v>4952</v>
      </c>
      <c r="E1111" s="4" t="s">
        <v>2911</v>
      </c>
      <c r="F1111" s="4" t="s">
        <v>9651</v>
      </c>
      <c r="G1111" s="4" t="s">
        <v>9652</v>
      </c>
      <c r="H1111" s="4">
        <v>1.63</v>
      </c>
      <c r="I1111" s="4">
        <v>1.05</v>
      </c>
      <c r="J1111" s="4">
        <v>0.22019</v>
      </c>
      <c r="K1111" s="4" t="b">
        <v>1</v>
      </c>
      <c r="L1111" s="4" t="b">
        <v>0</v>
      </c>
    </row>
    <row r="1112" spans="1:12" ht="13">
      <c r="A1112" s="4" t="s">
        <v>9653</v>
      </c>
      <c r="B1112" s="4" t="s">
        <v>4951</v>
      </c>
      <c r="C1112" s="4" t="s">
        <v>108</v>
      </c>
      <c r="D1112" s="4" t="s">
        <v>4952</v>
      </c>
      <c r="E1112" s="4" t="s">
        <v>2911</v>
      </c>
      <c r="F1112" s="4" t="s">
        <v>9654</v>
      </c>
      <c r="G1112" s="4" t="s">
        <v>9655</v>
      </c>
      <c r="H1112" s="4">
        <v>1.64</v>
      </c>
      <c r="I1112" s="4">
        <v>1.99</v>
      </c>
      <c r="J1112" s="4">
        <v>0.21818000000000001</v>
      </c>
      <c r="K1112" s="4" t="b">
        <v>1</v>
      </c>
      <c r="L1112" s="4" t="b">
        <v>0</v>
      </c>
    </row>
    <row r="1113" spans="1:12" ht="13">
      <c r="A1113" s="4" t="s">
        <v>9656</v>
      </c>
      <c r="B1113" s="4" t="s">
        <v>4951</v>
      </c>
      <c r="C1113" s="4" t="s">
        <v>108</v>
      </c>
      <c r="D1113" s="4" t="s">
        <v>4952</v>
      </c>
      <c r="E1113" s="4" t="s">
        <v>2911</v>
      </c>
      <c r="F1113" s="4" t="s">
        <v>9657</v>
      </c>
      <c r="G1113" s="4" t="s">
        <v>9658</v>
      </c>
      <c r="H1113" s="4">
        <v>1.64</v>
      </c>
      <c r="I1113" s="4">
        <v>1.29</v>
      </c>
      <c r="J1113" s="4">
        <v>0.2167</v>
      </c>
      <c r="K1113" s="4" t="b">
        <v>1</v>
      </c>
      <c r="L1113" s="4" t="b">
        <v>0</v>
      </c>
    </row>
    <row r="1114" spans="1:12" ht="13">
      <c r="A1114" s="4" t="s">
        <v>9659</v>
      </c>
      <c r="B1114" s="4" t="s">
        <v>4951</v>
      </c>
      <c r="C1114" s="4" t="s">
        <v>108</v>
      </c>
      <c r="D1114" s="4" t="s">
        <v>4952</v>
      </c>
      <c r="E1114" s="4" t="s">
        <v>2911</v>
      </c>
      <c r="F1114" s="4" t="s">
        <v>9660</v>
      </c>
      <c r="G1114" s="4" t="s">
        <v>9661</v>
      </c>
      <c r="H1114" s="4">
        <v>1.65</v>
      </c>
      <c r="I1114" s="4">
        <v>1.17</v>
      </c>
      <c r="J1114" s="4">
        <v>0.22195999999999999</v>
      </c>
      <c r="K1114" s="4" t="b">
        <v>1</v>
      </c>
      <c r="L1114" s="4" t="b">
        <v>0</v>
      </c>
    </row>
    <row r="1115" spans="1:12" ht="13">
      <c r="A1115" s="4" t="s">
        <v>9662</v>
      </c>
      <c r="B1115" s="4" t="s">
        <v>4951</v>
      </c>
      <c r="C1115" s="4" t="s">
        <v>108</v>
      </c>
      <c r="D1115" s="4" t="s">
        <v>4952</v>
      </c>
      <c r="E1115" s="4" t="s">
        <v>2911</v>
      </c>
      <c r="F1115" s="4" t="s">
        <v>9663</v>
      </c>
      <c r="G1115" s="4" t="s">
        <v>9664</v>
      </c>
      <c r="H1115" s="4">
        <v>1.66</v>
      </c>
      <c r="I1115" s="4">
        <v>1.1399999999999999</v>
      </c>
      <c r="J1115" s="4">
        <v>0.23388999999999999</v>
      </c>
      <c r="K1115" s="4" t="b">
        <v>1</v>
      </c>
      <c r="L1115" s="4" t="b">
        <v>0</v>
      </c>
    </row>
    <row r="1116" spans="1:12" ht="13">
      <c r="A1116" s="4" t="s">
        <v>9665</v>
      </c>
      <c r="B1116" s="4" t="s">
        <v>4951</v>
      </c>
      <c r="C1116" s="4" t="s">
        <v>108</v>
      </c>
      <c r="D1116" s="4" t="s">
        <v>4952</v>
      </c>
      <c r="E1116" s="4" t="s">
        <v>2911</v>
      </c>
      <c r="F1116" s="4" t="s">
        <v>9666</v>
      </c>
      <c r="G1116" s="4" t="s">
        <v>9667</v>
      </c>
      <c r="H1116" s="4">
        <v>1.66</v>
      </c>
      <c r="I1116" s="4">
        <v>1.08</v>
      </c>
      <c r="J1116" s="4">
        <v>0.23021</v>
      </c>
      <c r="K1116" s="4" t="b">
        <v>1</v>
      </c>
      <c r="L1116" s="4" t="b">
        <v>0</v>
      </c>
    </row>
    <row r="1117" spans="1:12" ht="13">
      <c r="A1117" s="4" t="s">
        <v>9668</v>
      </c>
      <c r="B1117" s="4" t="s">
        <v>4951</v>
      </c>
      <c r="C1117" s="4" t="s">
        <v>108</v>
      </c>
      <c r="D1117" s="4" t="s">
        <v>4952</v>
      </c>
      <c r="E1117" s="4" t="s">
        <v>2911</v>
      </c>
      <c r="F1117" s="4" t="s">
        <v>9669</v>
      </c>
      <c r="G1117" s="4" t="s">
        <v>9670</v>
      </c>
      <c r="H1117" s="4">
        <v>1.67</v>
      </c>
      <c r="I1117" s="4">
        <v>1.07</v>
      </c>
      <c r="J1117" s="4">
        <v>0.22778000000000001</v>
      </c>
      <c r="K1117" s="4" t="b">
        <v>1</v>
      </c>
      <c r="L1117" s="4" t="b">
        <v>0</v>
      </c>
    </row>
    <row r="1118" spans="1:12" ht="13">
      <c r="A1118" s="4" t="s">
        <v>9671</v>
      </c>
      <c r="B1118" s="4" t="s">
        <v>4951</v>
      </c>
      <c r="C1118" s="4" t="s">
        <v>108</v>
      </c>
      <c r="D1118" s="4" t="s">
        <v>4952</v>
      </c>
      <c r="E1118" s="4" t="s">
        <v>2911</v>
      </c>
      <c r="F1118" s="4" t="s">
        <v>9672</v>
      </c>
      <c r="G1118" s="4" t="s">
        <v>9673</v>
      </c>
      <c r="H1118" s="4">
        <v>1.67</v>
      </c>
      <c r="I1118" s="4">
        <v>1.1000000000000001</v>
      </c>
      <c r="J1118" s="4">
        <v>0.22497</v>
      </c>
      <c r="K1118" s="4" t="b">
        <v>1</v>
      </c>
      <c r="L1118" s="4" t="b">
        <v>0</v>
      </c>
    </row>
    <row r="1119" spans="1:12" ht="13">
      <c r="A1119" s="4" t="s">
        <v>9674</v>
      </c>
      <c r="B1119" s="4" t="s">
        <v>4951</v>
      </c>
      <c r="C1119" s="4" t="s">
        <v>108</v>
      </c>
      <c r="D1119" s="4" t="s">
        <v>4952</v>
      </c>
      <c r="E1119" s="4" t="s">
        <v>2911</v>
      </c>
      <c r="F1119" s="4" t="s">
        <v>9675</v>
      </c>
      <c r="G1119" s="4" t="s">
        <v>9676</v>
      </c>
      <c r="H1119" s="4">
        <v>1.68</v>
      </c>
      <c r="I1119" s="4">
        <v>1.1000000000000001</v>
      </c>
      <c r="J1119" s="4">
        <v>0.23105999999999999</v>
      </c>
      <c r="K1119" s="4" t="b">
        <v>1</v>
      </c>
      <c r="L1119" s="4" t="b">
        <v>0</v>
      </c>
    </row>
    <row r="1120" spans="1:12" ht="13">
      <c r="A1120" s="4" t="s">
        <v>9677</v>
      </c>
      <c r="B1120" s="4" t="s">
        <v>4951</v>
      </c>
      <c r="C1120" s="4" t="s">
        <v>108</v>
      </c>
      <c r="D1120" s="4" t="s">
        <v>4952</v>
      </c>
      <c r="E1120" s="4" t="s">
        <v>2911</v>
      </c>
      <c r="F1120" s="4" t="s">
        <v>9678</v>
      </c>
      <c r="G1120" s="4" t="s">
        <v>9679</v>
      </c>
      <c r="H1120" s="4">
        <v>1.68</v>
      </c>
      <c r="I1120" s="4">
        <v>1</v>
      </c>
      <c r="J1120" s="4">
        <v>0.22303000000000001</v>
      </c>
      <c r="K1120" s="4" t="b">
        <v>1</v>
      </c>
      <c r="L1120" s="4" t="b">
        <v>0</v>
      </c>
    </row>
    <row r="1121" spans="1:13" ht="13">
      <c r="A1121" s="4" t="s">
        <v>3157</v>
      </c>
      <c r="B1121" s="4" t="s">
        <v>4951</v>
      </c>
      <c r="C1121" s="4" t="s">
        <v>108</v>
      </c>
      <c r="D1121" s="4" t="s">
        <v>4952</v>
      </c>
      <c r="E1121" s="4" t="s">
        <v>2911</v>
      </c>
      <c r="F1121" s="4" t="s">
        <v>5129</v>
      </c>
      <c r="G1121" s="4" t="s">
        <v>3053</v>
      </c>
      <c r="H1121" s="4">
        <v>1.7</v>
      </c>
      <c r="I1121" s="4">
        <v>1.05</v>
      </c>
      <c r="J1121" s="4">
        <v>0.22953000000000001</v>
      </c>
      <c r="K1121" s="4" t="b">
        <v>1</v>
      </c>
      <c r="L1121" s="4" t="b">
        <v>1</v>
      </c>
      <c r="M1121" s="41" t="s">
        <v>4929</v>
      </c>
    </row>
    <row r="1122" spans="1:13" ht="13">
      <c r="A1122" s="4" t="s">
        <v>9680</v>
      </c>
      <c r="B1122" s="4" t="s">
        <v>4951</v>
      </c>
      <c r="C1122" s="4" t="s">
        <v>108</v>
      </c>
      <c r="D1122" s="4" t="s">
        <v>4952</v>
      </c>
      <c r="E1122" s="4" t="s">
        <v>2911</v>
      </c>
      <c r="F1122" s="4" t="s">
        <v>9681</v>
      </c>
      <c r="G1122" s="4" t="s">
        <v>9682</v>
      </c>
      <c r="H1122" s="4">
        <v>1.71</v>
      </c>
      <c r="I1122" s="4">
        <v>1.1399999999999999</v>
      </c>
      <c r="J1122" s="4">
        <v>0.22928999999999999</v>
      </c>
      <c r="K1122" s="4" t="b">
        <v>1</v>
      </c>
      <c r="L1122" s="4" t="b">
        <v>0</v>
      </c>
    </row>
    <row r="1123" spans="1:13" ht="13">
      <c r="A1123" s="4" t="s">
        <v>9683</v>
      </c>
      <c r="B1123" s="4" t="s">
        <v>4951</v>
      </c>
      <c r="C1123" s="4" t="s">
        <v>108</v>
      </c>
      <c r="D1123" s="4" t="s">
        <v>4952</v>
      </c>
      <c r="E1123" s="4" t="s">
        <v>2911</v>
      </c>
      <c r="F1123" s="4" t="s">
        <v>9684</v>
      </c>
      <c r="G1123" s="4" t="s">
        <v>9685</v>
      </c>
      <c r="H1123" s="4">
        <v>1.73</v>
      </c>
      <c r="I1123" s="4">
        <v>1.1299999999999999</v>
      </c>
      <c r="J1123" s="4">
        <v>0.23283999999999999</v>
      </c>
      <c r="K1123" s="4" t="b">
        <v>1</v>
      </c>
      <c r="L1123" s="4" t="b">
        <v>0</v>
      </c>
    </row>
    <row r="1124" spans="1:13" ht="13">
      <c r="A1124" s="4" t="s">
        <v>9686</v>
      </c>
      <c r="B1124" s="4" t="s">
        <v>4951</v>
      </c>
      <c r="C1124" s="4" t="s">
        <v>108</v>
      </c>
      <c r="D1124" s="4" t="s">
        <v>4952</v>
      </c>
      <c r="E1124" s="4" t="s">
        <v>2911</v>
      </c>
      <c r="F1124" s="4" t="s">
        <v>9687</v>
      </c>
      <c r="G1124" s="4" t="s">
        <v>9688</v>
      </c>
      <c r="H1124" s="4">
        <v>1.76</v>
      </c>
      <c r="I1124" s="4">
        <v>1.1499999999999999</v>
      </c>
      <c r="J1124" s="4">
        <v>0.22878999999999999</v>
      </c>
      <c r="K1124" s="4" t="b">
        <v>1</v>
      </c>
      <c r="L1124" s="4" t="b">
        <v>0</v>
      </c>
    </row>
    <row r="1125" spans="1:13" ht="13">
      <c r="A1125" s="4" t="s">
        <v>9689</v>
      </c>
      <c r="B1125" s="4" t="s">
        <v>4951</v>
      </c>
      <c r="C1125" s="4" t="s">
        <v>108</v>
      </c>
      <c r="D1125" s="4" t="s">
        <v>4952</v>
      </c>
      <c r="E1125" s="4" t="s">
        <v>2911</v>
      </c>
      <c r="F1125" s="4" t="s">
        <v>9690</v>
      </c>
      <c r="G1125" s="4" t="s">
        <v>9691</v>
      </c>
      <c r="H1125" s="4">
        <v>1.77</v>
      </c>
      <c r="I1125" s="4">
        <v>1.06</v>
      </c>
      <c r="J1125" s="4">
        <v>0.22514999999999999</v>
      </c>
      <c r="K1125" s="4" t="b">
        <v>1</v>
      </c>
      <c r="L1125" s="4" t="b">
        <v>0</v>
      </c>
    </row>
    <row r="1126" spans="1:13" ht="13">
      <c r="A1126" s="4" t="s">
        <v>9692</v>
      </c>
      <c r="B1126" s="4" t="s">
        <v>4951</v>
      </c>
      <c r="C1126" s="4" t="s">
        <v>108</v>
      </c>
      <c r="D1126" s="4" t="s">
        <v>4952</v>
      </c>
      <c r="E1126" s="4" t="s">
        <v>2911</v>
      </c>
      <c r="F1126" s="4" t="s">
        <v>9693</v>
      </c>
      <c r="G1126" s="4" t="s">
        <v>9694</v>
      </c>
      <c r="H1126" s="4">
        <v>1.77</v>
      </c>
      <c r="I1126" s="4">
        <v>1.02</v>
      </c>
      <c r="J1126" s="4">
        <v>0.21884000000000001</v>
      </c>
      <c r="K1126" s="4" t="b">
        <v>1</v>
      </c>
      <c r="L1126" s="4" t="b">
        <v>0</v>
      </c>
    </row>
    <row r="1127" spans="1:13" ht="13">
      <c r="A1127" s="4" t="s">
        <v>3158</v>
      </c>
      <c r="B1127" s="4" t="s">
        <v>4951</v>
      </c>
      <c r="C1127" s="4" t="s">
        <v>108</v>
      </c>
      <c r="D1127" s="4" t="s">
        <v>4952</v>
      </c>
      <c r="E1127" s="4" t="s">
        <v>2911</v>
      </c>
      <c r="F1127" s="4" t="s">
        <v>5170</v>
      </c>
      <c r="G1127" s="4" t="s">
        <v>3054</v>
      </c>
      <c r="H1127" s="4">
        <v>1.79</v>
      </c>
      <c r="I1127" s="4">
        <v>1.07</v>
      </c>
      <c r="J1127" s="4">
        <v>0.22867999999999999</v>
      </c>
      <c r="K1127" s="4" t="b">
        <v>1</v>
      </c>
      <c r="L1127" s="4" t="b">
        <v>1</v>
      </c>
      <c r="M1127" s="41" t="s">
        <v>5164</v>
      </c>
    </row>
    <row r="1128" spans="1:13" ht="13">
      <c r="A1128" s="4" t="s">
        <v>9695</v>
      </c>
      <c r="B1128" s="4" t="s">
        <v>4951</v>
      </c>
      <c r="C1128" s="4" t="s">
        <v>108</v>
      </c>
      <c r="D1128" s="4" t="s">
        <v>4952</v>
      </c>
      <c r="E1128" s="4" t="s">
        <v>2911</v>
      </c>
      <c r="F1128" s="4" t="s">
        <v>9696</v>
      </c>
      <c r="G1128" s="4" t="s">
        <v>9697</v>
      </c>
      <c r="H1128" s="4">
        <v>1.79</v>
      </c>
      <c r="I1128" s="4">
        <v>1.17</v>
      </c>
      <c r="J1128" s="4">
        <v>0.24654000000000001</v>
      </c>
      <c r="K1128" s="4" t="b">
        <v>1</v>
      </c>
      <c r="L1128" s="4" t="b">
        <v>0</v>
      </c>
    </row>
    <row r="1129" spans="1:13" ht="13">
      <c r="A1129" s="4" t="s">
        <v>9698</v>
      </c>
      <c r="B1129" s="4" t="s">
        <v>4951</v>
      </c>
      <c r="C1129" s="4" t="s">
        <v>108</v>
      </c>
      <c r="D1129" s="4" t="s">
        <v>4952</v>
      </c>
      <c r="E1129" s="4" t="s">
        <v>2911</v>
      </c>
      <c r="F1129" s="4" t="s">
        <v>9699</v>
      </c>
      <c r="G1129" s="4" t="s">
        <v>9700</v>
      </c>
      <c r="H1129" s="4">
        <v>1.8</v>
      </c>
      <c r="I1129" s="4">
        <v>1.1100000000000001</v>
      </c>
      <c r="J1129" s="4">
        <v>0.22470999999999999</v>
      </c>
      <c r="K1129" s="4" t="b">
        <v>1</v>
      </c>
      <c r="L1129" s="4" t="b">
        <v>0</v>
      </c>
    </row>
    <row r="1130" spans="1:13" ht="13">
      <c r="A1130" s="4" t="s">
        <v>9701</v>
      </c>
      <c r="B1130" s="4" t="s">
        <v>4951</v>
      </c>
      <c r="C1130" s="4" t="s">
        <v>108</v>
      </c>
      <c r="D1130" s="4" t="s">
        <v>4952</v>
      </c>
      <c r="E1130" s="4" t="s">
        <v>2911</v>
      </c>
      <c r="F1130" s="4" t="s">
        <v>9702</v>
      </c>
      <c r="G1130" s="4" t="s">
        <v>9703</v>
      </c>
      <c r="H1130" s="4">
        <v>1.86</v>
      </c>
      <c r="I1130" s="4">
        <v>1.06</v>
      </c>
      <c r="J1130" s="4">
        <v>0.23760999999999999</v>
      </c>
      <c r="K1130" s="4" t="b">
        <v>1</v>
      </c>
      <c r="L1130" s="4" t="b">
        <v>0</v>
      </c>
    </row>
    <row r="1131" spans="1:13" ht="13">
      <c r="A1131" s="4" t="s">
        <v>9704</v>
      </c>
      <c r="B1131" s="4" t="s">
        <v>4951</v>
      </c>
      <c r="C1131" s="4" t="s">
        <v>108</v>
      </c>
      <c r="D1131" s="4" t="s">
        <v>4952</v>
      </c>
      <c r="E1131" s="4" t="s">
        <v>2911</v>
      </c>
      <c r="F1131" s="4" t="s">
        <v>9705</v>
      </c>
      <c r="G1131" s="4" t="s">
        <v>9706</v>
      </c>
      <c r="H1131" s="4">
        <v>1.87</v>
      </c>
      <c r="I1131" s="4">
        <v>1.05</v>
      </c>
      <c r="J1131" s="4">
        <v>0.21210999999999999</v>
      </c>
      <c r="K1131" s="4" t="b">
        <v>1</v>
      </c>
      <c r="L1131" s="4" t="b">
        <v>0</v>
      </c>
    </row>
    <row r="1132" spans="1:13" ht="13">
      <c r="A1132" s="4" t="s">
        <v>9707</v>
      </c>
      <c r="B1132" s="4" t="s">
        <v>4951</v>
      </c>
      <c r="C1132" s="4" t="s">
        <v>108</v>
      </c>
      <c r="D1132" s="4" t="s">
        <v>4952</v>
      </c>
      <c r="E1132" s="4" t="s">
        <v>2911</v>
      </c>
      <c r="F1132" s="4" t="s">
        <v>9708</v>
      </c>
      <c r="G1132" s="4" t="s">
        <v>9709</v>
      </c>
      <c r="H1132" s="4">
        <v>1.87</v>
      </c>
      <c r="I1132" s="4">
        <v>1.1499999999999999</v>
      </c>
      <c r="J1132" s="4">
        <v>0.23877999999999999</v>
      </c>
      <c r="K1132" s="4" t="b">
        <v>1</v>
      </c>
      <c r="L1132" s="4" t="b">
        <v>0</v>
      </c>
    </row>
    <row r="1133" spans="1:13" ht="13">
      <c r="A1133" s="4" t="s">
        <v>9710</v>
      </c>
      <c r="B1133" s="4" t="s">
        <v>4951</v>
      </c>
      <c r="C1133" s="4" t="s">
        <v>108</v>
      </c>
      <c r="D1133" s="4" t="s">
        <v>4952</v>
      </c>
      <c r="E1133" s="4" t="s">
        <v>2911</v>
      </c>
      <c r="F1133" s="4" t="s">
        <v>9711</v>
      </c>
      <c r="G1133" s="4" t="s">
        <v>9712</v>
      </c>
      <c r="H1133" s="4">
        <v>1.88</v>
      </c>
      <c r="I1133" s="4">
        <v>1.1000000000000001</v>
      </c>
      <c r="J1133" s="4">
        <v>0.25296000000000002</v>
      </c>
      <c r="K1133" s="4" t="b">
        <v>1</v>
      </c>
      <c r="L1133" s="4" t="b">
        <v>0</v>
      </c>
    </row>
    <row r="1134" spans="1:13" ht="13">
      <c r="A1134" s="4" t="s">
        <v>9713</v>
      </c>
      <c r="B1134" s="4" t="s">
        <v>4951</v>
      </c>
      <c r="C1134" s="4" t="s">
        <v>108</v>
      </c>
      <c r="D1134" s="4" t="s">
        <v>4952</v>
      </c>
      <c r="E1134" s="4" t="s">
        <v>2911</v>
      </c>
      <c r="F1134" s="4" t="s">
        <v>9714</v>
      </c>
      <c r="G1134" s="4" t="s">
        <v>9715</v>
      </c>
      <c r="H1134" s="4">
        <v>1.88</v>
      </c>
      <c r="I1134" s="4">
        <v>1.08</v>
      </c>
      <c r="J1134" s="4">
        <v>0.23841999999999999</v>
      </c>
      <c r="K1134" s="4" t="b">
        <v>1</v>
      </c>
      <c r="L1134" s="4" t="b">
        <v>0</v>
      </c>
    </row>
    <row r="1135" spans="1:13" ht="13">
      <c r="A1135" s="4" t="s">
        <v>9716</v>
      </c>
      <c r="B1135" s="4" t="s">
        <v>4951</v>
      </c>
      <c r="C1135" s="4" t="s">
        <v>108</v>
      </c>
      <c r="D1135" s="4" t="s">
        <v>4952</v>
      </c>
      <c r="E1135" s="4" t="s">
        <v>2911</v>
      </c>
      <c r="F1135" s="4" t="s">
        <v>9717</v>
      </c>
      <c r="G1135" s="4" t="s">
        <v>9718</v>
      </c>
      <c r="H1135" s="4">
        <v>1.89</v>
      </c>
      <c r="I1135" s="4">
        <v>1.32</v>
      </c>
      <c r="J1135" s="4">
        <v>0.22359000000000001</v>
      </c>
      <c r="K1135" s="4" t="b">
        <v>1</v>
      </c>
      <c r="L1135" s="4" t="b">
        <v>0</v>
      </c>
    </row>
    <row r="1136" spans="1:13" ht="13">
      <c r="A1136" s="4" t="s">
        <v>9719</v>
      </c>
      <c r="B1136" s="4" t="s">
        <v>4951</v>
      </c>
      <c r="C1136" s="4" t="s">
        <v>108</v>
      </c>
      <c r="D1136" s="4" t="s">
        <v>4952</v>
      </c>
      <c r="E1136" s="4" t="s">
        <v>2911</v>
      </c>
      <c r="F1136" s="4" t="s">
        <v>9720</v>
      </c>
      <c r="G1136" s="4" t="s">
        <v>9721</v>
      </c>
      <c r="H1136" s="4">
        <v>1.9</v>
      </c>
      <c r="I1136" s="4">
        <v>1.07</v>
      </c>
      <c r="J1136" s="4">
        <v>0.23599999999999999</v>
      </c>
      <c r="K1136" s="4" t="b">
        <v>1</v>
      </c>
      <c r="L1136" s="4" t="b">
        <v>0</v>
      </c>
    </row>
    <row r="1137" spans="1:13" ht="13">
      <c r="A1137" s="4" t="s">
        <v>9722</v>
      </c>
      <c r="B1137" s="4" t="s">
        <v>4951</v>
      </c>
      <c r="C1137" s="4" t="s">
        <v>108</v>
      </c>
      <c r="D1137" s="4" t="s">
        <v>4952</v>
      </c>
      <c r="E1137" s="4" t="s">
        <v>2911</v>
      </c>
      <c r="F1137" s="4" t="s">
        <v>9723</v>
      </c>
      <c r="G1137" s="4" t="s">
        <v>9724</v>
      </c>
      <c r="H1137" s="4">
        <v>1.9</v>
      </c>
      <c r="I1137" s="4">
        <v>1.1299999999999999</v>
      </c>
      <c r="J1137" s="4">
        <v>0.21964</v>
      </c>
      <c r="K1137" s="4" t="b">
        <v>1</v>
      </c>
      <c r="L1137" s="4" t="b">
        <v>0</v>
      </c>
    </row>
    <row r="1138" spans="1:13" ht="13">
      <c r="A1138" s="4" t="s">
        <v>9725</v>
      </c>
      <c r="B1138" s="4" t="s">
        <v>4951</v>
      </c>
      <c r="C1138" s="4" t="s">
        <v>108</v>
      </c>
      <c r="D1138" s="4" t="s">
        <v>4952</v>
      </c>
      <c r="E1138" s="4" t="s">
        <v>2911</v>
      </c>
      <c r="F1138" s="4" t="s">
        <v>9726</v>
      </c>
      <c r="G1138" s="4" t="s">
        <v>9727</v>
      </c>
      <c r="H1138" s="4">
        <v>1.91</v>
      </c>
      <c r="I1138" s="4">
        <v>1.0900000000000001</v>
      </c>
      <c r="J1138" s="4">
        <v>0.22750000000000001</v>
      </c>
      <c r="K1138" s="4" t="b">
        <v>1</v>
      </c>
      <c r="L1138" s="4" t="b">
        <v>0</v>
      </c>
    </row>
    <row r="1139" spans="1:13" ht="13">
      <c r="A1139" s="4" t="s">
        <v>9728</v>
      </c>
      <c r="B1139" s="4" t="s">
        <v>4951</v>
      </c>
      <c r="C1139" s="4" t="s">
        <v>108</v>
      </c>
      <c r="D1139" s="4" t="s">
        <v>4952</v>
      </c>
      <c r="E1139" s="4" t="s">
        <v>2911</v>
      </c>
      <c r="F1139" s="4" t="s">
        <v>9729</v>
      </c>
      <c r="G1139" s="4" t="s">
        <v>9730</v>
      </c>
      <c r="H1139" s="4">
        <v>1.93</v>
      </c>
      <c r="I1139" s="4">
        <v>1.28</v>
      </c>
      <c r="J1139" s="4">
        <v>0.21042</v>
      </c>
      <c r="K1139" s="4" t="b">
        <v>1</v>
      </c>
      <c r="L1139" s="4" t="b">
        <v>0</v>
      </c>
    </row>
    <row r="1140" spans="1:13" ht="13">
      <c r="A1140" s="4" t="s">
        <v>9731</v>
      </c>
      <c r="B1140" s="4" t="s">
        <v>4951</v>
      </c>
      <c r="C1140" s="4" t="s">
        <v>108</v>
      </c>
      <c r="D1140" s="4" t="s">
        <v>4952</v>
      </c>
      <c r="E1140" s="4" t="s">
        <v>2911</v>
      </c>
      <c r="F1140" s="4" t="s">
        <v>9732</v>
      </c>
      <c r="G1140" s="4" t="s">
        <v>9733</v>
      </c>
      <c r="H1140" s="4">
        <v>1.94</v>
      </c>
      <c r="I1140" s="4">
        <v>1.1000000000000001</v>
      </c>
      <c r="J1140" s="4">
        <v>0.23673</v>
      </c>
      <c r="K1140" s="4" t="b">
        <v>1</v>
      </c>
      <c r="L1140" s="4" t="b">
        <v>0</v>
      </c>
    </row>
    <row r="1141" spans="1:13" ht="13">
      <c r="A1141" s="4" t="s">
        <v>9734</v>
      </c>
      <c r="B1141" s="4" t="s">
        <v>4951</v>
      </c>
      <c r="C1141" s="4" t="s">
        <v>108</v>
      </c>
      <c r="D1141" s="4" t="s">
        <v>4952</v>
      </c>
      <c r="E1141" s="4" t="s">
        <v>2911</v>
      </c>
      <c r="F1141" s="4" t="s">
        <v>9735</v>
      </c>
      <c r="G1141" s="4" t="s">
        <v>9736</v>
      </c>
      <c r="H1141" s="4">
        <v>1.94</v>
      </c>
      <c r="I1141" s="4">
        <v>1.1399999999999999</v>
      </c>
      <c r="J1141" s="4">
        <v>0.24057000000000001</v>
      </c>
      <c r="K1141" s="4" t="b">
        <v>1</v>
      </c>
      <c r="L1141" s="4" t="b">
        <v>0</v>
      </c>
    </row>
    <row r="1142" spans="1:13" ht="13">
      <c r="A1142" s="4" t="s">
        <v>9737</v>
      </c>
      <c r="B1142" s="4" t="s">
        <v>4951</v>
      </c>
      <c r="C1142" s="4" t="s">
        <v>108</v>
      </c>
      <c r="D1142" s="4" t="s">
        <v>4952</v>
      </c>
      <c r="E1142" s="4" t="s">
        <v>2911</v>
      </c>
      <c r="F1142" s="4" t="s">
        <v>9738</v>
      </c>
      <c r="G1142" s="4" t="s">
        <v>9739</v>
      </c>
      <c r="H1142" s="4">
        <v>1.95</v>
      </c>
      <c r="I1142" s="4">
        <v>1.03</v>
      </c>
      <c r="J1142" s="4">
        <v>0.22140000000000001</v>
      </c>
      <c r="K1142" s="4" t="b">
        <v>1</v>
      </c>
      <c r="L1142" s="4" t="b">
        <v>0</v>
      </c>
    </row>
    <row r="1143" spans="1:13" ht="13">
      <c r="A1143" s="4" t="s">
        <v>9740</v>
      </c>
      <c r="B1143" s="4" t="s">
        <v>4951</v>
      </c>
      <c r="C1143" s="4" t="s">
        <v>108</v>
      </c>
      <c r="D1143" s="4" t="s">
        <v>4952</v>
      </c>
      <c r="E1143" s="4" t="s">
        <v>2911</v>
      </c>
      <c r="F1143" s="4" t="s">
        <v>9741</v>
      </c>
      <c r="G1143" s="4" t="s">
        <v>9742</v>
      </c>
      <c r="H1143" s="4">
        <v>1.96</v>
      </c>
      <c r="I1143" s="4">
        <v>1.1000000000000001</v>
      </c>
      <c r="J1143" s="4">
        <v>0.22323999999999999</v>
      </c>
      <c r="K1143" s="4" t="b">
        <v>1</v>
      </c>
      <c r="L1143" s="4" t="b">
        <v>0</v>
      </c>
    </row>
    <row r="1144" spans="1:13" ht="13">
      <c r="A1144" s="4" t="s">
        <v>9743</v>
      </c>
      <c r="B1144" s="4" t="s">
        <v>4951</v>
      </c>
      <c r="C1144" s="4" t="s">
        <v>108</v>
      </c>
      <c r="D1144" s="4" t="s">
        <v>4952</v>
      </c>
      <c r="E1144" s="4" t="s">
        <v>2911</v>
      </c>
      <c r="F1144" s="4" t="s">
        <v>9744</v>
      </c>
      <c r="G1144" s="4" t="s">
        <v>9745</v>
      </c>
      <c r="H1144" s="4">
        <v>1.97</v>
      </c>
      <c r="I1144" s="4">
        <v>1.2</v>
      </c>
      <c r="J1144" s="4">
        <v>0.22447</v>
      </c>
      <c r="K1144" s="4" t="b">
        <v>1</v>
      </c>
      <c r="L1144" s="4" t="b">
        <v>0</v>
      </c>
    </row>
    <row r="1145" spans="1:13" ht="13">
      <c r="A1145" s="4" t="s">
        <v>9746</v>
      </c>
      <c r="B1145" s="4" t="s">
        <v>4951</v>
      </c>
      <c r="C1145" s="4" t="s">
        <v>108</v>
      </c>
      <c r="D1145" s="4" t="s">
        <v>4952</v>
      </c>
      <c r="E1145" s="4" t="s">
        <v>2911</v>
      </c>
      <c r="F1145" s="4" t="s">
        <v>9747</v>
      </c>
      <c r="G1145" s="4" t="s">
        <v>9748</v>
      </c>
      <c r="H1145" s="4">
        <v>1.97</v>
      </c>
      <c r="I1145" s="4">
        <v>1.08</v>
      </c>
      <c r="J1145" s="4">
        <v>0.24265999999999999</v>
      </c>
      <c r="K1145" s="4" t="b">
        <v>1</v>
      </c>
      <c r="L1145" s="4" t="b">
        <v>0</v>
      </c>
    </row>
    <row r="1146" spans="1:13" ht="13">
      <c r="A1146" s="4" t="s">
        <v>9749</v>
      </c>
      <c r="B1146" s="4" t="s">
        <v>4951</v>
      </c>
      <c r="C1146" s="4" t="s">
        <v>108</v>
      </c>
      <c r="D1146" s="4" t="s">
        <v>4952</v>
      </c>
      <c r="E1146" s="4" t="s">
        <v>2911</v>
      </c>
      <c r="F1146" s="4" t="s">
        <v>9750</v>
      </c>
      <c r="G1146" s="4" t="s">
        <v>9751</v>
      </c>
      <c r="H1146" s="4">
        <v>1.99</v>
      </c>
      <c r="I1146" s="4">
        <v>1.1000000000000001</v>
      </c>
      <c r="J1146" s="4">
        <v>0.22298999999999999</v>
      </c>
      <c r="K1146" s="4" t="b">
        <v>1</v>
      </c>
      <c r="L1146" s="4" t="b">
        <v>0</v>
      </c>
    </row>
    <row r="1147" spans="1:13" ht="13">
      <c r="A1147" s="4" t="s">
        <v>9752</v>
      </c>
      <c r="B1147" s="4" t="s">
        <v>4951</v>
      </c>
      <c r="C1147" s="4" t="s">
        <v>108</v>
      </c>
      <c r="D1147" s="4" t="s">
        <v>4952</v>
      </c>
      <c r="E1147" s="4" t="s">
        <v>2911</v>
      </c>
      <c r="F1147" s="4" t="s">
        <v>9753</v>
      </c>
      <c r="G1147" s="4" t="s">
        <v>9754</v>
      </c>
      <c r="H1147" s="4">
        <v>1.99</v>
      </c>
      <c r="I1147" s="4">
        <v>1.04</v>
      </c>
      <c r="J1147" s="4">
        <v>0.23063</v>
      </c>
      <c r="K1147" s="4" t="b">
        <v>1</v>
      </c>
      <c r="L1147" s="4" t="b">
        <v>0</v>
      </c>
    </row>
    <row r="1148" spans="1:13" ht="13">
      <c r="A1148" s="4" t="s">
        <v>9755</v>
      </c>
      <c r="B1148" s="4" t="s">
        <v>4951</v>
      </c>
      <c r="C1148" s="4" t="s">
        <v>108</v>
      </c>
      <c r="D1148" s="4" t="s">
        <v>4952</v>
      </c>
      <c r="E1148" s="4" t="s">
        <v>2911</v>
      </c>
      <c r="F1148" s="4" t="s">
        <v>9756</v>
      </c>
      <c r="G1148" s="4" t="s">
        <v>9757</v>
      </c>
      <c r="H1148" s="4">
        <v>2</v>
      </c>
      <c r="I1148" s="4">
        <v>1.08</v>
      </c>
      <c r="J1148" s="4">
        <v>0.24193999999999999</v>
      </c>
      <c r="K1148" s="4" t="b">
        <v>1</v>
      </c>
      <c r="L1148" s="4" t="b">
        <v>0</v>
      </c>
    </row>
    <row r="1149" spans="1:13" ht="13">
      <c r="A1149" s="4" t="s">
        <v>9758</v>
      </c>
      <c r="B1149" s="4" t="s">
        <v>4951</v>
      </c>
      <c r="C1149" s="4" t="s">
        <v>108</v>
      </c>
      <c r="D1149" s="4" t="s">
        <v>4952</v>
      </c>
      <c r="E1149" s="4" t="s">
        <v>2911</v>
      </c>
      <c r="F1149" s="4" t="s">
        <v>9759</v>
      </c>
      <c r="G1149" s="4" t="s">
        <v>9760</v>
      </c>
      <c r="H1149" s="4">
        <v>2.0099999999999998</v>
      </c>
      <c r="I1149" s="4">
        <v>1.07</v>
      </c>
      <c r="J1149" s="4">
        <v>0.23422000000000001</v>
      </c>
      <c r="K1149" s="4" t="b">
        <v>1</v>
      </c>
      <c r="L1149" s="4" t="b">
        <v>0</v>
      </c>
    </row>
    <row r="1150" spans="1:13" ht="13">
      <c r="A1150" s="4" t="s">
        <v>3159</v>
      </c>
      <c r="B1150" s="4" t="s">
        <v>4951</v>
      </c>
      <c r="C1150" s="4" t="s">
        <v>108</v>
      </c>
      <c r="D1150" s="4" t="s">
        <v>4952</v>
      </c>
      <c r="E1150" s="4" t="s">
        <v>2911</v>
      </c>
      <c r="F1150" s="4" t="s">
        <v>4975</v>
      </c>
      <c r="G1150" s="4" t="s">
        <v>3055</v>
      </c>
      <c r="H1150" s="4">
        <v>2.02</v>
      </c>
      <c r="I1150" s="4">
        <v>1.06</v>
      </c>
      <c r="J1150" s="4">
        <v>0.21132999999999999</v>
      </c>
      <c r="K1150" s="4" t="b">
        <v>1</v>
      </c>
      <c r="L1150" s="4" t="b">
        <v>1</v>
      </c>
      <c r="M1150" s="41" t="s">
        <v>4929</v>
      </c>
    </row>
    <row r="1151" spans="1:13" ht="13">
      <c r="A1151" s="4" t="s">
        <v>9761</v>
      </c>
      <c r="B1151" s="4" t="s">
        <v>4951</v>
      </c>
      <c r="C1151" s="4" t="s">
        <v>108</v>
      </c>
      <c r="D1151" s="4" t="s">
        <v>4952</v>
      </c>
      <c r="E1151" s="4" t="s">
        <v>2911</v>
      </c>
      <c r="F1151" s="4" t="s">
        <v>9762</v>
      </c>
      <c r="G1151" s="4" t="s">
        <v>9763</v>
      </c>
      <c r="H1151" s="4">
        <v>2.04</v>
      </c>
      <c r="I1151" s="4">
        <v>1.1000000000000001</v>
      </c>
      <c r="J1151" s="4">
        <v>0.22402</v>
      </c>
      <c r="K1151" s="4" t="b">
        <v>1</v>
      </c>
      <c r="L1151" s="4" t="b">
        <v>0</v>
      </c>
    </row>
    <row r="1152" spans="1:13" ht="13">
      <c r="A1152" s="4" t="s">
        <v>9764</v>
      </c>
      <c r="B1152" s="4" t="s">
        <v>4951</v>
      </c>
      <c r="C1152" s="4" t="s">
        <v>108</v>
      </c>
      <c r="D1152" s="4" t="s">
        <v>4952</v>
      </c>
      <c r="E1152" s="4" t="s">
        <v>2911</v>
      </c>
      <c r="F1152" s="4" t="s">
        <v>9765</v>
      </c>
      <c r="G1152" s="4" t="s">
        <v>9766</v>
      </c>
      <c r="H1152" s="4">
        <v>2.06</v>
      </c>
      <c r="I1152" s="4">
        <v>1.17</v>
      </c>
      <c r="J1152" s="4">
        <v>0.25630999999999998</v>
      </c>
      <c r="K1152" s="4" t="b">
        <v>1</v>
      </c>
      <c r="L1152" s="4" t="b">
        <v>0</v>
      </c>
    </row>
    <row r="1153" spans="1:13" ht="13">
      <c r="A1153" s="4" t="s">
        <v>9767</v>
      </c>
      <c r="B1153" s="4" t="s">
        <v>4951</v>
      </c>
      <c r="C1153" s="4" t="s">
        <v>108</v>
      </c>
      <c r="D1153" s="4" t="s">
        <v>4952</v>
      </c>
      <c r="E1153" s="4" t="s">
        <v>2911</v>
      </c>
      <c r="F1153" s="4" t="s">
        <v>9768</v>
      </c>
      <c r="G1153" s="4" t="s">
        <v>9769</v>
      </c>
      <c r="H1153" s="4">
        <v>2.0699999999999998</v>
      </c>
      <c r="I1153" s="4">
        <v>1.07</v>
      </c>
      <c r="J1153" s="4">
        <v>0.23562</v>
      </c>
      <c r="K1153" s="4" t="b">
        <v>1</v>
      </c>
      <c r="L1153" s="4" t="b">
        <v>0</v>
      </c>
    </row>
    <row r="1154" spans="1:13" ht="13">
      <c r="A1154" s="4" t="s">
        <v>9770</v>
      </c>
      <c r="B1154" s="4" t="s">
        <v>4951</v>
      </c>
      <c r="C1154" s="4" t="s">
        <v>108</v>
      </c>
      <c r="D1154" s="4" t="s">
        <v>4952</v>
      </c>
      <c r="E1154" s="4" t="s">
        <v>2911</v>
      </c>
      <c r="F1154" s="4" t="s">
        <v>9771</v>
      </c>
      <c r="G1154" s="4" t="s">
        <v>9772</v>
      </c>
      <c r="H1154" s="4">
        <v>2.0699999999999998</v>
      </c>
      <c r="I1154" s="4">
        <v>1.1000000000000001</v>
      </c>
      <c r="J1154" s="4">
        <v>0.23288</v>
      </c>
      <c r="K1154" s="4" t="b">
        <v>1</v>
      </c>
      <c r="L1154" s="4" t="b">
        <v>0</v>
      </c>
    </row>
    <row r="1155" spans="1:13" ht="13">
      <c r="A1155" s="4" t="s">
        <v>9773</v>
      </c>
      <c r="B1155" s="4" t="s">
        <v>4951</v>
      </c>
      <c r="C1155" s="4" t="s">
        <v>108</v>
      </c>
      <c r="D1155" s="4" t="s">
        <v>4952</v>
      </c>
      <c r="E1155" s="4" t="s">
        <v>2911</v>
      </c>
      <c r="F1155" s="4" t="s">
        <v>9774</v>
      </c>
      <c r="G1155" s="4" t="s">
        <v>9775</v>
      </c>
      <c r="H1155" s="4">
        <v>2.08</v>
      </c>
      <c r="I1155" s="4">
        <v>1.08</v>
      </c>
      <c r="J1155" s="4">
        <v>0.22794</v>
      </c>
      <c r="K1155" s="4" t="b">
        <v>1</v>
      </c>
      <c r="L1155" s="4" t="b">
        <v>0</v>
      </c>
    </row>
    <row r="1156" spans="1:13" ht="13">
      <c r="A1156" s="4" t="s">
        <v>9776</v>
      </c>
      <c r="B1156" s="4" t="s">
        <v>4951</v>
      </c>
      <c r="C1156" s="4" t="s">
        <v>108</v>
      </c>
      <c r="D1156" s="4" t="s">
        <v>4952</v>
      </c>
      <c r="E1156" s="4" t="s">
        <v>2911</v>
      </c>
      <c r="F1156" s="4" t="s">
        <v>9777</v>
      </c>
      <c r="G1156" s="4" t="s">
        <v>9778</v>
      </c>
      <c r="H1156" s="4">
        <v>2.08</v>
      </c>
      <c r="I1156" s="4">
        <v>1.03</v>
      </c>
      <c r="J1156" s="4">
        <v>0.21618999999999999</v>
      </c>
      <c r="K1156" s="4" t="b">
        <v>1</v>
      </c>
      <c r="L1156" s="4" t="b">
        <v>0</v>
      </c>
    </row>
    <row r="1157" spans="1:13" ht="13">
      <c r="A1157" s="4" t="s">
        <v>9779</v>
      </c>
      <c r="B1157" s="4" t="s">
        <v>4951</v>
      </c>
      <c r="C1157" s="4" t="s">
        <v>108</v>
      </c>
      <c r="D1157" s="4" t="s">
        <v>4952</v>
      </c>
      <c r="E1157" s="4" t="s">
        <v>2911</v>
      </c>
      <c r="F1157" s="4" t="s">
        <v>9780</v>
      </c>
      <c r="G1157" s="4" t="s">
        <v>9781</v>
      </c>
      <c r="H1157" s="4">
        <v>2.09</v>
      </c>
      <c r="I1157" s="4">
        <v>1.0900000000000001</v>
      </c>
      <c r="J1157" s="4">
        <v>0.25048999999999999</v>
      </c>
      <c r="K1157" s="4" t="b">
        <v>1</v>
      </c>
      <c r="L1157" s="4" t="b">
        <v>0</v>
      </c>
    </row>
    <row r="1158" spans="1:13" ht="13">
      <c r="A1158" s="4" t="s">
        <v>3160</v>
      </c>
      <c r="B1158" s="4" t="s">
        <v>4951</v>
      </c>
      <c r="C1158" s="4" t="s">
        <v>108</v>
      </c>
      <c r="D1158" s="4" t="s">
        <v>4952</v>
      </c>
      <c r="E1158" s="4" t="s">
        <v>2911</v>
      </c>
      <c r="F1158" s="4" t="s">
        <v>4976</v>
      </c>
      <c r="G1158" s="4" t="s">
        <v>3056</v>
      </c>
      <c r="H1158" s="4">
        <v>2.1</v>
      </c>
      <c r="I1158" s="4">
        <v>1.03</v>
      </c>
      <c r="J1158" s="4">
        <v>0.21509</v>
      </c>
      <c r="K1158" s="4" t="b">
        <v>1</v>
      </c>
      <c r="L1158" s="4" t="b">
        <v>1</v>
      </c>
      <c r="M1158" s="41" t="s">
        <v>4929</v>
      </c>
    </row>
    <row r="1159" spans="1:13" ht="13">
      <c r="A1159" s="4" t="s">
        <v>9782</v>
      </c>
      <c r="B1159" s="4" t="s">
        <v>4951</v>
      </c>
      <c r="C1159" s="4" t="s">
        <v>108</v>
      </c>
      <c r="D1159" s="4" t="s">
        <v>4952</v>
      </c>
      <c r="E1159" s="4" t="s">
        <v>2911</v>
      </c>
      <c r="F1159" s="4" t="s">
        <v>9783</v>
      </c>
      <c r="G1159" s="4" t="s">
        <v>9784</v>
      </c>
      <c r="H1159" s="4">
        <v>2.1</v>
      </c>
      <c r="I1159" s="4">
        <v>1.0900000000000001</v>
      </c>
      <c r="J1159" s="4">
        <v>0.24504000000000001</v>
      </c>
      <c r="K1159" s="4" t="b">
        <v>1</v>
      </c>
      <c r="L1159" s="4" t="b">
        <v>0</v>
      </c>
    </row>
    <row r="1160" spans="1:13" ht="13">
      <c r="A1160" s="4" t="s">
        <v>9785</v>
      </c>
      <c r="B1160" s="4" t="s">
        <v>4951</v>
      </c>
      <c r="C1160" s="4" t="s">
        <v>108</v>
      </c>
      <c r="D1160" s="4" t="s">
        <v>4952</v>
      </c>
      <c r="E1160" s="4" t="s">
        <v>2911</v>
      </c>
      <c r="F1160" s="4" t="s">
        <v>9786</v>
      </c>
      <c r="G1160" s="4" t="s">
        <v>9787</v>
      </c>
      <c r="H1160" s="4">
        <v>2.15</v>
      </c>
      <c r="I1160" s="4">
        <v>1.1100000000000001</v>
      </c>
      <c r="J1160" s="4">
        <v>0.23652999999999999</v>
      </c>
      <c r="K1160" s="4" t="b">
        <v>1</v>
      </c>
      <c r="L1160" s="4" t="b">
        <v>0</v>
      </c>
    </row>
    <row r="1161" spans="1:13" ht="13">
      <c r="A1161" s="4" t="s">
        <v>9788</v>
      </c>
      <c r="B1161" s="4" t="s">
        <v>4951</v>
      </c>
      <c r="C1161" s="4" t="s">
        <v>108</v>
      </c>
      <c r="D1161" s="4" t="s">
        <v>4952</v>
      </c>
      <c r="E1161" s="4" t="s">
        <v>2911</v>
      </c>
      <c r="F1161" s="4" t="s">
        <v>9789</v>
      </c>
      <c r="G1161" s="4" t="s">
        <v>9790</v>
      </c>
      <c r="H1161" s="4">
        <v>2.15</v>
      </c>
      <c r="I1161" s="4">
        <v>1.1200000000000001</v>
      </c>
      <c r="J1161" s="4">
        <v>0.23741000000000001</v>
      </c>
      <c r="K1161" s="4" t="b">
        <v>1</v>
      </c>
      <c r="L1161" s="4" t="b">
        <v>0</v>
      </c>
    </row>
    <row r="1162" spans="1:13" ht="13">
      <c r="A1162" s="4" t="s">
        <v>9791</v>
      </c>
      <c r="B1162" s="4" t="s">
        <v>4951</v>
      </c>
      <c r="C1162" s="4" t="s">
        <v>108</v>
      </c>
      <c r="D1162" s="4" t="s">
        <v>4952</v>
      </c>
      <c r="E1162" s="4" t="s">
        <v>2911</v>
      </c>
      <c r="F1162" s="4" t="s">
        <v>9792</v>
      </c>
      <c r="G1162" s="4" t="s">
        <v>9793</v>
      </c>
      <c r="H1162" s="4">
        <v>2.2000000000000002</v>
      </c>
      <c r="I1162" s="4">
        <v>1.1000000000000001</v>
      </c>
      <c r="J1162" s="4">
        <v>0.24018</v>
      </c>
      <c r="K1162" s="4" t="b">
        <v>1</v>
      </c>
      <c r="L1162" s="4" t="b">
        <v>0</v>
      </c>
    </row>
    <row r="1163" spans="1:13" ht="13">
      <c r="A1163" s="4" t="s">
        <v>9794</v>
      </c>
      <c r="B1163" s="4" t="s">
        <v>4951</v>
      </c>
      <c r="C1163" s="4" t="s">
        <v>108</v>
      </c>
      <c r="D1163" s="4" t="s">
        <v>4952</v>
      </c>
      <c r="E1163" s="4" t="s">
        <v>2911</v>
      </c>
      <c r="F1163" s="4" t="s">
        <v>9795</v>
      </c>
      <c r="G1163" s="4" t="s">
        <v>9796</v>
      </c>
      <c r="H1163" s="4">
        <v>2.2200000000000002</v>
      </c>
      <c r="I1163" s="4">
        <v>1.1000000000000001</v>
      </c>
      <c r="J1163" s="4">
        <v>0.22511</v>
      </c>
      <c r="K1163" s="4" t="b">
        <v>1</v>
      </c>
      <c r="L1163" s="4" t="b">
        <v>0</v>
      </c>
    </row>
    <row r="1164" spans="1:13" ht="13">
      <c r="A1164" s="4" t="s">
        <v>9797</v>
      </c>
      <c r="B1164" s="4" t="s">
        <v>4951</v>
      </c>
      <c r="C1164" s="4" t="s">
        <v>108</v>
      </c>
      <c r="D1164" s="4" t="s">
        <v>4952</v>
      </c>
      <c r="E1164" s="4" t="s">
        <v>2911</v>
      </c>
      <c r="F1164" s="4" t="s">
        <v>9798</v>
      </c>
      <c r="G1164" s="4" t="s">
        <v>9799</v>
      </c>
      <c r="H1164" s="4">
        <v>2.2400000000000002</v>
      </c>
      <c r="I1164" s="4">
        <v>1.29</v>
      </c>
      <c r="J1164" s="4">
        <v>0.2203</v>
      </c>
      <c r="K1164" s="4" t="b">
        <v>1</v>
      </c>
      <c r="L1164" s="4" t="b">
        <v>0</v>
      </c>
    </row>
    <row r="1165" spans="1:13" ht="13">
      <c r="A1165" s="4" t="s">
        <v>9800</v>
      </c>
      <c r="B1165" s="4" t="s">
        <v>4951</v>
      </c>
      <c r="C1165" s="4" t="s">
        <v>108</v>
      </c>
      <c r="D1165" s="4" t="s">
        <v>4952</v>
      </c>
      <c r="E1165" s="4" t="s">
        <v>2911</v>
      </c>
      <c r="F1165" s="4" t="s">
        <v>9801</v>
      </c>
      <c r="G1165" s="4" t="s">
        <v>9802</v>
      </c>
      <c r="H1165" s="4">
        <v>2.2599999999999998</v>
      </c>
      <c r="I1165" s="4">
        <v>1.01</v>
      </c>
      <c r="J1165" s="4">
        <v>0.21912999999999999</v>
      </c>
      <c r="K1165" s="4" t="b">
        <v>1</v>
      </c>
      <c r="L1165" s="4" t="b">
        <v>0</v>
      </c>
    </row>
    <row r="1166" spans="1:13" ht="13">
      <c r="A1166" s="4" t="s">
        <v>9803</v>
      </c>
      <c r="B1166" s="4" t="s">
        <v>4951</v>
      </c>
      <c r="C1166" s="4" t="s">
        <v>108</v>
      </c>
      <c r="D1166" s="4" t="s">
        <v>4952</v>
      </c>
      <c r="E1166" s="4" t="s">
        <v>2911</v>
      </c>
      <c r="F1166" s="4" t="s">
        <v>9804</v>
      </c>
      <c r="G1166" s="4" t="s">
        <v>9805</v>
      </c>
      <c r="H1166" s="4">
        <v>2.27</v>
      </c>
      <c r="I1166" s="4">
        <v>1.1399999999999999</v>
      </c>
      <c r="J1166" s="4">
        <v>0.24418000000000001</v>
      </c>
      <c r="K1166" s="4" t="b">
        <v>1</v>
      </c>
      <c r="L1166" s="4" t="b">
        <v>0</v>
      </c>
    </row>
    <row r="1167" spans="1:13" ht="13">
      <c r="A1167" s="4" t="s">
        <v>3161</v>
      </c>
      <c r="B1167" s="4" t="s">
        <v>4951</v>
      </c>
      <c r="C1167" s="4" t="s">
        <v>108</v>
      </c>
      <c r="D1167" s="4" t="s">
        <v>4952</v>
      </c>
      <c r="E1167" s="4" t="s">
        <v>2911</v>
      </c>
      <c r="F1167" s="4" t="s">
        <v>4977</v>
      </c>
      <c r="G1167" s="4" t="s">
        <v>3057</v>
      </c>
      <c r="H1167" s="4">
        <v>2.2799999999999998</v>
      </c>
      <c r="I1167" s="4">
        <v>1.28</v>
      </c>
      <c r="J1167" s="4">
        <v>0.21346000000000001</v>
      </c>
      <c r="K1167" s="4" t="b">
        <v>1</v>
      </c>
      <c r="L1167" s="4" t="b">
        <v>1</v>
      </c>
      <c r="M1167" s="41" t="s">
        <v>4929</v>
      </c>
    </row>
    <row r="1168" spans="1:13" ht="13">
      <c r="A1168" s="4" t="s">
        <v>9806</v>
      </c>
      <c r="B1168" s="4" t="s">
        <v>4951</v>
      </c>
      <c r="C1168" s="4" t="s">
        <v>108</v>
      </c>
      <c r="D1168" s="4" t="s">
        <v>4952</v>
      </c>
      <c r="E1168" s="4" t="s">
        <v>2911</v>
      </c>
      <c r="F1168" s="4" t="s">
        <v>9807</v>
      </c>
      <c r="G1168" s="4" t="s">
        <v>9808</v>
      </c>
      <c r="H1168" s="4">
        <v>2.2799999999999998</v>
      </c>
      <c r="I1168" s="4">
        <v>1.23</v>
      </c>
      <c r="J1168" s="4">
        <v>0.25944</v>
      </c>
      <c r="K1168" s="4" t="b">
        <v>1</v>
      </c>
      <c r="L1168" s="4" t="b">
        <v>0</v>
      </c>
    </row>
    <row r="1169" spans="1:13" ht="13">
      <c r="A1169" s="4" t="s">
        <v>3162</v>
      </c>
      <c r="B1169" s="4" t="s">
        <v>4951</v>
      </c>
      <c r="C1169" s="4" t="s">
        <v>108</v>
      </c>
      <c r="D1169" s="4" t="s">
        <v>4952</v>
      </c>
      <c r="E1169" s="4" t="s">
        <v>2911</v>
      </c>
      <c r="F1169" s="4" t="s">
        <v>5171</v>
      </c>
      <c r="G1169" s="4" t="s">
        <v>3058</v>
      </c>
      <c r="H1169" s="4">
        <v>2.29</v>
      </c>
      <c r="I1169" s="4">
        <v>1.1100000000000001</v>
      </c>
      <c r="J1169" s="4">
        <v>0.22352</v>
      </c>
      <c r="K1169" s="4" t="b">
        <v>1</v>
      </c>
      <c r="L1169" s="4" t="b">
        <v>1</v>
      </c>
      <c r="M1169" s="41" t="s">
        <v>5164</v>
      </c>
    </row>
    <row r="1170" spans="1:13" ht="13">
      <c r="A1170" s="4" t="s">
        <v>9809</v>
      </c>
      <c r="B1170" s="4" t="s">
        <v>4951</v>
      </c>
      <c r="C1170" s="4" t="s">
        <v>108</v>
      </c>
      <c r="D1170" s="4" t="s">
        <v>4952</v>
      </c>
      <c r="E1170" s="4" t="s">
        <v>2911</v>
      </c>
      <c r="F1170" s="4" t="s">
        <v>9810</v>
      </c>
      <c r="G1170" s="4" t="s">
        <v>9811</v>
      </c>
      <c r="H1170" s="4">
        <v>2.2999999999999998</v>
      </c>
      <c r="I1170" s="4">
        <v>1.1599999999999999</v>
      </c>
      <c r="J1170" s="4">
        <v>0.22753000000000001</v>
      </c>
      <c r="K1170" s="4" t="b">
        <v>1</v>
      </c>
      <c r="L1170" s="4" t="b">
        <v>0</v>
      </c>
    </row>
    <row r="1171" spans="1:13" ht="13">
      <c r="A1171" s="4" t="s">
        <v>9812</v>
      </c>
      <c r="B1171" s="4" t="s">
        <v>4951</v>
      </c>
      <c r="C1171" s="4" t="s">
        <v>108</v>
      </c>
      <c r="D1171" s="4" t="s">
        <v>4952</v>
      </c>
      <c r="E1171" s="4" t="s">
        <v>2911</v>
      </c>
      <c r="F1171" s="4" t="s">
        <v>9813</v>
      </c>
      <c r="G1171" s="4" t="s">
        <v>9814</v>
      </c>
      <c r="H1171" s="4">
        <v>2.39</v>
      </c>
      <c r="I1171" s="4">
        <v>1.04</v>
      </c>
      <c r="J1171" s="4">
        <v>0.22311</v>
      </c>
      <c r="K1171" s="4" t="b">
        <v>1</v>
      </c>
      <c r="L1171" s="4" t="b">
        <v>0</v>
      </c>
    </row>
    <row r="1172" spans="1:13" ht="13">
      <c r="A1172" s="4" t="s">
        <v>9815</v>
      </c>
      <c r="B1172" s="4" t="s">
        <v>4951</v>
      </c>
      <c r="C1172" s="4" t="s">
        <v>108</v>
      </c>
      <c r="D1172" s="4" t="s">
        <v>4952</v>
      </c>
      <c r="E1172" s="4" t="s">
        <v>2911</v>
      </c>
      <c r="F1172" s="4" t="s">
        <v>9816</v>
      </c>
      <c r="G1172" s="4" t="s">
        <v>9817</v>
      </c>
      <c r="H1172" s="4">
        <v>2.4</v>
      </c>
      <c r="I1172" s="4">
        <v>1.1200000000000001</v>
      </c>
      <c r="J1172" s="4">
        <v>0.21503</v>
      </c>
      <c r="K1172" s="4" t="b">
        <v>1</v>
      </c>
      <c r="L1172" s="4" t="b">
        <v>0</v>
      </c>
    </row>
    <row r="1173" spans="1:13" ht="13">
      <c r="A1173" s="4" t="s">
        <v>9818</v>
      </c>
      <c r="B1173" s="4" t="s">
        <v>4951</v>
      </c>
      <c r="C1173" s="4" t="s">
        <v>108</v>
      </c>
      <c r="D1173" s="4" t="s">
        <v>4952</v>
      </c>
      <c r="E1173" s="4" t="s">
        <v>2911</v>
      </c>
      <c r="F1173" s="4" t="s">
        <v>9819</v>
      </c>
      <c r="G1173" s="4" t="s">
        <v>9820</v>
      </c>
      <c r="H1173" s="4">
        <v>2.41</v>
      </c>
      <c r="I1173" s="4">
        <v>1.1200000000000001</v>
      </c>
      <c r="J1173" s="4">
        <v>0.23502999999999999</v>
      </c>
      <c r="K1173" s="4" t="b">
        <v>1</v>
      </c>
      <c r="L1173" s="4" t="b">
        <v>0</v>
      </c>
    </row>
    <row r="1174" spans="1:13" ht="13">
      <c r="A1174" s="4" t="s">
        <v>9821</v>
      </c>
      <c r="B1174" s="4" t="s">
        <v>4951</v>
      </c>
      <c r="C1174" s="4" t="s">
        <v>108</v>
      </c>
      <c r="D1174" s="4" t="s">
        <v>4952</v>
      </c>
      <c r="E1174" s="4" t="s">
        <v>2911</v>
      </c>
      <c r="F1174" s="4" t="s">
        <v>9822</v>
      </c>
      <c r="G1174" s="4" t="s">
        <v>9823</v>
      </c>
      <c r="H1174" s="4">
        <v>2.41</v>
      </c>
      <c r="I1174" s="4">
        <v>1.08</v>
      </c>
      <c r="J1174" s="4">
        <v>0.22223999999999999</v>
      </c>
      <c r="K1174" s="4" t="b">
        <v>1</v>
      </c>
      <c r="L1174" s="4" t="b">
        <v>0</v>
      </c>
    </row>
    <row r="1175" spans="1:13" ht="13">
      <c r="A1175" s="4" t="s">
        <v>9824</v>
      </c>
      <c r="B1175" s="4" t="s">
        <v>4951</v>
      </c>
      <c r="C1175" s="4" t="s">
        <v>108</v>
      </c>
      <c r="D1175" s="4" t="s">
        <v>4952</v>
      </c>
      <c r="E1175" s="4" t="s">
        <v>2911</v>
      </c>
      <c r="F1175" s="4" t="s">
        <v>9825</v>
      </c>
      <c r="G1175" s="4" t="s">
        <v>9826</v>
      </c>
      <c r="H1175" s="4">
        <v>2.42</v>
      </c>
      <c r="I1175" s="4">
        <v>1.17</v>
      </c>
      <c r="J1175" s="4">
        <v>0.21695</v>
      </c>
      <c r="K1175" s="4" t="b">
        <v>1</v>
      </c>
      <c r="L1175" s="4" t="b">
        <v>0</v>
      </c>
    </row>
    <row r="1176" spans="1:13" ht="13">
      <c r="A1176" s="4" t="s">
        <v>9827</v>
      </c>
      <c r="B1176" s="4" t="s">
        <v>4951</v>
      </c>
      <c r="C1176" s="4" t="s">
        <v>108</v>
      </c>
      <c r="D1176" s="4" t="s">
        <v>4952</v>
      </c>
      <c r="E1176" s="4" t="s">
        <v>2911</v>
      </c>
      <c r="F1176" s="4" t="s">
        <v>9828</v>
      </c>
      <c r="G1176" s="4" t="s">
        <v>9829</v>
      </c>
      <c r="H1176" s="4">
        <v>2.42</v>
      </c>
      <c r="I1176" s="4">
        <v>1.17</v>
      </c>
      <c r="J1176" s="4">
        <v>0.22258</v>
      </c>
      <c r="K1176" s="4" t="b">
        <v>1</v>
      </c>
      <c r="L1176" s="4" t="b">
        <v>0</v>
      </c>
    </row>
    <row r="1177" spans="1:13" ht="13">
      <c r="A1177" s="4" t="s">
        <v>9830</v>
      </c>
      <c r="B1177" s="4" t="s">
        <v>4951</v>
      </c>
      <c r="C1177" s="4" t="s">
        <v>108</v>
      </c>
      <c r="D1177" s="4" t="s">
        <v>4952</v>
      </c>
      <c r="E1177" s="4" t="s">
        <v>2911</v>
      </c>
      <c r="F1177" s="4" t="s">
        <v>9831</v>
      </c>
      <c r="G1177" s="4" t="s">
        <v>9832</v>
      </c>
      <c r="H1177" s="4">
        <v>2.4300000000000002</v>
      </c>
      <c r="I1177" s="4">
        <v>1.1000000000000001</v>
      </c>
      <c r="J1177" s="4">
        <v>0.23638999999999999</v>
      </c>
      <c r="K1177" s="4" t="b">
        <v>1</v>
      </c>
      <c r="L1177" s="4" t="b">
        <v>0</v>
      </c>
    </row>
    <row r="1178" spans="1:13" ht="13">
      <c r="A1178" s="4" t="s">
        <v>9833</v>
      </c>
      <c r="B1178" s="4" t="s">
        <v>4951</v>
      </c>
      <c r="C1178" s="4" t="s">
        <v>108</v>
      </c>
      <c r="D1178" s="4" t="s">
        <v>4952</v>
      </c>
      <c r="E1178" s="4" t="s">
        <v>2911</v>
      </c>
      <c r="F1178" s="4" t="s">
        <v>9834</v>
      </c>
      <c r="G1178" s="4" t="s">
        <v>9835</v>
      </c>
      <c r="H1178" s="4">
        <v>2.4300000000000002</v>
      </c>
      <c r="I1178" s="4">
        <v>1.1499999999999999</v>
      </c>
      <c r="J1178" s="4">
        <v>0.22369</v>
      </c>
      <c r="K1178" s="4" t="b">
        <v>1</v>
      </c>
      <c r="L1178" s="4" t="b">
        <v>0</v>
      </c>
    </row>
    <row r="1179" spans="1:13" ht="13">
      <c r="A1179" s="4" t="s">
        <v>9836</v>
      </c>
      <c r="B1179" s="4" t="s">
        <v>4951</v>
      </c>
      <c r="C1179" s="4" t="s">
        <v>108</v>
      </c>
      <c r="D1179" s="4" t="s">
        <v>4952</v>
      </c>
      <c r="E1179" s="4" t="s">
        <v>2911</v>
      </c>
      <c r="F1179" s="4" t="s">
        <v>9837</v>
      </c>
      <c r="G1179" s="4" t="s">
        <v>9838</v>
      </c>
      <c r="H1179" s="4">
        <v>2.44</v>
      </c>
      <c r="I1179" s="4">
        <v>1.08</v>
      </c>
      <c r="J1179" s="4">
        <v>0.22472</v>
      </c>
      <c r="K1179" s="4" t="b">
        <v>1</v>
      </c>
      <c r="L1179" s="4" t="b">
        <v>0</v>
      </c>
    </row>
    <row r="1180" spans="1:13" ht="13">
      <c r="A1180" s="4" t="s">
        <v>9839</v>
      </c>
      <c r="B1180" s="4" t="s">
        <v>4951</v>
      </c>
      <c r="C1180" s="4" t="s">
        <v>108</v>
      </c>
      <c r="D1180" s="4" t="s">
        <v>4952</v>
      </c>
      <c r="E1180" s="4" t="s">
        <v>2911</v>
      </c>
      <c r="F1180" s="4" t="s">
        <v>9840</v>
      </c>
      <c r="G1180" s="4" t="s">
        <v>9841</v>
      </c>
      <c r="H1180" s="4">
        <v>2.44</v>
      </c>
      <c r="I1180" s="4">
        <v>1.1399999999999999</v>
      </c>
      <c r="J1180" s="4">
        <v>0.23880999999999999</v>
      </c>
      <c r="K1180" s="4" t="b">
        <v>1</v>
      </c>
      <c r="L1180" s="4" t="b">
        <v>0</v>
      </c>
    </row>
    <row r="1181" spans="1:13" ht="13">
      <c r="A1181" s="4" t="s">
        <v>9842</v>
      </c>
      <c r="B1181" s="4" t="s">
        <v>4951</v>
      </c>
      <c r="C1181" s="4" t="s">
        <v>108</v>
      </c>
      <c r="D1181" s="4" t="s">
        <v>4952</v>
      </c>
      <c r="E1181" s="4" t="s">
        <v>2911</v>
      </c>
      <c r="F1181" s="4" t="s">
        <v>9843</v>
      </c>
      <c r="G1181" s="4" t="s">
        <v>9844</v>
      </c>
      <c r="H1181" s="4">
        <v>2.44</v>
      </c>
      <c r="I1181" s="4">
        <v>1.04</v>
      </c>
      <c r="J1181" s="4">
        <v>0.21604999999999999</v>
      </c>
      <c r="K1181" s="4" t="b">
        <v>1</v>
      </c>
      <c r="L1181" s="4" t="b">
        <v>0</v>
      </c>
    </row>
    <row r="1182" spans="1:13" ht="13">
      <c r="A1182" s="4" t="s">
        <v>9845</v>
      </c>
      <c r="B1182" s="4" t="s">
        <v>4951</v>
      </c>
      <c r="C1182" s="4" t="s">
        <v>108</v>
      </c>
      <c r="D1182" s="4" t="s">
        <v>4952</v>
      </c>
      <c r="E1182" s="4" t="s">
        <v>2911</v>
      </c>
      <c r="F1182" s="4" t="s">
        <v>9846</v>
      </c>
      <c r="G1182" s="4" t="s">
        <v>9847</v>
      </c>
      <c r="H1182" s="4">
        <v>2.4500000000000002</v>
      </c>
      <c r="I1182" s="4">
        <v>1.02</v>
      </c>
      <c r="J1182" s="4">
        <v>0.23174</v>
      </c>
      <c r="K1182" s="4" t="b">
        <v>1</v>
      </c>
      <c r="L1182" s="4" t="b">
        <v>0</v>
      </c>
    </row>
    <row r="1183" spans="1:13" ht="13">
      <c r="A1183" s="4" t="s">
        <v>9848</v>
      </c>
      <c r="B1183" s="4" t="s">
        <v>4951</v>
      </c>
      <c r="C1183" s="4" t="s">
        <v>108</v>
      </c>
      <c r="D1183" s="4" t="s">
        <v>4952</v>
      </c>
      <c r="E1183" s="4" t="s">
        <v>2911</v>
      </c>
      <c r="F1183" s="4" t="s">
        <v>9849</v>
      </c>
      <c r="G1183" s="4" t="s">
        <v>9850</v>
      </c>
      <c r="H1183" s="4">
        <v>2.46</v>
      </c>
      <c r="I1183" s="4">
        <v>1.1000000000000001</v>
      </c>
      <c r="J1183" s="4">
        <v>0.23044000000000001</v>
      </c>
      <c r="K1183" s="4" t="b">
        <v>1</v>
      </c>
      <c r="L1183" s="4" t="b">
        <v>0</v>
      </c>
    </row>
    <row r="1184" spans="1:13" ht="13">
      <c r="A1184" s="4" t="s">
        <v>9851</v>
      </c>
      <c r="B1184" s="4" t="s">
        <v>4951</v>
      </c>
      <c r="C1184" s="4" t="s">
        <v>108</v>
      </c>
      <c r="D1184" s="4" t="s">
        <v>4952</v>
      </c>
      <c r="E1184" s="4" t="s">
        <v>2911</v>
      </c>
      <c r="F1184" s="4" t="s">
        <v>9852</v>
      </c>
      <c r="G1184" s="4" t="s">
        <v>9853</v>
      </c>
      <c r="H1184" s="4">
        <v>2.48</v>
      </c>
      <c r="I1184" s="4">
        <v>1.1000000000000001</v>
      </c>
      <c r="J1184" s="4">
        <v>0.24132000000000001</v>
      </c>
      <c r="K1184" s="4" t="b">
        <v>1</v>
      </c>
      <c r="L1184" s="4" t="b">
        <v>0</v>
      </c>
    </row>
    <row r="1185" spans="1:12" ht="13">
      <c r="A1185" s="4" t="s">
        <v>9854</v>
      </c>
      <c r="B1185" s="4" t="s">
        <v>4951</v>
      </c>
      <c r="C1185" s="4" t="s">
        <v>108</v>
      </c>
      <c r="D1185" s="4" t="s">
        <v>4952</v>
      </c>
      <c r="E1185" s="4" t="s">
        <v>2911</v>
      </c>
      <c r="F1185" s="4" t="s">
        <v>9855</v>
      </c>
      <c r="G1185" s="4" t="s">
        <v>9856</v>
      </c>
      <c r="H1185" s="4">
        <v>2.4900000000000002</v>
      </c>
      <c r="I1185" s="4">
        <v>1.05</v>
      </c>
      <c r="J1185" s="4">
        <v>0.22067000000000001</v>
      </c>
      <c r="K1185" s="4" t="b">
        <v>1</v>
      </c>
      <c r="L1185" s="4" t="b">
        <v>0</v>
      </c>
    </row>
    <row r="1186" spans="1:12" ht="13">
      <c r="A1186" s="4" t="s">
        <v>9857</v>
      </c>
      <c r="B1186" s="4" t="s">
        <v>4951</v>
      </c>
      <c r="C1186" s="4" t="s">
        <v>108</v>
      </c>
      <c r="D1186" s="4" t="s">
        <v>4952</v>
      </c>
      <c r="E1186" s="4" t="s">
        <v>2911</v>
      </c>
      <c r="F1186" s="4" t="s">
        <v>9858</v>
      </c>
      <c r="G1186" s="4" t="s">
        <v>9859</v>
      </c>
      <c r="H1186" s="4">
        <v>2.4900000000000002</v>
      </c>
      <c r="I1186" s="4">
        <v>1.1499999999999999</v>
      </c>
      <c r="J1186" s="4">
        <v>0.22256999999999999</v>
      </c>
      <c r="K1186" s="4" t="b">
        <v>1</v>
      </c>
      <c r="L1186" s="4" t="b">
        <v>0</v>
      </c>
    </row>
    <row r="1187" spans="1:12" ht="13">
      <c r="A1187" s="4" t="s">
        <v>9860</v>
      </c>
      <c r="B1187" s="4" t="s">
        <v>4951</v>
      </c>
      <c r="C1187" s="4" t="s">
        <v>108</v>
      </c>
      <c r="D1187" s="4" t="s">
        <v>4952</v>
      </c>
      <c r="E1187" s="4" t="s">
        <v>2911</v>
      </c>
      <c r="F1187" s="4" t="s">
        <v>9861</v>
      </c>
      <c r="G1187" s="4" t="s">
        <v>9862</v>
      </c>
      <c r="H1187" s="4">
        <v>2.5</v>
      </c>
      <c r="I1187" s="4">
        <v>1.1100000000000001</v>
      </c>
      <c r="J1187" s="4">
        <v>0.22005</v>
      </c>
      <c r="K1187" s="4" t="b">
        <v>1</v>
      </c>
      <c r="L1187" s="4" t="b">
        <v>0</v>
      </c>
    </row>
    <row r="1188" spans="1:12" ht="13">
      <c r="A1188" s="4" t="s">
        <v>9863</v>
      </c>
      <c r="B1188" s="4" t="s">
        <v>4951</v>
      </c>
      <c r="C1188" s="4" t="s">
        <v>108</v>
      </c>
      <c r="D1188" s="4" t="s">
        <v>4952</v>
      </c>
      <c r="E1188" s="4" t="s">
        <v>2911</v>
      </c>
      <c r="F1188" s="4" t="s">
        <v>9864</v>
      </c>
      <c r="G1188" s="4" t="s">
        <v>9865</v>
      </c>
      <c r="H1188" s="4">
        <v>2.52</v>
      </c>
      <c r="I1188" s="4">
        <v>1.06</v>
      </c>
      <c r="J1188" s="4">
        <v>0.22012999999999999</v>
      </c>
      <c r="K1188" s="4" t="b">
        <v>1</v>
      </c>
      <c r="L1188" s="4" t="b">
        <v>0</v>
      </c>
    </row>
    <row r="1189" spans="1:12" ht="13">
      <c r="A1189" s="4" t="s">
        <v>9866</v>
      </c>
      <c r="B1189" s="4" t="s">
        <v>4951</v>
      </c>
      <c r="C1189" s="4" t="s">
        <v>108</v>
      </c>
      <c r="D1189" s="4" t="s">
        <v>4952</v>
      </c>
      <c r="E1189" s="4" t="s">
        <v>2911</v>
      </c>
      <c r="F1189" s="4" t="s">
        <v>9867</v>
      </c>
      <c r="G1189" s="4" t="s">
        <v>9868</v>
      </c>
      <c r="H1189" s="4">
        <v>2.5299999999999998</v>
      </c>
      <c r="I1189" s="4">
        <v>1.03</v>
      </c>
      <c r="J1189" s="4">
        <v>0.21626999999999999</v>
      </c>
      <c r="K1189" s="4" t="b">
        <v>1</v>
      </c>
      <c r="L1189" s="4" t="b">
        <v>0</v>
      </c>
    </row>
    <row r="1190" spans="1:12" ht="13">
      <c r="A1190" s="4" t="s">
        <v>9872</v>
      </c>
      <c r="B1190" s="4" t="s">
        <v>4951</v>
      </c>
      <c r="C1190" s="4" t="s">
        <v>108</v>
      </c>
      <c r="D1190" s="4" t="s">
        <v>4952</v>
      </c>
      <c r="E1190" s="4" t="s">
        <v>2911</v>
      </c>
      <c r="F1190" s="4" t="s">
        <v>9873</v>
      </c>
      <c r="G1190" s="4" t="s">
        <v>9874</v>
      </c>
      <c r="H1190" s="4">
        <v>2.54</v>
      </c>
      <c r="I1190" s="4">
        <v>1.1399999999999999</v>
      </c>
      <c r="J1190" s="4">
        <v>0.22283</v>
      </c>
      <c r="K1190" s="4" t="b">
        <v>1</v>
      </c>
      <c r="L1190" s="4" t="b">
        <v>0</v>
      </c>
    </row>
    <row r="1191" spans="1:12" ht="13">
      <c r="A1191" s="4" t="s">
        <v>9875</v>
      </c>
      <c r="B1191" s="4" t="s">
        <v>4951</v>
      </c>
      <c r="C1191" s="4" t="s">
        <v>108</v>
      </c>
      <c r="D1191" s="4" t="s">
        <v>4952</v>
      </c>
      <c r="E1191" s="4" t="s">
        <v>2911</v>
      </c>
      <c r="F1191" s="4" t="s">
        <v>9876</v>
      </c>
      <c r="G1191" s="4" t="s">
        <v>9877</v>
      </c>
      <c r="H1191" s="4">
        <v>2.56</v>
      </c>
      <c r="I1191" s="4">
        <v>1.1200000000000001</v>
      </c>
      <c r="J1191" s="4">
        <v>0.22366</v>
      </c>
      <c r="K1191" s="4" t="b">
        <v>1</v>
      </c>
      <c r="L1191" s="4" t="b">
        <v>0</v>
      </c>
    </row>
    <row r="1192" spans="1:12" ht="13">
      <c r="A1192" s="4" t="s">
        <v>9878</v>
      </c>
      <c r="B1192" s="4" t="s">
        <v>4951</v>
      </c>
      <c r="C1192" s="4" t="s">
        <v>108</v>
      </c>
      <c r="D1192" s="4" t="s">
        <v>4952</v>
      </c>
      <c r="E1192" s="4" t="s">
        <v>2911</v>
      </c>
      <c r="F1192" s="4" t="s">
        <v>9879</v>
      </c>
      <c r="G1192" s="4" t="s">
        <v>9880</v>
      </c>
      <c r="H1192" s="4">
        <v>2.56</v>
      </c>
      <c r="I1192" s="4">
        <v>1.1100000000000001</v>
      </c>
      <c r="J1192" s="4">
        <v>0.22817999999999999</v>
      </c>
      <c r="K1192" s="4" t="b">
        <v>1</v>
      </c>
      <c r="L1192" s="4" t="b">
        <v>0</v>
      </c>
    </row>
    <row r="1193" spans="1:12" ht="13">
      <c r="A1193" s="4" t="s">
        <v>9881</v>
      </c>
      <c r="B1193" s="4" t="s">
        <v>4951</v>
      </c>
      <c r="C1193" s="4" t="s">
        <v>108</v>
      </c>
      <c r="D1193" s="4" t="s">
        <v>4952</v>
      </c>
      <c r="E1193" s="4" t="s">
        <v>2911</v>
      </c>
      <c r="F1193" s="4" t="s">
        <v>9882</v>
      </c>
      <c r="G1193" s="4" t="s">
        <v>9883</v>
      </c>
      <c r="H1193" s="4">
        <v>2.57</v>
      </c>
      <c r="I1193" s="4">
        <v>1.07</v>
      </c>
      <c r="J1193" s="4">
        <v>0.23016</v>
      </c>
      <c r="K1193" s="4" t="b">
        <v>1</v>
      </c>
      <c r="L1193" s="4" t="b">
        <v>0</v>
      </c>
    </row>
    <row r="1194" spans="1:12" ht="13">
      <c r="A1194" s="4" t="s">
        <v>9884</v>
      </c>
      <c r="B1194" s="4" t="s">
        <v>4951</v>
      </c>
      <c r="C1194" s="4" t="s">
        <v>108</v>
      </c>
      <c r="D1194" s="4" t="s">
        <v>4952</v>
      </c>
      <c r="E1194" s="4" t="s">
        <v>2911</v>
      </c>
      <c r="F1194" s="4" t="s">
        <v>9885</v>
      </c>
      <c r="G1194" s="4" t="s">
        <v>9886</v>
      </c>
      <c r="H1194" s="4">
        <v>2.57</v>
      </c>
      <c r="I1194" s="4">
        <v>1.08</v>
      </c>
      <c r="J1194" s="4">
        <v>0.22331999999999999</v>
      </c>
      <c r="K1194" s="4" t="b">
        <v>1</v>
      </c>
      <c r="L1194" s="4" t="b">
        <v>0</v>
      </c>
    </row>
    <row r="1195" spans="1:12" ht="13">
      <c r="A1195" s="4" t="s">
        <v>9887</v>
      </c>
      <c r="B1195" s="4" t="s">
        <v>4951</v>
      </c>
      <c r="C1195" s="4" t="s">
        <v>108</v>
      </c>
      <c r="D1195" s="4" t="s">
        <v>4952</v>
      </c>
      <c r="E1195" s="4" t="s">
        <v>2911</v>
      </c>
      <c r="F1195" s="4" t="s">
        <v>9888</v>
      </c>
      <c r="G1195" s="4" t="s">
        <v>9889</v>
      </c>
      <c r="H1195" s="4">
        <v>2.57</v>
      </c>
      <c r="I1195" s="4">
        <v>1.06</v>
      </c>
      <c r="J1195" s="4">
        <v>0.22449</v>
      </c>
      <c r="K1195" s="4" t="b">
        <v>1</v>
      </c>
      <c r="L1195" s="4" t="b">
        <v>0</v>
      </c>
    </row>
    <row r="1196" spans="1:12" ht="13">
      <c r="A1196" s="4" t="s">
        <v>9890</v>
      </c>
      <c r="B1196" s="4" t="s">
        <v>4951</v>
      </c>
      <c r="C1196" s="4" t="s">
        <v>108</v>
      </c>
      <c r="D1196" s="4" t="s">
        <v>4952</v>
      </c>
      <c r="E1196" s="4" t="s">
        <v>2911</v>
      </c>
      <c r="F1196" s="4" t="s">
        <v>9891</v>
      </c>
      <c r="G1196" s="4" t="s">
        <v>9892</v>
      </c>
      <c r="H1196" s="4">
        <v>2.58</v>
      </c>
      <c r="I1196" s="4">
        <v>1.08</v>
      </c>
      <c r="J1196" s="4">
        <v>0.22617999999999999</v>
      </c>
      <c r="K1196" s="4" t="b">
        <v>1</v>
      </c>
      <c r="L1196" s="4" t="b">
        <v>0</v>
      </c>
    </row>
    <row r="1197" spans="1:12" ht="13">
      <c r="A1197" s="4" t="s">
        <v>9893</v>
      </c>
      <c r="B1197" s="4" t="s">
        <v>4951</v>
      </c>
      <c r="C1197" s="4" t="s">
        <v>108</v>
      </c>
      <c r="D1197" s="4" t="s">
        <v>4952</v>
      </c>
      <c r="E1197" s="4" t="s">
        <v>2911</v>
      </c>
      <c r="F1197" s="4" t="s">
        <v>9894</v>
      </c>
      <c r="G1197" s="4" t="s">
        <v>9895</v>
      </c>
      <c r="H1197" s="4">
        <v>2.58</v>
      </c>
      <c r="I1197" s="4">
        <v>1.06</v>
      </c>
      <c r="J1197" s="4">
        <v>0.22258</v>
      </c>
      <c r="K1197" s="4" t="b">
        <v>1</v>
      </c>
      <c r="L1197" s="4" t="b">
        <v>0</v>
      </c>
    </row>
    <row r="1198" spans="1:12" ht="13">
      <c r="A1198" s="4" t="s">
        <v>9896</v>
      </c>
      <c r="B1198" s="4" t="s">
        <v>4951</v>
      </c>
      <c r="C1198" s="4" t="s">
        <v>108</v>
      </c>
      <c r="D1198" s="4" t="s">
        <v>4952</v>
      </c>
      <c r="E1198" s="4" t="s">
        <v>2911</v>
      </c>
      <c r="F1198" s="4" t="s">
        <v>9897</v>
      </c>
      <c r="G1198" s="4" t="s">
        <v>9898</v>
      </c>
      <c r="H1198" s="4">
        <v>2.59</v>
      </c>
      <c r="I1198" s="4">
        <v>1.1100000000000001</v>
      </c>
      <c r="J1198" s="4">
        <v>0.23985999999999999</v>
      </c>
      <c r="K1198" s="4" t="b">
        <v>1</v>
      </c>
      <c r="L1198" s="4" t="b">
        <v>0</v>
      </c>
    </row>
    <row r="1199" spans="1:12" ht="13">
      <c r="A1199" s="4" t="s">
        <v>9899</v>
      </c>
      <c r="B1199" s="4" t="s">
        <v>4951</v>
      </c>
      <c r="C1199" s="4" t="s">
        <v>108</v>
      </c>
      <c r="D1199" s="4" t="s">
        <v>4952</v>
      </c>
      <c r="E1199" s="4" t="s">
        <v>2911</v>
      </c>
      <c r="F1199" s="4" t="s">
        <v>9900</v>
      </c>
      <c r="G1199" s="4" t="s">
        <v>9901</v>
      </c>
      <c r="H1199" s="4">
        <v>2.6</v>
      </c>
      <c r="I1199" s="4">
        <v>1.23</v>
      </c>
      <c r="J1199" s="4">
        <v>0.23444999999999999</v>
      </c>
      <c r="K1199" s="4" t="b">
        <v>1</v>
      </c>
      <c r="L1199" s="4" t="b">
        <v>0</v>
      </c>
    </row>
    <row r="1200" spans="1:12" ht="13">
      <c r="A1200" s="4" t="s">
        <v>9902</v>
      </c>
      <c r="B1200" s="4" t="s">
        <v>4951</v>
      </c>
      <c r="C1200" s="4" t="s">
        <v>108</v>
      </c>
      <c r="D1200" s="4" t="s">
        <v>4952</v>
      </c>
      <c r="E1200" s="4" t="s">
        <v>2911</v>
      </c>
      <c r="F1200" s="4" t="s">
        <v>9903</v>
      </c>
      <c r="G1200" s="4" t="s">
        <v>9904</v>
      </c>
      <c r="H1200" s="4">
        <v>2.6</v>
      </c>
      <c r="I1200" s="4">
        <v>1.1000000000000001</v>
      </c>
      <c r="J1200" s="4">
        <v>0.22561</v>
      </c>
      <c r="K1200" s="4" t="b">
        <v>1</v>
      </c>
      <c r="L1200" s="4" t="b">
        <v>0</v>
      </c>
    </row>
    <row r="1201" spans="1:13" ht="13">
      <c r="A1201" s="4" t="s">
        <v>3163</v>
      </c>
      <c r="B1201" s="4" t="s">
        <v>4951</v>
      </c>
      <c r="C1201" s="4" t="s">
        <v>108</v>
      </c>
      <c r="D1201" s="4" t="s">
        <v>4952</v>
      </c>
      <c r="E1201" s="4" t="s">
        <v>2911</v>
      </c>
      <c r="F1201" s="4" t="s">
        <v>5088</v>
      </c>
      <c r="G1201" s="4" t="s">
        <v>3059</v>
      </c>
      <c r="H1201" s="4">
        <v>2.6</v>
      </c>
      <c r="I1201" s="4">
        <v>1.08</v>
      </c>
      <c r="J1201" s="4">
        <v>0.21521999999999999</v>
      </c>
      <c r="K1201" s="4" t="b">
        <v>1</v>
      </c>
      <c r="L1201" s="4" t="b">
        <v>1</v>
      </c>
      <c r="M1201" s="41" t="s">
        <v>5087</v>
      </c>
    </row>
    <row r="1202" spans="1:13" ht="13">
      <c r="A1202" s="4" t="s">
        <v>9905</v>
      </c>
      <c r="B1202" s="4" t="s">
        <v>4951</v>
      </c>
      <c r="C1202" s="4" t="s">
        <v>108</v>
      </c>
      <c r="D1202" s="4" t="s">
        <v>4952</v>
      </c>
      <c r="E1202" s="4" t="s">
        <v>2911</v>
      </c>
      <c r="F1202" s="4" t="s">
        <v>9906</v>
      </c>
      <c r="G1202" s="4" t="s">
        <v>9907</v>
      </c>
      <c r="H1202" s="4">
        <v>2.61</v>
      </c>
      <c r="I1202" s="4">
        <v>1.0900000000000001</v>
      </c>
      <c r="J1202" s="4">
        <v>0.22373999999999999</v>
      </c>
      <c r="K1202" s="4" t="b">
        <v>1</v>
      </c>
      <c r="L1202" s="4" t="b">
        <v>0</v>
      </c>
    </row>
    <row r="1203" spans="1:13" ht="13">
      <c r="A1203" s="4" t="s">
        <v>9908</v>
      </c>
      <c r="B1203" s="4" t="s">
        <v>4951</v>
      </c>
      <c r="C1203" s="4" t="s">
        <v>108</v>
      </c>
      <c r="D1203" s="4" t="s">
        <v>4952</v>
      </c>
      <c r="E1203" s="4" t="s">
        <v>2911</v>
      </c>
      <c r="F1203" s="4" t="s">
        <v>9909</v>
      </c>
      <c r="G1203" s="4" t="s">
        <v>9910</v>
      </c>
      <c r="H1203" s="4">
        <v>2.62</v>
      </c>
      <c r="I1203" s="4">
        <v>1.0900000000000001</v>
      </c>
      <c r="J1203" s="4">
        <v>0.23069999999999999</v>
      </c>
      <c r="K1203" s="4" t="b">
        <v>1</v>
      </c>
      <c r="L1203" s="4" t="b">
        <v>0</v>
      </c>
    </row>
    <row r="1204" spans="1:13" ht="13">
      <c r="A1204" s="4" t="s">
        <v>9911</v>
      </c>
      <c r="B1204" s="4" t="s">
        <v>4951</v>
      </c>
      <c r="C1204" s="4" t="s">
        <v>108</v>
      </c>
      <c r="D1204" s="4" t="s">
        <v>4952</v>
      </c>
      <c r="E1204" s="4" t="s">
        <v>2911</v>
      </c>
      <c r="F1204" s="4" t="s">
        <v>9912</v>
      </c>
      <c r="G1204" s="4" t="s">
        <v>9913</v>
      </c>
      <c r="H1204" s="4">
        <v>2.62</v>
      </c>
      <c r="I1204" s="4">
        <v>1.2</v>
      </c>
      <c r="J1204" s="4">
        <v>0.21965000000000001</v>
      </c>
      <c r="K1204" s="4" t="b">
        <v>1</v>
      </c>
      <c r="L1204" s="4" t="b">
        <v>0</v>
      </c>
    </row>
    <row r="1205" spans="1:13" ht="13">
      <c r="A1205" s="4" t="s">
        <v>9914</v>
      </c>
      <c r="B1205" s="4" t="s">
        <v>4951</v>
      </c>
      <c r="C1205" s="4" t="s">
        <v>108</v>
      </c>
      <c r="D1205" s="4" t="s">
        <v>4952</v>
      </c>
      <c r="E1205" s="4" t="s">
        <v>2911</v>
      </c>
      <c r="F1205" s="4" t="s">
        <v>9915</v>
      </c>
      <c r="G1205" s="4" t="s">
        <v>9916</v>
      </c>
      <c r="H1205" s="4">
        <v>2.62</v>
      </c>
      <c r="I1205" s="4">
        <v>1.1599999999999999</v>
      </c>
      <c r="J1205" s="4">
        <v>0.22483</v>
      </c>
      <c r="K1205" s="4" t="b">
        <v>1</v>
      </c>
      <c r="L1205" s="4" t="b">
        <v>0</v>
      </c>
    </row>
    <row r="1206" spans="1:13" ht="13">
      <c r="A1206" s="4" t="s">
        <v>9917</v>
      </c>
      <c r="B1206" s="4" t="s">
        <v>4951</v>
      </c>
      <c r="C1206" s="4" t="s">
        <v>108</v>
      </c>
      <c r="D1206" s="4" t="s">
        <v>4952</v>
      </c>
      <c r="E1206" s="4" t="s">
        <v>2911</v>
      </c>
      <c r="F1206" s="4" t="s">
        <v>9918</v>
      </c>
      <c r="G1206" s="4" t="s">
        <v>9919</v>
      </c>
      <c r="H1206" s="4">
        <v>2.63</v>
      </c>
      <c r="I1206" s="4">
        <v>1.1499999999999999</v>
      </c>
      <c r="J1206" s="4">
        <v>0.2651</v>
      </c>
      <c r="K1206" s="4" t="b">
        <v>1</v>
      </c>
      <c r="L1206" s="4" t="b">
        <v>0</v>
      </c>
    </row>
    <row r="1207" spans="1:13" ht="13">
      <c r="A1207" s="4" t="s">
        <v>9920</v>
      </c>
      <c r="B1207" s="4" t="s">
        <v>4951</v>
      </c>
      <c r="C1207" s="4" t="s">
        <v>108</v>
      </c>
      <c r="D1207" s="4" t="s">
        <v>4952</v>
      </c>
      <c r="E1207" s="4" t="s">
        <v>2911</v>
      </c>
      <c r="F1207" s="4" t="s">
        <v>9921</v>
      </c>
      <c r="G1207" s="4" t="s">
        <v>9922</v>
      </c>
      <c r="H1207" s="4">
        <v>2.63</v>
      </c>
      <c r="I1207" s="4">
        <v>1.01</v>
      </c>
      <c r="J1207" s="4">
        <v>0.22042999999999999</v>
      </c>
      <c r="K1207" s="4" t="b">
        <v>1</v>
      </c>
      <c r="L1207" s="4" t="b">
        <v>0</v>
      </c>
    </row>
    <row r="1208" spans="1:13" ht="13">
      <c r="A1208" s="4" t="s">
        <v>9923</v>
      </c>
      <c r="B1208" s="4" t="s">
        <v>4951</v>
      </c>
      <c r="C1208" s="4" t="s">
        <v>108</v>
      </c>
      <c r="D1208" s="4" t="s">
        <v>4952</v>
      </c>
      <c r="E1208" s="4" t="s">
        <v>2911</v>
      </c>
      <c r="F1208" s="4" t="s">
        <v>9924</v>
      </c>
      <c r="G1208" s="4" t="s">
        <v>9925</v>
      </c>
      <c r="H1208" s="4">
        <v>2.64</v>
      </c>
      <c r="I1208" s="4">
        <v>1.0900000000000001</v>
      </c>
      <c r="J1208" s="4">
        <v>0.21729000000000001</v>
      </c>
      <c r="K1208" s="4" t="b">
        <v>1</v>
      </c>
      <c r="L1208" s="4" t="b">
        <v>0</v>
      </c>
    </row>
    <row r="1209" spans="1:13" ht="13">
      <c r="A1209" s="4" t="s">
        <v>9926</v>
      </c>
      <c r="B1209" s="4" t="s">
        <v>4951</v>
      </c>
      <c r="C1209" s="4" t="s">
        <v>108</v>
      </c>
      <c r="D1209" s="4" t="s">
        <v>4952</v>
      </c>
      <c r="E1209" s="4" t="s">
        <v>2911</v>
      </c>
      <c r="F1209" s="4" t="s">
        <v>9927</v>
      </c>
      <c r="G1209" s="4" t="s">
        <v>9928</v>
      </c>
      <c r="H1209" s="4">
        <v>2.65</v>
      </c>
      <c r="I1209" s="4">
        <v>1.1499999999999999</v>
      </c>
      <c r="J1209" s="4">
        <v>0.24254000000000001</v>
      </c>
      <c r="K1209" s="4" t="b">
        <v>1</v>
      </c>
      <c r="L1209" s="4" t="b">
        <v>0</v>
      </c>
    </row>
    <row r="1210" spans="1:13" ht="13">
      <c r="A1210" s="4" t="s">
        <v>9929</v>
      </c>
      <c r="B1210" s="4" t="s">
        <v>4951</v>
      </c>
      <c r="C1210" s="4" t="s">
        <v>108</v>
      </c>
      <c r="D1210" s="4" t="s">
        <v>4952</v>
      </c>
      <c r="E1210" s="4" t="s">
        <v>2911</v>
      </c>
      <c r="F1210" s="4" t="s">
        <v>9930</v>
      </c>
      <c r="G1210" s="4" t="s">
        <v>9931</v>
      </c>
      <c r="H1210" s="4">
        <v>2.65</v>
      </c>
      <c r="I1210" s="4">
        <v>1.1000000000000001</v>
      </c>
      <c r="J1210" s="4">
        <v>0.22824</v>
      </c>
      <c r="K1210" s="4" t="b">
        <v>1</v>
      </c>
      <c r="L1210" s="4" t="b">
        <v>0</v>
      </c>
    </row>
    <row r="1211" spans="1:13" ht="13">
      <c r="A1211" s="4" t="s">
        <v>9932</v>
      </c>
      <c r="B1211" s="4" t="s">
        <v>4951</v>
      </c>
      <c r="C1211" s="4" t="s">
        <v>108</v>
      </c>
      <c r="D1211" s="4" t="s">
        <v>4952</v>
      </c>
      <c r="E1211" s="4" t="s">
        <v>2911</v>
      </c>
      <c r="F1211" s="4" t="s">
        <v>9933</v>
      </c>
      <c r="G1211" s="4" t="s">
        <v>9934</v>
      </c>
      <c r="H1211" s="4">
        <v>2.66</v>
      </c>
      <c r="I1211" s="4">
        <v>1.1499999999999999</v>
      </c>
      <c r="J1211" s="4">
        <v>0.24079999999999999</v>
      </c>
      <c r="K1211" s="4" t="b">
        <v>1</v>
      </c>
      <c r="L1211" s="4" t="b">
        <v>0</v>
      </c>
    </row>
    <row r="1212" spans="1:13" ht="13">
      <c r="A1212" s="4" t="s">
        <v>9935</v>
      </c>
      <c r="B1212" s="4" t="s">
        <v>4951</v>
      </c>
      <c r="C1212" s="4" t="s">
        <v>108</v>
      </c>
      <c r="D1212" s="4" t="s">
        <v>4952</v>
      </c>
      <c r="E1212" s="4" t="s">
        <v>2911</v>
      </c>
      <c r="F1212" s="4" t="s">
        <v>9936</v>
      </c>
      <c r="G1212" s="4" t="s">
        <v>9937</v>
      </c>
      <c r="H1212" s="4">
        <v>2.68</v>
      </c>
      <c r="I1212" s="4">
        <v>1.1100000000000001</v>
      </c>
      <c r="J1212" s="4">
        <v>0.22542999999999999</v>
      </c>
      <c r="K1212" s="4" t="b">
        <v>1</v>
      </c>
      <c r="L1212" s="4" t="b">
        <v>0</v>
      </c>
    </row>
    <row r="1213" spans="1:13" ht="13">
      <c r="A1213" s="4" t="s">
        <v>9938</v>
      </c>
      <c r="B1213" s="4" t="s">
        <v>4951</v>
      </c>
      <c r="C1213" s="4" t="s">
        <v>108</v>
      </c>
      <c r="D1213" s="4" t="s">
        <v>4952</v>
      </c>
      <c r="E1213" s="4" t="s">
        <v>2911</v>
      </c>
      <c r="F1213" s="4" t="s">
        <v>9939</v>
      </c>
      <c r="G1213" s="4" t="s">
        <v>9940</v>
      </c>
      <c r="H1213" s="4">
        <v>2.68</v>
      </c>
      <c r="I1213" s="4">
        <v>1.1599999999999999</v>
      </c>
      <c r="J1213" s="4">
        <v>0.22681999999999999</v>
      </c>
      <c r="K1213" s="4" t="b">
        <v>1</v>
      </c>
      <c r="L1213" s="4" t="b">
        <v>0</v>
      </c>
    </row>
    <row r="1214" spans="1:13" ht="13">
      <c r="A1214" s="4" t="s">
        <v>9941</v>
      </c>
      <c r="B1214" s="4" t="s">
        <v>4951</v>
      </c>
      <c r="C1214" s="4" t="s">
        <v>108</v>
      </c>
      <c r="D1214" s="4" t="s">
        <v>4952</v>
      </c>
      <c r="E1214" s="4" t="s">
        <v>2911</v>
      </c>
      <c r="F1214" s="4" t="s">
        <v>9942</v>
      </c>
      <c r="G1214" s="4" t="s">
        <v>9943</v>
      </c>
      <c r="H1214" s="4">
        <v>2.69</v>
      </c>
      <c r="I1214" s="4">
        <v>1.1100000000000001</v>
      </c>
      <c r="J1214" s="4">
        <v>0.2293</v>
      </c>
      <c r="K1214" s="4" t="b">
        <v>1</v>
      </c>
      <c r="L1214" s="4" t="b">
        <v>0</v>
      </c>
    </row>
    <row r="1215" spans="1:13" ht="13">
      <c r="A1215" s="4" t="s">
        <v>9944</v>
      </c>
      <c r="B1215" s="4" t="s">
        <v>4951</v>
      </c>
      <c r="C1215" s="4" t="s">
        <v>108</v>
      </c>
      <c r="D1215" s="4" t="s">
        <v>4952</v>
      </c>
      <c r="E1215" s="4" t="s">
        <v>2911</v>
      </c>
      <c r="F1215" s="4" t="s">
        <v>9945</v>
      </c>
      <c r="G1215" s="4" t="s">
        <v>9946</v>
      </c>
      <c r="H1215" s="4">
        <v>1.53</v>
      </c>
      <c r="I1215" s="4">
        <v>1.1200000000000001</v>
      </c>
      <c r="J1215" s="4">
        <v>0.24010999999999999</v>
      </c>
      <c r="K1215" s="4" t="b">
        <v>1</v>
      </c>
      <c r="L1215" s="4" t="b">
        <v>0</v>
      </c>
    </row>
    <row r="1216" spans="1:13" ht="13">
      <c r="A1216" s="4" t="s">
        <v>9947</v>
      </c>
      <c r="B1216" s="4" t="s">
        <v>4951</v>
      </c>
      <c r="C1216" s="4" t="s">
        <v>108</v>
      </c>
      <c r="D1216" s="4" t="s">
        <v>4952</v>
      </c>
      <c r="E1216" s="4" t="s">
        <v>2911</v>
      </c>
      <c r="F1216" s="4" t="s">
        <v>9948</v>
      </c>
      <c r="G1216" s="4" t="s">
        <v>9949</v>
      </c>
      <c r="H1216" s="4">
        <v>1.54</v>
      </c>
      <c r="I1216" s="4">
        <v>1.08</v>
      </c>
      <c r="J1216" s="4">
        <v>0.24384</v>
      </c>
      <c r="K1216" s="4" t="b">
        <v>1</v>
      </c>
      <c r="L1216" s="4" t="b">
        <v>0</v>
      </c>
    </row>
    <row r="1217" spans="1:12" ht="13">
      <c r="A1217" s="4" t="s">
        <v>9950</v>
      </c>
      <c r="B1217" s="4" t="s">
        <v>4951</v>
      </c>
      <c r="C1217" s="4" t="s">
        <v>108</v>
      </c>
      <c r="D1217" s="4" t="s">
        <v>4952</v>
      </c>
      <c r="E1217" s="4" t="s">
        <v>2911</v>
      </c>
      <c r="F1217" s="4" t="s">
        <v>9951</v>
      </c>
      <c r="G1217" s="4" t="s">
        <v>9952</v>
      </c>
      <c r="H1217" s="4">
        <v>1.55</v>
      </c>
      <c r="I1217" s="4">
        <v>1.1100000000000001</v>
      </c>
      <c r="J1217" s="4">
        <v>0.23709</v>
      </c>
      <c r="K1217" s="4" t="b">
        <v>1</v>
      </c>
      <c r="L1217" s="4" t="b">
        <v>0</v>
      </c>
    </row>
    <row r="1218" spans="1:12" ht="13">
      <c r="A1218" s="4" t="s">
        <v>9956</v>
      </c>
      <c r="B1218" s="4" t="s">
        <v>4951</v>
      </c>
      <c r="C1218" s="4" t="s">
        <v>108</v>
      </c>
      <c r="D1218" s="4" t="s">
        <v>4952</v>
      </c>
      <c r="E1218" s="4" t="s">
        <v>2911</v>
      </c>
      <c r="F1218" s="4" t="s">
        <v>9957</v>
      </c>
      <c r="G1218" s="4" t="s">
        <v>9958</v>
      </c>
      <c r="H1218" s="4">
        <v>1.57</v>
      </c>
      <c r="I1218" s="4">
        <v>1.1100000000000001</v>
      </c>
      <c r="J1218" s="4">
        <v>0.23003999999999999</v>
      </c>
      <c r="K1218" s="4" t="b">
        <v>1</v>
      </c>
      <c r="L1218" s="4" t="b">
        <v>0</v>
      </c>
    </row>
    <row r="1219" spans="1:12" ht="13">
      <c r="A1219" s="4" t="s">
        <v>9959</v>
      </c>
      <c r="B1219" s="4" t="s">
        <v>4951</v>
      </c>
      <c r="C1219" s="4" t="s">
        <v>108</v>
      </c>
      <c r="D1219" s="4" t="s">
        <v>4952</v>
      </c>
      <c r="E1219" s="4" t="s">
        <v>2911</v>
      </c>
      <c r="F1219" s="4" t="s">
        <v>9960</v>
      </c>
      <c r="G1219" s="4" t="s">
        <v>9961</v>
      </c>
      <c r="H1219" s="4">
        <v>1.58</v>
      </c>
      <c r="I1219" s="4">
        <v>1.07</v>
      </c>
      <c r="J1219" s="4">
        <v>0.23361000000000001</v>
      </c>
      <c r="K1219" s="4" t="b">
        <v>1</v>
      </c>
      <c r="L1219" s="4" t="b">
        <v>0</v>
      </c>
    </row>
    <row r="1220" spans="1:12" ht="13">
      <c r="A1220" s="4" t="s">
        <v>9962</v>
      </c>
      <c r="B1220" s="4" t="s">
        <v>4951</v>
      </c>
      <c r="C1220" s="4" t="s">
        <v>108</v>
      </c>
      <c r="D1220" s="4" t="s">
        <v>4952</v>
      </c>
      <c r="E1220" s="4" t="s">
        <v>2911</v>
      </c>
      <c r="F1220" s="4" t="s">
        <v>9963</v>
      </c>
      <c r="G1220" s="4" t="s">
        <v>9964</v>
      </c>
      <c r="H1220" s="4">
        <v>1.61</v>
      </c>
      <c r="I1220" s="4">
        <v>1.08</v>
      </c>
      <c r="J1220" s="4">
        <v>0.23821999999999999</v>
      </c>
      <c r="K1220" s="4" t="b">
        <v>1</v>
      </c>
      <c r="L1220" s="4" t="b">
        <v>0</v>
      </c>
    </row>
    <row r="1221" spans="1:12" ht="13">
      <c r="A1221" s="4" t="s">
        <v>9965</v>
      </c>
      <c r="B1221" s="4" t="s">
        <v>4951</v>
      </c>
      <c r="C1221" s="4" t="s">
        <v>108</v>
      </c>
      <c r="D1221" s="4" t="s">
        <v>4952</v>
      </c>
      <c r="E1221" s="4" t="s">
        <v>2911</v>
      </c>
      <c r="F1221" s="4" t="s">
        <v>9966</v>
      </c>
      <c r="G1221" s="4" t="s">
        <v>9967</v>
      </c>
      <c r="H1221" s="4">
        <v>1.62</v>
      </c>
      <c r="I1221" s="4">
        <v>1.18</v>
      </c>
      <c r="J1221" s="4">
        <v>0.25319000000000003</v>
      </c>
      <c r="K1221" s="4" t="b">
        <v>1</v>
      </c>
      <c r="L1221" s="4" t="b">
        <v>0</v>
      </c>
    </row>
    <row r="1222" spans="1:12" ht="13">
      <c r="A1222" s="4" t="s">
        <v>9968</v>
      </c>
      <c r="B1222" s="4" t="s">
        <v>4951</v>
      </c>
      <c r="C1222" s="4" t="s">
        <v>108</v>
      </c>
      <c r="D1222" s="4" t="s">
        <v>4952</v>
      </c>
      <c r="E1222" s="4" t="s">
        <v>2911</v>
      </c>
      <c r="F1222" s="4" t="s">
        <v>9969</v>
      </c>
      <c r="G1222" s="4" t="s">
        <v>9970</v>
      </c>
      <c r="H1222" s="4">
        <v>1.64</v>
      </c>
      <c r="I1222" s="4">
        <v>1.1399999999999999</v>
      </c>
      <c r="J1222" s="4">
        <v>0.24807000000000001</v>
      </c>
      <c r="K1222" s="4" t="b">
        <v>1</v>
      </c>
      <c r="L1222" s="4" t="b">
        <v>0</v>
      </c>
    </row>
    <row r="1223" spans="1:12" ht="13">
      <c r="A1223" s="4" t="s">
        <v>9971</v>
      </c>
      <c r="B1223" s="4" t="s">
        <v>4951</v>
      </c>
      <c r="C1223" s="4" t="s">
        <v>108</v>
      </c>
      <c r="D1223" s="4" t="s">
        <v>4952</v>
      </c>
      <c r="E1223" s="4" t="s">
        <v>2911</v>
      </c>
      <c r="F1223" s="4" t="s">
        <v>9972</v>
      </c>
      <c r="G1223" s="4" t="s">
        <v>9973</v>
      </c>
      <c r="H1223" s="4">
        <v>1.64</v>
      </c>
      <c r="I1223" s="4">
        <v>1.06</v>
      </c>
      <c r="J1223" s="4">
        <v>0.22481000000000001</v>
      </c>
      <c r="K1223" s="4" t="b">
        <v>1</v>
      </c>
      <c r="L1223" s="4" t="b">
        <v>0</v>
      </c>
    </row>
    <row r="1224" spans="1:12" ht="13">
      <c r="A1224" s="4" t="s">
        <v>9974</v>
      </c>
      <c r="B1224" s="4" t="s">
        <v>4951</v>
      </c>
      <c r="C1224" s="4" t="s">
        <v>108</v>
      </c>
      <c r="D1224" s="4" t="s">
        <v>4952</v>
      </c>
      <c r="E1224" s="4" t="s">
        <v>2911</v>
      </c>
      <c r="F1224" s="4" t="s">
        <v>9975</v>
      </c>
      <c r="G1224" s="4" t="s">
        <v>9976</v>
      </c>
      <c r="H1224" s="4">
        <v>1.65</v>
      </c>
      <c r="I1224" s="4">
        <v>1.1100000000000001</v>
      </c>
      <c r="J1224" s="4">
        <v>0.23499999999999999</v>
      </c>
      <c r="K1224" s="4" t="b">
        <v>1</v>
      </c>
      <c r="L1224" s="4" t="b">
        <v>0</v>
      </c>
    </row>
    <row r="1225" spans="1:12" ht="13">
      <c r="A1225" s="4" t="s">
        <v>9977</v>
      </c>
      <c r="B1225" s="4" t="s">
        <v>4951</v>
      </c>
      <c r="C1225" s="4" t="s">
        <v>108</v>
      </c>
      <c r="D1225" s="4" t="s">
        <v>4952</v>
      </c>
      <c r="E1225" s="4" t="s">
        <v>2911</v>
      </c>
      <c r="F1225" s="4" t="s">
        <v>9978</v>
      </c>
      <c r="G1225" s="4" t="s">
        <v>9979</v>
      </c>
      <c r="H1225" s="4">
        <v>1.66</v>
      </c>
      <c r="I1225" s="4">
        <v>1.1499999999999999</v>
      </c>
      <c r="J1225" s="4">
        <v>0.23899000000000001</v>
      </c>
      <c r="K1225" s="4" t="b">
        <v>1</v>
      </c>
      <c r="L1225" s="4" t="b">
        <v>0</v>
      </c>
    </row>
    <row r="1226" spans="1:12" ht="13">
      <c r="A1226" s="4" t="s">
        <v>9980</v>
      </c>
      <c r="B1226" s="4" t="s">
        <v>4951</v>
      </c>
      <c r="C1226" s="4" t="s">
        <v>108</v>
      </c>
      <c r="D1226" s="4" t="s">
        <v>4952</v>
      </c>
      <c r="E1226" s="4" t="s">
        <v>2911</v>
      </c>
      <c r="F1226" s="4" t="s">
        <v>9981</v>
      </c>
      <c r="G1226" s="4" t="s">
        <v>9982</v>
      </c>
      <c r="H1226" s="4">
        <v>1.67</v>
      </c>
      <c r="I1226" s="4">
        <v>1.1599999999999999</v>
      </c>
      <c r="J1226" s="4">
        <v>0.26307999999999998</v>
      </c>
      <c r="K1226" s="4" t="b">
        <v>1</v>
      </c>
      <c r="L1226" s="4" t="b">
        <v>0</v>
      </c>
    </row>
    <row r="1227" spans="1:12" ht="13">
      <c r="A1227" s="4" t="s">
        <v>9983</v>
      </c>
      <c r="B1227" s="4" t="s">
        <v>4951</v>
      </c>
      <c r="C1227" s="4" t="s">
        <v>108</v>
      </c>
      <c r="D1227" s="4" t="s">
        <v>4952</v>
      </c>
      <c r="E1227" s="4" t="s">
        <v>2911</v>
      </c>
      <c r="F1227" s="4" t="s">
        <v>9984</v>
      </c>
      <c r="G1227" s="4" t="s">
        <v>9985</v>
      </c>
      <c r="H1227" s="4">
        <v>1.7</v>
      </c>
      <c r="I1227" s="4">
        <v>1.17</v>
      </c>
      <c r="J1227" s="4">
        <v>0.25974999999999998</v>
      </c>
      <c r="K1227" s="4" t="b">
        <v>1</v>
      </c>
      <c r="L1227" s="4" t="b">
        <v>0</v>
      </c>
    </row>
    <row r="1228" spans="1:12" ht="13">
      <c r="A1228" s="4" t="s">
        <v>9986</v>
      </c>
      <c r="B1228" s="4" t="s">
        <v>4951</v>
      </c>
      <c r="C1228" s="4" t="s">
        <v>108</v>
      </c>
      <c r="D1228" s="4" t="s">
        <v>4952</v>
      </c>
      <c r="E1228" s="4" t="s">
        <v>2911</v>
      </c>
      <c r="F1228" s="4" t="s">
        <v>9987</v>
      </c>
      <c r="G1228" s="4" t="s">
        <v>9988</v>
      </c>
      <c r="H1228" s="4">
        <v>1.71</v>
      </c>
      <c r="I1228" s="4">
        <v>1.1299999999999999</v>
      </c>
      <c r="J1228" s="4">
        <v>0.24556</v>
      </c>
      <c r="K1228" s="4" t="b">
        <v>1</v>
      </c>
      <c r="L1228" s="4" t="b">
        <v>0</v>
      </c>
    </row>
    <row r="1229" spans="1:12" ht="13">
      <c r="A1229" s="4" t="s">
        <v>9989</v>
      </c>
      <c r="B1229" s="4" t="s">
        <v>4951</v>
      </c>
      <c r="C1229" s="4" t="s">
        <v>108</v>
      </c>
      <c r="D1229" s="4" t="s">
        <v>4952</v>
      </c>
      <c r="E1229" s="4" t="s">
        <v>2911</v>
      </c>
      <c r="F1229" s="4" t="s">
        <v>9990</v>
      </c>
      <c r="G1229" s="4" t="s">
        <v>9991</v>
      </c>
      <c r="H1229" s="4">
        <v>1.71</v>
      </c>
      <c r="I1229" s="4">
        <v>1.1100000000000001</v>
      </c>
      <c r="J1229" s="4">
        <v>0.23336000000000001</v>
      </c>
      <c r="K1229" s="4" t="b">
        <v>1</v>
      </c>
      <c r="L1229" s="4" t="b">
        <v>0</v>
      </c>
    </row>
    <row r="1230" spans="1:12" ht="13">
      <c r="A1230" s="4" t="s">
        <v>9992</v>
      </c>
      <c r="B1230" s="4" t="s">
        <v>4951</v>
      </c>
      <c r="C1230" s="4" t="s">
        <v>108</v>
      </c>
      <c r="D1230" s="4" t="s">
        <v>4952</v>
      </c>
      <c r="E1230" s="4" t="s">
        <v>2911</v>
      </c>
      <c r="F1230" s="4" t="s">
        <v>9993</v>
      </c>
      <c r="G1230" s="4" t="s">
        <v>9994</v>
      </c>
      <c r="H1230" s="4">
        <v>1.72</v>
      </c>
      <c r="I1230" s="4">
        <v>1.1000000000000001</v>
      </c>
      <c r="J1230" s="4">
        <v>0.24609</v>
      </c>
      <c r="K1230" s="4" t="b">
        <v>1</v>
      </c>
      <c r="L1230" s="4" t="b">
        <v>0</v>
      </c>
    </row>
    <row r="1231" spans="1:12" ht="13">
      <c r="A1231" s="4" t="s">
        <v>9995</v>
      </c>
      <c r="B1231" s="4" t="s">
        <v>4951</v>
      </c>
      <c r="C1231" s="4" t="s">
        <v>108</v>
      </c>
      <c r="D1231" s="4" t="s">
        <v>4952</v>
      </c>
      <c r="E1231" s="4" t="s">
        <v>2911</v>
      </c>
      <c r="F1231" s="4" t="s">
        <v>9996</v>
      </c>
      <c r="G1231" s="4" t="s">
        <v>9997</v>
      </c>
      <c r="H1231" s="4">
        <v>1.73</v>
      </c>
      <c r="I1231" s="4">
        <v>1.08</v>
      </c>
      <c r="J1231" s="4">
        <v>0.23488999999999999</v>
      </c>
      <c r="K1231" s="4" t="b">
        <v>1</v>
      </c>
      <c r="L1231" s="4" t="b">
        <v>0</v>
      </c>
    </row>
    <row r="1232" spans="1:12" ht="13">
      <c r="A1232" s="4" t="s">
        <v>10001</v>
      </c>
      <c r="B1232" s="4" t="s">
        <v>4951</v>
      </c>
      <c r="C1232" s="4" t="s">
        <v>108</v>
      </c>
      <c r="D1232" s="4" t="s">
        <v>4952</v>
      </c>
      <c r="E1232" s="4" t="s">
        <v>2911</v>
      </c>
      <c r="F1232" s="4" t="s">
        <v>10002</v>
      </c>
      <c r="G1232" s="4" t="s">
        <v>10003</v>
      </c>
      <c r="H1232" s="4">
        <v>1.75</v>
      </c>
      <c r="I1232" s="4">
        <v>1.08</v>
      </c>
      <c r="J1232" s="4">
        <v>0.22808999999999999</v>
      </c>
      <c r="K1232" s="4" t="b">
        <v>1</v>
      </c>
      <c r="L1232" s="4" t="b">
        <v>0</v>
      </c>
    </row>
    <row r="1233" spans="1:13" ht="13">
      <c r="A1233" s="4" t="s">
        <v>10004</v>
      </c>
      <c r="B1233" s="4" t="s">
        <v>4951</v>
      </c>
      <c r="C1233" s="4" t="s">
        <v>108</v>
      </c>
      <c r="D1233" s="4" t="s">
        <v>4952</v>
      </c>
      <c r="E1233" s="4" t="s">
        <v>2911</v>
      </c>
      <c r="F1233" s="4" t="s">
        <v>10005</v>
      </c>
      <c r="G1233" s="4" t="s">
        <v>10006</v>
      </c>
      <c r="H1233" s="4">
        <v>1.76</v>
      </c>
      <c r="I1233" s="4">
        <v>1.06</v>
      </c>
      <c r="J1233" s="4">
        <v>0.23386000000000001</v>
      </c>
      <c r="K1233" s="4" t="b">
        <v>1</v>
      </c>
      <c r="L1233" s="4" t="b">
        <v>0</v>
      </c>
    </row>
    <row r="1234" spans="1:13" ht="13">
      <c r="A1234" s="4" t="s">
        <v>10007</v>
      </c>
      <c r="B1234" s="4" t="s">
        <v>4951</v>
      </c>
      <c r="C1234" s="4" t="s">
        <v>108</v>
      </c>
      <c r="D1234" s="4" t="s">
        <v>4952</v>
      </c>
      <c r="E1234" s="4" t="s">
        <v>2911</v>
      </c>
      <c r="F1234" s="4" t="s">
        <v>10008</v>
      </c>
      <c r="G1234" s="4" t="s">
        <v>10009</v>
      </c>
      <c r="H1234" s="4">
        <v>1.77</v>
      </c>
      <c r="I1234" s="4">
        <v>1.1100000000000001</v>
      </c>
      <c r="J1234" s="4">
        <v>0.26780999999999999</v>
      </c>
      <c r="K1234" s="4" t="b">
        <v>1</v>
      </c>
      <c r="L1234" s="4" t="b">
        <v>0</v>
      </c>
    </row>
    <row r="1235" spans="1:13" ht="13">
      <c r="A1235" s="4" t="s">
        <v>10010</v>
      </c>
      <c r="B1235" s="4" t="s">
        <v>4951</v>
      </c>
      <c r="C1235" s="4" t="s">
        <v>108</v>
      </c>
      <c r="D1235" s="4" t="s">
        <v>4952</v>
      </c>
      <c r="E1235" s="4" t="s">
        <v>2911</v>
      </c>
      <c r="F1235" s="4" t="s">
        <v>10011</v>
      </c>
      <c r="G1235" s="4" t="s">
        <v>10012</v>
      </c>
      <c r="H1235" s="4">
        <v>1.78</v>
      </c>
      <c r="I1235" s="4">
        <v>1.07</v>
      </c>
      <c r="J1235" s="4">
        <v>0.23843</v>
      </c>
      <c r="K1235" s="4" t="b">
        <v>1</v>
      </c>
      <c r="L1235" s="4" t="b">
        <v>0</v>
      </c>
    </row>
    <row r="1236" spans="1:13" ht="13">
      <c r="A1236" s="4" t="s">
        <v>3164</v>
      </c>
      <c r="B1236" s="4" t="s">
        <v>4951</v>
      </c>
      <c r="C1236" s="4" t="s">
        <v>108</v>
      </c>
      <c r="D1236" s="4" t="s">
        <v>4952</v>
      </c>
      <c r="E1236" s="4" t="s">
        <v>2911</v>
      </c>
      <c r="F1236" s="4" t="s">
        <v>4978</v>
      </c>
      <c r="G1236" s="4" t="s">
        <v>3060</v>
      </c>
      <c r="H1236" s="4">
        <v>1.79</v>
      </c>
      <c r="I1236" s="4">
        <v>1.0900000000000001</v>
      </c>
      <c r="J1236" s="4">
        <v>0.23674999999999999</v>
      </c>
      <c r="K1236" s="4" t="b">
        <v>1</v>
      </c>
      <c r="L1236" s="4" t="b">
        <v>1</v>
      </c>
      <c r="M1236" s="41" t="s">
        <v>4929</v>
      </c>
    </row>
    <row r="1237" spans="1:13" ht="13">
      <c r="A1237" s="4" t="s">
        <v>10013</v>
      </c>
      <c r="B1237" s="4" t="s">
        <v>4951</v>
      </c>
      <c r="C1237" s="4" t="s">
        <v>108</v>
      </c>
      <c r="D1237" s="4" t="s">
        <v>4952</v>
      </c>
      <c r="E1237" s="4" t="s">
        <v>2911</v>
      </c>
      <c r="F1237" s="4" t="s">
        <v>10014</v>
      </c>
      <c r="G1237" s="4" t="s">
        <v>10015</v>
      </c>
      <c r="H1237" s="4">
        <v>1.8</v>
      </c>
      <c r="I1237" s="4">
        <v>1.1100000000000001</v>
      </c>
      <c r="J1237" s="4">
        <v>0.24593000000000001</v>
      </c>
      <c r="K1237" s="4" t="b">
        <v>1</v>
      </c>
      <c r="L1237" s="4" t="b">
        <v>0</v>
      </c>
    </row>
    <row r="1238" spans="1:13" ht="13">
      <c r="A1238" s="4" t="s">
        <v>10016</v>
      </c>
      <c r="B1238" s="4" t="s">
        <v>4951</v>
      </c>
      <c r="C1238" s="4" t="s">
        <v>108</v>
      </c>
      <c r="D1238" s="4" t="s">
        <v>4952</v>
      </c>
      <c r="E1238" s="4" t="s">
        <v>2911</v>
      </c>
      <c r="F1238" s="4" t="s">
        <v>10017</v>
      </c>
      <c r="G1238" s="4" t="s">
        <v>10018</v>
      </c>
      <c r="H1238" s="4">
        <v>1.82</v>
      </c>
      <c r="I1238" s="4">
        <v>1.1100000000000001</v>
      </c>
      <c r="J1238" s="4">
        <v>0.24123</v>
      </c>
      <c r="K1238" s="4" t="b">
        <v>1</v>
      </c>
      <c r="L1238" s="4" t="b">
        <v>0</v>
      </c>
    </row>
    <row r="1239" spans="1:13" ht="13">
      <c r="A1239" s="4" t="s">
        <v>10019</v>
      </c>
      <c r="B1239" s="4" t="s">
        <v>4951</v>
      </c>
      <c r="C1239" s="4" t="s">
        <v>108</v>
      </c>
      <c r="D1239" s="4" t="s">
        <v>4952</v>
      </c>
      <c r="E1239" s="4" t="s">
        <v>2911</v>
      </c>
      <c r="F1239" s="4" t="s">
        <v>10020</v>
      </c>
      <c r="G1239" s="4" t="s">
        <v>10021</v>
      </c>
      <c r="H1239" s="4">
        <v>1.83</v>
      </c>
      <c r="I1239" s="4">
        <v>1.1100000000000001</v>
      </c>
      <c r="J1239" s="4">
        <v>0.24235999999999999</v>
      </c>
      <c r="K1239" s="4" t="b">
        <v>1</v>
      </c>
      <c r="L1239" s="4" t="b">
        <v>0</v>
      </c>
    </row>
    <row r="1240" spans="1:13" ht="13">
      <c r="A1240" s="4" t="s">
        <v>10022</v>
      </c>
      <c r="B1240" s="4" t="s">
        <v>4951</v>
      </c>
      <c r="C1240" s="4" t="s">
        <v>108</v>
      </c>
      <c r="D1240" s="4" t="s">
        <v>4952</v>
      </c>
      <c r="E1240" s="4" t="s">
        <v>2911</v>
      </c>
      <c r="F1240" s="4" t="s">
        <v>10023</v>
      </c>
      <c r="G1240" s="4" t="s">
        <v>10024</v>
      </c>
      <c r="H1240" s="4">
        <v>1.83</v>
      </c>
      <c r="I1240" s="4">
        <v>1.1100000000000001</v>
      </c>
      <c r="J1240" s="4">
        <v>0.23250999999999999</v>
      </c>
      <c r="K1240" s="4" t="b">
        <v>1</v>
      </c>
      <c r="L1240" s="4" t="b">
        <v>0</v>
      </c>
    </row>
    <row r="1241" spans="1:13" ht="13">
      <c r="A1241" s="4" t="s">
        <v>10025</v>
      </c>
      <c r="B1241" s="4" t="s">
        <v>4951</v>
      </c>
      <c r="C1241" s="4" t="s">
        <v>108</v>
      </c>
      <c r="D1241" s="4" t="s">
        <v>4952</v>
      </c>
      <c r="E1241" s="4" t="s">
        <v>2911</v>
      </c>
      <c r="F1241" s="4" t="s">
        <v>10026</v>
      </c>
      <c r="G1241" s="4" t="s">
        <v>10027</v>
      </c>
      <c r="H1241" s="4">
        <v>1.84</v>
      </c>
      <c r="I1241" s="4">
        <v>1.1100000000000001</v>
      </c>
      <c r="J1241" s="4">
        <v>0.24504000000000001</v>
      </c>
      <c r="K1241" s="4" t="b">
        <v>1</v>
      </c>
      <c r="L1241" s="4" t="b">
        <v>0</v>
      </c>
    </row>
    <row r="1242" spans="1:13" ht="13">
      <c r="A1242" s="4" t="s">
        <v>10028</v>
      </c>
      <c r="B1242" s="4" t="s">
        <v>4951</v>
      </c>
      <c r="C1242" s="4" t="s">
        <v>108</v>
      </c>
      <c r="D1242" s="4" t="s">
        <v>4952</v>
      </c>
      <c r="E1242" s="4" t="s">
        <v>2911</v>
      </c>
      <c r="F1242" s="4" t="s">
        <v>10029</v>
      </c>
      <c r="G1242" s="4" t="s">
        <v>10030</v>
      </c>
      <c r="H1242" s="4">
        <v>1.85</v>
      </c>
      <c r="I1242" s="4">
        <v>1.1599999999999999</v>
      </c>
      <c r="J1242" s="4">
        <v>0.23588999999999999</v>
      </c>
      <c r="K1242" s="4" t="b">
        <v>1</v>
      </c>
      <c r="L1242" s="4" t="b">
        <v>0</v>
      </c>
    </row>
    <row r="1243" spans="1:13" ht="13">
      <c r="A1243" s="4" t="s">
        <v>10031</v>
      </c>
      <c r="B1243" s="4" t="s">
        <v>4951</v>
      </c>
      <c r="C1243" s="4" t="s">
        <v>108</v>
      </c>
      <c r="D1243" s="4" t="s">
        <v>4952</v>
      </c>
      <c r="E1243" s="4" t="s">
        <v>2911</v>
      </c>
      <c r="F1243" s="4" t="s">
        <v>10032</v>
      </c>
      <c r="G1243" s="4" t="s">
        <v>10033</v>
      </c>
      <c r="H1243" s="4">
        <v>1.86</v>
      </c>
      <c r="I1243" s="4">
        <v>1.0900000000000001</v>
      </c>
      <c r="J1243" s="4">
        <v>0.24626999999999999</v>
      </c>
      <c r="K1243" s="4" t="b">
        <v>1</v>
      </c>
      <c r="L1243" s="4" t="b">
        <v>0</v>
      </c>
    </row>
    <row r="1244" spans="1:13" ht="13">
      <c r="A1244" s="4" t="s">
        <v>10034</v>
      </c>
      <c r="B1244" s="4" t="s">
        <v>4951</v>
      </c>
      <c r="C1244" s="4" t="s">
        <v>108</v>
      </c>
      <c r="D1244" s="4" t="s">
        <v>4952</v>
      </c>
      <c r="E1244" s="4" t="s">
        <v>2911</v>
      </c>
      <c r="F1244" s="4" t="s">
        <v>10035</v>
      </c>
      <c r="G1244" s="4" t="s">
        <v>10036</v>
      </c>
      <c r="H1244" s="4">
        <v>1.87</v>
      </c>
      <c r="I1244" s="4">
        <v>1.1200000000000001</v>
      </c>
      <c r="J1244" s="4">
        <v>0.24740000000000001</v>
      </c>
      <c r="K1244" s="4" t="b">
        <v>1</v>
      </c>
      <c r="L1244" s="4" t="b">
        <v>0</v>
      </c>
    </row>
    <row r="1245" spans="1:13" ht="13">
      <c r="A1245" s="4" t="s">
        <v>3165</v>
      </c>
      <c r="B1245" s="4" t="s">
        <v>4951</v>
      </c>
      <c r="C1245" s="4" t="s">
        <v>108</v>
      </c>
      <c r="D1245" s="4" t="s">
        <v>4952</v>
      </c>
      <c r="E1245" s="4" t="s">
        <v>2911</v>
      </c>
      <c r="F1245" s="4" t="s">
        <v>5081</v>
      </c>
      <c r="G1245" s="4" t="s">
        <v>3061</v>
      </c>
      <c r="H1245" s="4">
        <v>1.88</v>
      </c>
      <c r="I1245" s="4">
        <v>1.03</v>
      </c>
      <c r="J1245" s="4">
        <v>0.22356999999999999</v>
      </c>
      <c r="K1245" s="4" t="b">
        <v>1</v>
      </c>
      <c r="L1245" s="4" t="b">
        <v>1</v>
      </c>
      <c r="M1245" s="41" t="s">
        <v>4995</v>
      </c>
    </row>
    <row r="1246" spans="1:13" ht="13">
      <c r="A1246" s="4" t="s">
        <v>10037</v>
      </c>
      <c r="B1246" s="4" t="s">
        <v>4951</v>
      </c>
      <c r="C1246" s="4" t="s">
        <v>108</v>
      </c>
      <c r="D1246" s="4" t="s">
        <v>4952</v>
      </c>
      <c r="E1246" s="4" t="s">
        <v>2911</v>
      </c>
      <c r="F1246" s="4" t="s">
        <v>10038</v>
      </c>
      <c r="G1246" s="4" t="s">
        <v>10039</v>
      </c>
      <c r="H1246" s="4">
        <v>1.89</v>
      </c>
      <c r="I1246" s="4">
        <v>1.1100000000000001</v>
      </c>
      <c r="J1246" s="4">
        <v>0.23582</v>
      </c>
      <c r="K1246" s="4" t="b">
        <v>1</v>
      </c>
      <c r="L1246" s="4" t="b">
        <v>0</v>
      </c>
    </row>
    <row r="1247" spans="1:13" ht="13">
      <c r="A1247" s="4" t="s">
        <v>10040</v>
      </c>
      <c r="B1247" s="4" t="s">
        <v>4951</v>
      </c>
      <c r="C1247" s="4" t="s">
        <v>108</v>
      </c>
      <c r="D1247" s="4" t="s">
        <v>4952</v>
      </c>
      <c r="E1247" s="4" t="s">
        <v>2911</v>
      </c>
      <c r="F1247" s="4" t="s">
        <v>10041</v>
      </c>
      <c r="G1247" s="4" t="s">
        <v>10042</v>
      </c>
      <c r="H1247" s="4">
        <v>1.9</v>
      </c>
      <c r="I1247" s="4">
        <v>1.1000000000000001</v>
      </c>
      <c r="J1247" s="4">
        <v>0.23393</v>
      </c>
      <c r="K1247" s="4" t="b">
        <v>1</v>
      </c>
      <c r="L1247" s="4" t="b">
        <v>0</v>
      </c>
    </row>
    <row r="1248" spans="1:13" ht="13">
      <c r="A1248" s="4" t="s">
        <v>10043</v>
      </c>
      <c r="B1248" s="4" t="s">
        <v>4951</v>
      </c>
      <c r="C1248" s="4" t="s">
        <v>108</v>
      </c>
      <c r="D1248" s="4" t="s">
        <v>4952</v>
      </c>
      <c r="E1248" s="4" t="s">
        <v>2911</v>
      </c>
      <c r="F1248" s="4" t="s">
        <v>10044</v>
      </c>
      <c r="G1248" s="4" t="s">
        <v>10045</v>
      </c>
      <c r="H1248" s="4">
        <v>1.91</v>
      </c>
      <c r="I1248" s="4">
        <v>1.1000000000000001</v>
      </c>
      <c r="J1248" s="4">
        <v>0.24918999999999999</v>
      </c>
      <c r="K1248" s="4" t="b">
        <v>1</v>
      </c>
      <c r="L1248" s="4" t="b">
        <v>0</v>
      </c>
    </row>
    <row r="1249" spans="1:12" ht="13">
      <c r="A1249" s="4" t="s">
        <v>10046</v>
      </c>
      <c r="B1249" s="4" t="s">
        <v>4951</v>
      </c>
      <c r="C1249" s="4" t="s">
        <v>108</v>
      </c>
      <c r="D1249" s="4" t="s">
        <v>4952</v>
      </c>
      <c r="E1249" s="4" t="s">
        <v>2911</v>
      </c>
      <c r="F1249" s="4" t="s">
        <v>10047</v>
      </c>
      <c r="G1249" s="4" t="s">
        <v>10048</v>
      </c>
      <c r="H1249" s="4">
        <v>1.92</v>
      </c>
      <c r="I1249" s="4">
        <v>1.1599999999999999</v>
      </c>
      <c r="J1249" s="4">
        <v>0.25169999999999998</v>
      </c>
      <c r="K1249" s="4" t="b">
        <v>1</v>
      </c>
      <c r="L1249" s="4" t="b">
        <v>0</v>
      </c>
    </row>
    <row r="1250" spans="1:12" ht="13">
      <c r="A1250" s="4" t="s">
        <v>10049</v>
      </c>
      <c r="B1250" s="4" t="s">
        <v>4951</v>
      </c>
      <c r="C1250" s="4" t="s">
        <v>108</v>
      </c>
      <c r="D1250" s="4" t="s">
        <v>4952</v>
      </c>
      <c r="E1250" s="4" t="s">
        <v>2911</v>
      </c>
      <c r="F1250" s="4" t="s">
        <v>10050</v>
      </c>
      <c r="G1250" s="4" t="s">
        <v>10051</v>
      </c>
      <c r="H1250" s="4">
        <v>1.93</v>
      </c>
      <c r="I1250" s="4">
        <v>1.0900000000000001</v>
      </c>
      <c r="J1250" s="4">
        <v>0.24484</v>
      </c>
      <c r="K1250" s="4" t="b">
        <v>1</v>
      </c>
      <c r="L1250" s="4" t="b">
        <v>0</v>
      </c>
    </row>
    <row r="1251" spans="1:12" ht="13">
      <c r="A1251" s="4" t="s">
        <v>10052</v>
      </c>
      <c r="B1251" s="4" t="s">
        <v>4951</v>
      </c>
      <c r="C1251" s="4" t="s">
        <v>108</v>
      </c>
      <c r="D1251" s="4" t="s">
        <v>4952</v>
      </c>
      <c r="E1251" s="4" t="s">
        <v>2911</v>
      </c>
      <c r="F1251" s="4" t="s">
        <v>10053</v>
      </c>
      <c r="G1251" s="4" t="s">
        <v>10054</v>
      </c>
      <c r="H1251" s="4">
        <v>1.93</v>
      </c>
      <c r="I1251" s="4">
        <v>1.1299999999999999</v>
      </c>
      <c r="J1251" s="4">
        <v>0.27138000000000001</v>
      </c>
      <c r="K1251" s="4" t="b">
        <v>1</v>
      </c>
      <c r="L1251" s="4" t="b">
        <v>0</v>
      </c>
    </row>
    <row r="1252" spans="1:12" ht="13">
      <c r="A1252" s="4" t="s">
        <v>10055</v>
      </c>
      <c r="B1252" s="4" t="s">
        <v>4951</v>
      </c>
      <c r="C1252" s="4" t="s">
        <v>108</v>
      </c>
      <c r="D1252" s="4" t="s">
        <v>4952</v>
      </c>
      <c r="E1252" s="4" t="s">
        <v>2911</v>
      </c>
      <c r="F1252" s="4" t="s">
        <v>10056</v>
      </c>
      <c r="G1252" s="4" t="s">
        <v>10057</v>
      </c>
      <c r="H1252" s="4">
        <v>1.94</v>
      </c>
      <c r="I1252" s="4">
        <v>1.17</v>
      </c>
      <c r="J1252" s="4">
        <v>0.27654000000000001</v>
      </c>
      <c r="K1252" s="4" t="b">
        <v>1</v>
      </c>
      <c r="L1252" s="4" t="b">
        <v>0</v>
      </c>
    </row>
    <row r="1253" spans="1:12" ht="13">
      <c r="A1253" s="4" t="s">
        <v>10058</v>
      </c>
      <c r="B1253" s="4" t="s">
        <v>4951</v>
      </c>
      <c r="C1253" s="4" t="s">
        <v>108</v>
      </c>
      <c r="D1253" s="4" t="s">
        <v>4952</v>
      </c>
      <c r="E1253" s="4" t="s">
        <v>2911</v>
      </c>
      <c r="F1253" s="4" t="s">
        <v>10059</v>
      </c>
      <c r="G1253" s="4" t="s">
        <v>10060</v>
      </c>
      <c r="H1253" s="4">
        <v>1.95</v>
      </c>
      <c r="I1253" s="4">
        <v>1.1000000000000001</v>
      </c>
      <c r="J1253" s="4">
        <v>0.23802000000000001</v>
      </c>
      <c r="K1253" s="4" t="b">
        <v>1</v>
      </c>
      <c r="L1253" s="4" t="b">
        <v>0</v>
      </c>
    </row>
    <row r="1254" spans="1:12" ht="13">
      <c r="A1254" s="4" t="s">
        <v>10061</v>
      </c>
      <c r="B1254" s="4" t="s">
        <v>4951</v>
      </c>
      <c r="C1254" s="4" t="s">
        <v>108</v>
      </c>
      <c r="D1254" s="4" t="s">
        <v>4952</v>
      </c>
      <c r="E1254" s="4" t="s">
        <v>2911</v>
      </c>
      <c r="F1254" s="4" t="s">
        <v>10062</v>
      </c>
      <c r="G1254" s="4" t="s">
        <v>10063</v>
      </c>
      <c r="H1254" s="4">
        <v>1.96</v>
      </c>
      <c r="I1254" s="4">
        <v>1.08</v>
      </c>
      <c r="J1254" s="4">
        <v>0.23338</v>
      </c>
      <c r="K1254" s="4" t="b">
        <v>1</v>
      </c>
      <c r="L1254" s="4" t="b">
        <v>0</v>
      </c>
    </row>
    <row r="1255" spans="1:12" ht="13">
      <c r="A1255" s="4" t="s">
        <v>10064</v>
      </c>
      <c r="B1255" s="4" t="s">
        <v>4951</v>
      </c>
      <c r="C1255" s="4" t="s">
        <v>108</v>
      </c>
      <c r="D1255" s="4" t="s">
        <v>4952</v>
      </c>
      <c r="E1255" s="4" t="s">
        <v>2911</v>
      </c>
      <c r="F1255" s="4" t="s">
        <v>10065</v>
      </c>
      <c r="G1255" s="4" t="s">
        <v>10066</v>
      </c>
      <c r="H1255" s="4">
        <v>1.96</v>
      </c>
      <c r="I1255" s="4">
        <v>1.1499999999999999</v>
      </c>
      <c r="J1255" s="4">
        <v>0.25414999999999999</v>
      </c>
      <c r="K1255" s="4" t="b">
        <v>1</v>
      </c>
      <c r="L1255" s="4" t="b">
        <v>0</v>
      </c>
    </row>
    <row r="1256" spans="1:12" ht="13">
      <c r="A1256" s="4" t="s">
        <v>10067</v>
      </c>
      <c r="B1256" s="4" t="s">
        <v>4951</v>
      </c>
      <c r="C1256" s="4" t="s">
        <v>108</v>
      </c>
      <c r="D1256" s="4" t="s">
        <v>4952</v>
      </c>
      <c r="E1256" s="4" t="s">
        <v>2911</v>
      </c>
      <c r="F1256" s="4" t="s">
        <v>10068</v>
      </c>
      <c r="G1256" s="4" t="s">
        <v>10069</v>
      </c>
      <c r="H1256" s="4">
        <v>1.97</v>
      </c>
      <c r="I1256" s="4">
        <v>1.06</v>
      </c>
      <c r="J1256" s="4">
        <v>0.24451999999999999</v>
      </c>
      <c r="K1256" s="4" t="b">
        <v>1</v>
      </c>
      <c r="L1256" s="4" t="b">
        <v>0</v>
      </c>
    </row>
    <row r="1257" spans="1:12" ht="13">
      <c r="A1257" s="4" t="s">
        <v>10070</v>
      </c>
      <c r="B1257" s="4" t="s">
        <v>4951</v>
      </c>
      <c r="C1257" s="4" t="s">
        <v>108</v>
      </c>
      <c r="D1257" s="4" t="s">
        <v>4952</v>
      </c>
      <c r="E1257" s="4" t="s">
        <v>2911</v>
      </c>
      <c r="F1257" s="4" t="s">
        <v>10071</v>
      </c>
      <c r="G1257" s="4" t="s">
        <v>10072</v>
      </c>
      <c r="H1257" s="4">
        <v>1.98</v>
      </c>
      <c r="I1257" s="4">
        <v>1.07</v>
      </c>
      <c r="J1257" s="4">
        <v>0.24703</v>
      </c>
      <c r="K1257" s="4" t="b">
        <v>1</v>
      </c>
      <c r="L1257" s="4" t="b">
        <v>0</v>
      </c>
    </row>
    <row r="1258" spans="1:12" ht="13">
      <c r="A1258" s="4" t="s">
        <v>10073</v>
      </c>
      <c r="B1258" s="4" t="s">
        <v>4951</v>
      </c>
      <c r="C1258" s="4" t="s">
        <v>108</v>
      </c>
      <c r="D1258" s="4" t="s">
        <v>4952</v>
      </c>
      <c r="E1258" s="4" t="s">
        <v>2911</v>
      </c>
      <c r="F1258" s="4" t="s">
        <v>10074</v>
      </c>
      <c r="G1258" s="4" t="s">
        <v>10075</v>
      </c>
      <c r="H1258" s="4">
        <v>1.98</v>
      </c>
      <c r="I1258" s="4">
        <v>1.06</v>
      </c>
      <c r="J1258" s="4">
        <v>0.24288000000000001</v>
      </c>
      <c r="K1258" s="4" t="b">
        <v>1</v>
      </c>
      <c r="L1258" s="4" t="b">
        <v>0</v>
      </c>
    </row>
    <row r="1259" spans="1:12" ht="13">
      <c r="A1259" s="4" t="s">
        <v>10076</v>
      </c>
      <c r="B1259" s="4" t="s">
        <v>4951</v>
      </c>
      <c r="C1259" s="4" t="s">
        <v>108</v>
      </c>
      <c r="D1259" s="4" t="s">
        <v>4952</v>
      </c>
      <c r="E1259" s="4" t="s">
        <v>2911</v>
      </c>
      <c r="F1259" s="4" t="s">
        <v>10077</v>
      </c>
      <c r="G1259" s="4" t="s">
        <v>10078</v>
      </c>
      <c r="H1259" s="4">
        <v>2</v>
      </c>
      <c r="I1259" s="4">
        <v>1.07</v>
      </c>
      <c r="J1259" s="4">
        <v>0.24829999999999999</v>
      </c>
      <c r="K1259" s="4" t="b">
        <v>1</v>
      </c>
      <c r="L1259" s="4" t="b">
        <v>0</v>
      </c>
    </row>
    <row r="1260" spans="1:12" ht="13">
      <c r="A1260" s="4" t="s">
        <v>10079</v>
      </c>
      <c r="B1260" s="4" t="s">
        <v>4951</v>
      </c>
      <c r="C1260" s="4" t="s">
        <v>108</v>
      </c>
      <c r="D1260" s="4" t="s">
        <v>4952</v>
      </c>
      <c r="E1260" s="4" t="s">
        <v>2911</v>
      </c>
      <c r="F1260" s="4" t="s">
        <v>10080</v>
      </c>
      <c r="G1260" s="4" t="s">
        <v>10081</v>
      </c>
      <c r="H1260" s="4">
        <v>2</v>
      </c>
      <c r="I1260" s="4">
        <v>1.1399999999999999</v>
      </c>
      <c r="J1260" s="4">
        <v>0.25327</v>
      </c>
      <c r="K1260" s="4" t="b">
        <v>1</v>
      </c>
      <c r="L1260" s="4" t="b">
        <v>0</v>
      </c>
    </row>
    <row r="1261" spans="1:12" ht="13">
      <c r="A1261" s="4" t="s">
        <v>10082</v>
      </c>
      <c r="B1261" s="4" t="s">
        <v>4951</v>
      </c>
      <c r="C1261" s="4" t="s">
        <v>108</v>
      </c>
      <c r="D1261" s="4" t="s">
        <v>4952</v>
      </c>
      <c r="E1261" s="4" t="s">
        <v>2911</v>
      </c>
      <c r="F1261" s="4" t="s">
        <v>10083</v>
      </c>
      <c r="G1261" s="4" t="s">
        <v>10084</v>
      </c>
      <c r="H1261" s="4">
        <v>2.0099999999999998</v>
      </c>
      <c r="I1261" s="4">
        <v>1.1200000000000001</v>
      </c>
      <c r="J1261" s="4">
        <v>0.24115</v>
      </c>
      <c r="K1261" s="4" t="b">
        <v>1</v>
      </c>
      <c r="L1261" s="4" t="b">
        <v>0</v>
      </c>
    </row>
    <row r="1262" spans="1:12" ht="13">
      <c r="A1262" s="4" t="s">
        <v>10085</v>
      </c>
      <c r="B1262" s="4" t="s">
        <v>4951</v>
      </c>
      <c r="C1262" s="4" t="s">
        <v>108</v>
      </c>
      <c r="D1262" s="4" t="s">
        <v>4952</v>
      </c>
      <c r="E1262" s="4" t="s">
        <v>2911</v>
      </c>
      <c r="F1262" s="4" t="s">
        <v>10086</v>
      </c>
      <c r="G1262" s="4" t="s">
        <v>10087</v>
      </c>
      <c r="H1262" s="4">
        <v>2.02</v>
      </c>
      <c r="I1262" s="4">
        <v>1.08</v>
      </c>
      <c r="J1262" s="4">
        <v>0.23738999999999999</v>
      </c>
      <c r="K1262" s="4" t="b">
        <v>1</v>
      </c>
      <c r="L1262" s="4" t="b">
        <v>0</v>
      </c>
    </row>
    <row r="1263" spans="1:12" ht="13">
      <c r="A1263" s="4" t="s">
        <v>10088</v>
      </c>
      <c r="B1263" s="4" t="s">
        <v>4951</v>
      </c>
      <c r="C1263" s="4" t="s">
        <v>108</v>
      </c>
      <c r="D1263" s="41" t="s">
        <v>4952</v>
      </c>
      <c r="E1263" s="4" t="s">
        <v>2911</v>
      </c>
      <c r="F1263" s="4" t="s">
        <v>10089</v>
      </c>
      <c r="G1263" s="4" t="s">
        <v>10090</v>
      </c>
      <c r="H1263" s="4">
        <v>2.02</v>
      </c>
      <c r="I1263" s="4">
        <v>1.1100000000000001</v>
      </c>
      <c r="J1263" s="4">
        <v>0.24254999999999999</v>
      </c>
      <c r="K1263" s="4" t="b">
        <v>1</v>
      </c>
      <c r="L1263" s="4" t="b">
        <v>0</v>
      </c>
    </row>
    <row r="1264" spans="1:12" ht="13">
      <c r="A1264" s="4" t="s">
        <v>10091</v>
      </c>
      <c r="B1264" s="4" t="s">
        <v>4951</v>
      </c>
      <c r="C1264" s="4" t="s">
        <v>108</v>
      </c>
      <c r="D1264" s="41" t="s">
        <v>4952</v>
      </c>
      <c r="E1264" s="4" t="s">
        <v>2911</v>
      </c>
      <c r="F1264" s="4" t="s">
        <v>10092</v>
      </c>
      <c r="G1264" s="4" t="s">
        <v>10093</v>
      </c>
      <c r="H1264" s="4">
        <v>2.0299999999999998</v>
      </c>
      <c r="I1264" s="4">
        <v>1.06</v>
      </c>
      <c r="J1264" s="4">
        <v>0.26064999999999999</v>
      </c>
      <c r="K1264" s="4" t="b">
        <v>1</v>
      </c>
      <c r="L1264" s="4" t="b">
        <v>0</v>
      </c>
    </row>
    <row r="1265" spans="1:12" ht="13">
      <c r="A1265" s="4" t="s">
        <v>10094</v>
      </c>
      <c r="B1265" s="4" t="s">
        <v>4951</v>
      </c>
      <c r="C1265" s="4" t="s">
        <v>108</v>
      </c>
      <c r="D1265" s="4" t="s">
        <v>4952</v>
      </c>
      <c r="E1265" s="4" t="s">
        <v>2911</v>
      </c>
      <c r="F1265" s="4" t="s">
        <v>10095</v>
      </c>
      <c r="G1265" s="4" t="s">
        <v>10096</v>
      </c>
      <c r="H1265" s="4">
        <v>2.04</v>
      </c>
      <c r="I1265" s="4">
        <v>1.56</v>
      </c>
      <c r="J1265" s="4">
        <v>0.22764999999999999</v>
      </c>
      <c r="K1265" s="4" t="b">
        <v>1</v>
      </c>
      <c r="L1265" s="4" t="b">
        <v>0</v>
      </c>
    </row>
    <row r="1266" spans="1:12" ht="13">
      <c r="A1266" s="4" t="s">
        <v>10097</v>
      </c>
      <c r="B1266" s="4" t="s">
        <v>4951</v>
      </c>
      <c r="C1266" s="4" t="s">
        <v>108</v>
      </c>
      <c r="D1266" s="4" t="s">
        <v>4952</v>
      </c>
      <c r="E1266" s="4" t="s">
        <v>2911</v>
      </c>
      <c r="F1266" s="4" t="s">
        <v>10098</v>
      </c>
      <c r="G1266" s="4" t="s">
        <v>10099</v>
      </c>
      <c r="H1266" s="4">
        <v>2.0499999999999998</v>
      </c>
      <c r="I1266" s="4">
        <v>1.18</v>
      </c>
      <c r="J1266" s="4">
        <v>0.25235999999999997</v>
      </c>
      <c r="K1266" s="4" t="b">
        <v>1</v>
      </c>
      <c r="L1266" s="4" t="b">
        <v>0</v>
      </c>
    </row>
    <row r="1267" spans="1:12" ht="13">
      <c r="A1267" s="4" t="s">
        <v>10103</v>
      </c>
      <c r="B1267" s="4" t="s">
        <v>4951</v>
      </c>
      <c r="C1267" s="4" t="s">
        <v>108</v>
      </c>
      <c r="D1267" s="4" t="s">
        <v>4952</v>
      </c>
      <c r="E1267" s="4" t="s">
        <v>2911</v>
      </c>
      <c r="F1267" s="4" t="s">
        <v>10104</v>
      </c>
      <c r="G1267" s="4" t="s">
        <v>10105</v>
      </c>
      <c r="H1267" s="4">
        <v>2.06</v>
      </c>
      <c r="I1267" s="4">
        <v>1.08</v>
      </c>
      <c r="J1267" s="4">
        <v>0.22969000000000001</v>
      </c>
      <c r="K1267" s="4" t="b">
        <v>1</v>
      </c>
      <c r="L1267" s="4" t="b">
        <v>0</v>
      </c>
    </row>
    <row r="1268" spans="1:12" ht="13">
      <c r="A1268" s="4" t="s">
        <v>10106</v>
      </c>
      <c r="B1268" s="4" t="s">
        <v>4951</v>
      </c>
      <c r="C1268" s="4" t="s">
        <v>108</v>
      </c>
      <c r="D1268" s="4" t="s">
        <v>4952</v>
      </c>
      <c r="E1268" s="4" t="s">
        <v>2911</v>
      </c>
      <c r="F1268" s="4" t="s">
        <v>10107</v>
      </c>
      <c r="G1268" s="4" t="s">
        <v>10108</v>
      </c>
      <c r="H1268" s="4">
        <v>2.0699999999999998</v>
      </c>
      <c r="I1268" s="4">
        <v>1.04</v>
      </c>
      <c r="J1268" s="4">
        <v>0.22857</v>
      </c>
      <c r="K1268" s="4" t="b">
        <v>1</v>
      </c>
      <c r="L1268" s="4" t="b">
        <v>0</v>
      </c>
    </row>
    <row r="1269" spans="1:12" ht="13">
      <c r="A1269" s="4" t="s">
        <v>10109</v>
      </c>
      <c r="B1269" s="4" t="s">
        <v>4951</v>
      </c>
      <c r="C1269" s="4" t="s">
        <v>108</v>
      </c>
      <c r="D1269" s="4" t="s">
        <v>4952</v>
      </c>
      <c r="E1269" s="4" t="s">
        <v>2911</v>
      </c>
      <c r="F1269" s="4" t="s">
        <v>10110</v>
      </c>
      <c r="G1269" s="4" t="s">
        <v>10111</v>
      </c>
      <c r="H1269" s="4">
        <v>2.08</v>
      </c>
      <c r="I1269" s="4">
        <v>1.1000000000000001</v>
      </c>
      <c r="J1269" s="4">
        <v>0.23669999999999999</v>
      </c>
      <c r="K1269" s="4" t="b">
        <v>1</v>
      </c>
      <c r="L1269" s="4" t="b">
        <v>0</v>
      </c>
    </row>
    <row r="1270" spans="1:12" ht="13">
      <c r="A1270" s="4" t="s">
        <v>10112</v>
      </c>
      <c r="B1270" s="4" t="s">
        <v>4951</v>
      </c>
      <c r="C1270" s="4" t="s">
        <v>108</v>
      </c>
      <c r="D1270" s="4" t="s">
        <v>4952</v>
      </c>
      <c r="E1270" s="4" t="s">
        <v>2911</v>
      </c>
      <c r="F1270" s="4" t="s">
        <v>10113</v>
      </c>
      <c r="G1270" s="4" t="s">
        <v>10114</v>
      </c>
      <c r="H1270" s="4">
        <v>2.08</v>
      </c>
      <c r="I1270" s="4">
        <v>1.1000000000000001</v>
      </c>
      <c r="J1270" s="4">
        <v>0.24859000000000001</v>
      </c>
      <c r="K1270" s="4" t="b">
        <v>1</v>
      </c>
      <c r="L1270" s="4" t="b">
        <v>0</v>
      </c>
    </row>
    <row r="1271" spans="1:12" ht="13">
      <c r="A1271" s="4" t="s">
        <v>10115</v>
      </c>
      <c r="B1271" s="4" t="s">
        <v>4951</v>
      </c>
      <c r="C1271" s="4" t="s">
        <v>108</v>
      </c>
      <c r="D1271" s="4" t="s">
        <v>4952</v>
      </c>
      <c r="E1271" s="4" t="s">
        <v>2911</v>
      </c>
      <c r="F1271" s="4" t="s">
        <v>10116</v>
      </c>
      <c r="G1271" s="4" t="s">
        <v>10117</v>
      </c>
      <c r="H1271" s="4">
        <v>2.09</v>
      </c>
      <c r="I1271" s="4">
        <v>1.0900000000000001</v>
      </c>
      <c r="J1271" s="4">
        <v>0.25125999999999998</v>
      </c>
      <c r="K1271" s="4" t="b">
        <v>1</v>
      </c>
      <c r="L1271" s="4" t="b">
        <v>0</v>
      </c>
    </row>
    <row r="1272" spans="1:12" ht="13">
      <c r="A1272" s="4" t="s">
        <v>10118</v>
      </c>
      <c r="B1272" s="4" t="s">
        <v>4951</v>
      </c>
      <c r="C1272" s="4" t="s">
        <v>108</v>
      </c>
      <c r="D1272" s="4" t="s">
        <v>4952</v>
      </c>
      <c r="E1272" s="4" t="s">
        <v>2911</v>
      </c>
      <c r="F1272" s="4" t="s">
        <v>10119</v>
      </c>
      <c r="G1272" s="4" t="s">
        <v>10120</v>
      </c>
      <c r="H1272" s="4">
        <v>2.1</v>
      </c>
      <c r="I1272" s="4">
        <v>1.1299999999999999</v>
      </c>
      <c r="J1272" s="4">
        <v>0.27328999999999998</v>
      </c>
      <c r="K1272" s="4" t="b">
        <v>1</v>
      </c>
      <c r="L1272" s="4" t="b">
        <v>0</v>
      </c>
    </row>
    <row r="1273" spans="1:12" ht="13">
      <c r="A1273" s="4" t="s">
        <v>10121</v>
      </c>
      <c r="B1273" s="4" t="s">
        <v>4951</v>
      </c>
      <c r="C1273" s="4" t="s">
        <v>108</v>
      </c>
      <c r="D1273" s="4" t="s">
        <v>4952</v>
      </c>
      <c r="E1273" s="4" t="s">
        <v>2911</v>
      </c>
      <c r="F1273" s="4" t="s">
        <v>10122</v>
      </c>
      <c r="G1273" s="4" t="s">
        <v>10123</v>
      </c>
      <c r="H1273" s="4">
        <v>2.1</v>
      </c>
      <c r="I1273" s="4">
        <v>1.1000000000000001</v>
      </c>
      <c r="J1273" s="4">
        <v>0.25170999999999999</v>
      </c>
      <c r="K1273" s="4" t="b">
        <v>1</v>
      </c>
      <c r="L1273" s="4" t="b">
        <v>0</v>
      </c>
    </row>
    <row r="1274" spans="1:12" ht="13">
      <c r="A1274" s="4" t="s">
        <v>10124</v>
      </c>
      <c r="B1274" s="4" t="s">
        <v>4951</v>
      </c>
      <c r="C1274" s="4" t="s">
        <v>108</v>
      </c>
      <c r="D1274" s="4" t="s">
        <v>4952</v>
      </c>
      <c r="E1274" s="4" t="s">
        <v>2911</v>
      </c>
      <c r="F1274" s="4" t="s">
        <v>10125</v>
      </c>
      <c r="G1274" s="4" t="s">
        <v>10126</v>
      </c>
      <c r="H1274" s="4">
        <v>2.11</v>
      </c>
      <c r="I1274" s="4">
        <v>1.1599999999999999</v>
      </c>
      <c r="J1274" s="4">
        <v>0.21006</v>
      </c>
      <c r="K1274" s="4" t="b">
        <v>1</v>
      </c>
      <c r="L1274" s="4" t="b">
        <v>0</v>
      </c>
    </row>
    <row r="1275" spans="1:12" ht="13">
      <c r="A1275" s="4" t="s">
        <v>10127</v>
      </c>
      <c r="B1275" s="4" t="s">
        <v>4951</v>
      </c>
      <c r="C1275" s="4" t="s">
        <v>108</v>
      </c>
      <c r="D1275" s="4" t="s">
        <v>4952</v>
      </c>
      <c r="E1275" s="4" t="s">
        <v>2911</v>
      </c>
      <c r="F1275" s="4" t="s">
        <v>10128</v>
      </c>
      <c r="G1275" s="4" t="s">
        <v>10129</v>
      </c>
      <c r="H1275" s="4">
        <v>2.12</v>
      </c>
      <c r="I1275" s="4">
        <v>1.2</v>
      </c>
      <c r="J1275" s="4">
        <v>0.26211000000000001</v>
      </c>
      <c r="K1275" s="4" t="b">
        <v>1</v>
      </c>
      <c r="L1275" s="4" t="b">
        <v>0</v>
      </c>
    </row>
    <row r="1276" spans="1:12" ht="13">
      <c r="A1276" s="4" t="s">
        <v>10130</v>
      </c>
      <c r="B1276" s="4" t="s">
        <v>4951</v>
      </c>
      <c r="C1276" s="4" t="s">
        <v>108</v>
      </c>
      <c r="D1276" s="4" t="s">
        <v>4952</v>
      </c>
      <c r="E1276" s="4" t="s">
        <v>2911</v>
      </c>
      <c r="F1276" s="4" t="s">
        <v>10131</v>
      </c>
      <c r="G1276" s="4" t="s">
        <v>10132</v>
      </c>
      <c r="H1276" s="4">
        <v>2.13</v>
      </c>
      <c r="I1276" s="4">
        <v>1.1000000000000001</v>
      </c>
      <c r="J1276" s="4">
        <v>0.24376999999999999</v>
      </c>
      <c r="K1276" s="4" t="b">
        <v>1</v>
      </c>
      <c r="L1276" s="4" t="b">
        <v>0</v>
      </c>
    </row>
    <row r="1277" spans="1:12" ht="13">
      <c r="A1277" s="4" t="s">
        <v>10133</v>
      </c>
      <c r="B1277" s="4" t="s">
        <v>4951</v>
      </c>
      <c r="C1277" s="4" t="s">
        <v>108</v>
      </c>
      <c r="D1277" s="4" t="s">
        <v>4952</v>
      </c>
      <c r="E1277" s="4" t="s">
        <v>2911</v>
      </c>
      <c r="F1277" s="4" t="s">
        <v>10134</v>
      </c>
      <c r="G1277" s="4" t="s">
        <v>10135</v>
      </c>
      <c r="H1277" s="4">
        <v>2.13</v>
      </c>
      <c r="I1277" s="4">
        <v>1.08</v>
      </c>
      <c r="J1277" s="4">
        <v>0.24288000000000001</v>
      </c>
      <c r="K1277" s="4" t="b">
        <v>1</v>
      </c>
      <c r="L1277" s="4" t="b">
        <v>0</v>
      </c>
    </row>
    <row r="1278" spans="1:12" ht="13">
      <c r="A1278" s="4" t="s">
        <v>10136</v>
      </c>
      <c r="B1278" s="4" t="s">
        <v>4951</v>
      </c>
      <c r="C1278" s="4" t="s">
        <v>108</v>
      </c>
      <c r="D1278" s="4" t="s">
        <v>4952</v>
      </c>
      <c r="E1278" s="4" t="s">
        <v>2911</v>
      </c>
      <c r="F1278" s="4" t="s">
        <v>10137</v>
      </c>
      <c r="G1278" s="4" t="s">
        <v>10138</v>
      </c>
      <c r="H1278" s="4">
        <v>2.14</v>
      </c>
      <c r="I1278" s="4">
        <v>1.19</v>
      </c>
      <c r="J1278" s="4">
        <v>0.24185000000000001</v>
      </c>
      <c r="K1278" s="4" t="b">
        <v>1</v>
      </c>
      <c r="L1278" s="4" t="b">
        <v>0</v>
      </c>
    </row>
    <row r="1279" spans="1:12" ht="13">
      <c r="A1279" s="4" t="s">
        <v>10139</v>
      </c>
      <c r="B1279" s="4" t="s">
        <v>4951</v>
      </c>
      <c r="C1279" s="4" t="s">
        <v>108</v>
      </c>
      <c r="D1279" s="4" t="s">
        <v>4952</v>
      </c>
      <c r="E1279" s="4" t="s">
        <v>2911</v>
      </c>
      <c r="F1279" s="4" t="s">
        <v>10140</v>
      </c>
      <c r="G1279" s="4" t="s">
        <v>10141</v>
      </c>
      <c r="H1279" s="4">
        <v>2.15</v>
      </c>
      <c r="I1279" s="4">
        <v>1.08</v>
      </c>
      <c r="J1279" s="4">
        <v>0.24288000000000001</v>
      </c>
      <c r="K1279" s="4" t="b">
        <v>1</v>
      </c>
      <c r="L1279" s="4" t="b">
        <v>0</v>
      </c>
    </row>
    <row r="1280" spans="1:12" ht="13">
      <c r="A1280" s="4" t="s">
        <v>10142</v>
      </c>
      <c r="B1280" s="4" t="s">
        <v>4951</v>
      </c>
      <c r="C1280" s="4" t="s">
        <v>108</v>
      </c>
      <c r="D1280" s="4" t="s">
        <v>4952</v>
      </c>
      <c r="E1280" s="4" t="s">
        <v>2911</v>
      </c>
      <c r="F1280" s="4" t="s">
        <v>10143</v>
      </c>
      <c r="G1280" s="4" t="s">
        <v>10144</v>
      </c>
      <c r="H1280" s="4">
        <v>2.16</v>
      </c>
      <c r="I1280" s="4">
        <v>1.26</v>
      </c>
      <c r="J1280" s="4">
        <v>0.23635</v>
      </c>
      <c r="K1280" s="4" t="b">
        <v>1</v>
      </c>
      <c r="L1280" s="4" t="b">
        <v>0</v>
      </c>
    </row>
    <row r="1281" spans="1:13" ht="13">
      <c r="A1281" s="4" t="s">
        <v>3166</v>
      </c>
      <c r="B1281" s="4" t="s">
        <v>4951</v>
      </c>
      <c r="C1281" s="4" t="s">
        <v>108</v>
      </c>
      <c r="D1281" s="4" t="s">
        <v>4952</v>
      </c>
      <c r="E1281" s="4" t="s">
        <v>2911</v>
      </c>
      <c r="F1281" s="4" t="s">
        <v>5082</v>
      </c>
      <c r="G1281" s="4" t="s">
        <v>3062</v>
      </c>
      <c r="H1281" s="4">
        <v>2.16</v>
      </c>
      <c r="I1281" s="4">
        <v>1.08</v>
      </c>
      <c r="J1281" s="4">
        <v>0.23164000000000001</v>
      </c>
      <c r="K1281" s="4" t="b">
        <v>1</v>
      </c>
      <c r="L1281" s="4" t="b">
        <v>1</v>
      </c>
      <c r="M1281" s="41" t="s">
        <v>4995</v>
      </c>
    </row>
    <row r="1282" spans="1:13" ht="13">
      <c r="A1282" s="4" t="s">
        <v>10145</v>
      </c>
      <c r="B1282" s="4" t="s">
        <v>4951</v>
      </c>
      <c r="C1282" s="4" t="s">
        <v>108</v>
      </c>
      <c r="D1282" s="4" t="s">
        <v>4952</v>
      </c>
      <c r="E1282" s="4" t="s">
        <v>2911</v>
      </c>
      <c r="F1282" s="4" t="s">
        <v>10146</v>
      </c>
      <c r="G1282" s="4" t="s">
        <v>10147</v>
      </c>
      <c r="H1282" s="4">
        <v>2.17</v>
      </c>
      <c r="I1282" s="4">
        <v>1.05</v>
      </c>
      <c r="J1282" s="4">
        <v>0.22269</v>
      </c>
      <c r="K1282" s="4" t="b">
        <v>1</v>
      </c>
      <c r="L1282" s="4" t="b">
        <v>0</v>
      </c>
    </row>
    <row r="1283" spans="1:13" ht="13">
      <c r="A1283" s="4" t="s">
        <v>10148</v>
      </c>
      <c r="B1283" s="4" t="s">
        <v>4951</v>
      </c>
      <c r="C1283" s="4" t="s">
        <v>108</v>
      </c>
      <c r="D1283" s="4" t="s">
        <v>4952</v>
      </c>
      <c r="E1283" s="4" t="s">
        <v>2911</v>
      </c>
      <c r="F1283" s="4" t="s">
        <v>10149</v>
      </c>
      <c r="G1283" s="4" t="s">
        <v>10150</v>
      </c>
      <c r="H1283" s="4">
        <v>2.1800000000000002</v>
      </c>
      <c r="I1283" s="4">
        <v>1.25</v>
      </c>
      <c r="J1283" s="4">
        <v>0.23615</v>
      </c>
      <c r="K1283" s="4" t="b">
        <v>1</v>
      </c>
      <c r="L1283" s="4" t="b">
        <v>0</v>
      </c>
    </row>
    <row r="1284" spans="1:13" ht="13">
      <c r="A1284" s="4" t="s">
        <v>10151</v>
      </c>
      <c r="B1284" s="4" t="s">
        <v>4951</v>
      </c>
      <c r="C1284" s="4" t="s">
        <v>108</v>
      </c>
      <c r="D1284" s="4" t="s">
        <v>4952</v>
      </c>
      <c r="E1284" s="4" t="s">
        <v>2911</v>
      </c>
      <c r="F1284" s="4" t="s">
        <v>10152</v>
      </c>
      <c r="G1284" s="4" t="s">
        <v>10153</v>
      </c>
      <c r="H1284" s="4">
        <v>2.19</v>
      </c>
      <c r="I1284" s="4">
        <v>1.1599999999999999</v>
      </c>
      <c r="J1284" s="4">
        <v>0.25591000000000003</v>
      </c>
      <c r="K1284" s="4" t="b">
        <v>1</v>
      </c>
      <c r="L1284" s="4" t="b">
        <v>0</v>
      </c>
    </row>
    <row r="1285" spans="1:13" ht="13">
      <c r="A1285" s="4" t="s">
        <v>3167</v>
      </c>
      <c r="B1285" s="4" t="s">
        <v>4951</v>
      </c>
      <c r="C1285" s="4" t="s">
        <v>108</v>
      </c>
      <c r="D1285" s="4" t="s">
        <v>4952</v>
      </c>
      <c r="E1285" s="4" t="s">
        <v>2911</v>
      </c>
      <c r="F1285" s="4" t="s">
        <v>4979</v>
      </c>
      <c r="G1285" s="4" t="s">
        <v>3063</v>
      </c>
      <c r="H1285" s="4">
        <v>2.2000000000000002</v>
      </c>
      <c r="I1285" s="4">
        <v>1.06</v>
      </c>
      <c r="J1285" s="4">
        <v>0.24582999999999999</v>
      </c>
      <c r="K1285" s="4" t="b">
        <v>1</v>
      </c>
      <c r="L1285" s="4" t="b">
        <v>1</v>
      </c>
      <c r="M1285" s="41" t="s">
        <v>4929</v>
      </c>
    </row>
    <row r="1286" spans="1:13" ht="13">
      <c r="A1286" s="4" t="s">
        <v>10154</v>
      </c>
      <c r="B1286" s="4" t="s">
        <v>4951</v>
      </c>
      <c r="C1286" s="4" t="s">
        <v>108</v>
      </c>
      <c r="D1286" s="4" t="s">
        <v>4952</v>
      </c>
      <c r="E1286" s="4" t="s">
        <v>2911</v>
      </c>
      <c r="F1286" s="4" t="s">
        <v>10155</v>
      </c>
      <c r="G1286" s="4" t="s">
        <v>10156</v>
      </c>
      <c r="H1286" s="4">
        <v>2.21</v>
      </c>
      <c r="I1286" s="4">
        <v>1.1399999999999999</v>
      </c>
      <c r="J1286" s="4">
        <v>0.24101</v>
      </c>
      <c r="K1286" s="4" t="b">
        <v>1</v>
      </c>
      <c r="L1286" s="4" t="b">
        <v>0</v>
      </c>
    </row>
    <row r="1287" spans="1:13" ht="13">
      <c r="A1287" s="4" t="s">
        <v>3168</v>
      </c>
      <c r="B1287" s="4" t="s">
        <v>4951</v>
      </c>
      <c r="C1287" s="4" t="s">
        <v>108</v>
      </c>
      <c r="D1287" s="4" t="s">
        <v>4952</v>
      </c>
      <c r="E1287" s="4" t="s">
        <v>2911</v>
      </c>
      <c r="F1287" s="4" t="s">
        <v>5155</v>
      </c>
      <c r="G1287" s="4" t="s">
        <v>3064</v>
      </c>
      <c r="H1287" s="4">
        <v>2.2200000000000002</v>
      </c>
      <c r="I1287" s="4">
        <v>1.06</v>
      </c>
      <c r="J1287" s="4">
        <v>0.22348000000000001</v>
      </c>
      <c r="K1287" s="4" t="b">
        <v>1</v>
      </c>
      <c r="L1287" s="4" t="b">
        <v>1</v>
      </c>
      <c r="M1287" s="41" t="s">
        <v>4955</v>
      </c>
    </row>
    <row r="1288" spans="1:13" ht="13">
      <c r="A1288" s="4" t="s">
        <v>10157</v>
      </c>
      <c r="B1288" s="4" t="s">
        <v>4951</v>
      </c>
      <c r="C1288" s="4" t="s">
        <v>108</v>
      </c>
      <c r="D1288" s="4" t="s">
        <v>4952</v>
      </c>
      <c r="E1288" s="4" t="s">
        <v>2911</v>
      </c>
      <c r="F1288" s="4" t="s">
        <v>10158</v>
      </c>
      <c r="G1288" s="4" t="s">
        <v>10159</v>
      </c>
      <c r="H1288" s="4">
        <v>2.23</v>
      </c>
      <c r="I1288" s="4">
        <v>0.97</v>
      </c>
      <c r="J1288" s="4">
        <v>0.21013000000000001</v>
      </c>
      <c r="K1288" s="4" t="b">
        <v>1</v>
      </c>
      <c r="L1288" s="4" t="b">
        <v>0</v>
      </c>
    </row>
    <row r="1289" spans="1:13" ht="13">
      <c r="A1289" s="4" t="s">
        <v>10160</v>
      </c>
      <c r="B1289" s="4" t="s">
        <v>4951</v>
      </c>
      <c r="C1289" s="4" t="s">
        <v>108</v>
      </c>
      <c r="D1289" s="4" t="s">
        <v>4952</v>
      </c>
      <c r="E1289" s="4" t="s">
        <v>2911</v>
      </c>
      <c r="F1289" s="4" t="s">
        <v>10161</v>
      </c>
      <c r="G1289" s="4" t="s">
        <v>10162</v>
      </c>
      <c r="H1289" s="4">
        <v>2.2400000000000002</v>
      </c>
      <c r="I1289" s="4">
        <v>1.1299999999999999</v>
      </c>
      <c r="J1289" s="4">
        <v>0.23898</v>
      </c>
      <c r="K1289" s="4" t="b">
        <v>1</v>
      </c>
      <c r="L1289" s="4" t="b">
        <v>0</v>
      </c>
    </row>
    <row r="1290" spans="1:13" ht="13">
      <c r="A1290" s="4" t="s">
        <v>10163</v>
      </c>
      <c r="B1290" s="4" t="s">
        <v>4951</v>
      </c>
      <c r="C1290" s="4" t="s">
        <v>108</v>
      </c>
      <c r="D1290" s="4" t="s">
        <v>4952</v>
      </c>
      <c r="E1290" s="4" t="s">
        <v>2911</v>
      </c>
      <c r="F1290" s="4" t="s">
        <v>10164</v>
      </c>
      <c r="G1290" s="4" t="s">
        <v>10165</v>
      </c>
      <c r="H1290" s="4">
        <v>2.2599999999999998</v>
      </c>
      <c r="I1290" s="4">
        <v>1.0900000000000001</v>
      </c>
      <c r="J1290" s="4">
        <v>0.23932999999999999</v>
      </c>
      <c r="K1290" s="4" t="b">
        <v>1</v>
      </c>
      <c r="L1290" s="4" t="b">
        <v>0</v>
      </c>
    </row>
    <row r="1291" spans="1:13" ht="13">
      <c r="A1291" s="4" t="s">
        <v>10166</v>
      </c>
      <c r="B1291" s="4" t="s">
        <v>4951</v>
      </c>
      <c r="C1291" s="4" t="s">
        <v>108</v>
      </c>
      <c r="D1291" s="4" t="s">
        <v>4952</v>
      </c>
      <c r="E1291" s="4" t="s">
        <v>2911</v>
      </c>
      <c r="F1291" s="4" t="s">
        <v>10167</v>
      </c>
      <c r="G1291" s="4" t="s">
        <v>10168</v>
      </c>
      <c r="H1291" s="4">
        <v>2.27</v>
      </c>
      <c r="I1291" s="4">
        <v>1.1499999999999999</v>
      </c>
      <c r="J1291" s="4">
        <v>0.23261000000000001</v>
      </c>
      <c r="K1291" s="4" t="b">
        <v>1</v>
      </c>
      <c r="L1291" s="4" t="b">
        <v>0</v>
      </c>
    </row>
    <row r="1292" spans="1:13" ht="13">
      <c r="A1292" s="4" t="s">
        <v>10169</v>
      </c>
      <c r="B1292" s="4" t="s">
        <v>4951</v>
      </c>
      <c r="C1292" s="4" t="s">
        <v>108</v>
      </c>
      <c r="D1292" s="4" t="s">
        <v>4952</v>
      </c>
      <c r="E1292" s="4" t="s">
        <v>2911</v>
      </c>
      <c r="F1292" s="4" t="s">
        <v>10170</v>
      </c>
      <c r="G1292" s="4" t="s">
        <v>10171</v>
      </c>
      <c r="H1292" s="4">
        <v>2.2799999999999998</v>
      </c>
      <c r="I1292" s="4">
        <v>1.08</v>
      </c>
      <c r="J1292" s="4">
        <v>0.22847999999999999</v>
      </c>
      <c r="K1292" s="4" t="b">
        <v>1</v>
      </c>
      <c r="L1292" s="4" t="b">
        <v>0</v>
      </c>
    </row>
    <row r="1293" spans="1:13" ht="13">
      <c r="A1293" s="4" t="s">
        <v>10172</v>
      </c>
      <c r="B1293" s="4" t="s">
        <v>4951</v>
      </c>
      <c r="C1293" s="4" t="s">
        <v>108</v>
      </c>
      <c r="D1293" s="4" t="s">
        <v>4952</v>
      </c>
      <c r="E1293" s="4" t="s">
        <v>2911</v>
      </c>
      <c r="F1293" s="4" t="s">
        <v>10173</v>
      </c>
      <c r="G1293" s="4" t="s">
        <v>10174</v>
      </c>
      <c r="H1293" s="4">
        <v>2.29</v>
      </c>
      <c r="I1293" s="4">
        <v>1.19</v>
      </c>
      <c r="J1293" s="4">
        <v>0.27489000000000002</v>
      </c>
      <c r="K1293" s="4" t="b">
        <v>1</v>
      </c>
      <c r="L1293" s="4" t="b">
        <v>0</v>
      </c>
    </row>
    <row r="1294" spans="1:13" ht="13">
      <c r="A1294" s="4" t="s">
        <v>10175</v>
      </c>
      <c r="B1294" s="4" t="s">
        <v>4951</v>
      </c>
      <c r="C1294" s="4" t="s">
        <v>108</v>
      </c>
      <c r="D1294" s="4" t="s">
        <v>4952</v>
      </c>
      <c r="E1294" s="4" t="s">
        <v>2911</v>
      </c>
      <c r="F1294" s="4" t="s">
        <v>10176</v>
      </c>
      <c r="G1294" s="4" t="s">
        <v>10177</v>
      </c>
      <c r="H1294" s="4">
        <v>2.29</v>
      </c>
      <c r="I1294" s="4">
        <v>1.1299999999999999</v>
      </c>
      <c r="J1294" s="4">
        <v>0.24467</v>
      </c>
      <c r="K1294" s="4" t="b">
        <v>1</v>
      </c>
      <c r="L1294" s="4" t="b">
        <v>0</v>
      </c>
    </row>
    <row r="1295" spans="1:13" ht="13">
      <c r="A1295" s="4" t="s">
        <v>10178</v>
      </c>
      <c r="B1295" s="4" t="s">
        <v>4951</v>
      </c>
      <c r="C1295" s="4" t="s">
        <v>108</v>
      </c>
      <c r="D1295" s="4" t="s">
        <v>4952</v>
      </c>
      <c r="E1295" s="4" t="s">
        <v>2911</v>
      </c>
      <c r="F1295" s="4" t="s">
        <v>10179</v>
      </c>
      <c r="G1295" s="4" t="s">
        <v>10180</v>
      </c>
      <c r="H1295" s="4">
        <v>2.2999999999999998</v>
      </c>
      <c r="I1295" s="4">
        <v>1.1000000000000001</v>
      </c>
      <c r="J1295" s="4">
        <v>0.24648</v>
      </c>
      <c r="K1295" s="4" t="b">
        <v>1</v>
      </c>
      <c r="L1295" s="4" t="b">
        <v>0</v>
      </c>
    </row>
    <row r="1296" spans="1:13" ht="13">
      <c r="A1296" s="4" t="s">
        <v>10181</v>
      </c>
      <c r="B1296" s="4" t="s">
        <v>4951</v>
      </c>
      <c r="C1296" s="4" t="s">
        <v>108</v>
      </c>
      <c r="D1296" s="4" t="s">
        <v>4952</v>
      </c>
      <c r="E1296" s="4" t="s">
        <v>2911</v>
      </c>
      <c r="F1296" s="4" t="s">
        <v>10182</v>
      </c>
      <c r="G1296" s="4" t="s">
        <v>10183</v>
      </c>
      <c r="H1296" s="4">
        <v>2.31</v>
      </c>
      <c r="I1296" s="4">
        <v>1.1100000000000001</v>
      </c>
      <c r="J1296" s="4">
        <v>0.22388</v>
      </c>
      <c r="K1296" s="4" t="b">
        <v>1</v>
      </c>
      <c r="L1296" s="4" t="b">
        <v>0</v>
      </c>
    </row>
    <row r="1297" spans="1:13" ht="13">
      <c r="A1297" s="4" t="s">
        <v>10184</v>
      </c>
      <c r="B1297" s="4" t="s">
        <v>4951</v>
      </c>
      <c r="C1297" s="4" t="s">
        <v>108</v>
      </c>
      <c r="D1297" s="4" t="s">
        <v>4952</v>
      </c>
      <c r="E1297" s="4" t="s">
        <v>2911</v>
      </c>
      <c r="F1297" s="4" t="s">
        <v>10185</v>
      </c>
      <c r="G1297" s="4" t="s">
        <v>10186</v>
      </c>
      <c r="H1297" s="4">
        <v>2.31</v>
      </c>
      <c r="I1297" s="4">
        <v>1.1200000000000001</v>
      </c>
      <c r="J1297" s="4">
        <v>0.25845000000000001</v>
      </c>
      <c r="K1297" s="4" t="b">
        <v>1</v>
      </c>
      <c r="L1297" s="4" t="b">
        <v>0</v>
      </c>
    </row>
    <row r="1298" spans="1:13" ht="13">
      <c r="A1298" s="4" t="s">
        <v>10187</v>
      </c>
      <c r="B1298" s="4" t="s">
        <v>4951</v>
      </c>
      <c r="C1298" s="4" t="s">
        <v>108</v>
      </c>
      <c r="D1298" s="4" t="s">
        <v>4952</v>
      </c>
      <c r="E1298" s="4" t="s">
        <v>2911</v>
      </c>
      <c r="F1298" s="4" t="s">
        <v>10188</v>
      </c>
      <c r="G1298" s="4" t="s">
        <v>10189</v>
      </c>
      <c r="H1298" s="4">
        <v>2.3199999999999998</v>
      </c>
      <c r="I1298" s="4">
        <v>1.06</v>
      </c>
      <c r="J1298" s="4">
        <v>0.23522999999999999</v>
      </c>
      <c r="K1298" s="4" t="b">
        <v>1</v>
      </c>
      <c r="L1298" s="4" t="b">
        <v>0</v>
      </c>
    </row>
    <row r="1299" spans="1:13" ht="13">
      <c r="A1299" s="4" t="s">
        <v>10190</v>
      </c>
      <c r="B1299" s="4" t="s">
        <v>4951</v>
      </c>
      <c r="C1299" s="4" t="s">
        <v>108</v>
      </c>
      <c r="D1299" s="4" t="s">
        <v>4952</v>
      </c>
      <c r="E1299" s="4" t="s">
        <v>2911</v>
      </c>
      <c r="F1299" s="4" t="s">
        <v>10191</v>
      </c>
      <c r="G1299" s="4" t="s">
        <v>10192</v>
      </c>
      <c r="H1299" s="4">
        <v>2.33</v>
      </c>
      <c r="I1299" s="4">
        <v>1.05</v>
      </c>
      <c r="J1299" s="4">
        <v>0.23591000000000001</v>
      </c>
      <c r="K1299" s="4" t="b">
        <v>1</v>
      </c>
      <c r="L1299" s="4" t="b">
        <v>0</v>
      </c>
    </row>
    <row r="1300" spans="1:13" ht="13">
      <c r="A1300" s="4" t="s">
        <v>3169</v>
      </c>
      <c r="B1300" s="4" t="s">
        <v>4951</v>
      </c>
      <c r="C1300" s="4" t="s">
        <v>108</v>
      </c>
      <c r="D1300" s="4" t="s">
        <v>4952</v>
      </c>
      <c r="E1300" s="4" t="s">
        <v>2911</v>
      </c>
      <c r="F1300" s="4" t="s">
        <v>5083</v>
      </c>
      <c r="G1300" s="4" t="s">
        <v>3065</v>
      </c>
      <c r="H1300" s="4">
        <v>2.35</v>
      </c>
      <c r="I1300" s="4">
        <v>1.05</v>
      </c>
      <c r="J1300" s="4">
        <v>0.22702</v>
      </c>
      <c r="K1300" s="4" t="b">
        <v>1</v>
      </c>
      <c r="L1300" s="4" t="b">
        <v>1</v>
      </c>
      <c r="M1300" s="41" t="s">
        <v>4995</v>
      </c>
    </row>
    <row r="1301" spans="1:13" ht="13">
      <c r="A1301" s="4" t="s">
        <v>10193</v>
      </c>
      <c r="B1301" s="4" t="s">
        <v>4951</v>
      </c>
      <c r="C1301" s="4" t="s">
        <v>108</v>
      </c>
      <c r="D1301" s="4" t="s">
        <v>4952</v>
      </c>
      <c r="E1301" s="4" t="s">
        <v>2911</v>
      </c>
      <c r="F1301" s="4" t="s">
        <v>10194</v>
      </c>
      <c r="G1301" s="4" t="s">
        <v>10195</v>
      </c>
      <c r="H1301" s="4">
        <v>2.35</v>
      </c>
      <c r="I1301" s="4">
        <v>1.1299999999999999</v>
      </c>
      <c r="J1301" s="4">
        <v>0.22786999999999999</v>
      </c>
      <c r="K1301" s="4" t="b">
        <v>1</v>
      </c>
      <c r="L1301" s="4" t="b">
        <v>0</v>
      </c>
    </row>
    <row r="1302" spans="1:13" ht="13">
      <c r="A1302" s="4" t="s">
        <v>3170</v>
      </c>
      <c r="B1302" s="4" t="s">
        <v>4951</v>
      </c>
      <c r="C1302" s="4" t="s">
        <v>108</v>
      </c>
      <c r="D1302" s="4" t="s">
        <v>4952</v>
      </c>
      <c r="E1302" s="4" t="s">
        <v>2911</v>
      </c>
      <c r="F1302" s="4" t="s">
        <v>4980</v>
      </c>
      <c r="G1302" s="4" t="s">
        <v>3066</v>
      </c>
      <c r="H1302" s="4">
        <v>2.36</v>
      </c>
      <c r="I1302" s="4">
        <v>1.07</v>
      </c>
      <c r="J1302" s="4">
        <v>0.22953000000000001</v>
      </c>
      <c r="K1302" s="4" t="b">
        <v>1</v>
      </c>
      <c r="L1302" s="4" t="b">
        <v>1</v>
      </c>
      <c r="M1302" s="41" t="s">
        <v>4929</v>
      </c>
    </row>
    <row r="1303" spans="1:13" ht="13">
      <c r="A1303" s="4" t="s">
        <v>10196</v>
      </c>
      <c r="B1303" s="4" t="s">
        <v>4951</v>
      </c>
      <c r="C1303" s="4" t="s">
        <v>108</v>
      </c>
      <c r="D1303" s="4" t="s">
        <v>4952</v>
      </c>
      <c r="E1303" s="4" t="s">
        <v>2911</v>
      </c>
      <c r="F1303" s="4" t="s">
        <v>10197</v>
      </c>
      <c r="G1303" s="4" t="s">
        <v>10198</v>
      </c>
      <c r="H1303" s="4">
        <v>2.37</v>
      </c>
      <c r="I1303" s="4">
        <v>1.0900000000000001</v>
      </c>
      <c r="J1303" s="4">
        <v>0.24217</v>
      </c>
      <c r="K1303" s="4" t="b">
        <v>1</v>
      </c>
      <c r="L1303" s="4" t="b">
        <v>0</v>
      </c>
    </row>
    <row r="1304" spans="1:13" ht="13">
      <c r="A1304" s="4" t="s">
        <v>10199</v>
      </c>
      <c r="B1304" s="4" t="s">
        <v>4951</v>
      </c>
      <c r="C1304" s="4" t="s">
        <v>108</v>
      </c>
      <c r="D1304" s="4" t="s">
        <v>4952</v>
      </c>
      <c r="E1304" s="4" t="s">
        <v>2911</v>
      </c>
      <c r="F1304" s="4" t="s">
        <v>10200</v>
      </c>
      <c r="G1304" s="4" t="s">
        <v>10201</v>
      </c>
      <c r="H1304" s="4">
        <v>2.38</v>
      </c>
      <c r="I1304" s="4">
        <v>1.1200000000000001</v>
      </c>
      <c r="J1304" s="4">
        <v>0.23383000000000001</v>
      </c>
      <c r="K1304" s="4" t="b">
        <v>1</v>
      </c>
      <c r="L1304" s="4" t="b">
        <v>0</v>
      </c>
    </row>
    <row r="1305" spans="1:13" ht="13">
      <c r="A1305" s="4" t="s">
        <v>10202</v>
      </c>
      <c r="B1305" s="4" t="s">
        <v>4951</v>
      </c>
      <c r="C1305" s="4" t="s">
        <v>108</v>
      </c>
      <c r="D1305" s="4" t="s">
        <v>4952</v>
      </c>
      <c r="E1305" s="4" t="s">
        <v>2911</v>
      </c>
      <c r="F1305" s="4" t="s">
        <v>10203</v>
      </c>
      <c r="G1305" s="4" t="s">
        <v>10204</v>
      </c>
      <c r="H1305" s="4">
        <v>2.39</v>
      </c>
      <c r="I1305" s="4">
        <v>1.1599999999999999</v>
      </c>
      <c r="J1305" s="4">
        <v>0.25881999999999999</v>
      </c>
      <c r="K1305" s="4" t="b">
        <v>1</v>
      </c>
      <c r="L1305" s="4" t="b">
        <v>0</v>
      </c>
    </row>
    <row r="1306" spans="1:13" ht="13">
      <c r="A1306" s="4" t="s">
        <v>10205</v>
      </c>
      <c r="B1306" s="4" t="s">
        <v>4951</v>
      </c>
      <c r="C1306" s="4" t="s">
        <v>108</v>
      </c>
      <c r="D1306" s="4" t="s">
        <v>4952</v>
      </c>
      <c r="E1306" s="4" t="s">
        <v>2911</v>
      </c>
      <c r="F1306" s="4" t="s">
        <v>10206</v>
      </c>
      <c r="G1306" s="4" t="s">
        <v>10207</v>
      </c>
      <c r="H1306" s="4">
        <v>2.39</v>
      </c>
      <c r="I1306" s="4">
        <v>1.06</v>
      </c>
      <c r="J1306" s="4">
        <v>0.24309</v>
      </c>
      <c r="K1306" s="4" t="b">
        <v>1</v>
      </c>
      <c r="L1306" s="4" t="b">
        <v>0</v>
      </c>
    </row>
    <row r="1307" spans="1:13" ht="13">
      <c r="A1307" s="4" t="s">
        <v>10208</v>
      </c>
      <c r="B1307" s="4" t="s">
        <v>4951</v>
      </c>
      <c r="C1307" s="4" t="s">
        <v>108</v>
      </c>
      <c r="D1307" s="4" t="s">
        <v>4952</v>
      </c>
      <c r="E1307" s="4" t="s">
        <v>2911</v>
      </c>
      <c r="F1307" s="4" t="s">
        <v>10209</v>
      </c>
      <c r="G1307" s="4" t="s">
        <v>10210</v>
      </c>
      <c r="H1307" s="4">
        <v>2.4</v>
      </c>
      <c r="I1307" s="4">
        <v>1.0900000000000001</v>
      </c>
      <c r="J1307" s="4">
        <v>0.22481000000000001</v>
      </c>
      <c r="K1307" s="4" t="b">
        <v>1</v>
      </c>
      <c r="L1307" s="4" t="b">
        <v>0</v>
      </c>
    </row>
    <row r="1308" spans="1:13" ht="13">
      <c r="A1308" s="4" t="s">
        <v>10211</v>
      </c>
      <c r="B1308" s="4" t="s">
        <v>4951</v>
      </c>
      <c r="C1308" s="4" t="s">
        <v>108</v>
      </c>
      <c r="D1308" s="4" t="s">
        <v>4952</v>
      </c>
      <c r="E1308" s="4" t="s">
        <v>2911</v>
      </c>
      <c r="F1308" s="4" t="s">
        <v>10212</v>
      </c>
      <c r="G1308" s="4" t="s">
        <v>10213</v>
      </c>
      <c r="H1308" s="4">
        <v>2.48</v>
      </c>
      <c r="I1308" s="4">
        <v>1.0900000000000001</v>
      </c>
      <c r="J1308" s="4">
        <v>0.2281</v>
      </c>
      <c r="K1308" s="4" t="b">
        <v>1</v>
      </c>
      <c r="L1308" s="4" t="b">
        <v>0</v>
      </c>
    </row>
    <row r="1309" spans="1:13" ht="13">
      <c r="A1309" s="4" t="s">
        <v>10214</v>
      </c>
      <c r="B1309" s="4" t="s">
        <v>4951</v>
      </c>
      <c r="C1309" s="4" t="s">
        <v>108</v>
      </c>
      <c r="D1309" s="4" t="s">
        <v>4952</v>
      </c>
      <c r="E1309" s="4" t="s">
        <v>2911</v>
      </c>
      <c r="F1309" s="4" t="s">
        <v>10215</v>
      </c>
      <c r="G1309" s="4" t="s">
        <v>10216</v>
      </c>
      <c r="H1309" s="4">
        <v>2.4900000000000002</v>
      </c>
      <c r="I1309" s="4">
        <v>1.0900000000000001</v>
      </c>
      <c r="J1309" s="4">
        <v>0.24209</v>
      </c>
      <c r="K1309" s="4" t="b">
        <v>1</v>
      </c>
      <c r="L1309" s="4" t="b">
        <v>0</v>
      </c>
    </row>
    <row r="1310" spans="1:13" ht="13">
      <c r="A1310" s="4" t="s">
        <v>10217</v>
      </c>
      <c r="B1310" s="4" t="s">
        <v>4951</v>
      </c>
      <c r="C1310" s="4" t="s">
        <v>108</v>
      </c>
      <c r="D1310" s="4" t="s">
        <v>4952</v>
      </c>
      <c r="E1310" s="4" t="s">
        <v>2911</v>
      </c>
      <c r="F1310" s="4" t="s">
        <v>10218</v>
      </c>
      <c r="G1310" s="4" t="s">
        <v>10219</v>
      </c>
      <c r="H1310" s="4">
        <v>2.4900000000000002</v>
      </c>
      <c r="I1310" s="4">
        <v>1.1100000000000001</v>
      </c>
      <c r="J1310" s="4">
        <v>0.26629000000000003</v>
      </c>
      <c r="K1310" s="4" t="b">
        <v>1</v>
      </c>
      <c r="L1310" s="4" t="b">
        <v>0</v>
      </c>
    </row>
    <row r="1311" spans="1:13" ht="13">
      <c r="A1311" s="4" t="s">
        <v>10220</v>
      </c>
      <c r="B1311" s="4" t="s">
        <v>4951</v>
      </c>
      <c r="C1311" s="4" t="s">
        <v>108</v>
      </c>
      <c r="D1311" s="4" t="s">
        <v>4952</v>
      </c>
      <c r="E1311" s="4" t="s">
        <v>2911</v>
      </c>
      <c r="F1311" s="4" t="s">
        <v>10221</v>
      </c>
      <c r="G1311" s="4" t="s">
        <v>10222</v>
      </c>
      <c r="H1311" s="4">
        <v>2.5</v>
      </c>
      <c r="I1311" s="4">
        <v>1.1299999999999999</v>
      </c>
      <c r="J1311" s="4">
        <v>0.24210000000000001</v>
      </c>
      <c r="K1311" s="4" t="b">
        <v>1</v>
      </c>
      <c r="L1311" s="4" t="b">
        <v>0</v>
      </c>
    </row>
    <row r="1312" spans="1:13" ht="13">
      <c r="A1312" s="4" t="s">
        <v>10223</v>
      </c>
      <c r="B1312" s="4" t="s">
        <v>4951</v>
      </c>
      <c r="C1312" s="4" t="s">
        <v>108</v>
      </c>
      <c r="D1312" s="4" t="s">
        <v>4952</v>
      </c>
      <c r="E1312" s="4" t="s">
        <v>2911</v>
      </c>
      <c r="F1312" s="4" t="s">
        <v>10224</v>
      </c>
      <c r="G1312" s="4" t="s">
        <v>10225</v>
      </c>
      <c r="H1312" s="4">
        <v>2.5099999999999998</v>
      </c>
      <c r="I1312" s="4">
        <v>1.1599999999999999</v>
      </c>
      <c r="J1312" s="4">
        <v>0.25524999999999998</v>
      </c>
      <c r="K1312" s="4" t="b">
        <v>1</v>
      </c>
      <c r="L1312" s="4" t="b">
        <v>0</v>
      </c>
    </row>
    <row r="1313" spans="1:12" ht="13">
      <c r="A1313" s="4" t="s">
        <v>10226</v>
      </c>
      <c r="B1313" s="4" t="s">
        <v>4951</v>
      </c>
      <c r="C1313" s="4" t="s">
        <v>108</v>
      </c>
      <c r="D1313" s="4" t="s">
        <v>4952</v>
      </c>
      <c r="E1313" s="4" t="s">
        <v>2911</v>
      </c>
      <c r="F1313" s="4" t="s">
        <v>10227</v>
      </c>
      <c r="G1313" s="4" t="s">
        <v>10228</v>
      </c>
      <c r="H1313" s="4">
        <v>2.52</v>
      </c>
      <c r="I1313" s="4">
        <v>1.1100000000000001</v>
      </c>
      <c r="J1313" s="4">
        <v>0.24936</v>
      </c>
      <c r="K1313" s="4" t="b">
        <v>1</v>
      </c>
      <c r="L1313" s="4" t="b">
        <v>0</v>
      </c>
    </row>
    <row r="1314" spans="1:12" ht="13">
      <c r="A1314" s="4" t="s">
        <v>10229</v>
      </c>
      <c r="B1314" s="4" t="s">
        <v>4951</v>
      </c>
      <c r="C1314" s="4" t="s">
        <v>108</v>
      </c>
      <c r="D1314" s="4" t="s">
        <v>4952</v>
      </c>
      <c r="E1314" s="4" t="s">
        <v>2911</v>
      </c>
      <c r="F1314" s="4" t="s">
        <v>10230</v>
      </c>
      <c r="G1314" s="4" t="s">
        <v>10231</v>
      </c>
      <c r="H1314" s="4">
        <v>2.5299999999999998</v>
      </c>
      <c r="I1314" s="4">
        <v>1.21</v>
      </c>
      <c r="J1314" s="4">
        <v>0.23885999999999999</v>
      </c>
      <c r="K1314" s="4" t="b">
        <v>1</v>
      </c>
      <c r="L1314" s="4" t="b">
        <v>0</v>
      </c>
    </row>
    <row r="1315" spans="1:12" ht="13">
      <c r="A1315" s="4" t="s">
        <v>10232</v>
      </c>
      <c r="B1315" s="4" t="s">
        <v>4951</v>
      </c>
      <c r="C1315" s="4" t="s">
        <v>108</v>
      </c>
      <c r="D1315" s="4" t="s">
        <v>4952</v>
      </c>
      <c r="E1315" s="4" t="s">
        <v>2911</v>
      </c>
      <c r="F1315" s="4" t="s">
        <v>10233</v>
      </c>
      <c r="G1315" s="4" t="s">
        <v>10234</v>
      </c>
      <c r="H1315" s="4">
        <v>2.54</v>
      </c>
      <c r="I1315" s="4">
        <v>1.1399999999999999</v>
      </c>
      <c r="J1315" s="4">
        <v>0.23302</v>
      </c>
      <c r="K1315" s="4" t="b">
        <v>1</v>
      </c>
      <c r="L1315" s="4" t="b">
        <v>0</v>
      </c>
    </row>
    <row r="1316" spans="1:12" ht="13">
      <c r="A1316" s="4" t="s">
        <v>10235</v>
      </c>
      <c r="B1316" s="4" t="s">
        <v>4951</v>
      </c>
      <c r="C1316" s="4" t="s">
        <v>108</v>
      </c>
      <c r="D1316" s="4" t="s">
        <v>4952</v>
      </c>
      <c r="E1316" s="4" t="s">
        <v>2911</v>
      </c>
      <c r="F1316" s="4" t="s">
        <v>10236</v>
      </c>
      <c r="G1316" s="4" t="s">
        <v>10237</v>
      </c>
      <c r="H1316" s="4">
        <v>2.5499999999999998</v>
      </c>
      <c r="I1316" s="4">
        <v>1.1200000000000001</v>
      </c>
      <c r="J1316" s="4">
        <v>0.23865</v>
      </c>
      <c r="K1316" s="4" t="b">
        <v>1</v>
      </c>
      <c r="L1316" s="4" t="b">
        <v>0</v>
      </c>
    </row>
    <row r="1317" spans="1:12" ht="13">
      <c r="A1317" s="4" t="s">
        <v>10238</v>
      </c>
      <c r="B1317" s="4" t="s">
        <v>4951</v>
      </c>
      <c r="C1317" s="4" t="s">
        <v>108</v>
      </c>
      <c r="D1317" s="4" t="s">
        <v>4952</v>
      </c>
      <c r="E1317" s="4" t="s">
        <v>2911</v>
      </c>
      <c r="F1317" s="4" t="s">
        <v>10239</v>
      </c>
      <c r="G1317" s="4" t="s">
        <v>10240</v>
      </c>
      <c r="H1317" s="4">
        <v>2.56</v>
      </c>
      <c r="I1317" s="4">
        <v>1.06</v>
      </c>
      <c r="J1317" s="4">
        <v>0.23133999999999999</v>
      </c>
      <c r="K1317" s="4" t="b">
        <v>1</v>
      </c>
      <c r="L1317" s="4" t="b">
        <v>0</v>
      </c>
    </row>
    <row r="1318" spans="1:12" ht="13">
      <c r="A1318" s="4" t="s">
        <v>10241</v>
      </c>
      <c r="B1318" s="4" t="s">
        <v>4951</v>
      </c>
      <c r="C1318" s="4" t="s">
        <v>108</v>
      </c>
      <c r="D1318" s="4" t="s">
        <v>4952</v>
      </c>
      <c r="E1318" s="4" t="s">
        <v>2911</v>
      </c>
      <c r="F1318" s="4" t="s">
        <v>10242</v>
      </c>
      <c r="G1318" s="4" t="s">
        <v>10243</v>
      </c>
      <c r="H1318" s="4">
        <v>2.57</v>
      </c>
      <c r="I1318" s="4">
        <v>1.1399999999999999</v>
      </c>
      <c r="J1318" s="4">
        <v>0.25168000000000001</v>
      </c>
      <c r="K1318" s="4" t="b">
        <v>1</v>
      </c>
      <c r="L1318" s="4" t="b">
        <v>0</v>
      </c>
    </row>
    <row r="1319" spans="1:12" ht="13">
      <c r="A1319" s="4" t="s">
        <v>10244</v>
      </c>
      <c r="B1319" s="4" t="s">
        <v>4951</v>
      </c>
      <c r="C1319" s="4" t="s">
        <v>108</v>
      </c>
      <c r="D1319" s="4" t="s">
        <v>4952</v>
      </c>
      <c r="E1319" s="4" t="s">
        <v>2911</v>
      </c>
      <c r="F1319" s="4" t="s">
        <v>10245</v>
      </c>
      <c r="G1319" s="4" t="s">
        <v>10246</v>
      </c>
      <c r="H1319" s="4">
        <v>2.58</v>
      </c>
      <c r="I1319" s="4">
        <v>1.1100000000000001</v>
      </c>
      <c r="J1319" s="4">
        <v>0.24024999999999999</v>
      </c>
      <c r="K1319" s="4" t="b">
        <v>1</v>
      </c>
      <c r="L1319" s="4" t="b">
        <v>0</v>
      </c>
    </row>
    <row r="1320" spans="1:12" ht="13">
      <c r="A1320" s="4" t="s">
        <v>10247</v>
      </c>
      <c r="B1320" s="4" t="s">
        <v>4951</v>
      </c>
      <c r="C1320" s="4" t="s">
        <v>108</v>
      </c>
      <c r="D1320" s="4" t="s">
        <v>4952</v>
      </c>
      <c r="E1320" s="4" t="s">
        <v>2911</v>
      </c>
      <c r="F1320" s="4" t="s">
        <v>10248</v>
      </c>
      <c r="G1320" s="4" t="s">
        <v>10249</v>
      </c>
      <c r="H1320" s="4">
        <v>2.59</v>
      </c>
      <c r="I1320" s="4">
        <v>1.1399999999999999</v>
      </c>
      <c r="J1320" s="4">
        <v>0.2296</v>
      </c>
      <c r="K1320" s="4" t="b">
        <v>1</v>
      </c>
      <c r="L1320" s="4" t="b">
        <v>0</v>
      </c>
    </row>
    <row r="1321" spans="1:12" ht="13">
      <c r="A1321" s="4" t="s">
        <v>10250</v>
      </c>
      <c r="B1321" s="4" t="s">
        <v>4951</v>
      </c>
      <c r="C1321" s="4" t="s">
        <v>108</v>
      </c>
      <c r="D1321" s="4" t="s">
        <v>4952</v>
      </c>
      <c r="E1321" s="4" t="s">
        <v>2911</v>
      </c>
      <c r="F1321" s="4" t="s">
        <v>10251</v>
      </c>
      <c r="G1321" s="4" t="s">
        <v>10252</v>
      </c>
      <c r="H1321" s="4">
        <v>2.59</v>
      </c>
      <c r="I1321" s="4">
        <v>1.06</v>
      </c>
      <c r="J1321" s="4">
        <v>0.23447999999999999</v>
      </c>
      <c r="K1321" s="4" t="b">
        <v>1</v>
      </c>
      <c r="L1321" s="4" t="b">
        <v>0</v>
      </c>
    </row>
    <row r="1322" spans="1:12" ht="13">
      <c r="A1322" s="4" t="s">
        <v>10253</v>
      </c>
      <c r="B1322" s="4" t="s">
        <v>4951</v>
      </c>
      <c r="C1322" s="4" t="s">
        <v>108</v>
      </c>
      <c r="D1322" s="4" t="s">
        <v>4952</v>
      </c>
      <c r="E1322" s="4" t="s">
        <v>2911</v>
      </c>
      <c r="F1322" s="4" t="s">
        <v>10254</v>
      </c>
      <c r="G1322" s="4" t="s">
        <v>10255</v>
      </c>
      <c r="H1322" s="4">
        <v>2.6</v>
      </c>
      <c r="I1322" s="4">
        <v>1.1100000000000001</v>
      </c>
      <c r="J1322" s="4">
        <v>0.24124000000000001</v>
      </c>
      <c r="K1322" s="4" t="b">
        <v>1</v>
      </c>
      <c r="L1322" s="4" t="b">
        <v>0</v>
      </c>
    </row>
    <row r="1323" spans="1:12" ht="13">
      <c r="A1323" s="4" t="s">
        <v>10256</v>
      </c>
      <c r="B1323" s="4" t="s">
        <v>4951</v>
      </c>
      <c r="C1323" s="4" t="s">
        <v>108</v>
      </c>
      <c r="D1323" s="4" t="s">
        <v>4952</v>
      </c>
      <c r="E1323" s="4" t="s">
        <v>2911</v>
      </c>
      <c r="F1323" s="4" t="s">
        <v>10257</v>
      </c>
      <c r="G1323" s="4" t="s">
        <v>10258</v>
      </c>
      <c r="H1323" s="4">
        <v>2.61</v>
      </c>
      <c r="I1323" s="4">
        <v>1.1599999999999999</v>
      </c>
      <c r="J1323" s="4">
        <v>0.25352999999999998</v>
      </c>
      <c r="K1323" s="4" t="b">
        <v>1</v>
      </c>
      <c r="L1323" s="4" t="b">
        <v>0</v>
      </c>
    </row>
    <row r="1324" spans="1:12" ht="13">
      <c r="A1324" s="4" t="s">
        <v>10259</v>
      </c>
      <c r="B1324" s="4" t="s">
        <v>4951</v>
      </c>
      <c r="C1324" s="4" t="s">
        <v>108</v>
      </c>
      <c r="D1324" s="4" t="s">
        <v>4952</v>
      </c>
      <c r="E1324" s="4" t="s">
        <v>2911</v>
      </c>
      <c r="F1324" s="4" t="s">
        <v>10260</v>
      </c>
      <c r="G1324" s="4" t="s">
        <v>10261</v>
      </c>
      <c r="H1324" s="4">
        <v>2.61</v>
      </c>
      <c r="I1324" s="4">
        <v>1.1200000000000001</v>
      </c>
      <c r="J1324" s="4">
        <v>0.254</v>
      </c>
      <c r="K1324" s="4" t="b">
        <v>1</v>
      </c>
      <c r="L1324" s="4" t="b">
        <v>0</v>
      </c>
    </row>
    <row r="1325" spans="1:12" ht="13">
      <c r="A1325" s="4" t="s">
        <v>10262</v>
      </c>
      <c r="B1325" s="4" t="s">
        <v>4951</v>
      </c>
      <c r="C1325" s="4" t="s">
        <v>108</v>
      </c>
      <c r="D1325" s="4" t="s">
        <v>4952</v>
      </c>
      <c r="E1325" s="4" t="s">
        <v>2911</v>
      </c>
      <c r="F1325" s="4" t="s">
        <v>10263</v>
      </c>
      <c r="G1325" s="4" t="s">
        <v>10264</v>
      </c>
      <c r="H1325" s="4">
        <v>2.62</v>
      </c>
      <c r="I1325" s="4">
        <v>1.18</v>
      </c>
      <c r="J1325" s="4">
        <v>0.25414999999999999</v>
      </c>
      <c r="K1325" s="4" t="b">
        <v>1</v>
      </c>
      <c r="L1325" s="4" t="b">
        <v>0</v>
      </c>
    </row>
    <row r="1326" spans="1:12" ht="13">
      <c r="A1326" s="4" t="s">
        <v>10265</v>
      </c>
      <c r="B1326" s="4" t="s">
        <v>4951</v>
      </c>
      <c r="C1326" s="4" t="s">
        <v>108</v>
      </c>
      <c r="D1326" s="4" t="s">
        <v>4952</v>
      </c>
      <c r="E1326" s="4" t="s">
        <v>2911</v>
      </c>
      <c r="F1326" s="4" t="s">
        <v>10266</v>
      </c>
      <c r="G1326" s="4" t="s">
        <v>10267</v>
      </c>
      <c r="H1326" s="4">
        <v>2.63</v>
      </c>
      <c r="I1326" s="4">
        <v>1.1299999999999999</v>
      </c>
      <c r="J1326" s="4">
        <v>0.23918</v>
      </c>
      <c r="K1326" s="4" t="b">
        <v>1</v>
      </c>
      <c r="L1326" s="4" t="b">
        <v>0</v>
      </c>
    </row>
    <row r="1327" spans="1:12" ht="13">
      <c r="A1327" s="4" t="s">
        <v>10268</v>
      </c>
      <c r="B1327" s="4" t="s">
        <v>4951</v>
      </c>
      <c r="C1327" s="4" t="s">
        <v>108</v>
      </c>
      <c r="D1327" s="4" t="s">
        <v>4952</v>
      </c>
      <c r="E1327" s="4" t="s">
        <v>2911</v>
      </c>
      <c r="F1327" s="4" t="s">
        <v>10269</v>
      </c>
      <c r="G1327" s="4" t="s">
        <v>10270</v>
      </c>
      <c r="H1327" s="4">
        <v>2.65</v>
      </c>
      <c r="I1327" s="4">
        <v>1.1000000000000001</v>
      </c>
      <c r="J1327" s="4">
        <v>0.24054</v>
      </c>
      <c r="K1327" s="4" t="b">
        <v>1</v>
      </c>
      <c r="L1327" s="4" t="b">
        <v>0</v>
      </c>
    </row>
    <row r="1328" spans="1:12" ht="13">
      <c r="A1328" s="4" t="s">
        <v>10271</v>
      </c>
      <c r="B1328" s="4" t="s">
        <v>4951</v>
      </c>
      <c r="C1328" s="4" t="s">
        <v>108</v>
      </c>
      <c r="D1328" s="4" t="s">
        <v>4952</v>
      </c>
      <c r="E1328" s="4" t="s">
        <v>2911</v>
      </c>
      <c r="F1328" s="4" t="s">
        <v>10272</v>
      </c>
      <c r="G1328" s="4" t="s">
        <v>10273</v>
      </c>
      <c r="H1328" s="4">
        <v>2.65</v>
      </c>
      <c r="I1328" s="4">
        <v>1.24</v>
      </c>
      <c r="J1328" s="4">
        <v>0.26177</v>
      </c>
      <c r="K1328" s="4" t="b">
        <v>1</v>
      </c>
      <c r="L1328" s="4" t="b">
        <v>0</v>
      </c>
    </row>
    <row r="1329" spans="1:13" ht="13">
      <c r="A1329" s="4" t="s">
        <v>3171</v>
      </c>
      <c r="B1329" s="4" t="s">
        <v>4951</v>
      </c>
      <c r="C1329" s="4" t="s">
        <v>108</v>
      </c>
      <c r="D1329" s="4" t="s">
        <v>4952</v>
      </c>
      <c r="E1329" s="4" t="s">
        <v>2911</v>
      </c>
      <c r="F1329" s="4" t="s">
        <v>5130</v>
      </c>
      <c r="G1329" s="4" t="s">
        <v>3067</v>
      </c>
      <c r="H1329" s="4">
        <v>2.66</v>
      </c>
      <c r="I1329" s="4">
        <v>1.1499999999999999</v>
      </c>
      <c r="J1329" s="4">
        <v>0.23663000000000001</v>
      </c>
      <c r="K1329" s="4" t="b">
        <v>1</v>
      </c>
      <c r="L1329" s="4" t="b">
        <v>1</v>
      </c>
      <c r="M1329" s="41" t="s">
        <v>4929</v>
      </c>
    </row>
    <row r="1330" spans="1:13" ht="13">
      <c r="A1330" s="4" t="s">
        <v>10277</v>
      </c>
      <c r="B1330" s="4" t="s">
        <v>4951</v>
      </c>
      <c r="C1330" s="4" t="s">
        <v>108</v>
      </c>
      <c r="D1330" s="4" t="s">
        <v>4952</v>
      </c>
      <c r="E1330" s="4" t="s">
        <v>2911</v>
      </c>
      <c r="F1330" s="4" t="s">
        <v>10278</v>
      </c>
      <c r="G1330" s="4" t="s">
        <v>10279</v>
      </c>
      <c r="H1330" s="4">
        <v>2.67</v>
      </c>
      <c r="I1330" s="4">
        <v>1.05</v>
      </c>
      <c r="J1330" s="4">
        <v>0.24071000000000001</v>
      </c>
      <c r="K1330" s="4" t="b">
        <v>1</v>
      </c>
      <c r="L1330" s="4" t="b">
        <v>0</v>
      </c>
    </row>
    <row r="1331" spans="1:13" ht="13">
      <c r="A1331" s="4" t="s">
        <v>10280</v>
      </c>
      <c r="B1331" s="4" t="s">
        <v>4951</v>
      </c>
      <c r="C1331" s="4" t="s">
        <v>108</v>
      </c>
      <c r="D1331" s="4" t="s">
        <v>4952</v>
      </c>
      <c r="E1331" s="4" t="s">
        <v>2911</v>
      </c>
      <c r="F1331" s="4" t="s">
        <v>10281</v>
      </c>
      <c r="G1331" s="4" t="s">
        <v>10282</v>
      </c>
      <c r="H1331" s="4">
        <v>2.68</v>
      </c>
      <c r="I1331" s="4">
        <v>1.22</v>
      </c>
      <c r="J1331" s="4">
        <v>0.26166</v>
      </c>
      <c r="K1331" s="4" t="b">
        <v>1</v>
      </c>
      <c r="L1331" s="4" t="b">
        <v>0</v>
      </c>
    </row>
    <row r="1332" spans="1:13" ht="13">
      <c r="A1332" s="4" t="s">
        <v>3172</v>
      </c>
      <c r="B1332" s="4" t="s">
        <v>4951</v>
      </c>
      <c r="C1332" s="4" t="s">
        <v>108</v>
      </c>
      <c r="D1332" s="4" t="s">
        <v>4952</v>
      </c>
      <c r="E1332" s="4" t="s">
        <v>2911</v>
      </c>
      <c r="F1332" s="4" t="s">
        <v>5156</v>
      </c>
      <c r="G1332" s="4" t="s">
        <v>3068</v>
      </c>
      <c r="H1332" s="4">
        <v>2.68</v>
      </c>
      <c r="I1332" s="4">
        <v>1.1000000000000001</v>
      </c>
      <c r="J1332" s="4">
        <v>0.24904999999999999</v>
      </c>
      <c r="K1332" s="4" t="b">
        <v>1</v>
      </c>
      <c r="L1332" s="4" t="b">
        <v>1</v>
      </c>
      <c r="M1332" s="41" t="s">
        <v>4955</v>
      </c>
    </row>
    <row r="1333" spans="1:13" ht="13">
      <c r="A1333" s="4" t="s">
        <v>10283</v>
      </c>
      <c r="B1333" s="4" t="s">
        <v>4951</v>
      </c>
      <c r="C1333" s="4" t="s">
        <v>108</v>
      </c>
      <c r="D1333" s="4" t="s">
        <v>4952</v>
      </c>
      <c r="E1333" s="4" t="s">
        <v>2911</v>
      </c>
      <c r="F1333" s="4" t="s">
        <v>10284</v>
      </c>
      <c r="G1333" s="4" t="s">
        <v>10285</v>
      </c>
      <c r="H1333" s="4">
        <v>2.69</v>
      </c>
      <c r="I1333" s="4">
        <v>1.1000000000000001</v>
      </c>
      <c r="J1333" s="4">
        <v>0.24206</v>
      </c>
      <c r="K1333" s="4" t="b">
        <v>1</v>
      </c>
      <c r="L1333" s="4" t="b">
        <v>0</v>
      </c>
    </row>
    <row r="1334" spans="1:13" ht="13">
      <c r="A1334" s="4" t="s">
        <v>3173</v>
      </c>
      <c r="B1334" s="4" t="s">
        <v>4951</v>
      </c>
      <c r="C1334" s="4" t="s">
        <v>108</v>
      </c>
      <c r="D1334" s="4" t="s">
        <v>4952</v>
      </c>
      <c r="E1334" s="4" t="s">
        <v>2911</v>
      </c>
      <c r="F1334" s="4" t="s">
        <v>4981</v>
      </c>
      <c r="G1334" s="4" t="s">
        <v>3069</v>
      </c>
      <c r="H1334" s="4">
        <v>2.7</v>
      </c>
      <c r="I1334" s="4">
        <v>1.35</v>
      </c>
      <c r="J1334" s="4">
        <v>0.26840000000000003</v>
      </c>
      <c r="K1334" s="4" t="b">
        <v>1</v>
      </c>
      <c r="L1334" s="4" t="b">
        <v>1</v>
      </c>
      <c r="M1334" s="41" t="s">
        <v>4929</v>
      </c>
    </row>
    <row r="1335" spans="1:13" ht="13">
      <c r="A1335" s="4" t="s">
        <v>10286</v>
      </c>
      <c r="B1335" s="4" t="s">
        <v>4951</v>
      </c>
      <c r="C1335" s="4" t="s">
        <v>108</v>
      </c>
      <c r="D1335" s="4" t="s">
        <v>4952</v>
      </c>
      <c r="E1335" s="4" t="s">
        <v>2911</v>
      </c>
      <c r="F1335" s="4" t="s">
        <v>10287</v>
      </c>
      <c r="G1335" s="4" t="s">
        <v>10288</v>
      </c>
      <c r="H1335" s="4">
        <v>2.71</v>
      </c>
      <c r="I1335" s="4">
        <v>1.1399999999999999</v>
      </c>
      <c r="J1335" s="4">
        <v>0.26613999999999999</v>
      </c>
      <c r="K1335" s="4" t="b">
        <v>1</v>
      </c>
      <c r="L1335" s="4" t="b">
        <v>0</v>
      </c>
    </row>
    <row r="1336" spans="1:13" ht="13">
      <c r="A1336" s="4" t="s">
        <v>10289</v>
      </c>
      <c r="B1336" s="4" t="s">
        <v>4951</v>
      </c>
      <c r="C1336" s="4" t="s">
        <v>108</v>
      </c>
      <c r="D1336" s="4" t="s">
        <v>4952</v>
      </c>
      <c r="E1336" s="4" t="s">
        <v>2911</v>
      </c>
      <c r="F1336" s="4" t="s">
        <v>10290</v>
      </c>
      <c r="G1336" s="4" t="s">
        <v>10291</v>
      </c>
      <c r="H1336" s="4">
        <v>2.73</v>
      </c>
      <c r="I1336" s="4">
        <v>1.06</v>
      </c>
      <c r="J1336" s="4">
        <v>0.22517000000000001</v>
      </c>
      <c r="K1336" s="4" t="b">
        <v>1</v>
      </c>
      <c r="L1336" s="4" t="b">
        <v>0</v>
      </c>
    </row>
    <row r="1337" spans="1:13" ht="13">
      <c r="A1337" s="4" t="s">
        <v>10292</v>
      </c>
      <c r="B1337" s="4" t="s">
        <v>4951</v>
      </c>
      <c r="C1337" s="4" t="s">
        <v>108</v>
      </c>
      <c r="D1337" s="4" t="s">
        <v>4952</v>
      </c>
      <c r="E1337" s="4" t="s">
        <v>2911</v>
      </c>
      <c r="F1337" s="4" t="s">
        <v>10293</v>
      </c>
      <c r="G1337" s="4" t="s">
        <v>10294</v>
      </c>
      <c r="H1337" s="4">
        <v>2.73</v>
      </c>
      <c r="I1337" s="4">
        <v>1.19</v>
      </c>
      <c r="J1337" s="4">
        <v>0.23868</v>
      </c>
      <c r="K1337" s="4" t="b">
        <v>1</v>
      </c>
      <c r="L1337" s="4" t="b">
        <v>0</v>
      </c>
    </row>
    <row r="1338" spans="1:13" ht="13">
      <c r="A1338" s="4" t="s">
        <v>10295</v>
      </c>
      <c r="B1338" s="4" t="s">
        <v>4951</v>
      </c>
      <c r="C1338" s="4" t="s">
        <v>108</v>
      </c>
      <c r="D1338" s="4" t="s">
        <v>4952</v>
      </c>
      <c r="E1338" s="4" t="s">
        <v>2911</v>
      </c>
      <c r="F1338" s="4" t="s">
        <v>10296</v>
      </c>
      <c r="G1338" s="4" t="s">
        <v>10297</v>
      </c>
      <c r="H1338" s="4">
        <v>2.74</v>
      </c>
      <c r="I1338" s="4">
        <v>1.06</v>
      </c>
      <c r="J1338" s="4">
        <v>0.23780000000000001</v>
      </c>
      <c r="K1338" s="4" t="b">
        <v>1</v>
      </c>
      <c r="L1338" s="4" t="b">
        <v>0</v>
      </c>
    </row>
    <row r="1339" spans="1:13" ht="13">
      <c r="A1339" s="4" t="s">
        <v>10298</v>
      </c>
      <c r="B1339" s="4" t="s">
        <v>4951</v>
      </c>
      <c r="C1339" s="4" t="s">
        <v>108</v>
      </c>
      <c r="D1339" s="4" t="s">
        <v>4952</v>
      </c>
      <c r="E1339" s="4" t="s">
        <v>2911</v>
      </c>
      <c r="F1339" s="4" t="s">
        <v>10299</v>
      </c>
      <c r="G1339" s="4" t="s">
        <v>10300</v>
      </c>
      <c r="H1339" s="4">
        <v>2.74</v>
      </c>
      <c r="I1339" s="4">
        <v>1.08</v>
      </c>
      <c r="J1339" s="4">
        <v>0.25741999999999998</v>
      </c>
      <c r="K1339" s="4" t="b">
        <v>1</v>
      </c>
      <c r="L1339" s="4" t="b">
        <v>0</v>
      </c>
    </row>
    <row r="1340" spans="1:13" ht="13">
      <c r="A1340" s="4" t="s">
        <v>10301</v>
      </c>
      <c r="B1340" s="4" t="s">
        <v>4951</v>
      </c>
      <c r="C1340" s="4" t="s">
        <v>108</v>
      </c>
      <c r="D1340" s="4" t="s">
        <v>4952</v>
      </c>
      <c r="E1340" s="4" t="s">
        <v>2911</v>
      </c>
      <c r="F1340" s="4" t="s">
        <v>10302</v>
      </c>
      <c r="G1340" s="4" t="s">
        <v>10303</v>
      </c>
      <c r="H1340" s="4">
        <v>2.75</v>
      </c>
      <c r="I1340" s="4">
        <v>1.1100000000000001</v>
      </c>
      <c r="J1340" s="4">
        <v>0.25130999999999998</v>
      </c>
      <c r="K1340" s="4" t="b">
        <v>1</v>
      </c>
      <c r="L1340" s="4" t="b">
        <v>0</v>
      </c>
    </row>
    <row r="1341" spans="1:13" ht="13">
      <c r="A1341" s="4" t="s">
        <v>10304</v>
      </c>
      <c r="B1341" s="4" t="s">
        <v>4951</v>
      </c>
      <c r="C1341" s="4" t="s">
        <v>108</v>
      </c>
      <c r="D1341" s="4" t="s">
        <v>4952</v>
      </c>
      <c r="E1341" s="4" t="s">
        <v>2911</v>
      </c>
      <c r="F1341" s="4" t="s">
        <v>10305</v>
      </c>
      <c r="G1341" s="4" t="s">
        <v>10306</v>
      </c>
      <c r="H1341" s="4">
        <v>2.76</v>
      </c>
      <c r="I1341" s="4">
        <v>1.1100000000000001</v>
      </c>
      <c r="J1341" s="4">
        <v>0.23824999999999999</v>
      </c>
      <c r="K1341" s="4" t="b">
        <v>1</v>
      </c>
      <c r="L1341" s="4" t="b">
        <v>0</v>
      </c>
    </row>
    <row r="1342" spans="1:13" ht="13">
      <c r="A1342" s="4" t="s">
        <v>10310</v>
      </c>
      <c r="B1342" s="4" t="s">
        <v>4951</v>
      </c>
      <c r="C1342" s="4" t="s">
        <v>108</v>
      </c>
      <c r="D1342" s="4" t="s">
        <v>4952</v>
      </c>
      <c r="E1342" s="4" t="s">
        <v>2911</v>
      </c>
      <c r="F1342" s="4" t="s">
        <v>10311</v>
      </c>
      <c r="G1342" s="4" t="s">
        <v>10312</v>
      </c>
      <c r="H1342" s="4">
        <v>2.78</v>
      </c>
      <c r="I1342" s="4">
        <v>1.1599999999999999</v>
      </c>
      <c r="J1342" s="4">
        <v>0.22844</v>
      </c>
      <c r="K1342" s="4" t="b">
        <v>1</v>
      </c>
      <c r="L1342" s="4" t="b">
        <v>0</v>
      </c>
    </row>
    <row r="1343" spans="1:13" ht="13">
      <c r="A1343" s="4" t="s">
        <v>10313</v>
      </c>
      <c r="B1343" s="4" t="s">
        <v>4951</v>
      </c>
      <c r="C1343" s="4" t="s">
        <v>108</v>
      </c>
      <c r="D1343" s="4" t="s">
        <v>4952</v>
      </c>
      <c r="E1343" s="4" t="s">
        <v>2911</v>
      </c>
      <c r="F1343" s="4" t="s">
        <v>10314</v>
      </c>
      <c r="G1343" s="4" t="s">
        <v>10315</v>
      </c>
      <c r="H1343" s="4">
        <v>2.78</v>
      </c>
      <c r="I1343" s="4">
        <v>1.08</v>
      </c>
      <c r="J1343" s="4">
        <v>0.2417</v>
      </c>
      <c r="K1343" s="4" t="b">
        <v>1</v>
      </c>
      <c r="L1343" s="4" t="b">
        <v>0</v>
      </c>
    </row>
    <row r="1344" spans="1:13" ht="13">
      <c r="A1344" s="4" t="s">
        <v>10316</v>
      </c>
      <c r="B1344" s="4" t="s">
        <v>4951</v>
      </c>
      <c r="C1344" s="4" t="s">
        <v>108</v>
      </c>
      <c r="D1344" s="4" t="s">
        <v>4952</v>
      </c>
      <c r="E1344" s="4" t="s">
        <v>2911</v>
      </c>
      <c r="F1344" s="4" t="s">
        <v>10317</v>
      </c>
      <c r="G1344" s="4" t="s">
        <v>10318</v>
      </c>
      <c r="H1344" s="4">
        <v>2.79</v>
      </c>
      <c r="I1344" s="4">
        <v>1.1399999999999999</v>
      </c>
      <c r="J1344" s="4">
        <v>0.24801000000000001</v>
      </c>
      <c r="K1344" s="4" t="b">
        <v>1</v>
      </c>
      <c r="L1344" s="4" t="b">
        <v>0</v>
      </c>
    </row>
    <row r="1345" spans="1:13" ht="13">
      <c r="A1345" s="4" t="s">
        <v>10319</v>
      </c>
      <c r="B1345" s="4" t="s">
        <v>4951</v>
      </c>
      <c r="C1345" s="4" t="s">
        <v>108</v>
      </c>
      <c r="D1345" s="4" t="s">
        <v>4952</v>
      </c>
      <c r="E1345" s="4" t="s">
        <v>2911</v>
      </c>
      <c r="F1345" s="4" t="s">
        <v>10320</v>
      </c>
      <c r="G1345" s="4" t="s">
        <v>10321</v>
      </c>
      <c r="H1345" s="4">
        <v>2.8</v>
      </c>
      <c r="I1345" s="4">
        <v>1.08</v>
      </c>
      <c r="J1345" s="4">
        <v>0.23774000000000001</v>
      </c>
      <c r="K1345" s="4" t="b">
        <v>1</v>
      </c>
      <c r="L1345" s="4" t="b">
        <v>0</v>
      </c>
    </row>
    <row r="1346" spans="1:13" ht="13">
      <c r="A1346" s="4" t="s">
        <v>10322</v>
      </c>
      <c r="B1346" s="4" t="s">
        <v>4951</v>
      </c>
      <c r="C1346" s="4" t="s">
        <v>108</v>
      </c>
      <c r="D1346" s="4" t="s">
        <v>4952</v>
      </c>
      <c r="E1346" s="4" t="s">
        <v>2911</v>
      </c>
      <c r="F1346" s="4" t="s">
        <v>10323</v>
      </c>
      <c r="G1346" s="4" t="s">
        <v>10324</v>
      </c>
      <c r="H1346" s="4">
        <v>2.81</v>
      </c>
      <c r="I1346" s="4">
        <v>1.1299999999999999</v>
      </c>
      <c r="J1346" s="4">
        <v>0.22924</v>
      </c>
      <c r="K1346" s="4" t="b">
        <v>1</v>
      </c>
      <c r="L1346" s="4" t="b">
        <v>0</v>
      </c>
    </row>
    <row r="1347" spans="1:13" ht="13">
      <c r="A1347" s="4" t="s">
        <v>10325</v>
      </c>
      <c r="B1347" s="4" t="s">
        <v>4951</v>
      </c>
      <c r="C1347" s="4" t="s">
        <v>108</v>
      </c>
      <c r="D1347" s="4" t="s">
        <v>4952</v>
      </c>
      <c r="E1347" s="4" t="s">
        <v>2911</v>
      </c>
      <c r="F1347" s="4" t="s">
        <v>10326</v>
      </c>
      <c r="G1347" s="4" t="s">
        <v>10327</v>
      </c>
      <c r="H1347" s="4">
        <v>2.82</v>
      </c>
      <c r="I1347" s="4">
        <v>1.06</v>
      </c>
      <c r="J1347" s="4">
        <v>0.22212999999999999</v>
      </c>
      <c r="K1347" s="4" t="b">
        <v>1</v>
      </c>
      <c r="L1347" s="4" t="b">
        <v>0</v>
      </c>
    </row>
    <row r="1348" spans="1:13" ht="13">
      <c r="A1348" s="4" t="s">
        <v>10328</v>
      </c>
      <c r="B1348" s="4" t="s">
        <v>4951</v>
      </c>
      <c r="C1348" s="4" t="s">
        <v>108</v>
      </c>
      <c r="D1348" s="4" t="s">
        <v>4952</v>
      </c>
      <c r="E1348" s="4" t="s">
        <v>2911</v>
      </c>
      <c r="F1348" s="4" t="s">
        <v>10329</v>
      </c>
      <c r="G1348" s="4" t="s">
        <v>10330</v>
      </c>
      <c r="H1348" s="4">
        <v>1.75</v>
      </c>
      <c r="I1348" s="4">
        <v>1.05</v>
      </c>
      <c r="J1348" s="4">
        <v>0.23066</v>
      </c>
      <c r="K1348" s="4" t="b">
        <v>1</v>
      </c>
      <c r="L1348" s="4" t="b">
        <v>0</v>
      </c>
    </row>
    <row r="1349" spans="1:13" ht="13">
      <c r="A1349" s="4" t="s">
        <v>10331</v>
      </c>
      <c r="B1349" s="4" t="s">
        <v>4951</v>
      </c>
      <c r="C1349" s="4" t="s">
        <v>108</v>
      </c>
      <c r="D1349" s="4" t="s">
        <v>4952</v>
      </c>
      <c r="E1349" s="4" t="s">
        <v>2911</v>
      </c>
      <c r="F1349" s="4" t="s">
        <v>10332</v>
      </c>
      <c r="G1349" s="4" t="s">
        <v>10333</v>
      </c>
      <c r="H1349" s="4">
        <v>1.75</v>
      </c>
      <c r="I1349" s="4">
        <v>1.19</v>
      </c>
      <c r="J1349" s="4">
        <v>0.25106000000000001</v>
      </c>
      <c r="K1349" s="4" t="b">
        <v>1</v>
      </c>
      <c r="L1349" s="4" t="b">
        <v>0</v>
      </c>
    </row>
    <row r="1350" spans="1:13" ht="13">
      <c r="A1350" s="4" t="s">
        <v>10334</v>
      </c>
      <c r="B1350" s="4" t="s">
        <v>4951</v>
      </c>
      <c r="C1350" s="4" t="s">
        <v>108</v>
      </c>
      <c r="D1350" s="4" t="s">
        <v>4952</v>
      </c>
      <c r="E1350" s="4" t="s">
        <v>2911</v>
      </c>
      <c r="F1350" s="4" t="s">
        <v>10335</v>
      </c>
      <c r="G1350" s="4" t="s">
        <v>10336</v>
      </c>
      <c r="H1350" s="4">
        <v>1.76</v>
      </c>
      <c r="I1350" s="4">
        <v>1.19</v>
      </c>
      <c r="J1350" s="4">
        <v>0.26323999999999997</v>
      </c>
      <c r="K1350" s="4" t="b">
        <v>1</v>
      </c>
      <c r="L1350" s="4" t="b">
        <v>0</v>
      </c>
    </row>
    <row r="1351" spans="1:13" ht="13">
      <c r="A1351" s="4" t="s">
        <v>10337</v>
      </c>
      <c r="B1351" s="4" t="s">
        <v>4951</v>
      </c>
      <c r="C1351" s="4" t="s">
        <v>108</v>
      </c>
      <c r="D1351" s="4" t="s">
        <v>4952</v>
      </c>
      <c r="E1351" s="4" t="s">
        <v>2911</v>
      </c>
      <c r="F1351" s="4" t="s">
        <v>10338</v>
      </c>
      <c r="G1351" s="4" t="s">
        <v>10339</v>
      </c>
      <c r="H1351" s="4">
        <v>1.77</v>
      </c>
      <c r="I1351" s="4">
        <v>1.0900000000000001</v>
      </c>
      <c r="J1351" s="4">
        <v>0.24895</v>
      </c>
      <c r="K1351" s="4" t="b">
        <v>1</v>
      </c>
      <c r="L1351" s="4" t="b">
        <v>0</v>
      </c>
    </row>
    <row r="1352" spans="1:13" ht="13">
      <c r="A1352" s="4" t="s">
        <v>10340</v>
      </c>
      <c r="B1352" s="4" t="s">
        <v>4951</v>
      </c>
      <c r="C1352" s="4" t="s">
        <v>108</v>
      </c>
      <c r="D1352" s="4" t="s">
        <v>4952</v>
      </c>
      <c r="E1352" s="4" t="s">
        <v>2911</v>
      </c>
      <c r="F1352" s="4" t="s">
        <v>10341</v>
      </c>
      <c r="G1352" s="4" t="s">
        <v>10342</v>
      </c>
      <c r="H1352" s="4">
        <v>1.78</v>
      </c>
      <c r="I1352" s="4">
        <v>1.08</v>
      </c>
      <c r="J1352" s="4">
        <v>0.23250999999999999</v>
      </c>
      <c r="K1352" s="4" t="b">
        <v>1</v>
      </c>
      <c r="L1352" s="4" t="b">
        <v>0</v>
      </c>
    </row>
    <row r="1353" spans="1:13" ht="13">
      <c r="A1353" s="4" t="s">
        <v>10343</v>
      </c>
      <c r="B1353" s="4" t="s">
        <v>4951</v>
      </c>
      <c r="C1353" s="4" t="s">
        <v>108</v>
      </c>
      <c r="D1353" s="4" t="s">
        <v>4952</v>
      </c>
      <c r="E1353" s="4" t="s">
        <v>2911</v>
      </c>
      <c r="F1353" s="4" t="s">
        <v>10344</v>
      </c>
      <c r="G1353" s="4" t="s">
        <v>10345</v>
      </c>
      <c r="H1353" s="4">
        <v>1.79</v>
      </c>
      <c r="I1353" s="4">
        <v>1.2</v>
      </c>
      <c r="J1353" s="4">
        <v>0.24102000000000001</v>
      </c>
      <c r="K1353" s="4" t="b">
        <v>1</v>
      </c>
      <c r="L1353" s="4" t="b">
        <v>0</v>
      </c>
    </row>
    <row r="1354" spans="1:13" ht="13">
      <c r="A1354" s="4" t="s">
        <v>10346</v>
      </c>
      <c r="B1354" s="4" t="s">
        <v>4951</v>
      </c>
      <c r="C1354" s="4" t="s">
        <v>108</v>
      </c>
      <c r="D1354" s="4" t="s">
        <v>4952</v>
      </c>
      <c r="E1354" s="4" t="s">
        <v>2911</v>
      </c>
      <c r="F1354" s="4" t="s">
        <v>10347</v>
      </c>
      <c r="G1354" s="4" t="s">
        <v>10348</v>
      </c>
      <c r="H1354" s="4">
        <v>1.8</v>
      </c>
      <c r="I1354" s="4">
        <v>1.19</v>
      </c>
      <c r="J1354" s="4">
        <v>0.24989</v>
      </c>
      <c r="K1354" s="4" t="b">
        <v>1</v>
      </c>
      <c r="L1354" s="4" t="b">
        <v>0</v>
      </c>
    </row>
    <row r="1355" spans="1:13" ht="13">
      <c r="A1355" s="4" t="s">
        <v>10349</v>
      </c>
      <c r="B1355" s="4" t="s">
        <v>4951</v>
      </c>
      <c r="C1355" s="4" t="s">
        <v>108</v>
      </c>
      <c r="D1355" s="4" t="s">
        <v>4952</v>
      </c>
      <c r="E1355" s="4" t="s">
        <v>2911</v>
      </c>
      <c r="F1355" s="4" t="s">
        <v>10350</v>
      </c>
      <c r="G1355" s="4" t="s">
        <v>10351</v>
      </c>
      <c r="H1355" s="4">
        <v>1.81</v>
      </c>
      <c r="I1355" s="4">
        <v>1.1200000000000001</v>
      </c>
      <c r="J1355" s="4">
        <v>0.24132999999999999</v>
      </c>
      <c r="K1355" s="4" t="b">
        <v>1</v>
      </c>
      <c r="L1355" s="4" t="b">
        <v>0</v>
      </c>
    </row>
    <row r="1356" spans="1:13" ht="13">
      <c r="A1356" s="4" t="s">
        <v>10352</v>
      </c>
      <c r="B1356" s="4" t="s">
        <v>4951</v>
      </c>
      <c r="C1356" s="4" t="s">
        <v>108</v>
      </c>
      <c r="D1356" s="4" t="s">
        <v>4952</v>
      </c>
      <c r="E1356" s="4" t="s">
        <v>2911</v>
      </c>
      <c r="F1356" s="4" t="s">
        <v>10353</v>
      </c>
      <c r="G1356" s="4" t="s">
        <v>10354</v>
      </c>
      <c r="H1356" s="4">
        <v>1.82</v>
      </c>
      <c r="I1356" s="4">
        <v>1.1399999999999999</v>
      </c>
      <c r="J1356" s="4">
        <v>0.22919999999999999</v>
      </c>
      <c r="K1356" s="4" t="b">
        <v>1</v>
      </c>
      <c r="L1356" s="4" t="b">
        <v>0</v>
      </c>
    </row>
    <row r="1357" spans="1:13" ht="13">
      <c r="A1357" s="4" t="s">
        <v>10355</v>
      </c>
      <c r="B1357" s="4" t="s">
        <v>4951</v>
      </c>
      <c r="C1357" s="4" t="s">
        <v>108</v>
      </c>
      <c r="D1357" s="4" t="s">
        <v>4952</v>
      </c>
      <c r="E1357" s="4" t="s">
        <v>2911</v>
      </c>
      <c r="F1357" s="4" t="s">
        <v>10356</v>
      </c>
      <c r="G1357" s="4" t="s">
        <v>10357</v>
      </c>
      <c r="H1357" s="4">
        <v>1.83</v>
      </c>
      <c r="I1357" s="4">
        <v>1.1299999999999999</v>
      </c>
      <c r="J1357" s="4">
        <v>0.23562</v>
      </c>
      <c r="K1357" s="4" t="b">
        <v>1</v>
      </c>
      <c r="L1357" s="4" t="b">
        <v>0</v>
      </c>
    </row>
    <row r="1358" spans="1:13" ht="13">
      <c r="A1358" s="4" t="s">
        <v>3174</v>
      </c>
      <c r="B1358" s="4" t="s">
        <v>4951</v>
      </c>
      <c r="C1358" s="4" t="s">
        <v>108</v>
      </c>
      <c r="D1358" s="4" t="s">
        <v>4952</v>
      </c>
      <c r="E1358" s="4" t="s">
        <v>2911</v>
      </c>
      <c r="F1358" s="4" t="s">
        <v>5172</v>
      </c>
      <c r="G1358" s="4" t="s">
        <v>3070</v>
      </c>
      <c r="H1358" s="4">
        <v>1.84</v>
      </c>
      <c r="I1358" s="4">
        <v>1.06</v>
      </c>
      <c r="J1358" s="4">
        <v>0.24393000000000001</v>
      </c>
      <c r="K1358" s="4" t="b">
        <v>1</v>
      </c>
      <c r="L1358" s="4" t="b">
        <v>1</v>
      </c>
      <c r="M1358" s="41" t="s">
        <v>5164</v>
      </c>
    </row>
    <row r="1359" spans="1:13" ht="13">
      <c r="A1359" s="4" t="s">
        <v>10358</v>
      </c>
      <c r="B1359" s="4" t="s">
        <v>4951</v>
      </c>
      <c r="C1359" s="4" t="s">
        <v>108</v>
      </c>
      <c r="D1359" s="4" t="s">
        <v>4952</v>
      </c>
      <c r="E1359" s="4" t="s">
        <v>2911</v>
      </c>
      <c r="F1359" s="4" t="s">
        <v>10359</v>
      </c>
      <c r="G1359" s="4" t="s">
        <v>10360</v>
      </c>
      <c r="H1359" s="4">
        <v>1.85</v>
      </c>
      <c r="I1359" s="4">
        <v>1.38</v>
      </c>
      <c r="J1359" s="4">
        <v>0.23932</v>
      </c>
      <c r="K1359" s="4" t="b">
        <v>1</v>
      </c>
      <c r="L1359" s="4" t="b">
        <v>0</v>
      </c>
    </row>
    <row r="1360" spans="1:13" ht="13">
      <c r="A1360" s="4" t="s">
        <v>10361</v>
      </c>
      <c r="B1360" s="4" t="s">
        <v>4951</v>
      </c>
      <c r="C1360" s="4" t="s">
        <v>108</v>
      </c>
      <c r="D1360" s="4" t="s">
        <v>4952</v>
      </c>
      <c r="E1360" s="4" t="s">
        <v>2911</v>
      </c>
      <c r="F1360" s="4" t="s">
        <v>10362</v>
      </c>
      <c r="G1360" s="4" t="s">
        <v>10363</v>
      </c>
      <c r="H1360" s="4">
        <v>1.86</v>
      </c>
      <c r="I1360" s="4">
        <v>1.06</v>
      </c>
      <c r="J1360" s="4">
        <v>0.23608000000000001</v>
      </c>
      <c r="K1360" s="4" t="b">
        <v>1</v>
      </c>
      <c r="L1360" s="4" t="b">
        <v>0</v>
      </c>
    </row>
    <row r="1361" spans="1:12" ht="13">
      <c r="A1361" s="4" t="s">
        <v>10364</v>
      </c>
      <c r="B1361" s="4" t="s">
        <v>4951</v>
      </c>
      <c r="C1361" s="4" t="s">
        <v>108</v>
      </c>
      <c r="D1361" s="4" t="s">
        <v>4952</v>
      </c>
      <c r="E1361" s="4" t="s">
        <v>2911</v>
      </c>
      <c r="F1361" s="4" t="s">
        <v>10365</v>
      </c>
      <c r="G1361" s="4" t="s">
        <v>10366</v>
      </c>
      <c r="H1361" s="4">
        <v>1.86</v>
      </c>
      <c r="I1361" s="4">
        <v>1.06</v>
      </c>
      <c r="J1361" s="4">
        <v>0.23980000000000001</v>
      </c>
      <c r="K1361" s="4" t="b">
        <v>1</v>
      </c>
      <c r="L1361" s="4" t="b">
        <v>0</v>
      </c>
    </row>
    <row r="1362" spans="1:12" ht="13">
      <c r="A1362" s="4" t="s">
        <v>10367</v>
      </c>
      <c r="B1362" s="4" t="s">
        <v>4951</v>
      </c>
      <c r="C1362" s="4" t="s">
        <v>108</v>
      </c>
      <c r="D1362" s="4" t="s">
        <v>4952</v>
      </c>
      <c r="E1362" s="4" t="s">
        <v>2911</v>
      </c>
      <c r="F1362" s="4" t="s">
        <v>10368</v>
      </c>
      <c r="G1362" s="4" t="s">
        <v>10369</v>
      </c>
      <c r="H1362" s="4">
        <v>1.87</v>
      </c>
      <c r="I1362" s="4">
        <v>1.05</v>
      </c>
      <c r="J1362" s="4">
        <v>0.22997000000000001</v>
      </c>
      <c r="K1362" s="4" t="b">
        <v>1</v>
      </c>
      <c r="L1362" s="4" t="b">
        <v>0</v>
      </c>
    </row>
    <row r="1363" spans="1:12" ht="13">
      <c r="A1363" s="4" t="s">
        <v>10370</v>
      </c>
      <c r="B1363" s="4" t="s">
        <v>4951</v>
      </c>
      <c r="C1363" s="4" t="s">
        <v>108</v>
      </c>
      <c r="D1363" s="4" t="s">
        <v>4952</v>
      </c>
      <c r="E1363" s="4" t="s">
        <v>2911</v>
      </c>
      <c r="F1363" s="4" t="s">
        <v>10371</v>
      </c>
      <c r="G1363" s="4" t="s">
        <v>10372</v>
      </c>
      <c r="H1363" s="4">
        <v>1.88</v>
      </c>
      <c r="I1363" s="4">
        <v>1.05</v>
      </c>
      <c r="J1363" s="4">
        <v>0.23042000000000001</v>
      </c>
      <c r="K1363" s="4" t="b">
        <v>1</v>
      </c>
      <c r="L1363" s="4" t="b">
        <v>0</v>
      </c>
    </row>
    <row r="1364" spans="1:12" ht="13">
      <c r="A1364" s="4" t="s">
        <v>10373</v>
      </c>
      <c r="B1364" s="4" t="s">
        <v>4951</v>
      </c>
      <c r="C1364" s="4" t="s">
        <v>108</v>
      </c>
      <c r="D1364" s="4" t="s">
        <v>4952</v>
      </c>
      <c r="E1364" s="4" t="s">
        <v>2911</v>
      </c>
      <c r="F1364" s="4" t="s">
        <v>10374</v>
      </c>
      <c r="G1364" s="4" t="s">
        <v>10375</v>
      </c>
      <c r="H1364" s="4">
        <v>1.89</v>
      </c>
      <c r="I1364" s="4">
        <v>1.1000000000000001</v>
      </c>
      <c r="J1364" s="4">
        <v>0.2311</v>
      </c>
      <c r="K1364" s="4" t="b">
        <v>1</v>
      </c>
      <c r="L1364" s="4" t="b">
        <v>0</v>
      </c>
    </row>
    <row r="1365" spans="1:12" ht="13">
      <c r="A1365" s="4" t="s">
        <v>10376</v>
      </c>
      <c r="B1365" s="4" t="s">
        <v>4951</v>
      </c>
      <c r="C1365" s="4" t="s">
        <v>108</v>
      </c>
      <c r="D1365" s="4" t="s">
        <v>4952</v>
      </c>
      <c r="E1365" s="4" t="s">
        <v>2911</v>
      </c>
      <c r="F1365" s="4" t="s">
        <v>10377</v>
      </c>
      <c r="G1365" s="4" t="s">
        <v>10378</v>
      </c>
      <c r="H1365" s="4">
        <v>1.9</v>
      </c>
      <c r="I1365" s="4">
        <v>1.1200000000000001</v>
      </c>
      <c r="J1365" s="4">
        <v>0.23121</v>
      </c>
      <c r="K1365" s="4" t="b">
        <v>1</v>
      </c>
      <c r="L1365" s="4" t="b">
        <v>0</v>
      </c>
    </row>
    <row r="1366" spans="1:12" ht="13">
      <c r="A1366" s="4" t="s">
        <v>10379</v>
      </c>
      <c r="B1366" s="4" t="s">
        <v>4951</v>
      </c>
      <c r="C1366" s="4" t="s">
        <v>108</v>
      </c>
      <c r="D1366" s="4" t="s">
        <v>4952</v>
      </c>
      <c r="E1366" s="4" t="s">
        <v>2911</v>
      </c>
      <c r="F1366" s="4" t="s">
        <v>10380</v>
      </c>
      <c r="G1366" s="4" t="s">
        <v>10381</v>
      </c>
      <c r="H1366" s="4">
        <v>1.9</v>
      </c>
      <c r="I1366" s="4">
        <v>1.1299999999999999</v>
      </c>
      <c r="J1366" s="4">
        <v>0.24151</v>
      </c>
      <c r="K1366" s="4" t="b">
        <v>1</v>
      </c>
      <c r="L1366" s="4" t="b">
        <v>0</v>
      </c>
    </row>
    <row r="1367" spans="1:12" ht="13">
      <c r="A1367" s="4" t="s">
        <v>10382</v>
      </c>
      <c r="B1367" s="4" t="s">
        <v>4951</v>
      </c>
      <c r="C1367" s="4" t="s">
        <v>108</v>
      </c>
      <c r="D1367" s="4" t="s">
        <v>4952</v>
      </c>
      <c r="E1367" s="4" t="s">
        <v>2911</v>
      </c>
      <c r="F1367" s="4" t="s">
        <v>10383</v>
      </c>
      <c r="G1367" s="4" t="s">
        <v>10384</v>
      </c>
      <c r="H1367" s="4">
        <v>1.91</v>
      </c>
      <c r="I1367" s="4">
        <v>1.04</v>
      </c>
      <c r="J1367" s="4">
        <v>0.22986999999999999</v>
      </c>
      <c r="K1367" s="4" t="b">
        <v>1</v>
      </c>
      <c r="L1367" s="4" t="b">
        <v>0</v>
      </c>
    </row>
    <row r="1368" spans="1:12" ht="13">
      <c r="A1368" s="4" t="s">
        <v>10385</v>
      </c>
      <c r="B1368" s="4" t="s">
        <v>4951</v>
      </c>
      <c r="C1368" s="4" t="s">
        <v>108</v>
      </c>
      <c r="D1368" s="4" t="s">
        <v>4952</v>
      </c>
      <c r="E1368" s="4" t="s">
        <v>2911</v>
      </c>
      <c r="F1368" s="4" t="s">
        <v>10386</v>
      </c>
      <c r="G1368" s="4" t="s">
        <v>10387</v>
      </c>
      <c r="H1368" s="4">
        <v>1.92</v>
      </c>
      <c r="I1368" s="4">
        <v>1.24</v>
      </c>
      <c r="J1368" s="4">
        <v>0.26289000000000001</v>
      </c>
      <c r="K1368" s="4" t="b">
        <v>1</v>
      </c>
      <c r="L1368" s="4" t="b">
        <v>0</v>
      </c>
    </row>
    <row r="1369" spans="1:12" ht="13">
      <c r="A1369" s="4" t="s">
        <v>10388</v>
      </c>
      <c r="B1369" s="4" t="s">
        <v>4951</v>
      </c>
      <c r="C1369" s="4" t="s">
        <v>108</v>
      </c>
      <c r="D1369" s="4" t="s">
        <v>4952</v>
      </c>
      <c r="E1369" s="4" t="s">
        <v>2911</v>
      </c>
      <c r="F1369" s="4" t="s">
        <v>10389</v>
      </c>
      <c r="G1369" s="4" t="s">
        <v>10390</v>
      </c>
      <c r="H1369" s="4">
        <v>1.93</v>
      </c>
      <c r="I1369" s="4">
        <v>1.1100000000000001</v>
      </c>
      <c r="J1369" s="4">
        <v>0.26346000000000003</v>
      </c>
      <c r="K1369" s="4" t="b">
        <v>1</v>
      </c>
      <c r="L1369" s="4" t="b">
        <v>0</v>
      </c>
    </row>
    <row r="1370" spans="1:12" ht="13">
      <c r="A1370" s="4" t="s">
        <v>10391</v>
      </c>
      <c r="B1370" s="4" t="s">
        <v>4951</v>
      </c>
      <c r="C1370" s="4" t="s">
        <v>108</v>
      </c>
      <c r="D1370" s="4" t="s">
        <v>4952</v>
      </c>
      <c r="E1370" s="4" t="s">
        <v>2911</v>
      </c>
      <c r="F1370" s="4" t="s">
        <v>10392</v>
      </c>
      <c r="G1370" s="4" t="s">
        <v>8576</v>
      </c>
      <c r="H1370" s="4">
        <v>1.93</v>
      </c>
      <c r="I1370" s="4">
        <v>1.35</v>
      </c>
      <c r="J1370" s="4">
        <v>0.31641999999999998</v>
      </c>
      <c r="K1370" s="4" t="b">
        <v>1</v>
      </c>
      <c r="L1370" s="4" t="b">
        <v>0</v>
      </c>
    </row>
    <row r="1371" spans="1:12" ht="13">
      <c r="A1371" s="4" t="s">
        <v>10393</v>
      </c>
      <c r="B1371" s="4" t="s">
        <v>4951</v>
      </c>
      <c r="C1371" s="4" t="s">
        <v>108</v>
      </c>
      <c r="D1371" s="4" t="s">
        <v>4952</v>
      </c>
      <c r="E1371" s="4" t="s">
        <v>2911</v>
      </c>
      <c r="F1371" s="4" t="s">
        <v>10394</v>
      </c>
      <c r="G1371" s="4" t="s">
        <v>10395</v>
      </c>
      <c r="H1371" s="4">
        <v>1.94</v>
      </c>
      <c r="I1371" s="4">
        <v>1.1200000000000001</v>
      </c>
      <c r="J1371" s="4">
        <v>0.24582999999999999</v>
      </c>
      <c r="K1371" s="4" t="b">
        <v>1</v>
      </c>
      <c r="L1371" s="4" t="b">
        <v>0</v>
      </c>
    </row>
    <row r="1372" spans="1:12" ht="13">
      <c r="A1372" s="4" t="s">
        <v>10396</v>
      </c>
      <c r="B1372" s="4" t="s">
        <v>4951</v>
      </c>
      <c r="C1372" s="4" t="s">
        <v>108</v>
      </c>
      <c r="D1372" s="4" t="s">
        <v>4952</v>
      </c>
      <c r="E1372" s="4" t="s">
        <v>2911</v>
      </c>
      <c r="F1372" s="4" t="s">
        <v>10397</v>
      </c>
      <c r="G1372" s="4" t="s">
        <v>10398</v>
      </c>
      <c r="H1372" s="4">
        <v>1.94</v>
      </c>
      <c r="I1372" s="4">
        <v>1.08</v>
      </c>
      <c r="J1372" s="4">
        <v>0.24074999999999999</v>
      </c>
      <c r="K1372" s="4" t="b">
        <v>1</v>
      </c>
      <c r="L1372" s="4" t="b">
        <v>0</v>
      </c>
    </row>
    <row r="1373" spans="1:12" ht="13">
      <c r="A1373" s="4" t="s">
        <v>10399</v>
      </c>
      <c r="B1373" s="4" t="s">
        <v>4951</v>
      </c>
      <c r="C1373" s="4" t="s">
        <v>108</v>
      </c>
      <c r="D1373" s="4" t="s">
        <v>4952</v>
      </c>
      <c r="E1373" s="4" t="s">
        <v>2911</v>
      </c>
      <c r="F1373" s="4" t="s">
        <v>10400</v>
      </c>
      <c r="G1373" s="4" t="s">
        <v>10401</v>
      </c>
      <c r="H1373" s="4">
        <v>1.95</v>
      </c>
      <c r="I1373" s="4">
        <v>1.1499999999999999</v>
      </c>
      <c r="J1373" s="4">
        <v>0.24068000000000001</v>
      </c>
      <c r="K1373" s="4" t="b">
        <v>1</v>
      </c>
      <c r="L1373" s="4" t="b">
        <v>0</v>
      </c>
    </row>
    <row r="1374" spans="1:12" ht="13">
      <c r="A1374" s="4" t="s">
        <v>10402</v>
      </c>
      <c r="B1374" s="4" t="s">
        <v>4951</v>
      </c>
      <c r="C1374" s="4" t="s">
        <v>108</v>
      </c>
      <c r="D1374" s="4" t="s">
        <v>4952</v>
      </c>
      <c r="E1374" s="4" t="s">
        <v>2911</v>
      </c>
      <c r="F1374" s="4" t="s">
        <v>10403</v>
      </c>
      <c r="G1374" s="4" t="s">
        <v>10404</v>
      </c>
      <c r="H1374" s="4">
        <v>1.96</v>
      </c>
      <c r="I1374" s="4">
        <v>1.1000000000000001</v>
      </c>
      <c r="J1374" s="4">
        <v>0.24206</v>
      </c>
      <c r="K1374" s="4" t="b">
        <v>1</v>
      </c>
      <c r="L1374" s="4" t="b">
        <v>0</v>
      </c>
    </row>
    <row r="1375" spans="1:12" ht="13">
      <c r="A1375" s="4" t="s">
        <v>10405</v>
      </c>
      <c r="B1375" s="4" t="s">
        <v>4951</v>
      </c>
      <c r="C1375" s="4" t="s">
        <v>108</v>
      </c>
      <c r="D1375" s="4" t="s">
        <v>4952</v>
      </c>
      <c r="E1375" s="4" t="s">
        <v>2911</v>
      </c>
      <c r="F1375" s="4" t="s">
        <v>10406</v>
      </c>
      <c r="G1375" s="4" t="s">
        <v>10407</v>
      </c>
      <c r="H1375" s="4">
        <v>1.97</v>
      </c>
      <c r="I1375" s="4">
        <v>1.0900000000000001</v>
      </c>
      <c r="J1375" s="4">
        <v>0.24743000000000001</v>
      </c>
      <c r="K1375" s="4" t="b">
        <v>1</v>
      </c>
      <c r="L1375" s="4" t="b">
        <v>0</v>
      </c>
    </row>
    <row r="1376" spans="1:12" ht="13">
      <c r="A1376" s="4" t="s">
        <v>10408</v>
      </c>
      <c r="B1376" s="4" t="s">
        <v>4951</v>
      </c>
      <c r="C1376" s="4" t="s">
        <v>108</v>
      </c>
      <c r="D1376" s="4" t="s">
        <v>4952</v>
      </c>
      <c r="E1376" s="4" t="s">
        <v>2911</v>
      </c>
      <c r="F1376" s="4" t="s">
        <v>10409</v>
      </c>
      <c r="G1376" s="4" t="s">
        <v>10410</v>
      </c>
      <c r="H1376" s="4">
        <v>1.98</v>
      </c>
      <c r="I1376" s="4">
        <v>1.1499999999999999</v>
      </c>
      <c r="J1376" s="4">
        <v>0.26271</v>
      </c>
      <c r="K1376" s="4" t="b">
        <v>1</v>
      </c>
      <c r="L1376" s="4" t="b">
        <v>0</v>
      </c>
    </row>
    <row r="1377" spans="1:13" ht="13">
      <c r="A1377" s="4" t="s">
        <v>10411</v>
      </c>
      <c r="B1377" s="4" t="s">
        <v>4951</v>
      </c>
      <c r="C1377" s="4" t="s">
        <v>108</v>
      </c>
      <c r="D1377" s="4" t="s">
        <v>4952</v>
      </c>
      <c r="E1377" s="4" t="s">
        <v>2911</v>
      </c>
      <c r="F1377" s="4" t="s">
        <v>10412</v>
      </c>
      <c r="G1377" s="4" t="s">
        <v>10413</v>
      </c>
      <c r="H1377" s="4">
        <v>1.99</v>
      </c>
      <c r="I1377" s="4">
        <v>1.1100000000000001</v>
      </c>
      <c r="J1377" s="4">
        <v>0.25122</v>
      </c>
      <c r="K1377" s="4" t="b">
        <v>1</v>
      </c>
      <c r="L1377" s="4" t="b">
        <v>0</v>
      </c>
    </row>
    <row r="1378" spans="1:13" ht="13">
      <c r="A1378" s="4" t="s">
        <v>3175</v>
      </c>
      <c r="B1378" s="4" t="s">
        <v>4951</v>
      </c>
      <c r="C1378" s="4" t="s">
        <v>108</v>
      </c>
      <c r="D1378" s="4" t="s">
        <v>4952</v>
      </c>
      <c r="E1378" s="4" t="s">
        <v>2911</v>
      </c>
      <c r="F1378" s="4" t="s">
        <v>5089</v>
      </c>
      <c r="G1378" s="4" t="s">
        <v>3071</v>
      </c>
      <c r="H1378" s="4">
        <v>1.99</v>
      </c>
      <c r="I1378" s="4">
        <v>1.02</v>
      </c>
      <c r="J1378" s="4">
        <v>0.21859000000000001</v>
      </c>
      <c r="K1378" s="4" t="b">
        <v>1</v>
      </c>
      <c r="L1378" s="4" t="b">
        <v>1</v>
      </c>
      <c r="M1378" s="41" t="s">
        <v>5087</v>
      </c>
    </row>
    <row r="1379" spans="1:13" ht="13">
      <c r="A1379" s="4" t="s">
        <v>10414</v>
      </c>
      <c r="B1379" s="4" t="s">
        <v>4951</v>
      </c>
      <c r="C1379" s="4" t="s">
        <v>108</v>
      </c>
      <c r="D1379" s="4" t="s">
        <v>4952</v>
      </c>
      <c r="E1379" s="4" t="s">
        <v>2911</v>
      </c>
      <c r="F1379" s="4" t="s">
        <v>10415</v>
      </c>
      <c r="G1379" s="4" t="s">
        <v>10416</v>
      </c>
      <c r="H1379" s="4">
        <v>2</v>
      </c>
      <c r="I1379" s="4">
        <v>1.07</v>
      </c>
      <c r="J1379" s="4">
        <v>0.23974000000000001</v>
      </c>
      <c r="K1379" s="4" t="b">
        <v>1</v>
      </c>
      <c r="L1379" s="4" t="b">
        <v>0</v>
      </c>
    </row>
    <row r="1380" spans="1:13" ht="13">
      <c r="A1380" s="4" t="s">
        <v>10417</v>
      </c>
      <c r="B1380" s="4" t="s">
        <v>4951</v>
      </c>
      <c r="C1380" s="4" t="s">
        <v>108</v>
      </c>
      <c r="D1380" s="4" t="s">
        <v>4952</v>
      </c>
      <c r="E1380" s="4" t="s">
        <v>2911</v>
      </c>
      <c r="F1380" s="4" t="s">
        <v>10418</v>
      </c>
      <c r="G1380" s="4" t="s">
        <v>10419</v>
      </c>
      <c r="H1380" s="4">
        <v>2</v>
      </c>
      <c r="I1380" s="4">
        <v>1.07</v>
      </c>
      <c r="J1380" s="4">
        <v>0.23307</v>
      </c>
      <c r="K1380" s="4" t="b">
        <v>1</v>
      </c>
      <c r="L1380" s="4" t="b">
        <v>0</v>
      </c>
    </row>
    <row r="1381" spans="1:13" ht="13">
      <c r="A1381" s="4" t="s">
        <v>10420</v>
      </c>
      <c r="B1381" s="4" t="s">
        <v>4951</v>
      </c>
      <c r="C1381" s="4" t="s">
        <v>108</v>
      </c>
      <c r="D1381" s="4" t="s">
        <v>4952</v>
      </c>
      <c r="E1381" s="4" t="s">
        <v>2911</v>
      </c>
      <c r="F1381" s="4" t="s">
        <v>10421</v>
      </c>
      <c r="G1381" s="4" t="s">
        <v>10422</v>
      </c>
      <c r="H1381" s="4">
        <v>2.02</v>
      </c>
      <c r="I1381" s="4">
        <v>1.07</v>
      </c>
      <c r="J1381" s="4">
        <v>0.23369000000000001</v>
      </c>
      <c r="K1381" s="4" t="b">
        <v>1</v>
      </c>
      <c r="L1381" s="4" t="b">
        <v>0</v>
      </c>
    </row>
    <row r="1382" spans="1:13" ht="13">
      <c r="A1382" s="4" t="s">
        <v>10423</v>
      </c>
      <c r="B1382" s="4" t="s">
        <v>4951</v>
      </c>
      <c r="C1382" s="4" t="s">
        <v>108</v>
      </c>
      <c r="D1382" s="4" t="s">
        <v>4952</v>
      </c>
      <c r="E1382" s="4" t="s">
        <v>2911</v>
      </c>
      <c r="F1382" s="4" t="s">
        <v>10424</v>
      </c>
      <c r="G1382" s="4" t="s">
        <v>10425</v>
      </c>
      <c r="H1382" s="4">
        <v>2.02</v>
      </c>
      <c r="I1382" s="4">
        <v>1.07</v>
      </c>
      <c r="J1382" s="4">
        <v>0.24521999999999999</v>
      </c>
      <c r="K1382" s="4" t="b">
        <v>1</v>
      </c>
      <c r="L1382" s="4" t="b">
        <v>0</v>
      </c>
    </row>
    <row r="1383" spans="1:13" ht="13">
      <c r="A1383" s="4" t="s">
        <v>10426</v>
      </c>
      <c r="B1383" s="4" t="s">
        <v>4951</v>
      </c>
      <c r="C1383" s="4" t="s">
        <v>108</v>
      </c>
      <c r="D1383" s="4" t="s">
        <v>4952</v>
      </c>
      <c r="E1383" s="4" t="s">
        <v>2911</v>
      </c>
      <c r="F1383" s="4" t="s">
        <v>10427</v>
      </c>
      <c r="G1383" s="4" t="s">
        <v>10428</v>
      </c>
      <c r="H1383" s="4">
        <v>2.0299999999999998</v>
      </c>
      <c r="I1383" s="4">
        <v>1.1100000000000001</v>
      </c>
      <c r="J1383" s="4">
        <v>0.2397</v>
      </c>
      <c r="K1383" s="4" t="b">
        <v>1</v>
      </c>
      <c r="L1383" s="4" t="b">
        <v>0</v>
      </c>
    </row>
    <row r="1384" spans="1:13" ht="13">
      <c r="A1384" s="4" t="s">
        <v>10429</v>
      </c>
      <c r="B1384" s="4" t="s">
        <v>4951</v>
      </c>
      <c r="C1384" s="4" t="s">
        <v>108</v>
      </c>
      <c r="D1384" s="4" t="s">
        <v>4952</v>
      </c>
      <c r="E1384" s="4" t="s">
        <v>2911</v>
      </c>
      <c r="F1384" s="4" t="s">
        <v>10430</v>
      </c>
      <c r="G1384" s="4" t="s">
        <v>10431</v>
      </c>
      <c r="H1384" s="4">
        <v>2.04</v>
      </c>
      <c r="I1384" s="4">
        <v>1.06</v>
      </c>
      <c r="J1384" s="4">
        <v>0.23549999999999999</v>
      </c>
      <c r="K1384" s="4" t="b">
        <v>1</v>
      </c>
      <c r="L1384" s="4" t="b">
        <v>0</v>
      </c>
    </row>
    <row r="1385" spans="1:13" ht="13">
      <c r="A1385" s="4" t="s">
        <v>10432</v>
      </c>
      <c r="B1385" s="4" t="s">
        <v>4951</v>
      </c>
      <c r="C1385" s="4" t="s">
        <v>108</v>
      </c>
      <c r="D1385" s="4" t="s">
        <v>4952</v>
      </c>
      <c r="E1385" s="4" t="s">
        <v>2911</v>
      </c>
      <c r="F1385" s="4" t="s">
        <v>10433</v>
      </c>
      <c r="G1385" s="4" t="s">
        <v>10434</v>
      </c>
      <c r="H1385" s="4">
        <v>2.04</v>
      </c>
      <c r="I1385" s="4">
        <v>1.2</v>
      </c>
      <c r="J1385" s="4">
        <v>0.25412000000000001</v>
      </c>
      <c r="K1385" s="4" t="b">
        <v>1</v>
      </c>
      <c r="L1385" s="4" t="b">
        <v>0</v>
      </c>
    </row>
    <row r="1386" spans="1:13" ht="13">
      <c r="A1386" s="4" t="s">
        <v>3176</v>
      </c>
      <c r="B1386" s="4" t="s">
        <v>4951</v>
      </c>
      <c r="C1386" s="4" t="s">
        <v>108</v>
      </c>
      <c r="D1386" s="4" t="s">
        <v>4952</v>
      </c>
      <c r="E1386" s="4" t="s">
        <v>2911</v>
      </c>
      <c r="F1386" s="4" t="s">
        <v>5142</v>
      </c>
      <c r="G1386" s="4" t="s">
        <v>3072</v>
      </c>
      <c r="H1386" s="4">
        <v>2.0499999999999998</v>
      </c>
      <c r="I1386" s="4">
        <v>1.1000000000000001</v>
      </c>
      <c r="J1386" s="4">
        <v>0.24249999999999999</v>
      </c>
      <c r="K1386" s="4" t="b">
        <v>1</v>
      </c>
      <c r="L1386" s="4" t="b">
        <v>1</v>
      </c>
      <c r="M1386" s="41" t="s">
        <v>4929</v>
      </c>
    </row>
    <row r="1387" spans="1:13" ht="13">
      <c r="A1387" s="4" t="s">
        <v>10435</v>
      </c>
      <c r="B1387" s="4" t="s">
        <v>4951</v>
      </c>
      <c r="C1387" s="4" t="s">
        <v>108</v>
      </c>
      <c r="D1387" s="4" t="s">
        <v>4952</v>
      </c>
      <c r="E1387" s="4" t="s">
        <v>2911</v>
      </c>
      <c r="F1387" s="4" t="s">
        <v>10436</v>
      </c>
      <c r="G1387" s="4" t="s">
        <v>10437</v>
      </c>
      <c r="H1387" s="4">
        <v>2.06</v>
      </c>
      <c r="I1387" s="4">
        <v>1.08</v>
      </c>
      <c r="J1387" s="4">
        <v>0.24354000000000001</v>
      </c>
      <c r="K1387" s="4" t="b">
        <v>1</v>
      </c>
      <c r="L1387" s="4" t="b">
        <v>0</v>
      </c>
    </row>
    <row r="1388" spans="1:13" ht="13">
      <c r="A1388" s="4" t="s">
        <v>10438</v>
      </c>
      <c r="B1388" s="4" t="s">
        <v>4951</v>
      </c>
      <c r="C1388" s="4" t="s">
        <v>108</v>
      </c>
      <c r="D1388" s="4" t="s">
        <v>4952</v>
      </c>
      <c r="E1388" s="4" t="s">
        <v>2911</v>
      </c>
      <c r="F1388" s="4" t="s">
        <v>10439</v>
      </c>
      <c r="G1388" s="4" t="s">
        <v>10440</v>
      </c>
      <c r="H1388" s="4">
        <v>2.0699999999999998</v>
      </c>
      <c r="I1388" s="4">
        <v>1.05</v>
      </c>
      <c r="J1388" s="4">
        <v>0.23746999999999999</v>
      </c>
      <c r="K1388" s="4" t="b">
        <v>1</v>
      </c>
      <c r="L1388" s="4" t="b">
        <v>0</v>
      </c>
    </row>
    <row r="1389" spans="1:13" ht="13">
      <c r="A1389" s="4" t="s">
        <v>10441</v>
      </c>
      <c r="B1389" s="4" t="s">
        <v>4951</v>
      </c>
      <c r="C1389" s="4" t="s">
        <v>108</v>
      </c>
      <c r="D1389" s="4" t="s">
        <v>4952</v>
      </c>
      <c r="E1389" s="4" t="s">
        <v>2911</v>
      </c>
      <c r="F1389" s="4" t="s">
        <v>10442</v>
      </c>
      <c r="G1389" s="4" t="s">
        <v>10443</v>
      </c>
      <c r="H1389" s="4">
        <v>2.0699999999999998</v>
      </c>
      <c r="I1389" s="4">
        <v>1.1399999999999999</v>
      </c>
      <c r="J1389" s="4">
        <v>0.27254</v>
      </c>
      <c r="K1389" s="4" t="b">
        <v>1</v>
      </c>
      <c r="L1389" s="4" t="b">
        <v>0</v>
      </c>
    </row>
    <row r="1390" spans="1:13" ht="13">
      <c r="A1390" s="4" t="s">
        <v>10444</v>
      </c>
      <c r="B1390" s="4" t="s">
        <v>4951</v>
      </c>
      <c r="C1390" s="4" t="s">
        <v>108</v>
      </c>
      <c r="D1390" s="4" t="s">
        <v>4952</v>
      </c>
      <c r="E1390" s="4" t="s">
        <v>2911</v>
      </c>
      <c r="F1390" s="4" t="s">
        <v>10445</v>
      </c>
      <c r="G1390" s="4" t="s">
        <v>10446</v>
      </c>
      <c r="H1390" s="4">
        <v>2.08</v>
      </c>
      <c r="I1390" s="4">
        <v>1.07</v>
      </c>
      <c r="J1390" s="4">
        <v>0.23241999999999999</v>
      </c>
      <c r="K1390" s="4" t="b">
        <v>1</v>
      </c>
      <c r="L1390" s="4" t="b">
        <v>0</v>
      </c>
    </row>
    <row r="1391" spans="1:13" ht="13">
      <c r="A1391" s="4" t="s">
        <v>10447</v>
      </c>
      <c r="B1391" s="4" t="s">
        <v>4951</v>
      </c>
      <c r="C1391" s="4" t="s">
        <v>108</v>
      </c>
      <c r="D1391" s="4" t="s">
        <v>4952</v>
      </c>
      <c r="E1391" s="4" t="s">
        <v>2911</v>
      </c>
      <c r="F1391" s="4" t="s">
        <v>10448</v>
      </c>
      <c r="G1391" s="4" t="s">
        <v>10449</v>
      </c>
      <c r="H1391" s="4">
        <v>2.08</v>
      </c>
      <c r="I1391" s="4">
        <v>1.07</v>
      </c>
      <c r="J1391" s="4">
        <v>0.23838000000000001</v>
      </c>
      <c r="K1391" s="4" t="b">
        <v>1</v>
      </c>
      <c r="L1391" s="4" t="b">
        <v>0</v>
      </c>
    </row>
    <row r="1392" spans="1:13" ht="13">
      <c r="A1392" s="4" t="s">
        <v>10450</v>
      </c>
      <c r="B1392" s="4" t="s">
        <v>4951</v>
      </c>
      <c r="C1392" s="4" t="s">
        <v>108</v>
      </c>
      <c r="D1392" s="4" t="s">
        <v>4952</v>
      </c>
      <c r="E1392" s="4" t="s">
        <v>2911</v>
      </c>
      <c r="F1392" s="4" t="s">
        <v>10451</v>
      </c>
      <c r="G1392" s="4" t="s">
        <v>10452</v>
      </c>
      <c r="H1392" s="4">
        <v>2.09</v>
      </c>
      <c r="I1392" s="4">
        <v>1.1000000000000001</v>
      </c>
      <c r="J1392" s="4">
        <v>0.26241999999999999</v>
      </c>
      <c r="K1392" s="4" t="b">
        <v>1</v>
      </c>
      <c r="L1392" s="4" t="b">
        <v>0</v>
      </c>
    </row>
    <row r="1393" spans="1:12" ht="13">
      <c r="A1393" s="4" t="s">
        <v>10453</v>
      </c>
      <c r="B1393" s="4" t="s">
        <v>4951</v>
      </c>
      <c r="C1393" s="4" t="s">
        <v>108</v>
      </c>
      <c r="D1393" s="4" t="s">
        <v>4952</v>
      </c>
      <c r="E1393" s="4" t="s">
        <v>2911</v>
      </c>
      <c r="F1393" s="4" t="s">
        <v>10454</v>
      </c>
      <c r="G1393" s="4" t="s">
        <v>10455</v>
      </c>
      <c r="H1393" s="4">
        <v>2.09</v>
      </c>
      <c r="I1393" s="4">
        <v>1.08</v>
      </c>
      <c r="J1393" s="4">
        <v>0.23862</v>
      </c>
      <c r="K1393" s="4" t="b">
        <v>1</v>
      </c>
      <c r="L1393" s="4" t="b">
        <v>0</v>
      </c>
    </row>
    <row r="1394" spans="1:12" ht="13">
      <c r="A1394" s="4" t="s">
        <v>10456</v>
      </c>
      <c r="B1394" s="4" t="s">
        <v>4951</v>
      </c>
      <c r="C1394" s="4" t="s">
        <v>108</v>
      </c>
      <c r="D1394" s="4" t="s">
        <v>4952</v>
      </c>
      <c r="E1394" s="4" t="s">
        <v>2911</v>
      </c>
      <c r="F1394" s="4" t="s">
        <v>10457</v>
      </c>
      <c r="G1394" s="4" t="s">
        <v>10458</v>
      </c>
      <c r="H1394" s="4">
        <v>2.1</v>
      </c>
      <c r="I1394" s="4">
        <v>1.07</v>
      </c>
      <c r="J1394" s="4">
        <v>0.25180999999999998</v>
      </c>
      <c r="K1394" s="4" t="b">
        <v>1</v>
      </c>
      <c r="L1394" s="4" t="b">
        <v>0</v>
      </c>
    </row>
    <row r="1395" spans="1:12" ht="13">
      <c r="A1395" s="4" t="s">
        <v>10459</v>
      </c>
      <c r="B1395" s="4" t="s">
        <v>4951</v>
      </c>
      <c r="C1395" s="4" t="s">
        <v>108</v>
      </c>
      <c r="D1395" s="4" t="s">
        <v>4952</v>
      </c>
      <c r="E1395" s="4" t="s">
        <v>2911</v>
      </c>
      <c r="F1395" s="4" t="s">
        <v>10460</v>
      </c>
      <c r="G1395" s="4" t="s">
        <v>10461</v>
      </c>
      <c r="H1395" s="4">
        <v>2.11</v>
      </c>
      <c r="I1395" s="4">
        <v>1.1200000000000001</v>
      </c>
      <c r="J1395" s="4">
        <v>0.25106000000000001</v>
      </c>
      <c r="K1395" s="4" t="b">
        <v>1</v>
      </c>
      <c r="L1395" s="4" t="b">
        <v>0</v>
      </c>
    </row>
    <row r="1396" spans="1:12" ht="13">
      <c r="A1396" s="4" t="s">
        <v>10462</v>
      </c>
      <c r="B1396" s="4" t="s">
        <v>4951</v>
      </c>
      <c r="C1396" s="4" t="s">
        <v>108</v>
      </c>
      <c r="D1396" s="4" t="s">
        <v>4952</v>
      </c>
      <c r="E1396" s="4" t="s">
        <v>2911</v>
      </c>
      <c r="F1396" s="4" t="s">
        <v>10463</v>
      </c>
      <c r="G1396" s="4" t="s">
        <v>10464</v>
      </c>
      <c r="H1396" s="4">
        <v>2.11</v>
      </c>
      <c r="I1396" s="4">
        <v>1.26</v>
      </c>
      <c r="J1396" s="4">
        <v>0.26132</v>
      </c>
      <c r="K1396" s="4" t="b">
        <v>1</v>
      </c>
      <c r="L1396" s="4" t="b">
        <v>0</v>
      </c>
    </row>
    <row r="1397" spans="1:12" ht="13">
      <c r="A1397" s="4" t="s">
        <v>10465</v>
      </c>
      <c r="B1397" s="4" t="s">
        <v>4951</v>
      </c>
      <c r="C1397" s="4" t="s">
        <v>108</v>
      </c>
      <c r="D1397" s="4" t="s">
        <v>4952</v>
      </c>
      <c r="E1397" s="4" t="s">
        <v>2911</v>
      </c>
      <c r="F1397" s="4" t="s">
        <v>10466</v>
      </c>
      <c r="G1397" s="4" t="s">
        <v>10467</v>
      </c>
      <c r="H1397" s="4">
        <v>2.12</v>
      </c>
      <c r="I1397" s="4">
        <v>1.17</v>
      </c>
      <c r="J1397" s="4">
        <v>0.26419999999999999</v>
      </c>
      <c r="K1397" s="4" t="b">
        <v>1</v>
      </c>
      <c r="L1397" s="4" t="b">
        <v>0</v>
      </c>
    </row>
    <row r="1398" spans="1:12" ht="13">
      <c r="A1398" s="4" t="s">
        <v>10468</v>
      </c>
      <c r="B1398" s="4" t="s">
        <v>4951</v>
      </c>
      <c r="C1398" s="4" t="s">
        <v>108</v>
      </c>
      <c r="D1398" s="4" t="s">
        <v>4952</v>
      </c>
      <c r="E1398" s="4" t="s">
        <v>2911</v>
      </c>
      <c r="F1398" s="4" t="s">
        <v>10469</v>
      </c>
      <c r="G1398" s="4" t="s">
        <v>10470</v>
      </c>
      <c r="H1398" s="4">
        <v>2.13</v>
      </c>
      <c r="I1398" s="4">
        <v>1.1200000000000001</v>
      </c>
      <c r="J1398" s="4">
        <v>0.25062000000000001</v>
      </c>
      <c r="K1398" s="4" t="b">
        <v>1</v>
      </c>
      <c r="L1398" s="4" t="b">
        <v>0</v>
      </c>
    </row>
    <row r="1399" spans="1:12" ht="13">
      <c r="A1399" s="4" t="s">
        <v>10474</v>
      </c>
      <c r="B1399" s="4" t="s">
        <v>4951</v>
      </c>
      <c r="C1399" s="4" t="s">
        <v>108</v>
      </c>
      <c r="D1399" s="4" t="s">
        <v>4952</v>
      </c>
      <c r="E1399" s="4" t="s">
        <v>2911</v>
      </c>
      <c r="F1399" s="4" t="s">
        <v>10475</v>
      </c>
      <c r="G1399" s="4" t="s">
        <v>10476</v>
      </c>
      <c r="H1399" s="4">
        <v>2.15</v>
      </c>
      <c r="I1399" s="4">
        <v>1.03</v>
      </c>
      <c r="J1399" s="4">
        <v>0.22319</v>
      </c>
      <c r="K1399" s="4" t="b">
        <v>1</v>
      </c>
      <c r="L1399" s="4" t="b">
        <v>0</v>
      </c>
    </row>
    <row r="1400" spans="1:12" ht="13">
      <c r="A1400" s="4" t="s">
        <v>10477</v>
      </c>
      <c r="B1400" s="4" t="s">
        <v>4951</v>
      </c>
      <c r="C1400" s="4" t="s">
        <v>108</v>
      </c>
      <c r="D1400" s="4" t="s">
        <v>4952</v>
      </c>
      <c r="E1400" s="4" t="s">
        <v>2911</v>
      </c>
      <c r="F1400" s="4" t="s">
        <v>10478</v>
      </c>
      <c r="G1400" s="4" t="s">
        <v>10479</v>
      </c>
      <c r="H1400" s="4">
        <v>2.16</v>
      </c>
      <c r="I1400" s="4">
        <v>1.1299999999999999</v>
      </c>
      <c r="J1400" s="4">
        <v>0.25502999999999998</v>
      </c>
      <c r="K1400" s="4" t="b">
        <v>1</v>
      </c>
      <c r="L1400" s="4" t="b">
        <v>0</v>
      </c>
    </row>
    <row r="1401" spans="1:12" ht="13">
      <c r="A1401" s="4" t="s">
        <v>10480</v>
      </c>
      <c r="B1401" s="4" t="s">
        <v>4951</v>
      </c>
      <c r="C1401" s="4" t="s">
        <v>108</v>
      </c>
      <c r="D1401" s="4" t="s">
        <v>4952</v>
      </c>
      <c r="E1401" s="4" t="s">
        <v>2911</v>
      </c>
      <c r="F1401" s="4" t="s">
        <v>10481</v>
      </c>
      <c r="G1401" s="4" t="s">
        <v>10482</v>
      </c>
      <c r="H1401" s="4">
        <v>2.16</v>
      </c>
      <c r="I1401" s="4">
        <v>1.07</v>
      </c>
      <c r="J1401" s="4">
        <v>0.2402</v>
      </c>
      <c r="K1401" s="4" t="b">
        <v>1</v>
      </c>
      <c r="L1401" s="4" t="b">
        <v>0</v>
      </c>
    </row>
    <row r="1402" spans="1:12" ht="13">
      <c r="A1402" s="4" t="s">
        <v>10483</v>
      </c>
      <c r="B1402" s="4" t="s">
        <v>4951</v>
      </c>
      <c r="C1402" s="4" t="s">
        <v>108</v>
      </c>
      <c r="D1402" s="4" t="s">
        <v>4952</v>
      </c>
      <c r="E1402" s="4" t="s">
        <v>2911</v>
      </c>
      <c r="F1402" s="4" t="s">
        <v>10484</v>
      </c>
      <c r="G1402" s="4" t="s">
        <v>10485</v>
      </c>
      <c r="H1402" s="4">
        <v>2.17</v>
      </c>
      <c r="I1402" s="4">
        <v>1.07</v>
      </c>
      <c r="J1402" s="4">
        <v>0.2392</v>
      </c>
      <c r="K1402" s="4" t="b">
        <v>1</v>
      </c>
      <c r="L1402" s="4" t="b">
        <v>0</v>
      </c>
    </row>
    <row r="1403" spans="1:12" ht="13">
      <c r="A1403" s="4" t="s">
        <v>10486</v>
      </c>
      <c r="B1403" s="4" t="s">
        <v>4951</v>
      </c>
      <c r="C1403" s="4" t="s">
        <v>108</v>
      </c>
      <c r="D1403" s="4" t="s">
        <v>4952</v>
      </c>
      <c r="E1403" s="4" t="s">
        <v>2911</v>
      </c>
      <c r="F1403" s="4" t="s">
        <v>10487</v>
      </c>
      <c r="G1403" s="4" t="s">
        <v>10488</v>
      </c>
      <c r="H1403" s="4">
        <v>2.1800000000000002</v>
      </c>
      <c r="I1403" s="4">
        <v>1.06</v>
      </c>
      <c r="J1403" s="4">
        <v>0.25069000000000002</v>
      </c>
      <c r="K1403" s="4" t="b">
        <v>1</v>
      </c>
      <c r="L1403" s="4" t="b">
        <v>0</v>
      </c>
    </row>
    <row r="1404" spans="1:12" ht="13">
      <c r="A1404" s="4" t="s">
        <v>10489</v>
      </c>
      <c r="B1404" s="4" t="s">
        <v>4951</v>
      </c>
      <c r="C1404" s="4" t="s">
        <v>108</v>
      </c>
      <c r="D1404" s="4" t="s">
        <v>4952</v>
      </c>
      <c r="E1404" s="4" t="s">
        <v>2911</v>
      </c>
      <c r="F1404" s="4" t="s">
        <v>10490</v>
      </c>
      <c r="G1404" s="4" t="s">
        <v>10491</v>
      </c>
      <c r="H1404" s="4">
        <v>2.19</v>
      </c>
      <c r="I1404" s="4">
        <v>1.1299999999999999</v>
      </c>
      <c r="J1404" s="4">
        <v>0.24825</v>
      </c>
      <c r="K1404" s="4" t="b">
        <v>1</v>
      </c>
      <c r="L1404" s="4" t="b">
        <v>0</v>
      </c>
    </row>
    <row r="1405" spans="1:12" ht="13">
      <c r="A1405" s="4" t="s">
        <v>10492</v>
      </c>
      <c r="B1405" s="4" t="s">
        <v>4951</v>
      </c>
      <c r="C1405" s="4" t="s">
        <v>108</v>
      </c>
      <c r="D1405" s="4" t="s">
        <v>4952</v>
      </c>
      <c r="E1405" s="4" t="s">
        <v>2911</v>
      </c>
      <c r="F1405" s="4" t="s">
        <v>10493</v>
      </c>
      <c r="G1405" s="4" t="s">
        <v>10494</v>
      </c>
      <c r="H1405" s="4">
        <v>2.2000000000000002</v>
      </c>
      <c r="I1405" s="4">
        <v>1.07</v>
      </c>
      <c r="J1405" s="4">
        <v>0.24403</v>
      </c>
      <c r="K1405" s="4" t="b">
        <v>1</v>
      </c>
      <c r="L1405" s="4" t="b">
        <v>0</v>
      </c>
    </row>
    <row r="1406" spans="1:12" ht="13">
      <c r="A1406" s="4" t="s">
        <v>10495</v>
      </c>
      <c r="B1406" s="4" t="s">
        <v>4951</v>
      </c>
      <c r="C1406" s="4" t="s">
        <v>108</v>
      </c>
      <c r="D1406" s="4" t="s">
        <v>4952</v>
      </c>
      <c r="E1406" s="4" t="s">
        <v>2911</v>
      </c>
      <c r="F1406" s="4" t="s">
        <v>10496</v>
      </c>
      <c r="G1406" s="4" t="s">
        <v>10497</v>
      </c>
      <c r="H1406" s="4">
        <v>2.21</v>
      </c>
      <c r="I1406" s="4">
        <v>1.08</v>
      </c>
      <c r="J1406" s="4">
        <v>0.22220000000000001</v>
      </c>
      <c r="K1406" s="4" t="b">
        <v>1</v>
      </c>
      <c r="L1406" s="4" t="b">
        <v>0</v>
      </c>
    </row>
    <row r="1407" spans="1:12" ht="13">
      <c r="A1407" s="4" t="s">
        <v>5071</v>
      </c>
      <c r="B1407" s="4" t="s">
        <v>4951</v>
      </c>
      <c r="C1407" s="4" t="s">
        <v>108</v>
      </c>
      <c r="D1407" s="4" t="s">
        <v>4952</v>
      </c>
      <c r="E1407" s="4" t="s">
        <v>2911</v>
      </c>
      <c r="F1407" s="4" t="s">
        <v>5072</v>
      </c>
      <c r="G1407" s="4" t="s">
        <v>5073</v>
      </c>
      <c r="H1407" s="4">
        <v>2.2200000000000002</v>
      </c>
      <c r="I1407" s="4">
        <v>1.08</v>
      </c>
      <c r="J1407" s="4">
        <v>0.23562</v>
      </c>
      <c r="K1407" s="4" t="b">
        <v>1</v>
      </c>
      <c r="L1407" s="4" t="b">
        <v>0</v>
      </c>
    </row>
    <row r="1408" spans="1:12" ht="13">
      <c r="A1408" s="4" t="s">
        <v>10498</v>
      </c>
      <c r="B1408" s="4" t="s">
        <v>4951</v>
      </c>
      <c r="C1408" s="4" t="s">
        <v>108</v>
      </c>
      <c r="D1408" s="4" t="s">
        <v>4952</v>
      </c>
      <c r="E1408" s="4" t="s">
        <v>2911</v>
      </c>
      <c r="F1408" s="4" t="s">
        <v>10499</v>
      </c>
      <c r="G1408" s="4" t="s">
        <v>10500</v>
      </c>
      <c r="H1408" s="4">
        <v>2.23</v>
      </c>
      <c r="I1408" s="4">
        <v>1.1100000000000001</v>
      </c>
      <c r="J1408" s="4">
        <v>0.24701000000000001</v>
      </c>
      <c r="K1408" s="4" t="b">
        <v>1</v>
      </c>
      <c r="L1408" s="4" t="b">
        <v>0</v>
      </c>
    </row>
    <row r="1409" spans="1:14" ht="13">
      <c r="A1409" s="4" t="s">
        <v>3177</v>
      </c>
      <c r="B1409" s="4" t="s">
        <v>4951</v>
      </c>
      <c r="C1409" s="4" t="s">
        <v>108</v>
      </c>
      <c r="D1409" s="4" t="s">
        <v>4952</v>
      </c>
      <c r="E1409" s="4" t="s">
        <v>2911</v>
      </c>
      <c r="F1409" s="4" t="s">
        <v>5157</v>
      </c>
      <c r="G1409" s="4" t="s">
        <v>3073</v>
      </c>
      <c r="H1409" s="4">
        <v>2.2400000000000002</v>
      </c>
      <c r="I1409" s="4">
        <v>1.02</v>
      </c>
      <c r="J1409" s="4">
        <v>0.23619999999999999</v>
      </c>
      <c r="K1409" s="4" t="b">
        <v>1</v>
      </c>
      <c r="L1409" s="4" t="b">
        <v>1</v>
      </c>
      <c r="M1409" s="41" t="s">
        <v>4955</v>
      </c>
      <c r="N1409" s="41" t="s">
        <v>4955</v>
      </c>
    </row>
    <row r="1410" spans="1:14" ht="13">
      <c r="A1410" s="4" t="s">
        <v>10501</v>
      </c>
      <c r="B1410" s="4" t="s">
        <v>4951</v>
      </c>
      <c r="C1410" s="4" t="s">
        <v>108</v>
      </c>
      <c r="D1410" s="4" t="s">
        <v>4952</v>
      </c>
      <c r="E1410" s="4" t="s">
        <v>2911</v>
      </c>
      <c r="F1410" s="4" t="s">
        <v>10502</v>
      </c>
      <c r="G1410" s="4" t="s">
        <v>10503</v>
      </c>
      <c r="H1410" s="4">
        <v>2.2400000000000002</v>
      </c>
      <c r="I1410" s="4">
        <v>1.05</v>
      </c>
      <c r="J1410" s="4">
        <v>0.22461</v>
      </c>
      <c r="K1410" s="4" t="b">
        <v>1</v>
      </c>
      <c r="L1410" s="4" t="b">
        <v>0</v>
      </c>
    </row>
    <row r="1411" spans="1:14" ht="13">
      <c r="A1411" s="4" t="s">
        <v>10504</v>
      </c>
      <c r="B1411" s="4" t="s">
        <v>4951</v>
      </c>
      <c r="C1411" s="4" t="s">
        <v>108</v>
      </c>
      <c r="D1411" s="4" t="s">
        <v>4952</v>
      </c>
      <c r="E1411" s="4" t="s">
        <v>2911</v>
      </c>
      <c r="F1411" s="4" t="s">
        <v>10505</v>
      </c>
      <c r="G1411" s="4" t="s">
        <v>10506</v>
      </c>
      <c r="H1411" s="4">
        <v>2.25</v>
      </c>
      <c r="I1411" s="4">
        <v>1.1100000000000001</v>
      </c>
      <c r="J1411" s="4">
        <v>0.24173</v>
      </c>
      <c r="K1411" s="4" t="b">
        <v>1</v>
      </c>
      <c r="L1411" s="4" t="b">
        <v>0</v>
      </c>
    </row>
    <row r="1412" spans="1:14" ht="13">
      <c r="A1412" s="4" t="s">
        <v>5195</v>
      </c>
      <c r="B1412" s="4" t="s">
        <v>4951</v>
      </c>
      <c r="C1412" s="4" t="s">
        <v>108</v>
      </c>
      <c r="D1412" s="4" t="s">
        <v>4952</v>
      </c>
      <c r="E1412" s="4" t="s">
        <v>2911</v>
      </c>
      <c r="F1412" s="4" t="s">
        <v>5196</v>
      </c>
      <c r="G1412" s="4" t="s">
        <v>5197</v>
      </c>
      <c r="H1412" s="4">
        <v>2.2599999999999998</v>
      </c>
      <c r="I1412" s="4">
        <v>1.0900000000000001</v>
      </c>
      <c r="J1412" s="4">
        <v>0.24145</v>
      </c>
      <c r="K1412" s="4" t="b">
        <v>1</v>
      </c>
      <c r="L1412" s="4" t="b">
        <v>0</v>
      </c>
    </row>
    <row r="1413" spans="1:14" ht="13">
      <c r="A1413" s="4" t="s">
        <v>10507</v>
      </c>
      <c r="B1413" s="4" t="s">
        <v>4951</v>
      </c>
      <c r="C1413" s="4" t="s">
        <v>108</v>
      </c>
      <c r="D1413" s="4" t="s">
        <v>4952</v>
      </c>
      <c r="E1413" s="4" t="s">
        <v>2911</v>
      </c>
      <c r="F1413" s="4" t="s">
        <v>10508</v>
      </c>
      <c r="G1413" s="4" t="s">
        <v>10509</v>
      </c>
      <c r="H1413" s="4">
        <v>2.2599999999999998</v>
      </c>
      <c r="I1413" s="4">
        <v>1.26</v>
      </c>
      <c r="J1413" s="4">
        <v>0.24701999999999999</v>
      </c>
      <c r="K1413" s="4" t="b">
        <v>1</v>
      </c>
      <c r="L1413" s="4" t="b">
        <v>0</v>
      </c>
    </row>
    <row r="1414" spans="1:14" ht="13">
      <c r="A1414" s="4" t="s">
        <v>10510</v>
      </c>
      <c r="B1414" s="4" t="s">
        <v>4951</v>
      </c>
      <c r="C1414" s="4" t="s">
        <v>108</v>
      </c>
      <c r="D1414" s="4" t="s">
        <v>4952</v>
      </c>
      <c r="E1414" s="4" t="s">
        <v>2911</v>
      </c>
      <c r="F1414" s="4" t="s">
        <v>10511</v>
      </c>
      <c r="G1414" s="4" t="s">
        <v>10512</v>
      </c>
      <c r="H1414" s="4">
        <v>2.27</v>
      </c>
      <c r="I1414" s="4">
        <v>1.08</v>
      </c>
      <c r="J1414" s="4">
        <v>0.25186999999999998</v>
      </c>
      <c r="K1414" s="4" t="b">
        <v>1</v>
      </c>
      <c r="L1414" s="4" t="b">
        <v>0</v>
      </c>
    </row>
    <row r="1415" spans="1:14" ht="13">
      <c r="A1415" s="4" t="s">
        <v>10513</v>
      </c>
      <c r="B1415" s="4" t="s">
        <v>4951</v>
      </c>
      <c r="C1415" s="4" t="s">
        <v>108</v>
      </c>
      <c r="D1415" s="4" t="s">
        <v>4952</v>
      </c>
      <c r="E1415" s="4" t="s">
        <v>2911</v>
      </c>
      <c r="F1415" s="4" t="s">
        <v>10514</v>
      </c>
      <c r="G1415" s="4" t="s">
        <v>10515</v>
      </c>
      <c r="H1415" s="4">
        <v>2.2799999999999998</v>
      </c>
      <c r="I1415" s="4">
        <v>1.1000000000000001</v>
      </c>
      <c r="J1415" s="4">
        <v>0.22875999999999999</v>
      </c>
      <c r="K1415" s="4" t="b">
        <v>1</v>
      </c>
      <c r="L1415" s="4" t="b">
        <v>0</v>
      </c>
    </row>
    <row r="1416" spans="1:14" ht="13">
      <c r="A1416" s="4" t="s">
        <v>10516</v>
      </c>
      <c r="B1416" s="4" t="s">
        <v>4951</v>
      </c>
      <c r="C1416" s="4" t="s">
        <v>108</v>
      </c>
      <c r="D1416" s="4" t="s">
        <v>4952</v>
      </c>
      <c r="E1416" s="4" t="s">
        <v>2911</v>
      </c>
      <c r="F1416" s="4" t="s">
        <v>10517</v>
      </c>
      <c r="G1416" s="4" t="s">
        <v>10518</v>
      </c>
      <c r="H1416" s="4">
        <v>2.29</v>
      </c>
      <c r="I1416" s="4">
        <v>1.1399999999999999</v>
      </c>
      <c r="J1416" s="4">
        <v>0.25407999999999997</v>
      </c>
      <c r="K1416" s="4" t="b">
        <v>1</v>
      </c>
      <c r="L1416" s="4" t="b">
        <v>0</v>
      </c>
    </row>
    <row r="1417" spans="1:14" ht="13">
      <c r="A1417" s="4" t="s">
        <v>10519</v>
      </c>
      <c r="B1417" s="4" t="s">
        <v>4951</v>
      </c>
      <c r="C1417" s="4" t="s">
        <v>108</v>
      </c>
      <c r="D1417" s="4" t="s">
        <v>4952</v>
      </c>
      <c r="E1417" s="4" t="s">
        <v>2911</v>
      </c>
      <c r="F1417" s="4" t="s">
        <v>10520</v>
      </c>
      <c r="G1417" s="4" t="s">
        <v>10521</v>
      </c>
      <c r="H1417" s="4">
        <v>2.2999999999999998</v>
      </c>
      <c r="I1417" s="4">
        <v>1.26</v>
      </c>
      <c r="J1417" s="4">
        <v>0.31206</v>
      </c>
      <c r="K1417" s="4" t="b">
        <v>1</v>
      </c>
      <c r="L1417" s="4" t="b">
        <v>0</v>
      </c>
    </row>
    <row r="1418" spans="1:14" ht="13">
      <c r="A1418" s="4" t="s">
        <v>10522</v>
      </c>
      <c r="B1418" s="4" t="s">
        <v>4951</v>
      </c>
      <c r="C1418" s="4" t="s">
        <v>108</v>
      </c>
      <c r="D1418" s="4" t="s">
        <v>4952</v>
      </c>
      <c r="E1418" s="4" t="s">
        <v>2911</v>
      </c>
      <c r="F1418" s="4" t="s">
        <v>10523</v>
      </c>
      <c r="G1418" s="4" t="s">
        <v>10524</v>
      </c>
      <c r="H1418" s="4">
        <v>2.2999999999999998</v>
      </c>
      <c r="I1418" s="4">
        <v>1.06</v>
      </c>
      <c r="J1418" s="4">
        <v>0.25117</v>
      </c>
      <c r="K1418" s="4" t="b">
        <v>1</v>
      </c>
      <c r="L1418" s="4" t="b">
        <v>0</v>
      </c>
    </row>
    <row r="1419" spans="1:14" ht="13">
      <c r="A1419" s="4" t="s">
        <v>10525</v>
      </c>
      <c r="B1419" s="4" t="s">
        <v>4951</v>
      </c>
      <c r="C1419" s="4" t="s">
        <v>108</v>
      </c>
      <c r="D1419" s="4" t="s">
        <v>4952</v>
      </c>
      <c r="E1419" s="4" t="s">
        <v>2911</v>
      </c>
      <c r="F1419" s="4" t="s">
        <v>10526</v>
      </c>
      <c r="G1419" s="4" t="s">
        <v>10527</v>
      </c>
      <c r="H1419" s="4">
        <v>2.3199999999999998</v>
      </c>
      <c r="I1419" s="4">
        <v>1.18</v>
      </c>
      <c r="J1419" s="4">
        <v>0.25406000000000001</v>
      </c>
      <c r="K1419" s="4" t="b">
        <v>1</v>
      </c>
      <c r="L1419" s="4" t="b">
        <v>0</v>
      </c>
    </row>
    <row r="1420" spans="1:14" ht="13">
      <c r="A1420" s="4" t="s">
        <v>10528</v>
      </c>
      <c r="B1420" s="4" t="s">
        <v>4951</v>
      </c>
      <c r="C1420" s="4" t="s">
        <v>108</v>
      </c>
      <c r="D1420" s="4" t="s">
        <v>4952</v>
      </c>
      <c r="E1420" s="4" t="s">
        <v>2911</v>
      </c>
      <c r="F1420" s="4" t="s">
        <v>10529</v>
      </c>
      <c r="G1420" s="4" t="s">
        <v>10530</v>
      </c>
      <c r="H1420" s="4">
        <v>2.3199999999999998</v>
      </c>
      <c r="I1420" s="4">
        <v>1.08</v>
      </c>
      <c r="J1420" s="4">
        <v>0.23104</v>
      </c>
      <c r="K1420" s="4" t="b">
        <v>1</v>
      </c>
      <c r="L1420" s="4" t="b">
        <v>0</v>
      </c>
    </row>
    <row r="1421" spans="1:14" ht="13">
      <c r="A1421" s="4" t="s">
        <v>10531</v>
      </c>
      <c r="B1421" s="4" t="s">
        <v>4951</v>
      </c>
      <c r="C1421" s="4" t="s">
        <v>108</v>
      </c>
      <c r="D1421" s="4" t="s">
        <v>4952</v>
      </c>
      <c r="E1421" s="4" t="s">
        <v>2911</v>
      </c>
      <c r="F1421" s="4" t="s">
        <v>10532</v>
      </c>
      <c r="G1421" s="4" t="s">
        <v>10533</v>
      </c>
      <c r="H1421" s="4">
        <v>2.33</v>
      </c>
      <c r="I1421" s="4">
        <v>1.03</v>
      </c>
      <c r="J1421" s="4">
        <v>0.23153000000000001</v>
      </c>
      <c r="K1421" s="4" t="b">
        <v>1</v>
      </c>
      <c r="L1421" s="4" t="b">
        <v>0</v>
      </c>
    </row>
    <row r="1422" spans="1:14" ht="13">
      <c r="A1422" s="4" t="s">
        <v>10534</v>
      </c>
      <c r="B1422" s="4" t="s">
        <v>4951</v>
      </c>
      <c r="C1422" s="4" t="s">
        <v>108</v>
      </c>
      <c r="D1422" s="4" t="s">
        <v>4952</v>
      </c>
      <c r="E1422" s="4" t="s">
        <v>2911</v>
      </c>
      <c r="F1422" s="4" t="s">
        <v>10535</v>
      </c>
      <c r="G1422" s="4" t="s">
        <v>10536</v>
      </c>
      <c r="H1422" s="4">
        <v>2.33</v>
      </c>
      <c r="I1422" s="4">
        <v>1.1399999999999999</v>
      </c>
      <c r="J1422" s="4">
        <v>0.25169999999999998</v>
      </c>
      <c r="K1422" s="4" t="b">
        <v>1</v>
      </c>
      <c r="L1422" s="4" t="b">
        <v>0</v>
      </c>
    </row>
    <row r="1423" spans="1:14" ht="13">
      <c r="A1423" s="4" t="s">
        <v>10537</v>
      </c>
      <c r="B1423" s="4" t="s">
        <v>4951</v>
      </c>
      <c r="C1423" s="4" t="s">
        <v>108</v>
      </c>
      <c r="D1423" s="4" t="s">
        <v>4952</v>
      </c>
      <c r="E1423" s="4" t="s">
        <v>2911</v>
      </c>
      <c r="F1423" s="4" t="s">
        <v>10538</v>
      </c>
      <c r="G1423" s="4" t="s">
        <v>10539</v>
      </c>
      <c r="H1423" s="4">
        <v>2.34</v>
      </c>
      <c r="I1423" s="4">
        <v>1.1100000000000001</v>
      </c>
      <c r="J1423" s="4">
        <v>0.23243</v>
      </c>
      <c r="K1423" s="4" t="b">
        <v>1</v>
      </c>
      <c r="L1423" s="4" t="b">
        <v>0</v>
      </c>
    </row>
    <row r="1424" spans="1:14" ht="13">
      <c r="A1424" s="4" t="s">
        <v>10540</v>
      </c>
      <c r="B1424" s="4" t="s">
        <v>4951</v>
      </c>
      <c r="C1424" s="4" t="s">
        <v>108</v>
      </c>
      <c r="D1424" s="4" t="s">
        <v>4952</v>
      </c>
      <c r="E1424" s="4" t="s">
        <v>2911</v>
      </c>
      <c r="F1424" s="4" t="s">
        <v>10541</v>
      </c>
      <c r="G1424" s="4" t="s">
        <v>10542</v>
      </c>
      <c r="H1424" s="4">
        <v>2.35</v>
      </c>
      <c r="I1424" s="4">
        <v>1.1200000000000001</v>
      </c>
      <c r="J1424" s="4">
        <v>0.24331</v>
      </c>
      <c r="K1424" s="4" t="b">
        <v>1</v>
      </c>
      <c r="L1424" s="4" t="b">
        <v>0</v>
      </c>
    </row>
    <row r="1425" spans="1:13" ht="13">
      <c r="A1425" s="4" t="s">
        <v>10543</v>
      </c>
      <c r="B1425" s="4" t="s">
        <v>4951</v>
      </c>
      <c r="C1425" s="4" t="s">
        <v>108</v>
      </c>
      <c r="D1425" s="4" t="s">
        <v>4952</v>
      </c>
      <c r="E1425" s="4" t="s">
        <v>2911</v>
      </c>
      <c r="F1425" s="4" t="s">
        <v>10544</v>
      </c>
      <c r="G1425" s="4" t="s">
        <v>10545</v>
      </c>
      <c r="H1425" s="4">
        <v>2.36</v>
      </c>
      <c r="I1425" s="4">
        <v>1.17</v>
      </c>
      <c r="J1425" s="4">
        <v>0.27342</v>
      </c>
      <c r="K1425" s="4" t="b">
        <v>1</v>
      </c>
      <c r="L1425" s="4" t="b">
        <v>0</v>
      </c>
    </row>
    <row r="1426" spans="1:13" ht="13">
      <c r="A1426" s="4" t="s">
        <v>10546</v>
      </c>
      <c r="B1426" s="4" t="s">
        <v>4951</v>
      </c>
      <c r="C1426" s="4" t="s">
        <v>108</v>
      </c>
      <c r="D1426" s="4" t="s">
        <v>4952</v>
      </c>
      <c r="E1426" s="4" t="s">
        <v>2911</v>
      </c>
      <c r="F1426" s="4" t="s">
        <v>10547</v>
      </c>
      <c r="G1426" s="4" t="s">
        <v>10548</v>
      </c>
      <c r="H1426" s="4">
        <v>2.36</v>
      </c>
      <c r="I1426" s="4">
        <v>1.1100000000000001</v>
      </c>
      <c r="J1426" s="4">
        <v>0.23382</v>
      </c>
      <c r="K1426" s="4" t="b">
        <v>1</v>
      </c>
      <c r="L1426" s="4" t="b">
        <v>0</v>
      </c>
    </row>
    <row r="1427" spans="1:13" ht="13">
      <c r="A1427" s="4" t="s">
        <v>10549</v>
      </c>
      <c r="B1427" s="4" t="s">
        <v>4951</v>
      </c>
      <c r="C1427" s="4" t="s">
        <v>108</v>
      </c>
      <c r="D1427" s="4" t="s">
        <v>4952</v>
      </c>
      <c r="E1427" s="4" t="s">
        <v>2911</v>
      </c>
      <c r="F1427" s="4" t="s">
        <v>10550</v>
      </c>
      <c r="G1427" s="4" t="s">
        <v>10551</v>
      </c>
      <c r="H1427" s="4">
        <v>2.38</v>
      </c>
      <c r="I1427" s="4">
        <v>1.02</v>
      </c>
      <c r="J1427" s="4">
        <v>0.22747000000000001</v>
      </c>
      <c r="K1427" s="4" t="b">
        <v>1</v>
      </c>
      <c r="L1427" s="4" t="b">
        <v>0</v>
      </c>
    </row>
    <row r="1428" spans="1:13" ht="13">
      <c r="A1428" s="4" t="s">
        <v>10552</v>
      </c>
      <c r="B1428" s="4" t="s">
        <v>4951</v>
      </c>
      <c r="C1428" s="4" t="s">
        <v>108</v>
      </c>
      <c r="D1428" s="4" t="s">
        <v>4952</v>
      </c>
      <c r="E1428" s="4" t="s">
        <v>2911</v>
      </c>
      <c r="F1428" s="4" t="s">
        <v>10553</v>
      </c>
      <c r="G1428" s="4" t="s">
        <v>10554</v>
      </c>
      <c r="H1428" s="4">
        <v>2.39</v>
      </c>
      <c r="I1428" s="4">
        <v>1.3</v>
      </c>
      <c r="J1428" s="4">
        <v>0.24771000000000001</v>
      </c>
      <c r="K1428" s="4" t="b">
        <v>1</v>
      </c>
      <c r="L1428" s="4" t="b">
        <v>0</v>
      </c>
    </row>
    <row r="1429" spans="1:13" ht="13">
      <c r="A1429" s="4" t="s">
        <v>10555</v>
      </c>
      <c r="B1429" s="4" t="s">
        <v>4951</v>
      </c>
      <c r="C1429" s="4" t="s">
        <v>108</v>
      </c>
      <c r="D1429" s="4" t="s">
        <v>4952</v>
      </c>
      <c r="E1429" s="4" t="s">
        <v>2911</v>
      </c>
      <c r="F1429" s="4" t="s">
        <v>10556</v>
      </c>
      <c r="G1429" s="4" t="s">
        <v>10557</v>
      </c>
      <c r="H1429" s="4">
        <v>2.39</v>
      </c>
      <c r="I1429" s="4">
        <v>1.2</v>
      </c>
      <c r="J1429" s="4">
        <v>0.23536000000000001</v>
      </c>
      <c r="K1429" s="4" t="b">
        <v>1</v>
      </c>
      <c r="L1429" s="4" t="b">
        <v>0</v>
      </c>
    </row>
    <row r="1430" spans="1:13" ht="13">
      <c r="A1430" s="4" t="s">
        <v>10558</v>
      </c>
      <c r="B1430" s="4" t="s">
        <v>4951</v>
      </c>
      <c r="C1430" s="4" t="s">
        <v>108</v>
      </c>
      <c r="D1430" s="4" t="s">
        <v>4952</v>
      </c>
      <c r="E1430" s="4" t="s">
        <v>2911</v>
      </c>
      <c r="F1430" s="4" t="s">
        <v>10559</v>
      </c>
      <c r="G1430" s="4" t="s">
        <v>10560</v>
      </c>
      <c r="H1430" s="4">
        <v>2.4</v>
      </c>
      <c r="I1430" s="4">
        <v>1.0900000000000001</v>
      </c>
      <c r="J1430" s="4">
        <v>0.23427000000000001</v>
      </c>
      <c r="K1430" s="4" t="b">
        <v>1</v>
      </c>
      <c r="L1430" s="4" t="b">
        <v>0</v>
      </c>
    </row>
    <row r="1431" spans="1:13" ht="13">
      <c r="A1431" s="4" t="s">
        <v>10561</v>
      </c>
      <c r="B1431" s="4" t="s">
        <v>4951</v>
      </c>
      <c r="C1431" s="4" t="s">
        <v>108</v>
      </c>
      <c r="D1431" s="4" t="s">
        <v>4952</v>
      </c>
      <c r="E1431" s="4" t="s">
        <v>2911</v>
      </c>
      <c r="F1431" s="4" t="s">
        <v>10562</v>
      </c>
      <c r="G1431" s="4" t="s">
        <v>10563</v>
      </c>
      <c r="H1431" s="4">
        <v>2.4300000000000002</v>
      </c>
      <c r="I1431" s="4">
        <v>1.08</v>
      </c>
      <c r="J1431" s="4">
        <v>0.24354999999999999</v>
      </c>
      <c r="K1431" s="4" t="b">
        <v>1</v>
      </c>
      <c r="L1431" s="4" t="b">
        <v>0</v>
      </c>
    </row>
    <row r="1432" spans="1:13" ht="13">
      <c r="A1432" s="4" t="s">
        <v>10564</v>
      </c>
      <c r="B1432" s="4" t="s">
        <v>4951</v>
      </c>
      <c r="C1432" s="4" t="s">
        <v>108</v>
      </c>
      <c r="D1432" s="4" t="s">
        <v>4952</v>
      </c>
      <c r="E1432" s="4" t="s">
        <v>2911</v>
      </c>
      <c r="F1432" s="4" t="s">
        <v>10565</v>
      </c>
      <c r="G1432" s="4" t="s">
        <v>10566</v>
      </c>
      <c r="H1432" s="4">
        <v>2.44</v>
      </c>
      <c r="I1432" s="4">
        <v>1.0900000000000001</v>
      </c>
      <c r="J1432" s="4">
        <v>0.26149</v>
      </c>
      <c r="K1432" s="4" t="b">
        <v>1</v>
      </c>
      <c r="L1432" s="4" t="b">
        <v>0</v>
      </c>
    </row>
    <row r="1433" spans="1:13" ht="13">
      <c r="A1433" s="4" t="s">
        <v>10567</v>
      </c>
      <c r="B1433" s="4" t="s">
        <v>4951</v>
      </c>
      <c r="C1433" s="4" t="s">
        <v>108</v>
      </c>
      <c r="D1433" s="4" t="s">
        <v>4952</v>
      </c>
      <c r="E1433" s="4" t="s">
        <v>2911</v>
      </c>
      <c r="F1433" s="4" t="s">
        <v>10568</v>
      </c>
      <c r="G1433" s="4" t="s">
        <v>10569</v>
      </c>
      <c r="H1433" s="4">
        <v>2.4500000000000002</v>
      </c>
      <c r="I1433" s="4">
        <v>1.1200000000000001</v>
      </c>
      <c r="J1433" s="4">
        <v>0.24079999999999999</v>
      </c>
      <c r="K1433" s="4" t="b">
        <v>1</v>
      </c>
      <c r="L1433" s="4" t="b">
        <v>0</v>
      </c>
    </row>
    <row r="1434" spans="1:13" ht="13">
      <c r="A1434" s="4" t="s">
        <v>10570</v>
      </c>
      <c r="B1434" s="4" t="s">
        <v>4951</v>
      </c>
      <c r="C1434" s="4" t="s">
        <v>108</v>
      </c>
      <c r="D1434" s="4" t="s">
        <v>4952</v>
      </c>
      <c r="E1434" s="4" t="s">
        <v>2911</v>
      </c>
      <c r="F1434" s="4" t="s">
        <v>10571</v>
      </c>
      <c r="G1434" s="4" t="s">
        <v>10572</v>
      </c>
      <c r="H1434" s="4">
        <v>2.46</v>
      </c>
      <c r="I1434" s="4">
        <v>1.08</v>
      </c>
      <c r="J1434" s="4">
        <v>0.23225999999999999</v>
      </c>
      <c r="K1434" s="4" t="b">
        <v>1</v>
      </c>
      <c r="L1434" s="4" t="b">
        <v>0</v>
      </c>
    </row>
    <row r="1435" spans="1:13" ht="13">
      <c r="A1435" s="4" t="s">
        <v>3178</v>
      </c>
      <c r="B1435" s="4" t="s">
        <v>4951</v>
      </c>
      <c r="C1435" s="4" t="s">
        <v>108</v>
      </c>
      <c r="D1435" s="4" t="s">
        <v>4952</v>
      </c>
      <c r="E1435" s="4" t="s">
        <v>2911</v>
      </c>
      <c r="F1435" s="4" t="s">
        <v>4982</v>
      </c>
      <c r="G1435" s="4" t="s">
        <v>3074</v>
      </c>
      <c r="H1435" s="4">
        <v>2.4700000000000002</v>
      </c>
      <c r="I1435" s="4">
        <v>1.22</v>
      </c>
      <c r="J1435" s="4">
        <v>0.23451</v>
      </c>
      <c r="K1435" s="4" t="b">
        <v>1</v>
      </c>
      <c r="L1435" s="4" t="b">
        <v>1</v>
      </c>
      <c r="M1435" s="41" t="s">
        <v>4929</v>
      </c>
    </row>
    <row r="1436" spans="1:13" ht="13">
      <c r="A1436" s="4" t="s">
        <v>10573</v>
      </c>
      <c r="B1436" s="4" t="s">
        <v>4951</v>
      </c>
      <c r="C1436" s="4" t="s">
        <v>108</v>
      </c>
      <c r="D1436" s="4" t="s">
        <v>4952</v>
      </c>
      <c r="E1436" s="4" t="s">
        <v>2911</v>
      </c>
      <c r="F1436" s="4" t="s">
        <v>10574</v>
      </c>
      <c r="G1436" s="4" t="s">
        <v>10575</v>
      </c>
      <c r="H1436" s="4">
        <v>2.4700000000000002</v>
      </c>
      <c r="I1436" s="4">
        <v>1.0900000000000001</v>
      </c>
      <c r="J1436" s="4">
        <v>0.24234</v>
      </c>
      <c r="K1436" s="4" t="b">
        <v>1</v>
      </c>
      <c r="L1436" s="4" t="b">
        <v>0</v>
      </c>
    </row>
    <row r="1437" spans="1:13" ht="13">
      <c r="A1437" s="4" t="s">
        <v>10576</v>
      </c>
      <c r="B1437" s="4" t="s">
        <v>4951</v>
      </c>
      <c r="C1437" s="4" t="s">
        <v>108</v>
      </c>
      <c r="D1437" s="4" t="s">
        <v>4952</v>
      </c>
      <c r="E1437" s="4" t="s">
        <v>2911</v>
      </c>
      <c r="F1437" s="4" t="s">
        <v>10577</v>
      </c>
      <c r="G1437" s="4" t="s">
        <v>10578</v>
      </c>
      <c r="H1437" s="4">
        <v>2.4700000000000002</v>
      </c>
      <c r="I1437" s="4">
        <v>1.1599999999999999</v>
      </c>
      <c r="J1437" s="4">
        <v>0.2462</v>
      </c>
      <c r="K1437" s="4" t="b">
        <v>1</v>
      </c>
      <c r="L1437" s="4" t="b">
        <v>0</v>
      </c>
    </row>
    <row r="1438" spans="1:13" ht="13">
      <c r="A1438" s="4" t="s">
        <v>10579</v>
      </c>
      <c r="B1438" s="4" t="s">
        <v>4951</v>
      </c>
      <c r="C1438" s="4" t="s">
        <v>108</v>
      </c>
      <c r="D1438" s="4" t="s">
        <v>4952</v>
      </c>
      <c r="E1438" s="4" t="s">
        <v>2911</v>
      </c>
      <c r="F1438" s="4" t="s">
        <v>10580</v>
      </c>
      <c r="G1438" s="4" t="s">
        <v>10581</v>
      </c>
      <c r="H1438" s="4">
        <v>2.48</v>
      </c>
      <c r="I1438" s="4">
        <v>1.1599999999999999</v>
      </c>
      <c r="J1438" s="4">
        <v>0.25529000000000002</v>
      </c>
      <c r="K1438" s="4" t="b">
        <v>1</v>
      </c>
      <c r="L1438" s="4" t="b">
        <v>0</v>
      </c>
    </row>
    <row r="1439" spans="1:13" ht="13">
      <c r="A1439" s="4" t="s">
        <v>10582</v>
      </c>
      <c r="B1439" s="4" t="s">
        <v>4951</v>
      </c>
      <c r="C1439" s="4" t="s">
        <v>108</v>
      </c>
      <c r="D1439" s="4" t="s">
        <v>4952</v>
      </c>
      <c r="E1439" s="4" t="s">
        <v>2911</v>
      </c>
      <c r="F1439" s="4" t="s">
        <v>10583</v>
      </c>
      <c r="G1439" s="4" t="s">
        <v>10584</v>
      </c>
      <c r="H1439" s="4">
        <v>2.48</v>
      </c>
      <c r="I1439" s="4">
        <v>1.1399999999999999</v>
      </c>
      <c r="J1439" s="4">
        <v>0.24804999999999999</v>
      </c>
      <c r="K1439" s="4" t="b">
        <v>1</v>
      </c>
      <c r="L1439" s="4" t="b">
        <v>0</v>
      </c>
    </row>
    <row r="1440" spans="1:13" ht="13">
      <c r="A1440" s="4" t="s">
        <v>10585</v>
      </c>
      <c r="B1440" s="4" t="s">
        <v>4951</v>
      </c>
      <c r="C1440" s="4" t="s">
        <v>108</v>
      </c>
      <c r="D1440" s="4" t="s">
        <v>4952</v>
      </c>
      <c r="E1440" s="4" t="s">
        <v>2911</v>
      </c>
      <c r="F1440" s="4" t="s">
        <v>10586</v>
      </c>
      <c r="G1440" s="4" t="s">
        <v>10587</v>
      </c>
      <c r="H1440" s="4">
        <v>2.4900000000000002</v>
      </c>
      <c r="I1440" s="4">
        <v>1.1299999999999999</v>
      </c>
      <c r="J1440" s="4">
        <v>0.22378999999999999</v>
      </c>
      <c r="K1440" s="4" t="b">
        <v>1</v>
      </c>
      <c r="L1440" s="4" t="b">
        <v>0</v>
      </c>
    </row>
    <row r="1441" spans="1:13" ht="13">
      <c r="A1441" s="4" t="s">
        <v>10588</v>
      </c>
      <c r="B1441" s="4" t="s">
        <v>4951</v>
      </c>
      <c r="C1441" s="4" t="s">
        <v>108</v>
      </c>
      <c r="D1441" s="4" t="s">
        <v>4952</v>
      </c>
      <c r="E1441" s="4" t="s">
        <v>2911</v>
      </c>
      <c r="F1441" s="4" t="s">
        <v>10589</v>
      </c>
      <c r="G1441" s="4" t="s">
        <v>10590</v>
      </c>
      <c r="H1441" s="4">
        <v>2.5</v>
      </c>
      <c r="I1441" s="4">
        <v>1.1100000000000001</v>
      </c>
      <c r="J1441" s="4">
        <v>0.23968999999999999</v>
      </c>
      <c r="K1441" s="4" t="b">
        <v>1</v>
      </c>
      <c r="L1441" s="4" t="b">
        <v>0</v>
      </c>
    </row>
    <row r="1442" spans="1:13" ht="13">
      <c r="A1442" s="4" t="s">
        <v>10591</v>
      </c>
      <c r="B1442" s="4" t="s">
        <v>4951</v>
      </c>
      <c r="C1442" s="4" t="s">
        <v>108</v>
      </c>
      <c r="D1442" s="4" t="s">
        <v>4952</v>
      </c>
      <c r="E1442" s="4" t="s">
        <v>2911</v>
      </c>
      <c r="F1442" s="4" t="s">
        <v>10592</v>
      </c>
      <c r="G1442" s="4" t="s">
        <v>10593</v>
      </c>
      <c r="H1442" s="4">
        <v>2.5</v>
      </c>
      <c r="I1442" s="4">
        <v>1.03</v>
      </c>
      <c r="J1442" s="4">
        <v>0.24138999999999999</v>
      </c>
      <c r="K1442" s="4" t="b">
        <v>1</v>
      </c>
      <c r="L1442" s="4" t="b">
        <v>0</v>
      </c>
    </row>
    <row r="1443" spans="1:13" ht="13">
      <c r="A1443" s="4" t="s">
        <v>5186</v>
      </c>
      <c r="B1443" s="4" t="s">
        <v>4951</v>
      </c>
      <c r="C1443" s="4" t="s">
        <v>108</v>
      </c>
      <c r="D1443" s="4" t="s">
        <v>4952</v>
      </c>
      <c r="E1443" s="4" t="s">
        <v>2911</v>
      </c>
      <c r="F1443" s="4" t="s">
        <v>5187</v>
      </c>
      <c r="G1443" s="4" t="s">
        <v>5188</v>
      </c>
      <c r="H1443" s="4">
        <v>2.54</v>
      </c>
      <c r="I1443" s="4">
        <v>1.1200000000000001</v>
      </c>
      <c r="J1443" s="4">
        <v>0.21484</v>
      </c>
      <c r="K1443" s="4" t="b">
        <v>1</v>
      </c>
      <c r="L1443" s="4" t="b">
        <v>0</v>
      </c>
    </row>
    <row r="1444" spans="1:13" ht="13">
      <c r="A1444" s="4" t="s">
        <v>10594</v>
      </c>
      <c r="B1444" s="4" t="s">
        <v>4951</v>
      </c>
      <c r="C1444" s="4" t="s">
        <v>108</v>
      </c>
      <c r="D1444" s="4" t="s">
        <v>4952</v>
      </c>
      <c r="E1444" s="4" t="s">
        <v>2911</v>
      </c>
      <c r="F1444" s="4" t="s">
        <v>10595</v>
      </c>
      <c r="G1444" s="4" t="s">
        <v>10596</v>
      </c>
      <c r="H1444" s="4">
        <v>2.5499999999999998</v>
      </c>
      <c r="I1444" s="4">
        <v>1.1200000000000001</v>
      </c>
      <c r="J1444" s="4">
        <v>0.26221</v>
      </c>
      <c r="K1444" s="4" t="b">
        <v>1</v>
      </c>
      <c r="L1444" s="4" t="b">
        <v>0</v>
      </c>
    </row>
    <row r="1445" spans="1:13" ht="13">
      <c r="A1445" s="4" t="s">
        <v>10597</v>
      </c>
      <c r="B1445" s="4" t="s">
        <v>4951</v>
      </c>
      <c r="C1445" s="4" t="s">
        <v>108</v>
      </c>
      <c r="D1445" s="4" t="s">
        <v>4952</v>
      </c>
      <c r="E1445" s="4" t="s">
        <v>2911</v>
      </c>
      <c r="F1445" s="4" t="s">
        <v>10598</v>
      </c>
      <c r="G1445" s="4" t="s">
        <v>10599</v>
      </c>
      <c r="H1445" s="4">
        <v>2.56</v>
      </c>
      <c r="I1445" s="4">
        <v>1.2</v>
      </c>
      <c r="J1445" s="4">
        <v>0.22058</v>
      </c>
      <c r="K1445" s="4" t="b">
        <v>1</v>
      </c>
      <c r="L1445" s="4" t="b">
        <v>0</v>
      </c>
    </row>
    <row r="1446" spans="1:13" ht="13">
      <c r="A1446" s="4" t="s">
        <v>10600</v>
      </c>
      <c r="B1446" s="4" t="s">
        <v>4951</v>
      </c>
      <c r="C1446" s="4" t="s">
        <v>108</v>
      </c>
      <c r="D1446" s="4" t="s">
        <v>4952</v>
      </c>
      <c r="E1446" s="4" t="s">
        <v>2911</v>
      </c>
      <c r="F1446" s="4" t="s">
        <v>10601</v>
      </c>
      <c r="G1446" s="4" t="s">
        <v>10602</v>
      </c>
      <c r="H1446" s="4">
        <v>2.58</v>
      </c>
      <c r="I1446" s="4">
        <v>1.08</v>
      </c>
      <c r="J1446" s="4">
        <v>0.24254000000000001</v>
      </c>
      <c r="K1446" s="4" t="b">
        <v>1</v>
      </c>
      <c r="L1446" s="4" t="b">
        <v>0</v>
      </c>
    </row>
    <row r="1447" spans="1:13" ht="13">
      <c r="A1447" s="4" t="s">
        <v>10603</v>
      </c>
      <c r="B1447" s="4" t="s">
        <v>4951</v>
      </c>
      <c r="C1447" s="4" t="s">
        <v>108</v>
      </c>
      <c r="D1447" s="4" t="s">
        <v>4952</v>
      </c>
      <c r="E1447" s="4" t="s">
        <v>2911</v>
      </c>
      <c r="F1447" s="4" t="s">
        <v>10604</v>
      </c>
      <c r="G1447" s="4" t="s">
        <v>10605</v>
      </c>
      <c r="H1447" s="4">
        <v>2.58</v>
      </c>
      <c r="I1447" s="4">
        <v>1.1499999999999999</v>
      </c>
      <c r="J1447" s="4">
        <v>0.24490999999999999</v>
      </c>
      <c r="K1447" s="4" t="b">
        <v>1</v>
      </c>
      <c r="L1447" s="4" t="b">
        <v>0</v>
      </c>
    </row>
    <row r="1448" spans="1:13" ht="13">
      <c r="A1448" s="4" t="s">
        <v>3179</v>
      </c>
      <c r="B1448" s="4" t="s">
        <v>4951</v>
      </c>
      <c r="C1448" s="4" t="s">
        <v>108</v>
      </c>
      <c r="D1448" s="4" t="s">
        <v>4952</v>
      </c>
      <c r="E1448" s="4" t="s">
        <v>2911</v>
      </c>
      <c r="F1448" s="4" t="s">
        <v>4983</v>
      </c>
      <c r="G1448" s="4" t="s">
        <v>3075</v>
      </c>
      <c r="H1448" s="4">
        <v>2.59</v>
      </c>
      <c r="I1448" s="4">
        <v>1.07</v>
      </c>
      <c r="J1448" s="4">
        <v>0.24398</v>
      </c>
      <c r="K1448" s="4" t="b">
        <v>1</v>
      </c>
      <c r="L1448" s="4" t="b">
        <v>1</v>
      </c>
      <c r="M1448" s="41" t="s">
        <v>4929</v>
      </c>
    </row>
    <row r="1449" spans="1:13" ht="13">
      <c r="A1449" s="4" t="s">
        <v>10606</v>
      </c>
      <c r="B1449" s="4" t="s">
        <v>4951</v>
      </c>
      <c r="C1449" s="4" t="s">
        <v>108</v>
      </c>
      <c r="D1449" s="4" t="s">
        <v>4952</v>
      </c>
      <c r="E1449" s="4" t="s">
        <v>2911</v>
      </c>
      <c r="F1449" s="4" t="s">
        <v>10607</v>
      </c>
      <c r="G1449" s="4" t="s">
        <v>10608</v>
      </c>
      <c r="H1449" s="4">
        <v>2.6</v>
      </c>
      <c r="I1449" s="4">
        <v>1.04</v>
      </c>
      <c r="J1449" s="4">
        <v>0.24809</v>
      </c>
      <c r="K1449" s="4" t="b">
        <v>1</v>
      </c>
      <c r="L1449" s="4" t="b">
        <v>0</v>
      </c>
    </row>
    <row r="1450" spans="1:13" ht="13">
      <c r="A1450" s="4" t="s">
        <v>10609</v>
      </c>
      <c r="B1450" s="4" t="s">
        <v>4951</v>
      </c>
      <c r="C1450" s="4" t="s">
        <v>108</v>
      </c>
      <c r="D1450" s="4" t="s">
        <v>4952</v>
      </c>
      <c r="E1450" s="4" t="s">
        <v>2911</v>
      </c>
      <c r="F1450" s="4" t="s">
        <v>10610</v>
      </c>
      <c r="G1450" s="4" t="s">
        <v>10611</v>
      </c>
      <c r="H1450" s="4">
        <v>2.61</v>
      </c>
      <c r="I1450" s="4">
        <v>1.19</v>
      </c>
      <c r="J1450" s="4">
        <v>0.28893999999999997</v>
      </c>
      <c r="K1450" s="4" t="b">
        <v>1</v>
      </c>
      <c r="L1450" s="4" t="b">
        <v>0</v>
      </c>
    </row>
    <row r="1451" spans="1:13" ht="13">
      <c r="A1451" s="4" t="s">
        <v>10612</v>
      </c>
      <c r="B1451" s="4" t="s">
        <v>4951</v>
      </c>
      <c r="C1451" s="4" t="s">
        <v>108</v>
      </c>
      <c r="D1451" s="4" t="s">
        <v>4952</v>
      </c>
      <c r="E1451" s="4" t="s">
        <v>2911</v>
      </c>
      <c r="F1451" s="4" t="s">
        <v>10613</v>
      </c>
      <c r="G1451" s="4" t="s">
        <v>10614</v>
      </c>
      <c r="H1451" s="4">
        <v>2.62</v>
      </c>
      <c r="I1451" s="4">
        <v>1.06</v>
      </c>
      <c r="J1451" s="4">
        <v>0.22449</v>
      </c>
      <c r="K1451" s="4" t="b">
        <v>1</v>
      </c>
      <c r="L1451" s="4" t="b">
        <v>0</v>
      </c>
    </row>
    <row r="1452" spans="1:13" ht="13">
      <c r="A1452" s="4" t="s">
        <v>3180</v>
      </c>
      <c r="B1452" s="4" t="s">
        <v>4951</v>
      </c>
      <c r="C1452" s="4" t="s">
        <v>108</v>
      </c>
      <c r="D1452" s="4" t="s">
        <v>4952</v>
      </c>
      <c r="E1452" s="4" t="s">
        <v>2911</v>
      </c>
      <c r="F1452" s="4" t="s">
        <v>4984</v>
      </c>
      <c r="G1452" s="4" t="s">
        <v>3076</v>
      </c>
      <c r="H1452" s="4">
        <v>2.62</v>
      </c>
      <c r="I1452" s="4">
        <v>1.07</v>
      </c>
      <c r="J1452" s="4">
        <v>0.24898999999999999</v>
      </c>
      <c r="K1452" s="4" t="b">
        <v>1</v>
      </c>
      <c r="L1452" s="4" t="b">
        <v>1</v>
      </c>
      <c r="M1452" s="41" t="s">
        <v>4929</v>
      </c>
    </row>
    <row r="1453" spans="1:13" ht="13">
      <c r="A1453" s="4" t="s">
        <v>3181</v>
      </c>
      <c r="B1453" s="4" t="s">
        <v>4951</v>
      </c>
      <c r="C1453" s="4" t="s">
        <v>108</v>
      </c>
      <c r="D1453" s="4" t="s">
        <v>4952</v>
      </c>
      <c r="E1453" s="4" t="s">
        <v>2911</v>
      </c>
      <c r="F1453" s="4" t="s">
        <v>4985</v>
      </c>
      <c r="G1453" s="4" t="s">
        <v>3077</v>
      </c>
      <c r="H1453" s="4">
        <v>2.63</v>
      </c>
      <c r="I1453" s="4">
        <v>1.1399999999999999</v>
      </c>
      <c r="J1453" s="4">
        <v>0.24912000000000001</v>
      </c>
      <c r="K1453" s="4" t="b">
        <v>1</v>
      </c>
      <c r="L1453" s="4" t="b">
        <v>1</v>
      </c>
      <c r="M1453" s="41" t="s">
        <v>4929</v>
      </c>
    </row>
    <row r="1454" spans="1:13" ht="13">
      <c r="A1454" s="4" t="s">
        <v>10615</v>
      </c>
      <c r="B1454" s="4" t="s">
        <v>4951</v>
      </c>
      <c r="C1454" s="4" t="s">
        <v>108</v>
      </c>
      <c r="D1454" s="4" t="s">
        <v>4952</v>
      </c>
      <c r="E1454" s="4" t="s">
        <v>2911</v>
      </c>
      <c r="F1454" s="4" t="s">
        <v>10616</v>
      </c>
      <c r="G1454" s="4" t="s">
        <v>10617</v>
      </c>
      <c r="H1454" s="4">
        <v>2.64</v>
      </c>
      <c r="I1454" s="4">
        <v>1.08</v>
      </c>
      <c r="J1454" s="4">
        <v>0.22927</v>
      </c>
      <c r="K1454" s="4" t="b">
        <v>1</v>
      </c>
      <c r="L1454" s="4" t="b">
        <v>0</v>
      </c>
    </row>
    <row r="1455" spans="1:13" ht="13">
      <c r="A1455" s="4" t="s">
        <v>10618</v>
      </c>
      <c r="B1455" s="4" t="s">
        <v>4951</v>
      </c>
      <c r="C1455" s="4" t="s">
        <v>108</v>
      </c>
      <c r="D1455" s="4" t="s">
        <v>4952</v>
      </c>
      <c r="E1455" s="4" t="s">
        <v>2911</v>
      </c>
      <c r="F1455" s="4" t="s">
        <v>10619</v>
      </c>
      <c r="G1455" s="4" t="s">
        <v>10620</v>
      </c>
      <c r="H1455" s="4">
        <v>2.65</v>
      </c>
      <c r="I1455" s="4">
        <v>1.07</v>
      </c>
      <c r="J1455" s="4">
        <v>0.24947</v>
      </c>
      <c r="K1455" s="4" t="b">
        <v>1</v>
      </c>
      <c r="L1455" s="4" t="b">
        <v>0</v>
      </c>
    </row>
    <row r="1456" spans="1:13" ht="13">
      <c r="A1456" s="4" t="s">
        <v>10621</v>
      </c>
      <c r="B1456" s="4" t="s">
        <v>4951</v>
      </c>
      <c r="C1456" s="4" t="s">
        <v>108</v>
      </c>
      <c r="D1456" s="4" t="s">
        <v>4952</v>
      </c>
      <c r="E1456" s="4" t="s">
        <v>2911</v>
      </c>
      <c r="F1456" s="4" t="s">
        <v>10622</v>
      </c>
      <c r="G1456" s="4" t="s">
        <v>10623</v>
      </c>
      <c r="H1456" s="4">
        <v>2.65</v>
      </c>
      <c r="I1456" s="4">
        <v>1.2</v>
      </c>
      <c r="J1456" s="4">
        <v>0.24825</v>
      </c>
      <c r="K1456" s="4" t="b">
        <v>1</v>
      </c>
      <c r="L1456" s="4" t="b">
        <v>0</v>
      </c>
    </row>
    <row r="1457" spans="1:13" ht="13">
      <c r="A1457" s="4" t="s">
        <v>10624</v>
      </c>
      <c r="B1457" s="4" t="s">
        <v>4951</v>
      </c>
      <c r="C1457" s="4" t="s">
        <v>108</v>
      </c>
      <c r="D1457" s="4" t="s">
        <v>4952</v>
      </c>
      <c r="E1457" s="4" t="s">
        <v>2911</v>
      </c>
      <c r="F1457" s="4" t="s">
        <v>10625</v>
      </c>
      <c r="G1457" s="4" t="s">
        <v>10626</v>
      </c>
      <c r="H1457" s="4">
        <v>2.66</v>
      </c>
      <c r="I1457" s="4">
        <v>1.24</v>
      </c>
      <c r="J1457" s="4">
        <v>0.22536999999999999</v>
      </c>
      <c r="K1457" s="4" t="b">
        <v>1</v>
      </c>
      <c r="L1457" s="4" t="b">
        <v>0</v>
      </c>
    </row>
    <row r="1458" spans="1:13" ht="13">
      <c r="A1458" s="4" t="s">
        <v>10627</v>
      </c>
      <c r="B1458" s="4" t="s">
        <v>4951</v>
      </c>
      <c r="C1458" s="4" t="s">
        <v>108</v>
      </c>
      <c r="D1458" s="4" t="s">
        <v>4952</v>
      </c>
      <c r="E1458" s="4" t="s">
        <v>2911</v>
      </c>
      <c r="F1458" s="4" t="s">
        <v>10628</v>
      </c>
      <c r="G1458" s="4" t="s">
        <v>10629</v>
      </c>
      <c r="H1458" s="4">
        <v>2.66</v>
      </c>
      <c r="I1458" s="4">
        <v>1.32</v>
      </c>
      <c r="J1458" s="4">
        <v>0.24676999999999999</v>
      </c>
      <c r="K1458" s="4" t="b">
        <v>1</v>
      </c>
      <c r="L1458" s="4" t="b">
        <v>0</v>
      </c>
    </row>
    <row r="1459" spans="1:13" ht="13">
      <c r="A1459" s="4" t="s">
        <v>3182</v>
      </c>
      <c r="B1459" s="4" t="s">
        <v>4951</v>
      </c>
      <c r="C1459" s="4" t="s">
        <v>108</v>
      </c>
      <c r="D1459" s="4" t="s">
        <v>4952</v>
      </c>
      <c r="E1459" s="4" t="s">
        <v>2911</v>
      </c>
      <c r="F1459" s="4" t="s">
        <v>5090</v>
      </c>
      <c r="G1459" s="4" t="s">
        <v>3078</v>
      </c>
      <c r="H1459" s="4">
        <v>2.67</v>
      </c>
      <c r="I1459" s="4">
        <v>1.04</v>
      </c>
      <c r="J1459" s="4">
        <v>0.23213</v>
      </c>
      <c r="K1459" s="4" t="b">
        <v>1</v>
      </c>
      <c r="L1459" s="4" t="b">
        <v>1</v>
      </c>
      <c r="M1459" s="41" t="s">
        <v>5087</v>
      </c>
    </row>
    <row r="1460" spans="1:13" ht="13">
      <c r="A1460" s="4" t="s">
        <v>10630</v>
      </c>
      <c r="B1460" s="4" t="s">
        <v>4951</v>
      </c>
      <c r="C1460" s="4" t="s">
        <v>108</v>
      </c>
      <c r="D1460" s="4" t="s">
        <v>4952</v>
      </c>
      <c r="E1460" s="4" t="s">
        <v>2911</v>
      </c>
      <c r="F1460" s="4" t="s">
        <v>10631</v>
      </c>
      <c r="G1460" s="4" t="s">
        <v>10632</v>
      </c>
      <c r="H1460" s="4">
        <v>2.68</v>
      </c>
      <c r="I1460" s="4">
        <v>1.19</v>
      </c>
      <c r="J1460" s="4">
        <v>0.26013999999999998</v>
      </c>
      <c r="K1460" s="4" t="b">
        <v>1</v>
      </c>
      <c r="L1460" s="4" t="b">
        <v>0</v>
      </c>
    </row>
    <row r="1461" spans="1:13" ht="13">
      <c r="A1461" s="4" t="s">
        <v>3183</v>
      </c>
      <c r="B1461" s="4" t="s">
        <v>4951</v>
      </c>
      <c r="C1461" s="4" t="s">
        <v>108</v>
      </c>
      <c r="D1461" s="4" t="s">
        <v>4952</v>
      </c>
      <c r="E1461" s="4" t="s">
        <v>2911</v>
      </c>
      <c r="F1461" s="4" t="s">
        <v>5158</v>
      </c>
      <c r="G1461" s="4" t="s">
        <v>3079</v>
      </c>
      <c r="H1461" s="4">
        <v>2.68</v>
      </c>
      <c r="I1461" s="4">
        <v>1.1499999999999999</v>
      </c>
      <c r="J1461" s="4">
        <v>0.26406000000000002</v>
      </c>
      <c r="K1461" s="4" t="b">
        <v>1</v>
      </c>
      <c r="L1461" s="4" t="b">
        <v>1</v>
      </c>
      <c r="M1461" s="41" t="s">
        <v>4955</v>
      </c>
    </row>
    <row r="1462" spans="1:13" ht="13">
      <c r="A1462" s="4" t="s">
        <v>10633</v>
      </c>
      <c r="B1462" s="4" t="s">
        <v>4951</v>
      </c>
      <c r="C1462" s="4" t="s">
        <v>108</v>
      </c>
      <c r="D1462" s="4" t="s">
        <v>4952</v>
      </c>
      <c r="E1462" s="4" t="s">
        <v>2911</v>
      </c>
      <c r="F1462" s="4" t="s">
        <v>10634</v>
      </c>
      <c r="G1462" s="4" t="s">
        <v>10635</v>
      </c>
      <c r="H1462" s="4">
        <v>2.7</v>
      </c>
      <c r="I1462" s="4">
        <v>1.0900000000000001</v>
      </c>
      <c r="J1462" s="4">
        <v>0.23103000000000001</v>
      </c>
      <c r="K1462" s="4" t="b">
        <v>1</v>
      </c>
      <c r="L1462" s="4" t="b">
        <v>0</v>
      </c>
    </row>
    <row r="1463" spans="1:13" ht="13">
      <c r="A1463" s="4" t="s">
        <v>10636</v>
      </c>
      <c r="B1463" s="4" t="s">
        <v>4951</v>
      </c>
      <c r="C1463" s="4" t="s">
        <v>108</v>
      </c>
      <c r="D1463" s="4" t="s">
        <v>4952</v>
      </c>
      <c r="E1463" s="4" t="s">
        <v>2911</v>
      </c>
      <c r="F1463" s="4" t="s">
        <v>10637</v>
      </c>
      <c r="G1463" s="4" t="s">
        <v>10638</v>
      </c>
      <c r="H1463" s="4">
        <v>2.7</v>
      </c>
      <c r="I1463" s="4">
        <v>1.1599999999999999</v>
      </c>
      <c r="J1463" s="4">
        <v>0.24365999999999999</v>
      </c>
      <c r="K1463" s="4" t="b">
        <v>1</v>
      </c>
      <c r="L1463" s="4" t="b">
        <v>0</v>
      </c>
    </row>
    <row r="1464" spans="1:13" ht="13">
      <c r="A1464" s="4" t="s">
        <v>10639</v>
      </c>
      <c r="B1464" s="4" t="s">
        <v>4951</v>
      </c>
      <c r="C1464" s="4" t="s">
        <v>108</v>
      </c>
      <c r="D1464" s="4" t="s">
        <v>4952</v>
      </c>
      <c r="E1464" s="4" t="s">
        <v>2911</v>
      </c>
      <c r="F1464" s="4" t="s">
        <v>10640</v>
      </c>
      <c r="G1464" s="4" t="s">
        <v>10641</v>
      </c>
      <c r="H1464" s="4">
        <v>2.71</v>
      </c>
      <c r="I1464" s="4">
        <v>1.1200000000000001</v>
      </c>
      <c r="J1464" s="4">
        <v>0.22650000000000001</v>
      </c>
      <c r="K1464" s="4" t="b">
        <v>1</v>
      </c>
      <c r="L1464" s="4" t="b">
        <v>0</v>
      </c>
    </row>
    <row r="1465" spans="1:13" ht="13">
      <c r="A1465" s="4" t="s">
        <v>10642</v>
      </c>
      <c r="B1465" s="4" t="s">
        <v>4951</v>
      </c>
      <c r="C1465" s="4" t="s">
        <v>108</v>
      </c>
      <c r="D1465" s="4" t="s">
        <v>4952</v>
      </c>
      <c r="E1465" s="4" t="s">
        <v>2911</v>
      </c>
      <c r="F1465" s="4" t="s">
        <v>10643</v>
      </c>
      <c r="G1465" s="4" t="s">
        <v>10644</v>
      </c>
      <c r="H1465" s="4">
        <v>2.71</v>
      </c>
      <c r="I1465" s="4">
        <v>1.0900000000000001</v>
      </c>
      <c r="J1465" s="4">
        <v>0.24956999999999999</v>
      </c>
      <c r="K1465" s="4" t="b">
        <v>1</v>
      </c>
      <c r="L1465" s="4" t="b">
        <v>0</v>
      </c>
    </row>
    <row r="1466" spans="1:13" ht="13">
      <c r="A1466" s="4" t="s">
        <v>10645</v>
      </c>
      <c r="B1466" s="4" t="s">
        <v>4951</v>
      </c>
      <c r="C1466" s="4" t="s">
        <v>108</v>
      </c>
      <c r="D1466" s="4" t="s">
        <v>4952</v>
      </c>
      <c r="E1466" s="4" t="s">
        <v>2911</v>
      </c>
      <c r="F1466" s="4" t="s">
        <v>10646</v>
      </c>
      <c r="G1466" s="4" t="s">
        <v>10647</v>
      </c>
      <c r="H1466" s="4">
        <v>2.72</v>
      </c>
      <c r="I1466" s="4">
        <v>1.1399999999999999</v>
      </c>
      <c r="J1466" s="4">
        <v>0.23799000000000001</v>
      </c>
      <c r="K1466" s="4" t="b">
        <v>1</v>
      </c>
      <c r="L1466" s="4" t="b">
        <v>0</v>
      </c>
    </row>
    <row r="1467" spans="1:13" ht="13">
      <c r="A1467" s="4" t="s">
        <v>10648</v>
      </c>
      <c r="B1467" s="4" t="s">
        <v>4951</v>
      </c>
      <c r="C1467" s="4" t="s">
        <v>108</v>
      </c>
      <c r="D1467" s="4" t="s">
        <v>4952</v>
      </c>
      <c r="E1467" s="4" t="s">
        <v>2911</v>
      </c>
      <c r="F1467" s="4" t="s">
        <v>10649</v>
      </c>
      <c r="G1467" s="4" t="s">
        <v>10650</v>
      </c>
      <c r="H1467" s="4">
        <v>2.73</v>
      </c>
      <c r="I1467" s="4">
        <v>1.08</v>
      </c>
      <c r="J1467" s="4">
        <v>0.23860999999999999</v>
      </c>
      <c r="K1467" s="4" t="b">
        <v>1</v>
      </c>
      <c r="L1467" s="4" t="b">
        <v>0</v>
      </c>
    </row>
    <row r="1468" spans="1:13" ht="13">
      <c r="A1468" s="4" t="s">
        <v>10651</v>
      </c>
      <c r="B1468" s="4" t="s">
        <v>4951</v>
      </c>
      <c r="C1468" s="4" t="s">
        <v>108</v>
      </c>
      <c r="D1468" s="4" t="s">
        <v>4952</v>
      </c>
      <c r="E1468" s="4" t="s">
        <v>2911</v>
      </c>
      <c r="F1468" s="4" t="s">
        <v>10652</v>
      </c>
      <c r="G1468" s="4" t="s">
        <v>10653</v>
      </c>
      <c r="H1468" s="4">
        <v>2.73</v>
      </c>
      <c r="I1468" s="4">
        <v>1.1399999999999999</v>
      </c>
      <c r="J1468" s="4">
        <v>0.25307000000000002</v>
      </c>
      <c r="K1468" s="4" t="b">
        <v>1</v>
      </c>
      <c r="L1468" s="4" t="b">
        <v>0</v>
      </c>
    </row>
    <row r="1469" spans="1:13" ht="13">
      <c r="A1469" s="4" t="s">
        <v>10654</v>
      </c>
      <c r="B1469" s="4" t="s">
        <v>4951</v>
      </c>
      <c r="C1469" s="4" t="s">
        <v>108</v>
      </c>
      <c r="D1469" s="4" t="s">
        <v>4952</v>
      </c>
      <c r="E1469" s="4" t="s">
        <v>2911</v>
      </c>
      <c r="F1469" s="4" t="s">
        <v>10655</v>
      </c>
      <c r="G1469" s="4" t="s">
        <v>10656</v>
      </c>
      <c r="H1469" s="4">
        <v>2.74</v>
      </c>
      <c r="I1469" s="4">
        <v>1.1399999999999999</v>
      </c>
      <c r="J1469" s="4">
        <v>0.23344000000000001</v>
      </c>
      <c r="K1469" s="4" t="b">
        <v>1</v>
      </c>
      <c r="L1469" s="4" t="b">
        <v>0</v>
      </c>
    </row>
    <row r="1470" spans="1:13" ht="13">
      <c r="A1470" s="4" t="s">
        <v>10657</v>
      </c>
      <c r="B1470" s="4" t="s">
        <v>4951</v>
      </c>
      <c r="C1470" s="4" t="s">
        <v>108</v>
      </c>
      <c r="D1470" s="4" t="s">
        <v>4952</v>
      </c>
      <c r="E1470" s="4" t="s">
        <v>2911</v>
      </c>
      <c r="F1470" s="4" t="s">
        <v>10658</v>
      </c>
      <c r="G1470" s="4" t="s">
        <v>10659</v>
      </c>
      <c r="H1470" s="4">
        <v>2.74</v>
      </c>
      <c r="I1470" s="4">
        <v>1.1200000000000001</v>
      </c>
      <c r="J1470" s="4">
        <v>0.24603</v>
      </c>
      <c r="K1470" s="4" t="b">
        <v>1</v>
      </c>
      <c r="L1470" s="4" t="b">
        <v>0</v>
      </c>
    </row>
    <row r="1471" spans="1:13" ht="13">
      <c r="A1471" s="4" t="s">
        <v>10660</v>
      </c>
      <c r="B1471" s="4" t="s">
        <v>4951</v>
      </c>
      <c r="C1471" s="4" t="s">
        <v>108</v>
      </c>
      <c r="D1471" s="4" t="s">
        <v>4952</v>
      </c>
      <c r="E1471" s="4" t="s">
        <v>2911</v>
      </c>
      <c r="F1471" s="4" t="s">
        <v>10661</v>
      </c>
      <c r="G1471" s="4" t="s">
        <v>10662</v>
      </c>
      <c r="H1471" s="4">
        <v>2.75</v>
      </c>
      <c r="I1471" s="4">
        <v>1.1000000000000001</v>
      </c>
      <c r="J1471" s="4">
        <v>0.24915000000000001</v>
      </c>
      <c r="K1471" s="4" t="b">
        <v>1</v>
      </c>
      <c r="L1471" s="4" t="b">
        <v>0</v>
      </c>
    </row>
    <row r="1472" spans="1:13" ht="13">
      <c r="A1472" s="4" t="s">
        <v>10663</v>
      </c>
      <c r="B1472" s="4" t="s">
        <v>4951</v>
      </c>
      <c r="C1472" s="4" t="s">
        <v>108</v>
      </c>
      <c r="D1472" s="4" t="s">
        <v>4952</v>
      </c>
      <c r="E1472" s="4" t="s">
        <v>2911</v>
      </c>
      <c r="F1472" s="4" t="s">
        <v>10664</v>
      </c>
      <c r="G1472" s="4" t="s">
        <v>10665</v>
      </c>
      <c r="H1472" s="4">
        <v>2.76</v>
      </c>
      <c r="I1472" s="4">
        <v>1.34</v>
      </c>
      <c r="J1472" s="4">
        <v>0.22814000000000001</v>
      </c>
      <c r="K1472" s="4" t="b">
        <v>1</v>
      </c>
      <c r="L1472" s="4" t="b">
        <v>0</v>
      </c>
    </row>
    <row r="1473" spans="1:13" ht="13">
      <c r="A1473" s="4" t="s">
        <v>10666</v>
      </c>
      <c r="B1473" s="4" t="s">
        <v>4951</v>
      </c>
      <c r="C1473" s="4" t="s">
        <v>108</v>
      </c>
      <c r="D1473" s="4" t="s">
        <v>4952</v>
      </c>
      <c r="E1473" s="4" t="s">
        <v>2911</v>
      </c>
      <c r="F1473" s="4" t="s">
        <v>10667</v>
      </c>
      <c r="G1473" s="4" t="s">
        <v>10668</v>
      </c>
      <c r="H1473" s="4">
        <v>2.77</v>
      </c>
      <c r="I1473" s="4">
        <v>1.07</v>
      </c>
      <c r="J1473" s="4">
        <v>0.25570999999999999</v>
      </c>
      <c r="K1473" s="4" t="b">
        <v>1</v>
      </c>
      <c r="L1473" s="4" t="b">
        <v>0</v>
      </c>
    </row>
    <row r="1474" spans="1:13" ht="13">
      <c r="A1474" s="4" t="s">
        <v>10669</v>
      </c>
      <c r="B1474" s="4" t="s">
        <v>4951</v>
      </c>
      <c r="C1474" s="4" t="s">
        <v>108</v>
      </c>
      <c r="D1474" s="4" t="s">
        <v>4952</v>
      </c>
      <c r="E1474" s="4" t="s">
        <v>2911</v>
      </c>
      <c r="F1474" s="4" t="s">
        <v>10670</v>
      </c>
      <c r="G1474" s="4" t="s">
        <v>10671</v>
      </c>
      <c r="H1474" s="4">
        <v>2.78</v>
      </c>
      <c r="I1474" s="4">
        <v>1.1000000000000001</v>
      </c>
      <c r="J1474" s="4">
        <v>0.24604000000000001</v>
      </c>
      <c r="K1474" s="4" t="b">
        <v>1</v>
      </c>
      <c r="L1474" s="4" t="b">
        <v>0</v>
      </c>
    </row>
    <row r="1475" spans="1:13" ht="13">
      <c r="A1475" s="4" t="s">
        <v>10672</v>
      </c>
      <c r="B1475" s="4" t="s">
        <v>4951</v>
      </c>
      <c r="C1475" s="4" t="s">
        <v>108</v>
      </c>
      <c r="D1475" s="4" t="s">
        <v>4952</v>
      </c>
      <c r="E1475" s="4" t="s">
        <v>2911</v>
      </c>
      <c r="F1475" s="4" t="s">
        <v>10673</v>
      </c>
      <c r="G1475" s="4" t="s">
        <v>10674</v>
      </c>
      <c r="H1475" s="4">
        <v>2.79</v>
      </c>
      <c r="I1475" s="4">
        <v>1.1100000000000001</v>
      </c>
      <c r="J1475" s="4">
        <v>0.23324</v>
      </c>
      <c r="K1475" s="4" t="b">
        <v>1</v>
      </c>
      <c r="L1475" s="4" t="b">
        <v>0</v>
      </c>
    </row>
    <row r="1476" spans="1:13" ht="13">
      <c r="A1476" s="4" t="s">
        <v>10675</v>
      </c>
      <c r="B1476" s="4" t="s">
        <v>4951</v>
      </c>
      <c r="C1476" s="4" t="s">
        <v>108</v>
      </c>
      <c r="D1476" s="4" t="s">
        <v>4952</v>
      </c>
      <c r="E1476" s="4" t="s">
        <v>2911</v>
      </c>
      <c r="F1476" s="4" t="s">
        <v>10676</v>
      </c>
      <c r="G1476" s="4" t="s">
        <v>10677</v>
      </c>
      <c r="H1476" s="4">
        <v>2.79</v>
      </c>
      <c r="I1476" s="4">
        <v>1.1299999999999999</v>
      </c>
      <c r="J1476" s="4">
        <v>0.26449</v>
      </c>
      <c r="K1476" s="4" t="b">
        <v>1</v>
      </c>
      <c r="L1476" s="4" t="b">
        <v>0</v>
      </c>
    </row>
    <row r="1477" spans="1:13" ht="13">
      <c r="A1477" s="4" t="s">
        <v>10678</v>
      </c>
      <c r="B1477" s="4" t="s">
        <v>4951</v>
      </c>
      <c r="C1477" s="4" t="s">
        <v>108</v>
      </c>
      <c r="D1477" s="4" t="s">
        <v>4952</v>
      </c>
      <c r="E1477" s="4" t="s">
        <v>2911</v>
      </c>
      <c r="F1477" s="4" t="s">
        <v>10679</v>
      </c>
      <c r="G1477" s="4" t="s">
        <v>10680</v>
      </c>
      <c r="H1477" s="4">
        <v>2.8</v>
      </c>
      <c r="I1477" s="4">
        <v>1.1200000000000001</v>
      </c>
      <c r="J1477" s="4">
        <v>0.23269000000000001</v>
      </c>
      <c r="K1477" s="4" t="b">
        <v>1</v>
      </c>
      <c r="L1477" s="4" t="b">
        <v>0</v>
      </c>
    </row>
    <row r="1478" spans="1:13" ht="13">
      <c r="A1478" s="4" t="s">
        <v>10681</v>
      </c>
      <c r="B1478" s="4" t="s">
        <v>4951</v>
      </c>
      <c r="C1478" s="4" t="s">
        <v>108</v>
      </c>
      <c r="D1478" s="4" t="s">
        <v>4952</v>
      </c>
      <c r="E1478" s="4" t="s">
        <v>2911</v>
      </c>
      <c r="F1478" s="4" t="s">
        <v>10682</v>
      </c>
      <c r="G1478" s="4" t="s">
        <v>10683</v>
      </c>
      <c r="H1478" s="4">
        <v>2.81</v>
      </c>
      <c r="I1478" s="4">
        <v>1.1599999999999999</v>
      </c>
      <c r="J1478" s="4">
        <v>0.23208999999999999</v>
      </c>
      <c r="K1478" s="4" t="b">
        <v>1</v>
      </c>
      <c r="L1478" s="4" t="b">
        <v>0</v>
      </c>
    </row>
    <row r="1479" spans="1:13" ht="13">
      <c r="A1479" s="4" t="s">
        <v>10684</v>
      </c>
      <c r="B1479" s="4" t="s">
        <v>4951</v>
      </c>
      <c r="C1479" s="4" t="s">
        <v>108</v>
      </c>
      <c r="D1479" s="4" t="s">
        <v>4952</v>
      </c>
      <c r="E1479" s="4" t="s">
        <v>2911</v>
      </c>
      <c r="F1479" s="4" t="s">
        <v>10685</v>
      </c>
      <c r="G1479" s="4" t="s">
        <v>10686</v>
      </c>
      <c r="H1479" s="4">
        <v>2.81</v>
      </c>
      <c r="I1479" s="4">
        <v>1.06</v>
      </c>
      <c r="J1479" s="4">
        <v>0.24518999999999999</v>
      </c>
      <c r="K1479" s="4" t="b">
        <v>1</v>
      </c>
      <c r="L1479" s="4" t="b">
        <v>0</v>
      </c>
    </row>
    <row r="1480" spans="1:13" ht="13">
      <c r="A1480" s="4" t="s">
        <v>10687</v>
      </c>
      <c r="B1480" s="4" t="s">
        <v>4951</v>
      </c>
      <c r="C1480" s="4" t="s">
        <v>108</v>
      </c>
      <c r="D1480" s="4" t="s">
        <v>4952</v>
      </c>
      <c r="E1480" s="4" t="s">
        <v>2911</v>
      </c>
      <c r="F1480" s="4" t="s">
        <v>10688</v>
      </c>
      <c r="G1480" s="4" t="s">
        <v>10689</v>
      </c>
      <c r="H1480" s="4">
        <v>2.82</v>
      </c>
      <c r="I1480" s="4">
        <v>1.36</v>
      </c>
      <c r="J1480" s="4">
        <v>0.23543</v>
      </c>
      <c r="K1480" s="4" t="b">
        <v>1</v>
      </c>
      <c r="L1480" s="4" t="b">
        <v>0</v>
      </c>
    </row>
    <row r="1481" spans="1:13" ht="13">
      <c r="A1481" s="4" t="s">
        <v>10690</v>
      </c>
      <c r="B1481" s="4" t="s">
        <v>4951</v>
      </c>
      <c r="C1481" s="4" t="s">
        <v>108</v>
      </c>
      <c r="D1481" s="4" t="s">
        <v>4952</v>
      </c>
      <c r="E1481" s="4" t="s">
        <v>2911</v>
      </c>
      <c r="F1481" s="4" t="s">
        <v>10691</v>
      </c>
      <c r="G1481" s="4" t="s">
        <v>10692</v>
      </c>
      <c r="H1481" s="4">
        <v>2.82</v>
      </c>
      <c r="I1481" s="4">
        <v>1.07</v>
      </c>
      <c r="J1481" s="4">
        <v>0.2341</v>
      </c>
      <c r="K1481" s="4" t="b">
        <v>1</v>
      </c>
      <c r="L1481" s="4" t="b">
        <v>0</v>
      </c>
    </row>
    <row r="1482" spans="1:13" ht="13">
      <c r="A1482" s="4" t="s">
        <v>10693</v>
      </c>
      <c r="B1482" s="4" t="s">
        <v>4951</v>
      </c>
      <c r="C1482" s="4" t="s">
        <v>108</v>
      </c>
      <c r="D1482" s="4" t="s">
        <v>4952</v>
      </c>
      <c r="E1482" s="4" t="s">
        <v>2911</v>
      </c>
      <c r="F1482" s="4" t="s">
        <v>10694</v>
      </c>
      <c r="G1482" s="4" t="s">
        <v>10695</v>
      </c>
      <c r="H1482" s="4">
        <v>2.83</v>
      </c>
      <c r="I1482" s="4">
        <v>1.1000000000000001</v>
      </c>
      <c r="J1482" s="4">
        <v>0.23562</v>
      </c>
      <c r="K1482" s="4" t="b">
        <v>1</v>
      </c>
      <c r="L1482" s="4" t="b">
        <v>0</v>
      </c>
    </row>
    <row r="1483" spans="1:13" ht="13">
      <c r="A1483" s="4" t="s">
        <v>10696</v>
      </c>
      <c r="B1483" s="4" t="s">
        <v>4951</v>
      </c>
      <c r="C1483" s="4" t="s">
        <v>108</v>
      </c>
      <c r="D1483" s="4" t="s">
        <v>4952</v>
      </c>
      <c r="E1483" s="4" t="s">
        <v>2911</v>
      </c>
      <c r="F1483" s="4" t="s">
        <v>10697</v>
      </c>
      <c r="G1483" s="4" t="s">
        <v>10698</v>
      </c>
      <c r="H1483" s="4">
        <v>2.84</v>
      </c>
      <c r="I1483" s="4">
        <v>1.1200000000000001</v>
      </c>
      <c r="J1483" s="4">
        <v>0.26157000000000002</v>
      </c>
      <c r="K1483" s="4" t="b">
        <v>1</v>
      </c>
      <c r="L1483" s="4" t="b">
        <v>0</v>
      </c>
    </row>
    <row r="1484" spans="1:13" ht="13">
      <c r="A1484" s="4" t="s">
        <v>10699</v>
      </c>
      <c r="B1484" s="4" t="s">
        <v>4951</v>
      </c>
      <c r="C1484" s="4" t="s">
        <v>108</v>
      </c>
      <c r="D1484" s="4" t="s">
        <v>4952</v>
      </c>
      <c r="E1484" s="4" t="s">
        <v>2911</v>
      </c>
      <c r="F1484" s="4" t="s">
        <v>10700</v>
      </c>
      <c r="G1484" s="4" t="s">
        <v>10701</v>
      </c>
      <c r="H1484" s="4">
        <v>2.84</v>
      </c>
      <c r="I1484" s="4">
        <v>1.23</v>
      </c>
      <c r="J1484" s="4">
        <v>0.22705</v>
      </c>
      <c r="K1484" s="4" t="b">
        <v>1</v>
      </c>
      <c r="L1484" s="4" t="b">
        <v>0</v>
      </c>
    </row>
    <row r="1485" spans="1:13" ht="13">
      <c r="A1485" s="4" t="s">
        <v>10702</v>
      </c>
      <c r="B1485" s="4" t="s">
        <v>4951</v>
      </c>
      <c r="C1485" s="4" t="s">
        <v>108</v>
      </c>
      <c r="D1485" s="4" t="s">
        <v>4952</v>
      </c>
      <c r="E1485" s="4" t="s">
        <v>2911</v>
      </c>
      <c r="F1485" s="4" t="s">
        <v>10703</v>
      </c>
      <c r="G1485" s="4" t="s">
        <v>10704</v>
      </c>
      <c r="H1485" s="4">
        <v>2.85</v>
      </c>
      <c r="I1485" s="4">
        <v>1.2</v>
      </c>
      <c r="J1485" s="4">
        <v>0.27217999999999998</v>
      </c>
      <c r="K1485" s="4" t="b">
        <v>1</v>
      </c>
      <c r="L1485" s="4" t="b">
        <v>0</v>
      </c>
    </row>
    <row r="1486" spans="1:13" ht="13">
      <c r="A1486" s="4" t="s">
        <v>10705</v>
      </c>
      <c r="B1486" s="4" t="s">
        <v>4951</v>
      </c>
      <c r="C1486" s="4" t="s">
        <v>108</v>
      </c>
      <c r="D1486" s="4" t="s">
        <v>4952</v>
      </c>
      <c r="E1486" s="4" t="s">
        <v>2911</v>
      </c>
      <c r="F1486" s="4" t="s">
        <v>10706</v>
      </c>
      <c r="G1486" s="4" t="s">
        <v>10707</v>
      </c>
      <c r="H1486" s="4">
        <v>2.85</v>
      </c>
      <c r="I1486" s="4">
        <v>1.1200000000000001</v>
      </c>
      <c r="J1486" s="4">
        <v>0.23102</v>
      </c>
      <c r="K1486" s="4" t="b">
        <v>1</v>
      </c>
      <c r="L1486" s="4" t="b">
        <v>0</v>
      </c>
    </row>
    <row r="1487" spans="1:13" ht="13">
      <c r="A1487" s="4" t="s">
        <v>3184</v>
      </c>
      <c r="B1487" s="4" t="s">
        <v>4951</v>
      </c>
      <c r="C1487" s="4" t="s">
        <v>108</v>
      </c>
      <c r="D1487" s="4" t="s">
        <v>4952</v>
      </c>
      <c r="E1487" s="4" t="s">
        <v>2911</v>
      </c>
      <c r="F1487" s="4" t="s">
        <v>4986</v>
      </c>
      <c r="G1487" s="4" t="s">
        <v>3080</v>
      </c>
      <c r="H1487" s="4">
        <v>2.86</v>
      </c>
      <c r="I1487" s="4">
        <v>1.1200000000000001</v>
      </c>
      <c r="J1487" s="4">
        <v>0.23563999999999999</v>
      </c>
      <c r="K1487" s="4" t="b">
        <v>1</v>
      </c>
      <c r="L1487" s="4" t="b">
        <v>1</v>
      </c>
      <c r="M1487" s="41" t="s">
        <v>4929</v>
      </c>
    </row>
    <row r="1488" spans="1:13" ht="13">
      <c r="A1488" s="4" t="s">
        <v>10708</v>
      </c>
      <c r="B1488" s="4" t="s">
        <v>4951</v>
      </c>
      <c r="C1488" s="4" t="s">
        <v>108</v>
      </c>
      <c r="D1488" s="4" t="s">
        <v>4952</v>
      </c>
      <c r="E1488" s="4" t="s">
        <v>2911</v>
      </c>
      <c r="F1488" s="4" t="s">
        <v>10709</v>
      </c>
      <c r="G1488" s="4" t="s">
        <v>10710</v>
      </c>
      <c r="H1488" s="4">
        <v>1.35</v>
      </c>
      <c r="I1488" s="4">
        <v>1.1599999999999999</v>
      </c>
      <c r="J1488" s="4">
        <v>0.23401</v>
      </c>
      <c r="K1488" s="4" t="b">
        <v>1</v>
      </c>
      <c r="L1488" s="4" t="b">
        <v>0</v>
      </c>
    </row>
    <row r="1489" spans="1:13" ht="13">
      <c r="A1489" s="4" t="s">
        <v>3185</v>
      </c>
      <c r="B1489" s="4" t="s">
        <v>4951</v>
      </c>
      <c r="C1489" s="4" t="s">
        <v>108</v>
      </c>
      <c r="D1489" s="4" t="s">
        <v>4952</v>
      </c>
      <c r="E1489" s="4" t="s">
        <v>2911</v>
      </c>
      <c r="F1489" s="4" t="s">
        <v>5131</v>
      </c>
      <c r="G1489" s="4" t="s">
        <v>3081</v>
      </c>
      <c r="H1489" s="4">
        <v>1.37</v>
      </c>
      <c r="I1489" s="4">
        <v>1.05</v>
      </c>
      <c r="J1489" s="4">
        <v>0.23971999999999999</v>
      </c>
      <c r="K1489" s="4" t="b">
        <v>1</v>
      </c>
      <c r="L1489" s="4" t="b">
        <v>1</v>
      </c>
      <c r="M1489" s="41" t="s">
        <v>4929</v>
      </c>
    </row>
    <row r="1490" spans="1:13" ht="13">
      <c r="A1490" s="4" t="s">
        <v>10711</v>
      </c>
      <c r="B1490" s="4" t="s">
        <v>4951</v>
      </c>
      <c r="C1490" s="4" t="s">
        <v>108</v>
      </c>
      <c r="D1490" s="4" t="s">
        <v>4952</v>
      </c>
      <c r="E1490" s="4" t="s">
        <v>2911</v>
      </c>
      <c r="F1490" s="4" t="s">
        <v>10712</v>
      </c>
      <c r="G1490" s="4" t="s">
        <v>10713</v>
      </c>
      <c r="H1490" s="4">
        <v>1.38</v>
      </c>
      <c r="I1490" s="4">
        <v>1.27</v>
      </c>
      <c r="J1490" s="4">
        <v>0.28386</v>
      </c>
      <c r="K1490" s="4" t="b">
        <v>1</v>
      </c>
      <c r="L1490" s="4" t="b">
        <v>0</v>
      </c>
    </row>
    <row r="1491" spans="1:13" ht="13">
      <c r="A1491" s="4" t="s">
        <v>10714</v>
      </c>
      <c r="B1491" s="4" t="s">
        <v>4951</v>
      </c>
      <c r="C1491" s="4" t="s">
        <v>108</v>
      </c>
      <c r="D1491" s="4" t="s">
        <v>4952</v>
      </c>
      <c r="E1491" s="4" t="s">
        <v>2911</v>
      </c>
      <c r="F1491" s="4" t="s">
        <v>10715</v>
      </c>
      <c r="G1491" s="4" t="s">
        <v>10716</v>
      </c>
      <c r="H1491" s="4">
        <v>1.38</v>
      </c>
      <c r="I1491" s="4">
        <v>1.1499999999999999</v>
      </c>
      <c r="J1491" s="4">
        <v>0.22689999999999999</v>
      </c>
      <c r="K1491" s="4" t="b">
        <v>1</v>
      </c>
      <c r="L1491" s="4" t="b">
        <v>0</v>
      </c>
    </row>
    <row r="1492" spans="1:13" ht="13">
      <c r="A1492" s="4" t="s">
        <v>3186</v>
      </c>
      <c r="B1492" s="4" t="s">
        <v>4951</v>
      </c>
      <c r="C1492" s="4" t="s">
        <v>108</v>
      </c>
      <c r="D1492" s="4" t="s">
        <v>4952</v>
      </c>
      <c r="E1492" s="4" t="s">
        <v>2911</v>
      </c>
      <c r="F1492" s="4" t="s">
        <v>5143</v>
      </c>
      <c r="G1492" s="4" t="s">
        <v>3082</v>
      </c>
      <c r="H1492" s="4">
        <v>1.38</v>
      </c>
      <c r="I1492" s="4">
        <v>1.1599999999999999</v>
      </c>
      <c r="J1492" s="4">
        <v>0.22467999999999999</v>
      </c>
      <c r="K1492" s="4" t="b">
        <v>1</v>
      </c>
      <c r="L1492" s="4" t="b">
        <v>1</v>
      </c>
      <c r="M1492" s="41" t="s">
        <v>4929</v>
      </c>
    </row>
    <row r="1493" spans="1:13" ht="13">
      <c r="A1493" s="4" t="s">
        <v>10717</v>
      </c>
      <c r="B1493" s="4" t="s">
        <v>4951</v>
      </c>
      <c r="C1493" s="4" t="s">
        <v>108</v>
      </c>
      <c r="D1493" s="4" t="s">
        <v>4952</v>
      </c>
      <c r="E1493" s="4" t="s">
        <v>2911</v>
      </c>
      <c r="F1493" s="4" t="s">
        <v>10718</v>
      </c>
      <c r="G1493" s="4" t="s">
        <v>10719</v>
      </c>
      <c r="H1493" s="4">
        <v>1.39</v>
      </c>
      <c r="I1493" s="4">
        <v>1.08</v>
      </c>
      <c r="J1493" s="4">
        <v>0.21995999999999999</v>
      </c>
      <c r="K1493" s="4" t="b">
        <v>1</v>
      </c>
      <c r="L1493" s="4" t="b">
        <v>0</v>
      </c>
    </row>
    <row r="1494" spans="1:13" ht="13">
      <c r="A1494" s="4" t="s">
        <v>10720</v>
      </c>
      <c r="B1494" s="4" t="s">
        <v>4951</v>
      </c>
      <c r="C1494" s="4" t="s">
        <v>108</v>
      </c>
      <c r="D1494" s="4" t="s">
        <v>4952</v>
      </c>
      <c r="E1494" s="4" t="s">
        <v>2911</v>
      </c>
      <c r="F1494" s="4" t="s">
        <v>10721</v>
      </c>
      <c r="G1494" s="4" t="s">
        <v>10722</v>
      </c>
      <c r="H1494" s="4">
        <v>1.39</v>
      </c>
      <c r="I1494" s="4">
        <v>1.06</v>
      </c>
      <c r="J1494" s="4">
        <v>0.23002</v>
      </c>
      <c r="K1494" s="4" t="b">
        <v>1</v>
      </c>
      <c r="L1494" s="4" t="b">
        <v>0</v>
      </c>
    </row>
    <row r="1495" spans="1:13" ht="13">
      <c r="A1495" s="4" t="s">
        <v>10723</v>
      </c>
      <c r="B1495" s="4" t="s">
        <v>4951</v>
      </c>
      <c r="C1495" s="4" t="s">
        <v>108</v>
      </c>
      <c r="D1495" s="4" t="s">
        <v>4952</v>
      </c>
      <c r="E1495" s="4" t="s">
        <v>2911</v>
      </c>
      <c r="F1495" s="4" t="s">
        <v>10724</v>
      </c>
      <c r="G1495" s="4" t="s">
        <v>10725</v>
      </c>
      <c r="H1495" s="4">
        <v>1.4</v>
      </c>
      <c r="I1495" s="4">
        <v>1.1000000000000001</v>
      </c>
      <c r="J1495" s="4">
        <v>0.25635000000000002</v>
      </c>
      <c r="K1495" s="4" t="b">
        <v>1</v>
      </c>
      <c r="L1495" s="4" t="b">
        <v>0</v>
      </c>
    </row>
    <row r="1496" spans="1:13" ht="13">
      <c r="A1496" s="4" t="s">
        <v>10726</v>
      </c>
      <c r="B1496" s="4" t="s">
        <v>4951</v>
      </c>
      <c r="C1496" s="4" t="s">
        <v>108</v>
      </c>
      <c r="D1496" s="4" t="s">
        <v>4952</v>
      </c>
      <c r="E1496" s="4" t="s">
        <v>2911</v>
      </c>
      <c r="F1496" s="4" t="s">
        <v>10727</v>
      </c>
      <c r="G1496" s="4" t="s">
        <v>10728</v>
      </c>
      <c r="H1496" s="4">
        <v>1.4</v>
      </c>
      <c r="I1496" s="4">
        <v>1.06</v>
      </c>
      <c r="J1496" s="4">
        <v>0.23255999999999999</v>
      </c>
      <c r="K1496" s="4" t="b">
        <v>1</v>
      </c>
      <c r="L1496" s="4" t="b">
        <v>0</v>
      </c>
    </row>
    <row r="1497" spans="1:13" ht="13">
      <c r="A1497" s="4" t="s">
        <v>10729</v>
      </c>
      <c r="B1497" s="4" t="s">
        <v>4951</v>
      </c>
      <c r="C1497" s="4" t="s">
        <v>108</v>
      </c>
      <c r="D1497" s="4" t="s">
        <v>4952</v>
      </c>
      <c r="E1497" s="4" t="s">
        <v>2911</v>
      </c>
      <c r="F1497" s="4" t="s">
        <v>10730</v>
      </c>
      <c r="G1497" s="4" t="s">
        <v>10731</v>
      </c>
      <c r="H1497" s="4">
        <v>1.41</v>
      </c>
      <c r="I1497" s="4">
        <v>1.18</v>
      </c>
      <c r="J1497" s="4">
        <v>0.23760000000000001</v>
      </c>
      <c r="K1497" s="4" t="b">
        <v>1</v>
      </c>
      <c r="L1497" s="4" t="b">
        <v>0</v>
      </c>
    </row>
    <row r="1498" spans="1:13" ht="13">
      <c r="A1498" s="4" t="s">
        <v>10732</v>
      </c>
      <c r="B1498" s="4" t="s">
        <v>4951</v>
      </c>
      <c r="C1498" s="4" t="s">
        <v>108</v>
      </c>
      <c r="D1498" s="4" t="s">
        <v>4952</v>
      </c>
      <c r="E1498" s="4" t="s">
        <v>2911</v>
      </c>
      <c r="F1498" s="4" t="s">
        <v>10733</v>
      </c>
      <c r="G1498" s="4" t="s">
        <v>10734</v>
      </c>
      <c r="H1498" s="4">
        <v>1.42</v>
      </c>
      <c r="I1498" s="4">
        <v>1.1499999999999999</v>
      </c>
      <c r="J1498" s="4">
        <v>0.23079</v>
      </c>
      <c r="K1498" s="4" t="b">
        <v>1</v>
      </c>
      <c r="L1498" s="4" t="b">
        <v>0</v>
      </c>
    </row>
    <row r="1499" spans="1:13" ht="13">
      <c r="A1499" s="4" t="s">
        <v>10735</v>
      </c>
      <c r="B1499" s="4" t="s">
        <v>4951</v>
      </c>
      <c r="C1499" s="4" t="s">
        <v>108</v>
      </c>
      <c r="D1499" s="4" t="s">
        <v>4952</v>
      </c>
      <c r="E1499" s="4" t="s">
        <v>2911</v>
      </c>
      <c r="F1499" s="4" t="s">
        <v>10736</v>
      </c>
      <c r="G1499" s="4" t="s">
        <v>10737</v>
      </c>
      <c r="H1499" s="4">
        <v>1.42</v>
      </c>
      <c r="I1499" s="4">
        <v>1.1299999999999999</v>
      </c>
      <c r="J1499" s="4">
        <v>0.24277000000000001</v>
      </c>
      <c r="K1499" s="4" t="b">
        <v>1</v>
      </c>
      <c r="L1499" s="4" t="b">
        <v>0</v>
      </c>
    </row>
    <row r="1500" spans="1:13" ht="13">
      <c r="A1500" s="4" t="s">
        <v>10738</v>
      </c>
      <c r="B1500" s="4" t="s">
        <v>4951</v>
      </c>
      <c r="C1500" s="4" t="s">
        <v>108</v>
      </c>
      <c r="D1500" s="4" t="s">
        <v>4952</v>
      </c>
      <c r="E1500" s="4" t="s">
        <v>2911</v>
      </c>
      <c r="F1500" s="4" t="s">
        <v>10739</v>
      </c>
      <c r="G1500" s="4" t="s">
        <v>10740</v>
      </c>
      <c r="H1500" s="4">
        <v>1.43</v>
      </c>
      <c r="I1500" s="4">
        <v>1.1399999999999999</v>
      </c>
      <c r="J1500" s="4">
        <v>0.24410999999999999</v>
      </c>
      <c r="K1500" s="4" t="b">
        <v>1</v>
      </c>
      <c r="L1500" s="4" t="b">
        <v>0</v>
      </c>
    </row>
    <row r="1501" spans="1:13" ht="13">
      <c r="A1501" s="4" t="s">
        <v>10741</v>
      </c>
      <c r="B1501" s="4" t="s">
        <v>4951</v>
      </c>
      <c r="C1501" s="4" t="s">
        <v>108</v>
      </c>
      <c r="D1501" s="4" t="s">
        <v>4952</v>
      </c>
      <c r="E1501" s="4" t="s">
        <v>2911</v>
      </c>
      <c r="F1501" s="4" t="s">
        <v>10742</v>
      </c>
      <c r="G1501" s="4" t="s">
        <v>10743</v>
      </c>
      <c r="H1501" s="4">
        <v>1.43</v>
      </c>
      <c r="I1501" s="4">
        <v>1.1200000000000001</v>
      </c>
      <c r="J1501" s="4">
        <v>0.24501999999999999</v>
      </c>
      <c r="K1501" s="4" t="b">
        <v>1</v>
      </c>
      <c r="L1501" s="4" t="b">
        <v>0</v>
      </c>
    </row>
    <row r="1502" spans="1:13" ht="13">
      <c r="A1502" s="4" t="s">
        <v>10744</v>
      </c>
      <c r="B1502" s="4" t="s">
        <v>4951</v>
      </c>
      <c r="C1502" s="4" t="s">
        <v>108</v>
      </c>
      <c r="D1502" s="4" t="s">
        <v>4952</v>
      </c>
      <c r="E1502" s="4" t="s">
        <v>2911</v>
      </c>
      <c r="F1502" s="4" t="s">
        <v>10745</v>
      </c>
      <c r="G1502" s="4" t="s">
        <v>10746</v>
      </c>
      <c r="H1502" s="4">
        <v>1.44</v>
      </c>
      <c r="I1502" s="4">
        <v>1.34</v>
      </c>
      <c r="J1502" s="4">
        <v>0.24068000000000001</v>
      </c>
      <c r="K1502" s="4" t="b">
        <v>1</v>
      </c>
      <c r="L1502" s="4" t="b">
        <v>0</v>
      </c>
    </row>
    <row r="1503" spans="1:13" ht="13">
      <c r="A1503" s="4" t="s">
        <v>10747</v>
      </c>
      <c r="B1503" s="4" t="s">
        <v>4951</v>
      </c>
      <c r="C1503" s="4" t="s">
        <v>108</v>
      </c>
      <c r="D1503" s="4" t="s">
        <v>4952</v>
      </c>
      <c r="E1503" s="4" t="s">
        <v>2911</v>
      </c>
      <c r="F1503" s="4" t="s">
        <v>10748</v>
      </c>
      <c r="G1503" s="4" t="s">
        <v>10749</v>
      </c>
      <c r="H1503" s="4">
        <v>1.45</v>
      </c>
      <c r="I1503" s="4">
        <v>1.17</v>
      </c>
      <c r="J1503" s="4">
        <v>0.23444000000000001</v>
      </c>
      <c r="K1503" s="4" t="b">
        <v>1</v>
      </c>
      <c r="L1503" s="4" t="b">
        <v>0</v>
      </c>
    </row>
    <row r="1504" spans="1:13" ht="13">
      <c r="A1504" s="4" t="s">
        <v>10750</v>
      </c>
      <c r="B1504" s="4" t="s">
        <v>4951</v>
      </c>
      <c r="C1504" s="4" t="s">
        <v>108</v>
      </c>
      <c r="D1504" s="4" t="s">
        <v>4952</v>
      </c>
      <c r="E1504" s="4" t="s">
        <v>2911</v>
      </c>
      <c r="F1504" s="4" t="s">
        <v>10751</v>
      </c>
      <c r="G1504" s="4" t="s">
        <v>10752</v>
      </c>
      <c r="H1504" s="4">
        <v>1.45</v>
      </c>
      <c r="I1504" s="4">
        <v>1.1399999999999999</v>
      </c>
      <c r="J1504" s="4">
        <v>0.2324</v>
      </c>
      <c r="K1504" s="4" t="b">
        <v>1</v>
      </c>
      <c r="L1504" s="4" t="b">
        <v>0</v>
      </c>
    </row>
    <row r="1505" spans="1:13" ht="13">
      <c r="A1505" s="4" t="s">
        <v>10753</v>
      </c>
      <c r="B1505" s="4" t="s">
        <v>4951</v>
      </c>
      <c r="C1505" s="4" t="s">
        <v>108</v>
      </c>
      <c r="D1505" s="4" t="s">
        <v>4952</v>
      </c>
      <c r="E1505" s="4" t="s">
        <v>2911</v>
      </c>
      <c r="F1505" s="4" t="s">
        <v>10754</v>
      </c>
      <c r="G1505" s="4" t="s">
        <v>10755</v>
      </c>
      <c r="H1505" s="4">
        <v>1.46</v>
      </c>
      <c r="I1505" s="4">
        <v>1.1399999999999999</v>
      </c>
      <c r="J1505" s="4">
        <v>0.22941</v>
      </c>
      <c r="K1505" s="4" t="b">
        <v>1</v>
      </c>
      <c r="L1505" s="4" t="b">
        <v>0</v>
      </c>
    </row>
    <row r="1506" spans="1:13" ht="13">
      <c r="A1506" s="4" t="s">
        <v>10756</v>
      </c>
      <c r="B1506" s="4" t="s">
        <v>4951</v>
      </c>
      <c r="C1506" s="4" t="s">
        <v>108</v>
      </c>
      <c r="D1506" s="4" t="s">
        <v>4952</v>
      </c>
      <c r="E1506" s="4" t="s">
        <v>2911</v>
      </c>
      <c r="F1506" s="4" t="s">
        <v>10757</v>
      </c>
      <c r="G1506" s="4" t="s">
        <v>10758</v>
      </c>
      <c r="H1506" s="4">
        <v>1.46</v>
      </c>
      <c r="I1506" s="4">
        <v>1.33</v>
      </c>
      <c r="J1506" s="4">
        <v>0.22939000000000001</v>
      </c>
      <c r="K1506" s="4" t="b">
        <v>1</v>
      </c>
      <c r="L1506" s="4" t="b">
        <v>0</v>
      </c>
    </row>
    <row r="1507" spans="1:13" ht="13">
      <c r="A1507" s="4" t="s">
        <v>10759</v>
      </c>
      <c r="B1507" s="4" t="s">
        <v>4951</v>
      </c>
      <c r="C1507" s="4" t="s">
        <v>108</v>
      </c>
      <c r="D1507" s="4" t="s">
        <v>4952</v>
      </c>
      <c r="E1507" s="4" t="s">
        <v>2911</v>
      </c>
      <c r="F1507" s="4" t="s">
        <v>10760</v>
      </c>
      <c r="G1507" s="4" t="s">
        <v>10761</v>
      </c>
      <c r="H1507" s="4">
        <v>1.47</v>
      </c>
      <c r="I1507" s="4">
        <v>1.05</v>
      </c>
      <c r="J1507" s="4">
        <v>0.22902</v>
      </c>
      <c r="K1507" s="4" t="b">
        <v>1</v>
      </c>
      <c r="L1507" s="4" t="b">
        <v>0</v>
      </c>
    </row>
    <row r="1508" spans="1:13" ht="13">
      <c r="A1508" s="4" t="s">
        <v>10762</v>
      </c>
      <c r="B1508" s="4" t="s">
        <v>4951</v>
      </c>
      <c r="C1508" s="4" t="s">
        <v>108</v>
      </c>
      <c r="D1508" s="4" t="s">
        <v>4952</v>
      </c>
      <c r="E1508" s="4" t="s">
        <v>2911</v>
      </c>
      <c r="F1508" s="4" t="s">
        <v>10763</v>
      </c>
      <c r="G1508" s="4" t="s">
        <v>10764</v>
      </c>
      <c r="H1508" s="4">
        <v>1.48</v>
      </c>
      <c r="I1508" s="4">
        <v>1.0900000000000001</v>
      </c>
      <c r="J1508" s="4">
        <v>0.22983999999999999</v>
      </c>
      <c r="K1508" s="4" t="b">
        <v>1</v>
      </c>
      <c r="L1508" s="4" t="b">
        <v>0</v>
      </c>
    </row>
    <row r="1509" spans="1:13" ht="13">
      <c r="A1509" s="4" t="s">
        <v>10765</v>
      </c>
      <c r="B1509" s="4" t="s">
        <v>4951</v>
      </c>
      <c r="C1509" s="4" t="s">
        <v>108</v>
      </c>
      <c r="D1509" s="4" t="s">
        <v>4952</v>
      </c>
      <c r="E1509" s="4" t="s">
        <v>2911</v>
      </c>
      <c r="F1509" s="4" t="s">
        <v>10766</v>
      </c>
      <c r="G1509" s="4" t="s">
        <v>6939</v>
      </c>
      <c r="H1509" s="4">
        <v>1.49</v>
      </c>
      <c r="I1509" s="4">
        <v>1.1499999999999999</v>
      </c>
      <c r="J1509" s="4">
        <v>0.25979999999999998</v>
      </c>
      <c r="K1509" s="4" t="b">
        <v>1</v>
      </c>
      <c r="L1509" s="4" t="b">
        <v>0</v>
      </c>
    </row>
    <row r="1510" spans="1:13" ht="13">
      <c r="A1510" s="4" t="s">
        <v>10767</v>
      </c>
      <c r="B1510" s="4" t="s">
        <v>4951</v>
      </c>
      <c r="C1510" s="4" t="s">
        <v>108</v>
      </c>
      <c r="D1510" s="4" t="s">
        <v>4952</v>
      </c>
      <c r="E1510" s="4" t="s">
        <v>2911</v>
      </c>
      <c r="F1510" s="4" t="s">
        <v>10768</v>
      </c>
      <c r="G1510" s="4" t="s">
        <v>10769</v>
      </c>
      <c r="H1510" s="4">
        <v>1.5</v>
      </c>
      <c r="I1510" s="4">
        <v>1.18</v>
      </c>
      <c r="J1510" s="4">
        <v>0.19907</v>
      </c>
      <c r="K1510" s="4" t="b">
        <v>1</v>
      </c>
      <c r="L1510" s="4" t="b">
        <v>0</v>
      </c>
    </row>
    <row r="1511" spans="1:13" ht="13">
      <c r="A1511" s="4" t="s">
        <v>10770</v>
      </c>
      <c r="B1511" s="4" t="s">
        <v>4951</v>
      </c>
      <c r="C1511" s="4" t="s">
        <v>108</v>
      </c>
      <c r="D1511" s="4" t="s">
        <v>4952</v>
      </c>
      <c r="E1511" s="4" t="s">
        <v>2911</v>
      </c>
      <c r="F1511" s="4" t="s">
        <v>10771</v>
      </c>
      <c r="G1511" s="4" t="s">
        <v>10772</v>
      </c>
      <c r="H1511" s="4">
        <v>1.5</v>
      </c>
      <c r="I1511" s="4">
        <v>1.32</v>
      </c>
      <c r="J1511" s="4">
        <v>0.21864</v>
      </c>
      <c r="K1511" s="4" t="b">
        <v>1</v>
      </c>
      <c r="L1511" s="4" t="b">
        <v>0</v>
      </c>
    </row>
    <row r="1512" spans="1:13" ht="13">
      <c r="A1512" s="4" t="s">
        <v>10773</v>
      </c>
      <c r="B1512" s="4" t="s">
        <v>4951</v>
      </c>
      <c r="C1512" s="4" t="s">
        <v>108</v>
      </c>
      <c r="D1512" s="4" t="s">
        <v>4952</v>
      </c>
      <c r="E1512" s="4" t="s">
        <v>2911</v>
      </c>
      <c r="F1512" s="4" t="s">
        <v>10774</v>
      </c>
      <c r="G1512" s="4" t="s">
        <v>10775</v>
      </c>
      <c r="H1512" s="4">
        <v>1.51</v>
      </c>
      <c r="I1512" s="4">
        <v>1.07</v>
      </c>
      <c r="J1512" s="4">
        <v>0.21884000000000001</v>
      </c>
      <c r="K1512" s="4" t="b">
        <v>1</v>
      </c>
      <c r="L1512" s="4" t="b">
        <v>0</v>
      </c>
    </row>
    <row r="1513" spans="1:13" ht="13">
      <c r="A1513" s="4" t="s">
        <v>10776</v>
      </c>
      <c r="B1513" s="4" t="s">
        <v>4951</v>
      </c>
      <c r="C1513" s="4" t="s">
        <v>108</v>
      </c>
      <c r="D1513" s="4" t="s">
        <v>4952</v>
      </c>
      <c r="E1513" s="4" t="s">
        <v>2911</v>
      </c>
      <c r="F1513" s="4" t="s">
        <v>10777</v>
      </c>
      <c r="G1513" s="4" t="s">
        <v>10778</v>
      </c>
      <c r="H1513" s="4">
        <v>1.53</v>
      </c>
      <c r="I1513" s="4">
        <v>1.1100000000000001</v>
      </c>
      <c r="J1513" s="4">
        <v>0.22173999999999999</v>
      </c>
      <c r="K1513" s="4" t="b">
        <v>1</v>
      </c>
      <c r="L1513" s="4" t="b">
        <v>0</v>
      </c>
    </row>
    <row r="1514" spans="1:13" ht="13">
      <c r="A1514" s="4" t="s">
        <v>10779</v>
      </c>
      <c r="B1514" s="4" t="s">
        <v>4951</v>
      </c>
      <c r="C1514" s="4" t="s">
        <v>108</v>
      </c>
      <c r="D1514" s="4" t="s">
        <v>4952</v>
      </c>
      <c r="E1514" s="4" t="s">
        <v>2911</v>
      </c>
      <c r="F1514" s="4" t="s">
        <v>10780</v>
      </c>
      <c r="G1514" s="4" t="s">
        <v>10781</v>
      </c>
      <c r="H1514" s="4">
        <v>1.53</v>
      </c>
      <c r="I1514" s="4">
        <v>1.08</v>
      </c>
      <c r="J1514" s="4">
        <v>0.24203</v>
      </c>
      <c r="K1514" s="4" t="b">
        <v>1</v>
      </c>
      <c r="L1514" s="4" t="b">
        <v>0</v>
      </c>
    </row>
    <row r="1515" spans="1:13" ht="13">
      <c r="A1515" s="4" t="s">
        <v>10782</v>
      </c>
      <c r="B1515" s="4" t="s">
        <v>4951</v>
      </c>
      <c r="C1515" s="4" t="s">
        <v>108</v>
      </c>
      <c r="D1515" s="4" t="s">
        <v>4952</v>
      </c>
      <c r="E1515" s="4" t="s">
        <v>2911</v>
      </c>
      <c r="F1515" s="4" t="s">
        <v>10783</v>
      </c>
      <c r="G1515" s="4" t="s">
        <v>10784</v>
      </c>
      <c r="H1515" s="4">
        <v>1.54</v>
      </c>
      <c r="I1515" s="4">
        <v>1.28</v>
      </c>
      <c r="J1515" s="4">
        <v>0.23587</v>
      </c>
      <c r="K1515" s="4" t="b">
        <v>1</v>
      </c>
      <c r="L1515" s="4" t="b">
        <v>0</v>
      </c>
    </row>
    <row r="1516" spans="1:13" ht="13">
      <c r="A1516" s="4" t="s">
        <v>3187</v>
      </c>
      <c r="B1516" s="4" t="s">
        <v>4951</v>
      </c>
      <c r="C1516" s="4" t="s">
        <v>108</v>
      </c>
      <c r="D1516" s="4" t="s">
        <v>4952</v>
      </c>
      <c r="E1516" s="4" t="s">
        <v>2911</v>
      </c>
      <c r="F1516" s="4" t="s">
        <v>5173</v>
      </c>
      <c r="G1516" s="4" t="s">
        <v>3083</v>
      </c>
      <c r="H1516" s="4">
        <v>1.54</v>
      </c>
      <c r="I1516" s="4">
        <v>1.1000000000000001</v>
      </c>
      <c r="J1516" s="4">
        <v>0.22442000000000001</v>
      </c>
      <c r="K1516" s="4" t="b">
        <v>1</v>
      </c>
      <c r="L1516" s="4" t="b">
        <v>1</v>
      </c>
      <c r="M1516" s="41" t="s">
        <v>5164</v>
      </c>
    </row>
    <row r="1517" spans="1:13" ht="13">
      <c r="A1517" s="4" t="s">
        <v>10785</v>
      </c>
      <c r="B1517" s="4" t="s">
        <v>4951</v>
      </c>
      <c r="C1517" s="4" t="s">
        <v>108</v>
      </c>
      <c r="D1517" s="4" t="s">
        <v>4952</v>
      </c>
      <c r="E1517" s="4" t="s">
        <v>2911</v>
      </c>
      <c r="F1517" s="4" t="s">
        <v>10786</v>
      </c>
      <c r="G1517" s="4" t="s">
        <v>10787</v>
      </c>
      <c r="H1517" s="4">
        <v>1.55</v>
      </c>
      <c r="I1517" s="4">
        <v>1.1499999999999999</v>
      </c>
      <c r="J1517" s="4">
        <v>0.21778</v>
      </c>
      <c r="K1517" s="4" t="b">
        <v>1</v>
      </c>
      <c r="L1517" s="4" t="b">
        <v>0</v>
      </c>
    </row>
    <row r="1518" spans="1:13" ht="13">
      <c r="A1518" s="4" t="s">
        <v>10788</v>
      </c>
      <c r="B1518" s="4" t="s">
        <v>4951</v>
      </c>
      <c r="C1518" s="4" t="s">
        <v>108</v>
      </c>
      <c r="D1518" s="4" t="s">
        <v>4952</v>
      </c>
      <c r="E1518" s="4" t="s">
        <v>2911</v>
      </c>
      <c r="F1518" s="4" t="s">
        <v>10789</v>
      </c>
      <c r="G1518" s="4" t="s">
        <v>10790</v>
      </c>
      <c r="H1518" s="4">
        <v>1.56</v>
      </c>
      <c r="I1518" s="4">
        <v>1.0900000000000001</v>
      </c>
      <c r="J1518" s="4">
        <v>0.26432</v>
      </c>
      <c r="K1518" s="4" t="b">
        <v>1</v>
      </c>
      <c r="L1518" s="4" t="b">
        <v>0</v>
      </c>
    </row>
    <row r="1519" spans="1:13" ht="13">
      <c r="A1519" s="4" t="s">
        <v>10791</v>
      </c>
      <c r="B1519" s="4" t="s">
        <v>4951</v>
      </c>
      <c r="C1519" s="4" t="s">
        <v>108</v>
      </c>
      <c r="D1519" s="4" t="s">
        <v>4952</v>
      </c>
      <c r="E1519" s="4" t="s">
        <v>2911</v>
      </c>
      <c r="F1519" s="4" t="s">
        <v>10792</v>
      </c>
      <c r="G1519" s="4" t="s">
        <v>10793</v>
      </c>
      <c r="H1519" s="4">
        <v>1.57</v>
      </c>
      <c r="I1519" s="4">
        <v>1.19</v>
      </c>
      <c r="J1519" s="4">
        <v>0.23044999999999999</v>
      </c>
      <c r="K1519" s="4" t="b">
        <v>1</v>
      </c>
      <c r="L1519" s="4" t="b">
        <v>0</v>
      </c>
    </row>
    <row r="1520" spans="1:13" ht="13">
      <c r="A1520" s="4" t="s">
        <v>10794</v>
      </c>
      <c r="B1520" s="4" t="s">
        <v>4951</v>
      </c>
      <c r="C1520" s="4" t="s">
        <v>108</v>
      </c>
      <c r="D1520" s="4" t="s">
        <v>4952</v>
      </c>
      <c r="E1520" s="4" t="s">
        <v>2911</v>
      </c>
      <c r="F1520" s="4" t="s">
        <v>10795</v>
      </c>
      <c r="G1520" s="4" t="s">
        <v>10796</v>
      </c>
      <c r="H1520" s="4">
        <v>1.58</v>
      </c>
      <c r="I1520" s="4">
        <v>1.17</v>
      </c>
      <c r="J1520" s="4">
        <v>0.25152000000000002</v>
      </c>
      <c r="K1520" s="4" t="b">
        <v>1</v>
      </c>
      <c r="L1520" s="4" t="b">
        <v>0</v>
      </c>
    </row>
    <row r="1521" spans="1:13" ht="13">
      <c r="A1521" s="4" t="s">
        <v>10797</v>
      </c>
      <c r="B1521" s="4" t="s">
        <v>4951</v>
      </c>
      <c r="C1521" s="4" t="s">
        <v>108</v>
      </c>
      <c r="D1521" s="4" t="s">
        <v>4952</v>
      </c>
      <c r="E1521" s="4" t="s">
        <v>2911</v>
      </c>
      <c r="F1521" s="4" t="s">
        <v>10798</v>
      </c>
      <c r="G1521" s="4" t="s">
        <v>10799</v>
      </c>
      <c r="H1521" s="4">
        <v>1.59</v>
      </c>
      <c r="I1521" s="4">
        <v>1.1200000000000001</v>
      </c>
      <c r="J1521" s="4">
        <v>0.22255</v>
      </c>
      <c r="K1521" s="4" t="b">
        <v>1</v>
      </c>
      <c r="L1521" s="4" t="b">
        <v>0</v>
      </c>
    </row>
    <row r="1522" spans="1:13" ht="13">
      <c r="A1522" s="4" t="s">
        <v>10800</v>
      </c>
      <c r="B1522" s="4" t="s">
        <v>4951</v>
      </c>
      <c r="C1522" s="4" t="s">
        <v>108</v>
      </c>
      <c r="D1522" s="4" t="s">
        <v>4952</v>
      </c>
      <c r="E1522" s="4" t="s">
        <v>2911</v>
      </c>
      <c r="F1522" s="4" t="s">
        <v>10801</v>
      </c>
      <c r="G1522" s="4" t="s">
        <v>10802</v>
      </c>
      <c r="H1522" s="4">
        <v>1.6</v>
      </c>
      <c r="I1522" s="4">
        <v>1.18</v>
      </c>
      <c r="J1522" s="4">
        <v>0.23526</v>
      </c>
      <c r="K1522" s="4" t="b">
        <v>1</v>
      </c>
      <c r="L1522" s="4" t="b">
        <v>0</v>
      </c>
    </row>
    <row r="1523" spans="1:13" ht="13">
      <c r="A1523" s="4" t="s">
        <v>3188</v>
      </c>
      <c r="B1523" s="4" t="s">
        <v>4951</v>
      </c>
      <c r="C1523" s="4" t="s">
        <v>108</v>
      </c>
      <c r="D1523" s="4" t="s">
        <v>4952</v>
      </c>
      <c r="E1523" s="4" t="s">
        <v>2911</v>
      </c>
      <c r="F1523" s="4" t="s">
        <v>5144</v>
      </c>
      <c r="G1523" s="4" t="s">
        <v>3084</v>
      </c>
      <c r="H1523" s="4">
        <v>1.61</v>
      </c>
      <c r="I1523" s="4">
        <v>1.1299999999999999</v>
      </c>
      <c r="J1523" s="4">
        <v>0.24118999999999999</v>
      </c>
      <c r="K1523" s="4" t="b">
        <v>1</v>
      </c>
      <c r="L1523" s="4" t="b">
        <v>1</v>
      </c>
      <c r="M1523" s="41" t="s">
        <v>4929</v>
      </c>
    </row>
    <row r="1524" spans="1:13" ht="13">
      <c r="A1524" s="4" t="s">
        <v>10803</v>
      </c>
      <c r="B1524" s="4" t="s">
        <v>4951</v>
      </c>
      <c r="C1524" s="4" t="s">
        <v>108</v>
      </c>
      <c r="D1524" s="4" t="s">
        <v>4952</v>
      </c>
      <c r="E1524" s="4" t="s">
        <v>2911</v>
      </c>
      <c r="F1524" s="4" t="s">
        <v>10804</v>
      </c>
      <c r="G1524" s="4" t="s">
        <v>10805</v>
      </c>
      <c r="H1524" s="4">
        <v>1.62</v>
      </c>
      <c r="I1524" s="4">
        <v>1.19</v>
      </c>
      <c r="J1524" s="4">
        <v>0.25313999999999998</v>
      </c>
      <c r="K1524" s="4" t="b">
        <v>1</v>
      </c>
      <c r="L1524" s="4" t="b">
        <v>0</v>
      </c>
    </row>
    <row r="1525" spans="1:13" ht="13">
      <c r="A1525" s="4" t="s">
        <v>10806</v>
      </c>
      <c r="B1525" s="4" t="s">
        <v>4951</v>
      </c>
      <c r="C1525" s="4" t="s">
        <v>108</v>
      </c>
      <c r="D1525" s="4" t="s">
        <v>4952</v>
      </c>
      <c r="E1525" s="4" t="s">
        <v>2911</v>
      </c>
      <c r="F1525" s="4" t="s">
        <v>10807</v>
      </c>
      <c r="G1525" s="4" t="s">
        <v>10808</v>
      </c>
      <c r="H1525" s="4">
        <v>1.62</v>
      </c>
      <c r="I1525" s="4">
        <v>1.1299999999999999</v>
      </c>
      <c r="J1525" s="4">
        <v>0.23271</v>
      </c>
      <c r="K1525" s="4" t="b">
        <v>1</v>
      </c>
      <c r="L1525" s="4" t="b">
        <v>0</v>
      </c>
    </row>
    <row r="1526" spans="1:13" ht="13">
      <c r="A1526" s="4" t="s">
        <v>10809</v>
      </c>
      <c r="B1526" s="4" t="s">
        <v>4951</v>
      </c>
      <c r="C1526" s="4" t="s">
        <v>108</v>
      </c>
      <c r="D1526" s="4" t="s">
        <v>4952</v>
      </c>
      <c r="E1526" s="4" t="s">
        <v>2911</v>
      </c>
      <c r="F1526" s="4" t="s">
        <v>10810</v>
      </c>
      <c r="G1526" s="4" t="s">
        <v>10811</v>
      </c>
      <c r="H1526" s="4">
        <v>1.63</v>
      </c>
      <c r="I1526" s="4">
        <v>1.1399999999999999</v>
      </c>
      <c r="J1526" s="4">
        <v>0.24249999999999999</v>
      </c>
      <c r="K1526" s="4" t="b">
        <v>1</v>
      </c>
      <c r="L1526" s="4" t="b">
        <v>0</v>
      </c>
    </row>
    <row r="1527" spans="1:13" ht="13">
      <c r="A1527" s="4" t="s">
        <v>10812</v>
      </c>
      <c r="B1527" s="4" t="s">
        <v>4951</v>
      </c>
      <c r="C1527" s="4" t="s">
        <v>108</v>
      </c>
      <c r="D1527" s="4" t="s">
        <v>4952</v>
      </c>
      <c r="E1527" s="4" t="s">
        <v>2911</v>
      </c>
      <c r="F1527" s="4" t="s">
        <v>10813</v>
      </c>
      <c r="G1527" s="4" t="s">
        <v>10814</v>
      </c>
      <c r="H1527" s="4">
        <v>1.64</v>
      </c>
      <c r="I1527" s="4">
        <v>1.1499999999999999</v>
      </c>
      <c r="J1527" s="4">
        <v>0.24829999999999999</v>
      </c>
      <c r="K1527" s="4" t="b">
        <v>1</v>
      </c>
      <c r="L1527" s="4" t="b">
        <v>0</v>
      </c>
    </row>
    <row r="1528" spans="1:13" ht="13">
      <c r="A1528" s="4" t="s">
        <v>10815</v>
      </c>
      <c r="B1528" s="4" t="s">
        <v>4951</v>
      </c>
      <c r="C1528" s="4" t="s">
        <v>108</v>
      </c>
      <c r="D1528" s="4" t="s">
        <v>4952</v>
      </c>
      <c r="E1528" s="4" t="s">
        <v>2911</v>
      </c>
      <c r="F1528" s="4" t="s">
        <v>10816</v>
      </c>
      <c r="G1528" s="4" t="s">
        <v>10817</v>
      </c>
      <c r="H1528" s="4">
        <v>1.64</v>
      </c>
      <c r="I1528" s="4">
        <v>1.21</v>
      </c>
      <c r="J1528" s="4">
        <v>0.22944999999999999</v>
      </c>
      <c r="K1528" s="4" t="b">
        <v>1</v>
      </c>
      <c r="L1528" s="4" t="b">
        <v>0</v>
      </c>
    </row>
    <row r="1529" spans="1:13" ht="13">
      <c r="A1529" s="4" t="s">
        <v>10818</v>
      </c>
      <c r="B1529" s="4" t="s">
        <v>4951</v>
      </c>
      <c r="C1529" s="4" t="s">
        <v>108</v>
      </c>
      <c r="D1529" s="4" t="s">
        <v>4952</v>
      </c>
      <c r="E1529" s="4" t="s">
        <v>2911</v>
      </c>
      <c r="F1529" s="4" t="s">
        <v>10819</v>
      </c>
      <c r="G1529" s="4" t="s">
        <v>10820</v>
      </c>
      <c r="H1529" s="4">
        <v>1.65</v>
      </c>
      <c r="I1529" s="4">
        <v>1.04</v>
      </c>
      <c r="J1529" s="4">
        <v>0.23416999999999999</v>
      </c>
      <c r="K1529" s="4" t="b">
        <v>1</v>
      </c>
      <c r="L1529" s="4" t="b">
        <v>0</v>
      </c>
    </row>
    <row r="1530" spans="1:13" ht="13">
      <c r="A1530" s="4" t="s">
        <v>10821</v>
      </c>
      <c r="B1530" s="4" t="s">
        <v>4951</v>
      </c>
      <c r="C1530" s="4" t="s">
        <v>108</v>
      </c>
      <c r="D1530" s="4" t="s">
        <v>4952</v>
      </c>
      <c r="E1530" s="4" t="s">
        <v>2911</v>
      </c>
      <c r="F1530" s="4" t="s">
        <v>10822</v>
      </c>
      <c r="G1530" s="4" t="s">
        <v>10823</v>
      </c>
      <c r="H1530" s="4">
        <v>1.66</v>
      </c>
      <c r="I1530" s="4">
        <v>1.08</v>
      </c>
      <c r="J1530" s="4">
        <v>0.22883000000000001</v>
      </c>
      <c r="K1530" s="4" t="b">
        <v>1</v>
      </c>
      <c r="L1530" s="4" t="b">
        <v>0</v>
      </c>
    </row>
    <row r="1531" spans="1:13" ht="13">
      <c r="A1531" s="4" t="s">
        <v>10824</v>
      </c>
      <c r="B1531" s="4" t="s">
        <v>4951</v>
      </c>
      <c r="C1531" s="4" t="s">
        <v>108</v>
      </c>
      <c r="D1531" s="4" t="s">
        <v>4952</v>
      </c>
      <c r="E1531" s="4" t="s">
        <v>2911</v>
      </c>
      <c r="F1531" s="4" t="s">
        <v>10825</v>
      </c>
      <c r="G1531" s="4" t="s">
        <v>10826</v>
      </c>
      <c r="H1531" s="4">
        <v>1.66</v>
      </c>
      <c r="I1531" s="4">
        <v>1.1599999999999999</v>
      </c>
      <c r="J1531" s="4">
        <v>0.23202999999999999</v>
      </c>
      <c r="K1531" s="4" t="b">
        <v>1</v>
      </c>
      <c r="L1531" s="4" t="b">
        <v>0</v>
      </c>
    </row>
    <row r="1532" spans="1:13" ht="13">
      <c r="A1532" s="4" t="s">
        <v>10827</v>
      </c>
      <c r="B1532" s="4" t="s">
        <v>4951</v>
      </c>
      <c r="C1532" s="4" t="s">
        <v>108</v>
      </c>
      <c r="D1532" s="4" t="s">
        <v>4952</v>
      </c>
      <c r="E1532" s="4" t="s">
        <v>2911</v>
      </c>
      <c r="F1532" s="4" t="s">
        <v>10828</v>
      </c>
      <c r="G1532" s="4" t="s">
        <v>10829</v>
      </c>
      <c r="H1532" s="4">
        <v>1.67</v>
      </c>
      <c r="I1532" s="4">
        <v>1.04</v>
      </c>
      <c r="J1532" s="4">
        <v>0.23175000000000001</v>
      </c>
      <c r="K1532" s="4" t="b">
        <v>1</v>
      </c>
      <c r="L1532" s="4" t="b">
        <v>0</v>
      </c>
    </row>
    <row r="1533" spans="1:13" ht="13">
      <c r="A1533" s="4" t="s">
        <v>10830</v>
      </c>
      <c r="B1533" s="4" t="s">
        <v>4951</v>
      </c>
      <c r="C1533" s="4" t="s">
        <v>108</v>
      </c>
      <c r="D1533" s="4" t="s">
        <v>4952</v>
      </c>
      <c r="E1533" s="4" t="s">
        <v>2911</v>
      </c>
      <c r="F1533" s="4" t="s">
        <v>10831</v>
      </c>
      <c r="G1533" s="4" t="s">
        <v>10832</v>
      </c>
      <c r="H1533" s="4">
        <v>1.68</v>
      </c>
      <c r="I1533" s="4">
        <v>1.24</v>
      </c>
      <c r="J1533" s="4">
        <v>0.26335999999999998</v>
      </c>
      <c r="K1533" s="4" t="b">
        <v>1</v>
      </c>
      <c r="L1533" s="4" t="b">
        <v>0</v>
      </c>
    </row>
    <row r="1534" spans="1:13" ht="13">
      <c r="A1534" s="4" t="s">
        <v>10833</v>
      </c>
      <c r="B1534" s="4" t="s">
        <v>4951</v>
      </c>
      <c r="C1534" s="4" t="s">
        <v>108</v>
      </c>
      <c r="D1534" s="4" t="s">
        <v>4952</v>
      </c>
      <c r="E1534" s="4" t="s">
        <v>2911</v>
      </c>
      <c r="F1534" s="4" t="s">
        <v>10834</v>
      </c>
      <c r="G1534" s="4" t="s">
        <v>10835</v>
      </c>
      <c r="H1534" s="4">
        <v>1.68</v>
      </c>
      <c r="I1534" s="4">
        <v>1.1599999999999999</v>
      </c>
      <c r="J1534" s="4">
        <v>0.24567</v>
      </c>
      <c r="K1534" s="4" t="b">
        <v>1</v>
      </c>
      <c r="L1534" s="4" t="b">
        <v>0</v>
      </c>
    </row>
    <row r="1535" spans="1:13" ht="13">
      <c r="A1535" s="4" t="s">
        <v>10836</v>
      </c>
      <c r="B1535" s="4" t="s">
        <v>4951</v>
      </c>
      <c r="C1535" s="4" t="s">
        <v>108</v>
      </c>
      <c r="D1535" s="4" t="s">
        <v>4952</v>
      </c>
      <c r="E1535" s="4" t="s">
        <v>2911</v>
      </c>
      <c r="F1535" s="4" t="s">
        <v>10837</v>
      </c>
      <c r="G1535" s="4" t="s">
        <v>10838</v>
      </c>
      <c r="H1535" s="4">
        <v>1.69</v>
      </c>
      <c r="I1535" s="4">
        <v>1.26</v>
      </c>
      <c r="J1535" s="4">
        <v>0.19283</v>
      </c>
      <c r="K1535" s="4" t="b">
        <v>1</v>
      </c>
      <c r="L1535" s="4" t="b">
        <v>0</v>
      </c>
    </row>
    <row r="1536" spans="1:13" ht="13">
      <c r="A1536" s="4" t="s">
        <v>10839</v>
      </c>
      <c r="B1536" s="4" t="s">
        <v>4951</v>
      </c>
      <c r="C1536" s="4" t="s">
        <v>108</v>
      </c>
      <c r="D1536" s="4" t="s">
        <v>4952</v>
      </c>
      <c r="E1536" s="4" t="s">
        <v>2911</v>
      </c>
      <c r="F1536" s="4" t="s">
        <v>10840</v>
      </c>
      <c r="G1536" s="4" t="s">
        <v>10841</v>
      </c>
      <c r="H1536" s="4">
        <v>1.7</v>
      </c>
      <c r="I1536" s="4">
        <v>1.0900000000000001</v>
      </c>
      <c r="J1536" s="4">
        <v>0.23133000000000001</v>
      </c>
      <c r="K1536" s="4" t="b">
        <v>1</v>
      </c>
      <c r="L1536" s="4" t="b">
        <v>0</v>
      </c>
    </row>
    <row r="1537" spans="1:13" ht="13">
      <c r="A1537" s="4" t="s">
        <v>3189</v>
      </c>
      <c r="B1537" s="4" t="s">
        <v>4951</v>
      </c>
      <c r="C1537" s="4" t="s">
        <v>108</v>
      </c>
      <c r="D1537" s="4" t="s">
        <v>4952</v>
      </c>
      <c r="E1537" s="4" t="s">
        <v>2911</v>
      </c>
      <c r="F1537" s="4" t="s">
        <v>5145</v>
      </c>
      <c r="G1537" s="4" t="s">
        <v>3085</v>
      </c>
      <c r="H1537" s="4">
        <v>1.71</v>
      </c>
      <c r="I1537" s="4">
        <v>1.17</v>
      </c>
      <c r="J1537" s="4">
        <v>0.23025999999999999</v>
      </c>
      <c r="K1537" s="4" t="b">
        <v>1</v>
      </c>
      <c r="L1537" s="4" t="b">
        <v>1</v>
      </c>
      <c r="M1537" s="41" t="s">
        <v>4929</v>
      </c>
    </row>
    <row r="1538" spans="1:13" ht="13">
      <c r="A1538" s="4" t="s">
        <v>10842</v>
      </c>
      <c r="B1538" s="4" t="s">
        <v>4951</v>
      </c>
      <c r="C1538" s="4" t="s">
        <v>108</v>
      </c>
      <c r="D1538" s="4" t="s">
        <v>4952</v>
      </c>
      <c r="E1538" s="4" t="s">
        <v>2911</v>
      </c>
      <c r="F1538" s="4" t="s">
        <v>10843</v>
      </c>
      <c r="G1538" s="4" t="s">
        <v>10844</v>
      </c>
      <c r="H1538" s="4">
        <v>1.72</v>
      </c>
      <c r="I1538" s="4">
        <v>1.1000000000000001</v>
      </c>
      <c r="J1538" s="4">
        <v>0.22713</v>
      </c>
      <c r="K1538" s="4" t="b">
        <v>1</v>
      </c>
      <c r="L1538" s="4" t="b">
        <v>0</v>
      </c>
    </row>
    <row r="1539" spans="1:13" ht="13">
      <c r="A1539" s="4" t="s">
        <v>10845</v>
      </c>
      <c r="B1539" s="4" t="s">
        <v>4951</v>
      </c>
      <c r="C1539" s="4" t="s">
        <v>108</v>
      </c>
      <c r="D1539" s="4" t="s">
        <v>4952</v>
      </c>
      <c r="E1539" s="4" t="s">
        <v>2911</v>
      </c>
      <c r="F1539" s="4" t="s">
        <v>10846</v>
      </c>
      <c r="G1539" s="4" t="s">
        <v>10847</v>
      </c>
      <c r="H1539" s="4">
        <v>1.72</v>
      </c>
      <c r="I1539" s="4">
        <v>1.1299999999999999</v>
      </c>
      <c r="J1539" s="4">
        <v>0.23615</v>
      </c>
      <c r="K1539" s="4" t="b">
        <v>1</v>
      </c>
      <c r="L1539" s="4" t="b">
        <v>0</v>
      </c>
    </row>
    <row r="1540" spans="1:13" ht="13">
      <c r="A1540" s="4" t="s">
        <v>10848</v>
      </c>
      <c r="B1540" s="4" t="s">
        <v>4951</v>
      </c>
      <c r="C1540" s="4" t="s">
        <v>108</v>
      </c>
      <c r="D1540" s="4" t="s">
        <v>4952</v>
      </c>
      <c r="E1540" s="4" t="s">
        <v>2911</v>
      </c>
      <c r="F1540" s="4" t="s">
        <v>10849</v>
      </c>
      <c r="G1540" s="4" t="s">
        <v>10850</v>
      </c>
      <c r="H1540" s="4">
        <v>1.74</v>
      </c>
      <c r="I1540" s="4">
        <v>1.1499999999999999</v>
      </c>
      <c r="J1540" s="4">
        <v>0.21940999999999999</v>
      </c>
      <c r="K1540" s="4" t="b">
        <v>1</v>
      </c>
      <c r="L1540" s="4" t="b">
        <v>0</v>
      </c>
    </row>
    <row r="1541" spans="1:13" ht="13">
      <c r="A1541" s="4" t="s">
        <v>10851</v>
      </c>
      <c r="B1541" s="4" t="s">
        <v>4951</v>
      </c>
      <c r="C1541" s="4" t="s">
        <v>108</v>
      </c>
      <c r="D1541" s="4" t="s">
        <v>4952</v>
      </c>
      <c r="E1541" s="4" t="s">
        <v>2911</v>
      </c>
      <c r="F1541" s="4" t="s">
        <v>10852</v>
      </c>
      <c r="G1541" s="4" t="s">
        <v>10853</v>
      </c>
      <c r="H1541" s="4">
        <v>1.75</v>
      </c>
      <c r="I1541" s="4">
        <v>1.1200000000000001</v>
      </c>
      <c r="J1541" s="4">
        <v>0.23380000000000001</v>
      </c>
      <c r="K1541" s="4" t="b">
        <v>1</v>
      </c>
      <c r="L1541" s="4" t="b">
        <v>0</v>
      </c>
    </row>
    <row r="1542" spans="1:13" ht="13">
      <c r="A1542" s="4" t="s">
        <v>3190</v>
      </c>
      <c r="B1542" s="4" t="s">
        <v>4951</v>
      </c>
      <c r="C1542" s="4" t="s">
        <v>108</v>
      </c>
      <c r="D1542" s="4" t="s">
        <v>4952</v>
      </c>
      <c r="E1542" s="4" t="s">
        <v>2911</v>
      </c>
      <c r="F1542" s="4" t="s">
        <v>4987</v>
      </c>
      <c r="G1542" s="4" t="s">
        <v>3086</v>
      </c>
      <c r="H1542" s="4">
        <v>1.75</v>
      </c>
      <c r="I1542" s="4">
        <v>1.01</v>
      </c>
      <c r="J1542" s="4">
        <v>0.22864000000000001</v>
      </c>
      <c r="K1542" s="4" t="b">
        <v>1</v>
      </c>
      <c r="L1542" s="4" t="b">
        <v>1</v>
      </c>
      <c r="M1542" s="41" t="s">
        <v>4929</v>
      </c>
    </row>
    <row r="1543" spans="1:13" ht="13">
      <c r="A1543" s="4" t="s">
        <v>10854</v>
      </c>
      <c r="B1543" s="4" t="s">
        <v>4951</v>
      </c>
      <c r="C1543" s="4" t="s">
        <v>108</v>
      </c>
      <c r="D1543" s="4" t="s">
        <v>4952</v>
      </c>
      <c r="E1543" s="4" t="s">
        <v>2911</v>
      </c>
      <c r="F1543" s="4" t="s">
        <v>10855</v>
      </c>
      <c r="G1543" s="4" t="s">
        <v>10856</v>
      </c>
      <c r="H1543" s="4">
        <v>1.76</v>
      </c>
      <c r="I1543" s="4">
        <v>1.08</v>
      </c>
      <c r="J1543" s="4">
        <v>0.24543000000000001</v>
      </c>
      <c r="K1543" s="4" t="b">
        <v>1</v>
      </c>
      <c r="L1543" s="4" t="b">
        <v>0</v>
      </c>
    </row>
    <row r="1544" spans="1:13" ht="13">
      <c r="A1544" s="4" t="s">
        <v>10857</v>
      </c>
      <c r="B1544" s="4" t="s">
        <v>4951</v>
      </c>
      <c r="C1544" s="4" t="s">
        <v>108</v>
      </c>
      <c r="D1544" s="4" t="s">
        <v>4952</v>
      </c>
      <c r="E1544" s="4" t="s">
        <v>2911</v>
      </c>
      <c r="F1544" s="4" t="s">
        <v>10858</v>
      </c>
      <c r="G1544" s="4" t="s">
        <v>10859</v>
      </c>
      <c r="H1544" s="4">
        <v>1.78</v>
      </c>
      <c r="I1544" s="4">
        <v>1.1399999999999999</v>
      </c>
      <c r="J1544" s="4">
        <v>0.23441999999999999</v>
      </c>
      <c r="K1544" s="4" t="b">
        <v>1</v>
      </c>
      <c r="L1544" s="4" t="b">
        <v>0</v>
      </c>
    </row>
    <row r="1545" spans="1:13" ht="13">
      <c r="A1545" s="4" t="s">
        <v>10860</v>
      </c>
      <c r="B1545" s="4" t="s">
        <v>4951</v>
      </c>
      <c r="C1545" s="4" t="s">
        <v>108</v>
      </c>
      <c r="D1545" s="4" t="s">
        <v>4952</v>
      </c>
      <c r="E1545" s="4" t="s">
        <v>2911</v>
      </c>
      <c r="F1545" s="4" t="s">
        <v>10861</v>
      </c>
      <c r="G1545" s="4" t="s">
        <v>10862</v>
      </c>
      <c r="H1545" s="4">
        <v>1.79</v>
      </c>
      <c r="I1545" s="4">
        <v>1.1000000000000001</v>
      </c>
      <c r="J1545" s="4">
        <v>0.25031999999999999</v>
      </c>
      <c r="K1545" s="4" t="b">
        <v>1</v>
      </c>
      <c r="L1545" s="4" t="b">
        <v>0</v>
      </c>
    </row>
    <row r="1546" spans="1:13" ht="13">
      <c r="A1546" s="4" t="s">
        <v>3191</v>
      </c>
      <c r="B1546" s="4" t="s">
        <v>4951</v>
      </c>
      <c r="C1546" s="4" t="s">
        <v>108</v>
      </c>
      <c r="D1546" s="4" t="s">
        <v>4952</v>
      </c>
      <c r="E1546" s="4" t="s">
        <v>2911</v>
      </c>
      <c r="F1546" s="4" t="s">
        <v>4988</v>
      </c>
      <c r="G1546" s="4" t="s">
        <v>3087</v>
      </c>
      <c r="H1546" s="4">
        <v>1.8</v>
      </c>
      <c r="I1546" s="4">
        <v>1.17</v>
      </c>
      <c r="J1546" s="4">
        <v>0.22306000000000001</v>
      </c>
      <c r="K1546" s="4" t="b">
        <v>1</v>
      </c>
      <c r="L1546" s="4" t="b">
        <v>1</v>
      </c>
      <c r="M1546" s="41" t="s">
        <v>4929</v>
      </c>
    </row>
    <row r="1547" spans="1:13" ht="13">
      <c r="A1547" s="4" t="s">
        <v>10863</v>
      </c>
      <c r="B1547" s="4" t="s">
        <v>4951</v>
      </c>
      <c r="C1547" s="4" t="s">
        <v>108</v>
      </c>
      <c r="D1547" s="4" t="s">
        <v>4952</v>
      </c>
      <c r="E1547" s="4" t="s">
        <v>2911</v>
      </c>
      <c r="F1547" s="4" t="s">
        <v>10864</v>
      </c>
      <c r="G1547" s="4" t="s">
        <v>10865</v>
      </c>
      <c r="H1547" s="4">
        <v>1.81</v>
      </c>
      <c r="I1547" s="4">
        <v>1.91</v>
      </c>
      <c r="J1547" s="4">
        <v>0.26099</v>
      </c>
      <c r="K1547" s="4" t="b">
        <v>1</v>
      </c>
      <c r="L1547" s="4" t="b">
        <v>0</v>
      </c>
    </row>
    <row r="1548" spans="1:13" ht="13">
      <c r="A1548" s="4" t="s">
        <v>10866</v>
      </c>
      <c r="B1548" s="4" t="s">
        <v>4951</v>
      </c>
      <c r="C1548" s="4" t="s">
        <v>108</v>
      </c>
      <c r="D1548" s="4" t="s">
        <v>4952</v>
      </c>
      <c r="E1548" s="4" t="s">
        <v>2911</v>
      </c>
      <c r="F1548" s="4" t="s">
        <v>10867</v>
      </c>
      <c r="G1548" s="4" t="s">
        <v>10868</v>
      </c>
      <c r="H1548" s="4">
        <v>1.82</v>
      </c>
      <c r="I1548" s="4">
        <v>1.05</v>
      </c>
      <c r="J1548" s="4">
        <v>0.22428000000000001</v>
      </c>
      <c r="K1548" s="4" t="b">
        <v>1</v>
      </c>
      <c r="L1548" s="4" t="b">
        <v>0</v>
      </c>
    </row>
    <row r="1549" spans="1:13" ht="13">
      <c r="A1549" s="4" t="s">
        <v>10869</v>
      </c>
      <c r="B1549" s="4" t="s">
        <v>4951</v>
      </c>
      <c r="C1549" s="4" t="s">
        <v>108</v>
      </c>
      <c r="D1549" s="4" t="s">
        <v>4952</v>
      </c>
      <c r="E1549" s="4" t="s">
        <v>2911</v>
      </c>
      <c r="F1549" s="4" t="s">
        <v>10870</v>
      </c>
      <c r="G1549" s="4" t="s">
        <v>10871</v>
      </c>
      <c r="H1549" s="4">
        <v>1.83</v>
      </c>
      <c r="I1549" s="4">
        <v>1.1399999999999999</v>
      </c>
      <c r="J1549" s="4">
        <v>0.23472999999999999</v>
      </c>
      <c r="K1549" s="4" t="b">
        <v>1</v>
      </c>
      <c r="L1549" s="4" t="b">
        <v>0</v>
      </c>
    </row>
    <row r="1550" spans="1:13" ht="13">
      <c r="A1550" s="4" t="s">
        <v>3192</v>
      </c>
      <c r="B1550" s="4" t="s">
        <v>4951</v>
      </c>
      <c r="C1550" s="4" t="s">
        <v>108</v>
      </c>
      <c r="D1550" s="4" t="s">
        <v>4952</v>
      </c>
      <c r="E1550" s="4" t="s">
        <v>2911</v>
      </c>
      <c r="F1550" s="4" t="s">
        <v>4989</v>
      </c>
      <c r="G1550" s="4" t="s">
        <v>3088</v>
      </c>
      <c r="H1550" s="4">
        <v>1.83</v>
      </c>
      <c r="I1550" s="4">
        <v>1.08</v>
      </c>
      <c r="J1550" s="4">
        <v>0.22425</v>
      </c>
      <c r="K1550" s="4" t="b">
        <v>1</v>
      </c>
      <c r="L1550" s="4" t="b">
        <v>1</v>
      </c>
      <c r="M1550" s="41" t="s">
        <v>4929</v>
      </c>
    </row>
    <row r="1551" spans="1:13" ht="13">
      <c r="A1551" s="4" t="s">
        <v>10872</v>
      </c>
      <c r="B1551" s="4" t="s">
        <v>4951</v>
      </c>
      <c r="C1551" s="4" t="s">
        <v>108</v>
      </c>
      <c r="D1551" s="4" t="s">
        <v>4952</v>
      </c>
      <c r="E1551" s="4" t="s">
        <v>2911</v>
      </c>
      <c r="F1551" s="4" t="s">
        <v>10873</v>
      </c>
      <c r="G1551" s="4" t="s">
        <v>10874</v>
      </c>
      <c r="H1551" s="4">
        <v>1.84</v>
      </c>
      <c r="I1551" s="4">
        <v>1.04</v>
      </c>
      <c r="J1551" s="4">
        <v>0.22434999999999999</v>
      </c>
      <c r="K1551" s="4" t="b">
        <v>1</v>
      </c>
      <c r="L1551" s="4" t="b">
        <v>0</v>
      </c>
    </row>
    <row r="1552" spans="1:13" ht="13">
      <c r="A1552" s="4" t="s">
        <v>10875</v>
      </c>
      <c r="B1552" s="4" t="s">
        <v>4951</v>
      </c>
      <c r="C1552" s="4" t="s">
        <v>108</v>
      </c>
      <c r="D1552" s="4" t="s">
        <v>4952</v>
      </c>
      <c r="E1552" s="4" t="s">
        <v>2911</v>
      </c>
      <c r="F1552" s="4" t="s">
        <v>10876</v>
      </c>
      <c r="G1552" s="4" t="s">
        <v>10877</v>
      </c>
      <c r="H1552" s="4">
        <v>1.85</v>
      </c>
      <c r="I1552" s="4">
        <v>1.07</v>
      </c>
      <c r="J1552" s="4">
        <v>0.22831000000000001</v>
      </c>
      <c r="K1552" s="4" t="b">
        <v>1</v>
      </c>
      <c r="L1552" s="4" t="b">
        <v>0</v>
      </c>
    </row>
    <row r="1553" spans="1:12" ht="13">
      <c r="A1553" s="4" t="s">
        <v>10878</v>
      </c>
      <c r="B1553" s="4" t="s">
        <v>4951</v>
      </c>
      <c r="C1553" s="4" t="s">
        <v>108</v>
      </c>
      <c r="D1553" s="4" t="s">
        <v>4952</v>
      </c>
      <c r="E1553" s="4" t="s">
        <v>2911</v>
      </c>
      <c r="F1553" s="4" t="s">
        <v>10879</v>
      </c>
      <c r="G1553" s="4" t="s">
        <v>10880</v>
      </c>
      <c r="H1553" s="4">
        <v>1.86</v>
      </c>
      <c r="I1553" s="4">
        <v>1.08</v>
      </c>
      <c r="J1553" s="4">
        <v>0.24634</v>
      </c>
      <c r="K1553" s="4" t="b">
        <v>1</v>
      </c>
      <c r="L1553" s="4" t="b">
        <v>0</v>
      </c>
    </row>
    <row r="1554" spans="1:12" ht="13">
      <c r="A1554" s="4" t="s">
        <v>10881</v>
      </c>
      <c r="B1554" s="4" t="s">
        <v>4951</v>
      </c>
      <c r="C1554" s="4" t="s">
        <v>108</v>
      </c>
      <c r="D1554" s="4" t="s">
        <v>4952</v>
      </c>
      <c r="E1554" s="4" t="s">
        <v>2911</v>
      </c>
      <c r="F1554" s="4" t="s">
        <v>10882</v>
      </c>
      <c r="G1554" s="4" t="s">
        <v>10883</v>
      </c>
      <c r="H1554" s="4">
        <v>1.87</v>
      </c>
      <c r="I1554" s="4">
        <v>1.0900000000000001</v>
      </c>
      <c r="J1554" s="4">
        <v>0.22764999999999999</v>
      </c>
      <c r="K1554" s="4" t="b">
        <v>1</v>
      </c>
      <c r="L1554" s="4" t="b">
        <v>0</v>
      </c>
    </row>
    <row r="1555" spans="1:12" ht="13">
      <c r="A1555" s="4" t="s">
        <v>10884</v>
      </c>
      <c r="B1555" s="4" t="s">
        <v>4951</v>
      </c>
      <c r="C1555" s="4" t="s">
        <v>108</v>
      </c>
      <c r="D1555" s="4" t="s">
        <v>4952</v>
      </c>
      <c r="E1555" s="4" t="s">
        <v>2911</v>
      </c>
      <c r="F1555" s="4" t="s">
        <v>10885</v>
      </c>
      <c r="G1555" s="4" t="s">
        <v>10886</v>
      </c>
      <c r="H1555" s="4">
        <v>1.87</v>
      </c>
      <c r="I1555" s="4">
        <v>1.1499999999999999</v>
      </c>
      <c r="J1555" s="4">
        <v>0.23413999999999999</v>
      </c>
      <c r="K1555" s="4" t="b">
        <v>1</v>
      </c>
      <c r="L1555" s="4" t="b">
        <v>0</v>
      </c>
    </row>
    <row r="1556" spans="1:12" ht="13">
      <c r="A1556" s="4" t="s">
        <v>10887</v>
      </c>
      <c r="B1556" s="4" t="s">
        <v>4951</v>
      </c>
      <c r="C1556" s="4" t="s">
        <v>108</v>
      </c>
      <c r="D1556" s="4" t="s">
        <v>4952</v>
      </c>
      <c r="E1556" s="4" t="s">
        <v>2911</v>
      </c>
      <c r="F1556" s="4" t="s">
        <v>10888</v>
      </c>
      <c r="G1556" s="4" t="s">
        <v>10889</v>
      </c>
      <c r="H1556" s="4">
        <v>1.88</v>
      </c>
      <c r="I1556" s="4">
        <v>1.06</v>
      </c>
      <c r="J1556" s="4">
        <v>0.22452</v>
      </c>
      <c r="K1556" s="4" t="b">
        <v>1</v>
      </c>
      <c r="L1556" s="4" t="b">
        <v>0</v>
      </c>
    </row>
    <row r="1557" spans="1:12" ht="13">
      <c r="A1557" s="4" t="s">
        <v>10890</v>
      </c>
      <c r="B1557" s="4" t="s">
        <v>4951</v>
      </c>
      <c r="C1557" s="4" t="s">
        <v>108</v>
      </c>
      <c r="D1557" s="4" t="s">
        <v>4952</v>
      </c>
      <c r="E1557" s="4" t="s">
        <v>2911</v>
      </c>
      <c r="F1557" s="4" t="s">
        <v>10891</v>
      </c>
      <c r="G1557" s="4" t="s">
        <v>10892</v>
      </c>
      <c r="H1557" s="4">
        <v>2.0499999999999998</v>
      </c>
      <c r="I1557" s="4">
        <v>1.1200000000000001</v>
      </c>
      <c r="J1557" s="4">
        <v>0.22472</v>
      </c>
      <c r="K1557" s="4" t="b">
        <v>1</v>
      </c>
      <c r="L1557" s="4" t="b">
        <v>0</v>
      </c>
    </row>
    <row r="1558" spans="1:12" ht="13">
      <c r="A1558" s="4" t="s">
        <v>10893</v>
      </c>
      <c r="B1558" s="4" t="s">
        <v>4951</v>
      </c>
      <c r="C1558" s="4" t="s">
        <v>108</v>
      </c>
      <c r="D1558" s="4" t="s">
        <v>4952</v>
      </c>
      <c r="E1558" s="4" t="s">
        <v>2911</v>
      </c>
      <c r="F1558" s="4" t="s">
        <v>10894</v>
      </c>
      <c r="G1558" s="4" t="s">
        <v>10895</v>
      </c>
      <c r="H1558" s="4">
        <v>2.0699999999999998</v>
      </c>
      <c r="I1558" s="4">
        <v>1.07</v>
      </c>
      <c r="J1558" s="4">
        <v>0.21784999999999999</v>
      </c>
      <c r="K1558" s="4" t="b">
        <v>1</v>
      </c>
      <c r="L1558" s="4" t="b">
        <v>0</v>
      </c>
    </row>
    <row r="1559" spans="1:12" ht="13">
      <c r="A1559" s="4" t="s">
        <v>10896</v>
      </c>
      <c r="B1559" s="4" t="s">
        <v>4951</v>
      </c>
      <c r="C1559" s="4" t="s">
        <v>108</v>
      </c>
      <c r="D1559" s="4" t="s">
        <v>4952</v>
      </c>
      <c r="E1559" s="4" t="s">
        <v>2911</v>
      </c>
      <c r="F1559" s="4" t="s">
        <v>10897</v>
      </c>
      <c r="G1559" s="4" t="s">
        <v>10898</v>
      </c>
      <c r="H1559" s="4">
        <v>2.0699999999999998</v>
      </c>
      <c r="I1559" s="4">
        <v>1.1000000000000001</v>
      </c>
      <c r="J1559" s="4">
        <v>0.2482</v>
      </c>
      <c r="K1559" s="4" t="b">
        <v>1</v>
      </c>
      <c r="L1559" s="4" t="b">
        <v>0</v>
      </c>
    </row>
    <row r="1560" spans="1:12" ht="13">
      <c r="A1560" s="4" t="s">
        <v>10899</v>
      </c>
      <c r="B1560" s="4" t="s">
        <v>4951</v>
      </c>
      <c r="C1560" s="4" t="s">
        <v>108</v>
      </c>
      <c r="D1560" s="4" t="s">
        <v>4952</v>
      </c>
      <c r="E1560" s="4" t="s">
        <v>2911</v>
      </c>
      <c r="F1560" s="4" t="s">
        <v>10900</v>
      </c>
      <c r="G1560" s="4" t="s">
        <v>10901</v>
      </c>
      <c r="H1560" s="4">
        <v>2.08</v>
      </c>
      <c r="I1560" s="4">
        <v>1.1599999999999999</v>
      </c>
      <c r="J1560" s="4">
        <v>0.21973000000000001</v>
      </c>
      <c r="K1560" s="4" t="b">
        <v>1</v>
      </c>
      <c r="L1560" s="4" t="b">
        <v>0</v>
      </c>
    </row>
    <row r="1561" spans="1:12" ht="13">
      <c r="A1561" s="4" t="s">
        <v>10902</v>
      </c>
      <c r="B1561" s="4" t="s">
        <v>4951</v>
      </c>
      <c r="C1561" s="4" t="s">
        <v>108</v>
      </c>
      <c r="D1561" s="4" t="s">
        <v>4952</v>
      </c>
      <c r="E1561" s="4" t="s">
        <v>2911</v>
      </c>
      <c r="F1561" s="4" t="s">
        <v>10903</v>
      </c>
      <c r="G1561" s="4" t="s">
        <v>10904</v>
      </c>
      <c r="H1561" s="4">
        <v>2.08</v>
      </c>
      <c r="I1561" s="4">
        <v>1.0900000000000001</v>
      </c>
      <c r="J1561" s="4">
        <v>0.22525999999999999</v>
      </c>
      <c r="K1561" s="4" t="b">
        <v>1</v>
      </c>
      <c r="L1561" s="4" t="b">
        <v>0</v>
      </c>
    </row>
    <row r="1562" spans="1:12" ht="13">
      <c r="A1562" s="4" t="s">
        <v>10905</v>
      </c>
      <c r="B1562" s="4" t="s">
        <v>4951</v>
      </c>
      <c r="C1562" s="4" t="s">
        <v>108</v>
      </c>
      <c r="D1562" s="4" t="s">
        <v>4952</v>
      </c>
      <c r="E1562" s="4" t="s">
        <v>2911</v>
      </c>
      <c r="F1562" s="4" t="s">
        <v>10906</v>
      </c>
      <c r="G1562" s="4" t="s">
        <v>10907</v>
      </c>
      <c r="H1562" s="4">
        <v>2.1</v>
      </c>
      <c r="I1562" s="4">
        <v>1.0900000000000001</v>
      </c>
      <c r="J1562" s="4">
        <v>0.22023000000000001</v>
      </c>
      <c r="K1562" s="4" t="b">
        <v>1</v>
      </c>
      <c r="L1562" s="4" t="b">
        <v>0</v>
      </c>
    </row>
    <row r="1563" spans="1:12" ht="13">
      <c r="A1563" s="4" t="s">
        <v>10908</v>
      </c>
      <c r="B1563" s="4" t="s">
        <v>4951</v>
      </c>
      <c r="C1563" s="4" t="s">
        <v>108</v>
      </c>
      <c r="D1563" s="4" t="s">
        <v>4952</v>
      </c>
      <c r="E1563" s="4" t="s">
        <v>2911</v>
      </c>
      <c r="F1563" s="4" t="s">
        <v>10909</v>
      </c>
      <c r="G1563" s="4" t="s">
        <v>10910</v>
      </c>
      <c r="H1563" s="4">
        <v>2.12</v>
      </c>
      <c r="I1563" s="4">
        <v>1.1000000000000001</v>
      </c>
      <c r="J1563" s="4">
        <v>0.22392999999999999</v>
      </c>
      <c r="K1563" s="4" t="b">
        <v>1</v>
      </c>
      <c r="L1563" s="4" t="b">
        <v>0</v>
      </c>
    </row>
    <row r="1564" spans="1:12" ht="13">
      <c r="A1564" s="4" t="s">
        <v>10911</v>
      </c>
      <c r="B1564" s="4" t="s">
        <v>4951</v>
      </c>
      <c r="C1564" s="4" t="s">
        <v>108</v>
      </c>
      <c r="D1564" s="4" t="s">
        <v>4952</v>
      </c>
      <c r="E1564" s="4" t="s">
        <v>2911</v>
      </c>
      <c r="F1564" s="4" t="s">
        <v>10912</v>
      </c>
      <c r="G1564" s="4" t="s">
        <v>10913</v>
      </c>
      <c r="H1564" s="4">
        <v>2.12</v>
      </c>
      <c r="I1564" s="4">
        <v>1.1000000000000001</v>
      </c>
      <c r="J1564" s="4">
        <v>0.25128</v>
      </c>
      <c r="K1564" s="4" t="b">
        <v>1</v>
      </c>
      <c r="L1564" s="4" t="b">
        <v>0</v>
      </c>
    </row>
    <row r="1565" spans="1:12" ht="13">
      <c r="A1565" s="4" t="s">
        <v>10914</v>
      </c>
      <c r="B1565" s="4" t="s">
        <v>4951</v>
      </c>
      <c r="C1565" s="4" t="s">
        <v>108</v>
      </c>
      <c r="D1565" s="4" t="s">
        <v>4952</v>
      </c>
      <c r="E1565" s="4" t="s">
        <v>2911</v>
      </c>
      <c r="F1565" s="4" t="s">
        <v>10915</v>
      </c>
      <c r="G1565" s="4" t="s">
        <v>10916</v>
      </c>
      <c r="H1565" s="4">
        <v>2.13</v>
      </c>
      <c r="I1565" s="4">
        <v>1.0900000000000001</v>
      </c>
      <c r="J1565" s="4">
        <v>0.24353</v>
      </c>
      <c r="K1565" s="4" t="b">
        <v>1</v>
      </c>
      <c r="L1565" s="4" t="b">
        <v>0</v>
      </c>
    </row>
    <row r="1566" spans="1:12" ht="13">
      <c r="A1566" s="4" t="s">
        <v>10917</v>
      </c>
      <c r="B1566" s="4" t="s">
        <v>4951</v>
      </c>
      <c r="C1566" s="4" t="s">
        <v>108</v>
      </c>
      <c r="D1566" s="4" t="s">
        <v>4952</v>
      </c>
      <c r="E1566" s="4" t="s">
        <v>2911</v>
      </c>
      <c r="F1566" s="4" t="s">
        <v>10918</v>
      </c>
      <c r="G1566" s="4" t="s">
        <v>10919</v>
      </c>
      <c r="H1566" s="4">
        <v>2.14</v>
      </c>
      <c r="I1566" s="4">
        <v>1.07</v>
      </c>
      <c r="J1566" s="4">
        <v>0.24976999999999999</v>
      </c>
      <c r="K1566" s="4" t="b">
        <v>1</v>
      </c>
      <c r="L1566" s="4" t="b">
        <v>0</v>
      </c>
    </row>
    <row r="1567" spans="1:12" ht="13">
      <c r="A1567" s="4" t="s">
        <v>10920</v>
      </c>
      <c r="B1567" s="4" t="s">
        <v>4951</v>
      </c>
      <c r="C1567" s="4" t="s">
        <v>108</v>
      </c>
      <c r="D1567" s="4" t="s">
        <v>4952</v>
      </c>
      <c r="E1567" s="4" t="s">
        <v>2911</v>
      </c>
      <c r="F1567" s="4" t="s">
        <v>10921</v>
      </c>
      <c r="G1567" s="4" t="s">
        <v>10922</v>
      </c>
      <c r="H1567" s="4">
        <v>2.14</v>
      </c>
      <c r="I1567" s="4">
        <v>1.1499999999999999</v>
      </c>
      <c r="J1567" s="4">
        <v>0.23194000000000001</v>
      </c>
      <c r="K1567" s="4" t="b">
        <v>1</v>
      </c>
      <c r="L1567" s="4" t="b">
        <v>0</v>
      </c>
    </row>
    <row r="1568" spans="1:12" ht="13">
      <c r="A1568" s="4" t="s">
        <v>10923</v>
      </c>
      <c r="B1568" s="4" t="s">
        <v>4951</v>
      </c>
      <c r="C1568" s="4" t="s">
        <v>108</v>
      </c>
      <c r="D1568" s="4" t="s">
        <v>4952</v>
      </c>
      <c r="E1568" s="4" t="s">
        <v>2911</v>
      </c>
      <c r="F1568" s="4" t="s">
        <v>10924</v>
      </c>
      <c r="G1568" s="4" t="s">
        <v>10925</v>
      </c>
      <c r="H1568" s="4">
        <v>2.15</v>
      </c>
      <c r="I1568" s="4">
        <v>1.05</v>
      </c>
      <c r="J1568" s="4">
        <v>0.22961000000000001</v>
      </c>
      <c r="K1568" s="4" t="b">
        <v>1</v>
      </c>
      <c r="L1568" s="4" t="b">
        <v>0</v>
      </c>
    </row>
    <row r="1569" spans="1:13" ht="13">
      <c r="A1569" s="4" t="s">
        <v>10926</v>
      </c>
      <c r="B1569" s="4" t="s">
        <v>4951</v>
      </c>
      <c r="C1569" s="4" t="s">
        <v>108</v>
      </c>
      <c r="D1569" s="4" t="s">
        <v>4952</v>
      </c>
      <c r="E1569" s="4" t="s">
        <v>2911</v>
      </c>
      <c r="F1569" s="4" t="s">
        <v>10927</v>
      </c>
      <c r="G1569" s="4" t="s">
        <v>10928</v>
      </c>
      <c r="H1569" s="4">
        <v>2.16</v>
      </c>
      <c r="I1569" s="4">
        <v>1.2</v>
      </c>
      <c r="J1569" s="4">
        <v>0.22850999999999999</v>
      </c>
      <c r="K1569" s="4" t="b">
        <v>1</v>
      </c>
      <c r="L1569" s="4" t="b">
        <v>0</v>
      </c>
    </row>
    <row r="1570" spans="1:13" ht="13">
      <c r="A1570" s="4" t="s">
        <v>10929</v>
      </c>
      <c r="B1570" s="4" t="s">
        <v>4951</v>
      </c>
      <c r="C1570" s="4" t="s">
        <v>108</v>
      </c>
      <c r="D1570" s="4" t="s">
        <v>4952</v>
      </c>
      <c r="E1570" s="4" t="s">
        <v>2911</v>
      </c>
      <c r="F1570" s="4" t="s">
        <v>10930</v>
      </c>
      <c r="G1570" s="4" t="s">
        <v>10931</v>
      </c>
      <c r="H1570" s="4">
        <v>2.17</v>
      </c>
      <c r="I1570" s="4">
        <v>1.1499999999999999</v>
      </c>
      <c r="J1570" s="4">
        <v>0.24437</v>
      </c>
      <c r="K1570" s="4" t="b">
        <v>1</v>
      </c>
      <c r="L1570" s="4" t="b">
        <v>0</v>
      </c>
    </row>
    <row r="1571" spans="1:13" ht="13">
      <c r="A1571" s="4" t="s">
        <v>10932</v>
      </c>
      <c r="B1571" s="4" t="s">
        <v>4951</v>
      </c>
      <c r="C1571" s="4" t="s">
        <v>108</v>
      </c>
      <c r="D1571" s="4" t="s">
        <v>4952</v>
      </c>
      <c r="E1571" s="4" t="s">
        <v>2911</v>
      </c>
      <c r="F1571" s="4" t="s">
        <v>10933</v>
      </c>
      <c r="G1571" s="4" t="s">
        <v>10934</v>
      </c>
      <c r="H1571" s="4">
        <v>2.17</v>
      </c>
      <c r="I1571" s="4">
        <v>1.18</v>
      </c>
      <c r="J1571" s="4">
        <v>0.22833999999999999</v>
      </c>
      <c r="K1571" s="4" t="b">
        <v>1</v>
      </c>
      <c r="L1571" s="4" t="b">
        <v>0</v>
      </c>
    </row>
    <row r="1572" spans="1:13" ht="13">
      <c r="A1572" s="4" t="s">
        <v>3193</v>
      </c>
      <c r="B1572" s="4" t="s">
        <v>4951</v>
      </c>
      <c r="C1572" s="4" t="s">
        <v>108</v>
      </c>
      <c r="D1572" s="4" t="s">
        <v>4952</v>
      </c>
      <c r="E1572" s="4" t="s">
        <v>2911</v>
      </c>
      <c r="F1572" s="4" t="s">
        <v>4990</v>
      </c>
      <c r="G1572" s="4" t="s">
        <v>3089</v>
      </c>
      <c r="H1572" s="4">
        <v>2.1800000000000002</v>
      </c>
      <c r="I1572" s="4">
        <v>1.26</v>
      </c>
      <c r="J1572" s="4">
        <v>0.23136999999999999</v>
      </c>
      <c r="K1572" s="4" t="b">
        <v>1</v>
      </c>
      <c r="L1572" s="4" t="b">
        <v>1</v>
      </c>
      <c r="M1572" s="41" t="s">
        <v>4929</v>
      </c>
    </row>
    <row r="1573" spans="1:13" ht="13">
      <c r="A1573" s="4" t="s">
        <v>10935</v>
      </c>
      <c r="B1573" s="4" t="s">
        <v>4951</v>
      </c>
      <c r="C1573" s="4" t="s">
        <v>108</v>
      </c>
      <c r="D1573" s="4" t="s">
        <v>4952</v>
      </c>
      <c r="E1573" s="4" t="s">
        <v>2911</v>
      </c>
      <c r="F1573" s="4" t="s">
        <v>10936</v>
      </c>
      <c r="G1573" s="4" t="s">
        <v>10937</v>
      </c>
      <c r="H1573" s="4">
        <v>2.19</v>
      </c>
      <c r="I1573" s="4">
        <v>1.07</v>
      </c>
      <c r="J1573" s="4">
        <v>0.22961999999999999</v>
      </c>
      <c r="K1573" s="4" t="b">
        <v>1</v>
      </c>
      <c r="L1573" s="4" t="b">
        <v>0</v>
      </c>
    </row>
    <row r="1574" spans="1:13" ht="13">
      <c r="A1574" s="4" t="s">
        <v>10938</v>
      </c>
      <c r="B1574" s="4" t="s">
        <v>4951</v>
      </c>
      <c r="C1574" s="4" t="s">
        <v>108</v>
      </c>
      <c r="D1574" s="4" t="s">
        <v>4952</v>
      </c>
      <c r="E1574" s="4" t="s">
        <v>2911</v>
      </c>
      <c r="F1574" s="4" t="s">
        <v>10939</v>
      </c>
      <c r="G1574" s="4" t="s">
        <v>10940</v>
      </c>
      <c r="H1574" s="4">
        <v>2.19</v>
      </c>
      <c r="I1574" s="4">
        <v>1.1100000000000001</v>
      </c>
      <c r="J1574" s="4">
        <v>0.24665999999999999</v>
      </c>
      <c r="K1574" s="4" t="b">
        <v>1</v>
      </c>
      <c r="L1574" s="4" t="b">
        <v>0</v>
      </c>
    </row>
    <row r="1575" spans="1:13" ht="13">
      <c r="A1575" s="4" t="s">
        <v>10941</v>
      </c>
      <c r="B1575" s="4" t="s">
        <v>4951</v>
      </c>
      <c r="C1575" s="4" t="s">
        <v>108</v>
      </c>
      <c r="D1575" s="4" t="s">
        <v>4952</v>
      </c>
      <c r="E1575" s="4" t="s">
        <v>2911</v>
      </c>
      <c r="F1575" s="4" t="s">
        <v>10942</v>
      </c>
      <c r="G1575" s="4" t="s">
        <v>10943</v>
      </c>
      <c r="H1575" s="4">
        <v>2.2000000000000002</v>
      </c>
      <c r="I1575" s="4">
        <v>1.0900000000000001</v>
      </c>
      <c r="J1575" s="4">
        <v>0.22736999999999999</v>
      </c>
      <c r="K1575" s="4" t="b">
        <v>1</v>
      </c>
      <c r="L1575" s="4" t="b">
        <v>0</v>
      </c>
    </row>
    <row r="1576" spans="1:13" ht="13">
      <c r="A1576" s="4" t="s">
        <v>10947</v>
      </c>
      <c r="B1576" s="4" t="s">
        <v>4951</v>
      </c>
      <c r="C1576" s="4" t="s">
        <v>108</v>
      </c>
      <c r="D1576" s="4" t="s">
        <v>4952</v>
      </c>
      <c r="E1576" s="4" t="s">
        <v>2911</v>
      </c>
      <c r="F1576" s="4" t="s">
        <v>10948</v>
      </c>
      <c r="G1576" s="4" t="s">
        <v>10949</v>
      </c>
      <c r="H1576" s="4">
        <v>2.2000000000000002</v>
      </c>
      <c r="I1576" s="4">
        <v>1.1299999999999999</v>
      </c>
      <c r="J1576" s="4">
        <v>0.23704</v>
      </c>
      <c r="K1576" s="4" t="b">
        <v>1</v>
      </c>
      <c r="L1576" s="4" t="b">
        <v>0</v>
      </c>
    </row>
    <row r="1577" spans="1:13" ht="13">
      <c r="A1577" s="4" t="s">
        <v>10950</v>
      </c>
      <c r="B1577" s="4" t="s">
        <v>4951</v>
      </c>
      <c r="C1577" s="4" t="s">
        <v>108</v>
      </c>
      <c r="D1577" s="4" t="s">
        <v>4952</v>
      </c>
      <c r="E1577" s="4" t="s">
        <v>2911</v>
      </c>
      <c r="F1577" s="4" t="s">
        <v>10951</v>
      </c>
      <c r="G1577" s="4" t="s">
        <v>10952</v>
      </c>
      <c r="H1577" s="4">
        <v>2.21</v>
      </c>
      <c r="I1577" s="4">
        <v>1.1200000000000001</v>
      </c>
      <c r="J1577" s="4">
        <v>0.22694</v>
      </c>
      <c r="K1577" s="4" t="b">
        <v>1</v>
      </c>
      <c r="L1577" s="4" t="b">
        <v>0</v>
      </c>
    </row>
    <row r="1578" spans="1:13" ht="13">
      <c r="A1578" s="4" t="s">
        <v>10953</v>
      </c>
      <c r="B1578" s="4" t="s">
        <v>4951</v>
      </c>
      <c r="C1578" s="4" t="s">
        <v>108</v>
      </c>
      <c r="D1578" s="4" t="s">
        <v>4952</v>
      </c>
      <c r="E1578" s="4" t="s">
        <v>2911</v>
      </c>
      <c r="F1578" s="4" t="s">
        <v>10954</v>
      </c>
      <c r="G1578" s="4" t="s">
        <v>10955</v>
      </c>
      <c r="H1578" s="4">
        <v>2.2200000000000002</v>
      </c>
      <c r="I1578" s="4">
        <v>1.1599999999999999</v>
      </c>
      <c r="J1578" s="4">
        <v>0.24077999999999999</v>
      </c>
      <c r="K1578" s="4" t="b">
        <v>1</v>
      </c>
      <c r="L1578" s="4" t="b">
        <v>0</v>
      </c>
    </row>
    <row r="1579" spans="1:13" ht="13">
      <c r="A1579" s="4" t="s">
        <v>10956</v>
      </c>
      <c r="B1579" s="4" t="s">
        <v>4951</v>
      </c>
      <c r="C1579" s="4" t="s">
        <v>108</v>
      </c>
      <c r="D1579" s="4" t="s">
        <v>4952</v>
      </c>
      <c r="E1579" s="4" t="s">
        <v>2911</v>
      </c>
      <c r="F1579" s="4" t="s">
        <v>10957</v>
      </c>
      <c r="G1579" s="4" t="s">
        <v>10958</v>
      </c>
      <c r="H1579" s="4">
        <v>2.23</v>
      </c>
      <c r="I1579" s="4">
        <v>1.1200000000000001</v>
      </c>
      <c r="J1579" s="4">
        <v>0.21923000000000001</v>
      </c>
      <c r="K1579" s="4" t="b">
        <v>1</v>
      </c>
      <c r="L1579" s="4" t="b">
        <v>0</v>
      </c>
    </row>
    <row r="1580" spans="1:13" ht="13">
      <c r="A1580" s="4" t="s">
        <v>10959</v>
      </c>
      <c r="B1580" s="4" t="s">
        <v>4951</v>
      </c>
      <c r="C1580" s="4" t="s">
        <v>108</v>
      </c>
      <c r="D1580" s="4" t="s">
        <v>4952</v>
      </c>
      <c r="E1580" s="4" t="s">
        <v>2911</v>
      </c>
      <c r="F1580" s="4" t="s">
        <v>10960</v>
      </c>
      <c r="G1580" s="4" t="s">
        <v>10961</v>
      </c>
      <c r="H1580" s="4">
        <v>2.2400000000000002</v>
      </c>
      <c r="I1580" s="4">
        <v>1.04</v>
      </c>
      <c r="J1580" s="4">
        <v>0.22938</v>
      </c>
      <c r="K1580" s="4" t="b">
        <v>1</v>
      </c>
      <c r="L1580" s="4" t="b">
        <v>0</v>
      </c>
    </row>
    <row r="1581" spans="1:13" ht="13">
      <c r="A1581" s="4" t="s">
        <v>10962</v>
      </c>
      <c r="B1581" s="4" t="s">
        <v>4951</v>
      </c>
      <c r="C1581" s="4" t="s">
        <v>108</v>
      </c>
      <c r="D1581" s="4" t="s">
        <v>4952</v>
      </c>
      <c r="E1581" s="4" t="s">
        <v>2911</v>
      </c>
      <c r="F1581" s="4" t="s">
        <v>10963</v>
      </c>
      <c r="G1581" s="4" t="s">
        <v>10964</v>
      </c>
      <c r="H1581" s="4">
        <v>2.27</v>
      </c>
      <c r="I1581" s="4">
        <v>1.43</v>
      </c>
      <c r="J1581" s="4">
        <v>0.20707</v>
      </c>
      <c r="K1581" s="4" t="b">
        <v>1</v>
      </c>
      <c r="L1581" s="4" t="b">
        <v>0</v>
      </c>
    </row>
    <row r="1582" spans="1:13" ht="13">
      <c r="A1582" s="4" t="s">
        <v>3194</v>
      </c>
      <c r="B1582" s="4" t="s">
        <v>4951</v>
      </c>
      <c r="C1582" s="4" t="s">
        <v>108</v>
      </c>
      <c r="D1582" s="4" t="s">
        <v>4952</v>
      </c>
      <c r="E1582" s="4" t="s">
        <v>2911</v>
      </c>
      <c r="F1582" s="4" t="s">
        <v>4991</v>
      </c>
      <c r="G1582" s="4" t="s">
        <v>3090</v>
      </c>
      <c r="H1582" s="4">
        <v>2.27</v>
      </c>
      <c r="I1582" s="4">
        <v>1.0900000000000001</v>
      </c>
      <c r="J1582" s="4">
        <v>0.22495000000000001</v>
      </c>
      <c r="K1582" s="4" t="b">
        <v>1</v>
      </c>
      <c r="L1582" s="4" t="b">
        <v>1</v>
      </c>
      <c r="M1582" s="41" t="s">
        <v>4929</v>
      </c>
    </row>
    <row r="1583" spans="1:13" ht="13">
      <c r="A1583" s="4" t="s">
        <v>10965</v>
      </c>
      <c r="B1583" s="4" t="s">
        <v>4951</v>
      </c>
      <c r="C1583" s="4" t="s">
        <v>108</v>
      </c>
      <c r="D1583" s="4" t="s">
        <v>4952</v>
      </c>
      <c r="E1583" s="4" t="s">
        <v>2911</v>
      </c>
      <c r="F1583" s="4" t="s">
        <v>10966</v>
      </c>
      <c r="G1583" s="4" t="s">
        <v>10967</v>
      </c>
      <c r="H1583" s="4">
        <v>2.42</v>
      </c>
      <c r="I1583" s="4">
        <v>1.1599999999999999</v>
      </c>
      <c r="J1583" s="4">
        <v>0.22781000000000001</v>
      </c>
      <c r="K1583" s="4" t="b">
        <v>1</v>
      </c>
      <c r="L1583" s="4" t="b">
        <v>0</v>
      </c>
    </row>
    <row r="1584" spans="1:13" ht="13">
      <c r="A1584" s="4" t="s">
        <v>3195</v>
      </c>
      <c r="B1584" s="4" t="s">
        <v>4951</v>
      </c>
      <c r="C1584" s="4" t="s">
        <v>108</v>
      </c>
      <c r="D1584" s="4" t="s">
        <v>4952</v>
      </c>
      <c r="E1584" s="4" t="s">
        <v>2911</v>
      </c>
      <c r="F1584" s="4" t="s">
        <v>4992</v>
      </c>
      <c r="G1584" s="4" t="s">
        <v>3091</v>
      </c>
      <c r="H1584" s="4">
        <v>2.4300000000000002</v>
      </c>
      <c r="I1584" s="4">
        <v>1.19</v>
      </c>
      <c r="J1584" s="4">
        <v>0.22056000000000001</v>
      </c>
      <c r="K1584" s="4" t="b">
        <v>1</v>
      </c>
      <c r="L1584" s="4" t="b">
        <v>1</v>
      </c>
      <c r="M1584" s="41" t="s">
        <v>4929</v>
      </c>
    </row>
    <row r="1585" spans="1:14" ht="13">
      <c r="A1585" s="4" t="s">
        <v>10968</v>
      </c>
      <c r="B1585" s="4" t="s">
        <v>4951</v>
      </c>
      <c r="C1585" s="4" t="s">
        <v>108</v>
      </c>
      <c r="D1585" s="4" t="s">
        <v>4952</v>
      </c>
      <c r="E1585" s="4" t="s">
        <v>2911</v>
      </c>
      <c r="F1585" s="4" t="s">
        <v>10969</v>
      </c>
      <c r="G1585" s="4" t="s">
        <v>10970</v>
      </c>
      <c r="H1585" s="4">
        <v>2.4300000000000002</v>
      </c>
      <c r="I1585" s="4">
        <v>1.1200000000000001</v>
      </c>
      <c r="J1585" s="4">
        <v>0.23233999999999999</v>
      </c>
      <c r="K1585" s="4" t="b">
        <v>1</v>
      </c>
      <c r="L1585" s="4" t="b">
        <v>0</v>
      </c>
    </row>
    <row r="1586" spans="1:14" ht="13">
      <c r="A1586" s="4" t="s">
        <v>10971</v>
      </c>
      <c r="B1586" s="4" t="s">
        <v>4951</v>
      </c>
      <c r="C1586" s="4" t="s">
        <v>108</v>
      </c>
      <c r="D1586" s="4" t="s">
        <v>4952</v>
      </c>
      <c r="E1586" s="4" t="s">
        <v>2911</v>
      </c>
      <c r="F1586" s="4" t="s">
        <v>10972</v>
      </c>
      <c r="G1586" s="4" t="s">
        <v>10973</v>
      </c>
      <c r="H1586" s="4">
        <v>2.4500000000000002</v>
      </c>
      <c r="I1586" s="4">
        <v>1.19</v>
      </c>
      <c r="J1586" s="4">
        <v>0.22586000000000001</v>
      </c>
      <c r="K1586" s="4" t="b">
        <v>1</v>
      </c>
      <c r="L1586" s="4" t="b">
        <v>0</v>
      </c>
    </row>
    <row r="1587" spans="1:14" ht="13">
      <c r="A1587" s="4" t="s">
        <v>3196</v>
      </c>
      <c r="B1587" s="4" t="s">
        <v>4951</v>
      </c>
      <c r="C1587" s="4" t="s">
        <v>108</v>
      </c>
      <c r="D1587" s="4" t="s">
        <v>4952</v>
      </c>
      <c r="E1587" s="4" t="s">
        <v>2911</v>
      </c>
      <c r="F1587" s="4" t="s">
        <v>5132</v>
      </c>
      <c r="G1587" s="4" t="s">
        <v>3092</v>
      </c>
      <c r="H1587" s="4">
        <v>2.4700000000000002</v>
      </c>
      <c r="I1587" s="4">
        <v>1.1000000000000001</v>
      </c>
      <c r="J1587" s="4">
        <v>0.22342999999999999</v>
      </c>
      <c r="K1587" s="4" t="b">
        <v>1</v>
      </c>
      <c r="L1587" s="4" t="b">
        <v>1</v>
      </c>
      <c r="M1587" s="41" t="s">
        <v>4929</v>
      </c>
    </row>
    <row r="1588" spans="1:14" ht="13">
      <c r="A1588" s="4" t="s">
        <v>10974</v>
      </c>
      <c r="B1588" s="4" t="s">
        <v>4951</v>
      </c>
      <c r="C1588" s="4" t="s">
        <v>108</v>
      </c>
      <c r="D1588" s="4" t="s">
        <v>4952</v>
      </c>
      <c r="E1588" s="4" t="s">
        <v>23</v>
      </c>
      <c r="F1588" s="4" t="s">
        <v>10975</v>
      </c>
      <c r="G1588" s="4" t="s">
        <v>10976</v>
      </c>
      <c r="H1588" s="4">
        <v>1.23</v>
      </c>
      <c r="I1588" s="4">
        <v>1.3</v>
      </c>
      <c r="J1588" s="4">
        <v>0.23185</v>
      </c>
      <c r="K1588" s="4" t="b">
        <v>1</v>
      </c>
      <c r="L1588" s="4" t="b">
        <v>0</v>
      </c>
    </row>
    <row r="1589" spans="1:14" ht="13">
      <c r="A1589" s="4" t="s">
        <v>3197</v>
      </c>
      <c r="B1589" s="4" t="s">
        <v>4951</v>
      </c>
      <c r="C1589" s="4" t="s">
        <v>108</v>
      </c>
      <c r="D1589" s="4" t="s">
        <v>4952</v>
      </c>
      <c r="E1589" s="4" t="s">
        <v>23</v>
      </c>
      <c r="F1589" s="4" t="s">
        <v>5176</v>
      </c>
      <c r="G1589" s="4" t="s">
        <v>3093</v>
      </c>
      <c r="H1589" s="4">
        <v>1.23</v>
      </c>
      <c r="I1589" s="4">
        <v>1.0900000000000001</v>
      </c>
      <c r="J1589" s="4">
        <v>0.22478999999999999</v>
      </c>
      <c r="K1589" s="4" t="b">
        <v>1</v>
      </c>
      <c r="L1589" s="4" t="b">
        <v>1</v>
      </c>
      <c r="M1589" s="41" t="s">
        <v>4955</v>
      </c>
      <c r="N1589" s="41" t="s">
        <v>5164</v>
      </c>
    </row>
    <row r="1590" spans="1:14" ht="13">
      <c r="A1590" s="4" t="s">
        <v>10977</v>
      </c>
      <c r="B1590" s="4" t="s">
        <v>4951</v>
      </c>
      <c r="C1590" s="4" t="s">
        <v>108</v>
      </c>
      <c r="D1590" s="4" t="s">
        <v>4952</v>
      </c>
      <c r="E1590" s="4" t="s">
        <v>23</v>
      </c>
      <c r="F1590" s="4" t="s">
        <v>10978</v>
      </c>
      <c r="G1590" s="4" t="s">
        <v>10979</v>
      </c>
      <c r="H1590" s="4">
        <v>1.24</v>
      </c>
      <c r="I1590" s="4">
        <v>0.95</v>
      </c>
      <c r="J1590" s="4">
        <v>0.21154000000000001</v>
      </c>
      <c r="K1590" s="4" t="b">
        <v>1</v>
      </c>
      <c r="L1590" s="4" t="b">
        <v>0</v>
      </c>
    </row>
    <row r="1591" spans="1:14" ht="13">
      <c r="A1591" s="4" t="s">
        <v>10980</v>
      </c>
      <c r="B1591" s="4" t="s">
        <v>4951</v>
      </c>
      <c r="C1591" s="4" t="s">
        <v>108</v>
      </c>
      <c r="D1591" s="4" t="s">
        <v>4952</v>
      </c>
      <c r="E1591" s="4" t="s">
        <v>23</v>
      </c>
      <c r="F1591" s="4" t="s">
        <v>10981</v>
      </c>
      <c r="G1591" s="4" t="s">
        <v>10982</v>
      </c>
      <c r="H1591" s="4">
        <v>1.25</v>
      </c>
      <c r="I1591" s="4">
        <v>1.07</v>
      </c>
      <c r="J1591" s="4">
        <v>0.22004000000000001</v>
      </c>
      <c r="K1591" s="4" t="b">
        <v>1</v>
      </c>
      <c r="L1591" s="4" t="b">
        <v>0</v>
      </c>
    </row>
    <row r="1592" spans="1:14" ht="13">
      <c r="A1592" s="4" t="s">
        <v>10983</v>
      </c>
      <c r="B1592" s="4" t="s">
        <v>4951</v>
      </c>
      <c r="C1592" s="4" t="s">
        <v>108</v>
      </c>
      <c r="D1592" s="4" t="s">
        <v>4952</v>
      </c>
      <c r="E1592" s="4" t="s">
        <v>23</v>
      </c>
      <c r="F1592" s="4" t="s">
        <v>10984</v>
      </c>
      <c r="G1592" s="4" t="s">
        <v>10985</v>
      </c>
      <c r="H1592" s="4">
        <v>1.26</v>
      </c>
      <c r="I1592" s="4">
        <v>1.08</v>
      </c>
      <c r="J1592" s="4">
        <v>0.22763</v>
      </c>
      <c r="K1592" s="4" t="b">
        <v>1</v>
      </c>
      <c r="L1592" s="4" t="b">
        <v>0</v>
      </c>
    </row>
    <row r="1593" spans="1:14" ht="13">
      <c r="A1593" s="4" t="s">
        <v>5198</v>
      </c>
      <c r="B1593" s="4" t="s">
        <v>4951</v>
      </c>
      <c r="C1593" s="4" t="s">
        <v>108</v>
      </c>
      <c r="D1593" s="4" t="s">
        <v>4952</v>
      </c>
      <c r="E1593" s="4" t="s">
        <v>23</v>
      </c>
      <c r="F1593" s="4" t="s">
        <v>5199</v>
      </c>
      <c r="G1593" s="4" t="s">
        <v>5200</v>
      </c>
      <c r="H1593" s="4">
        <v>1.26</v>
      </c>
      <c r="I1593" s="4">
        <v>1.01</v>
      </c>
      <c r="J1593" s="4">
        <v>0.22216</v>
      </c>
      <c r="K1593" s="4" t="b">
        <v>1</v>
      </c>
      <c r="L1593" s="4" t="b">
        <v>0</v>
      </c>
    </row>
    <row r="1594" spans="1:14" ht="13">
      <c r="A1594" s="4" t="s">
        <v>10986</v>
      </c>
      <c r="B1594" s="4" t="s">
        <v>4951</v>
      </c>
      <c r="C1594" s="4" t="s">
        <v>108</v>
      </c>
      <c r="D1594" s="4" t="s">
        <v>4952</v>
      </c>
      <c r="E1594" s="4" t="s">
        <v>23</v>
      </c>
      <c r="F1594" s="4" t="s">
        <v>10987</v>
      </c>
      <c r="G1594" s="4" t="s">
        <v>10988</v>
      </c>
      <c r="H1594" s="4">
        <v>1.27</v>
      </c>
      <c r="I1594" s="4">
        <v>1.0900000000000001</v>
      </c>
      <c r="J1594" s="4">
        <v>0.22397</v>
      </c>
      <c r="K1594" s="4" t="b">
        <v>1</v>
      </c>
      <c r="L1594" s="4" t="b">
        <v>0</v>
      </c>
    </row>
    <row r="1595" spans="1:14" ht="13">
      <c r="A1595" s="4" t="s">
        <v>10989</v>
      </c>
      <c r="B1595" s="4" t="s">
        <v>4951</v>
      </c>
      <c r="C1595" s="4" t="s">
        <v>108</v>
      </c>
      <c r="D1595" s="4" t="s">
        <v>4952</v>
      </c>
      <c r="E1595" s="4" t="s">
        <v>23</v>
      </c>
      <c r="F1595" s="4" t="s">
        <v>10990</v>
      </c>
      <c r="G1595" s="4" t="s">
        <v>10991</v>
      </c>
      <c r="H1595" s="4">
        <v>1.28</v>
      </c>
      <c r="I1595" s="4">
        <v>1.0900000000000001</v>
      </c>
      <c r="J1595" s="4">
        <v>0.23587</v>
      </c>
      <c r="K1595" s="4" t="b">
        <v>1</v>
      </c>
      <c r="L1595" s="4" t="b">
        <v>0</v>
      </c>
    </row>
    <row r="1596" spans="1:14" ht="13">
      <c r="A1596" s="4" t="s">
        <v>10992</v>
      </c>
      <c r="B1596" s="4" t="s">
        <v>4951</v>
      </c>
      <c r="C1596" s="4" t="s">
        <v>108</v>
      </c>
      <c r="D1596" s="4" t="s">
        <v>4952</v>
      </c>
      <c r="E1596" s="4" t="s">
        <v>23</v>
      </c>
      <c r="F1596" s="4" t="s">
        <v>10993</v>
      </c>
      <c r="G1596" s="4" t="s">
        <v>10994</v>
      </c>
      <c r="H1596" s="4">
        <v>1.28</v>
      </c>
      <c r="I1596" s="4">
        <v>1.01</v>
      </c>
      <c r="J1596" s="4">
        <v>0.21340999999999999</v>
      </c>
      <c r="K1596" s="4" t="b">
        <v>1</v>
      </c>
      <c r="L1596" s="4" t="b">
        <v>0</v>
      </c>
    </row>
    <row r="1597" spans="1:14" ht="13">
      <c r="A1597" s="4" t="s">
        <v>3198</v>
      </c>
      <c r="B1597" s="4" t="s">
        <v>4951</v>
      </c>
      <c r="C1597" s="4" t="s">
        <v>108</v>
      </c>
      <c r="D1597" s="4" t="s">
        <v>4952</v>
      </c>
      <c r="E1597" s="4" t="s">
        <v>23</v>
      </c>
      <c r="F1597" s="4" t="s">
        <v>5159</v>
      </c>
      <c r="G1597" s="4" t="s">
        <v>3094</v>
      </c>
      <c r="H1597" s="4">
        <v>1.29</v>
      </c>
      <c r="I1597" s="4">
        <v>1.02</v>
      </c>
      <c r="J1597" s="4">
        <v>0.23197999999999999</v>
      </c>
      <c r="K1597" s="4" t="b">
        <v>1</v>
      </c>
      <c r="L1597" s="4" t="b">
        <v>1</v>
      </c>
      <c r="M1597" s="41" t="s">
        <v>4955</v>
      </c>
    </row>
    <row r="1598" spans="1:14" ht="13">
      <c r="A1598" s="4" t="s">
        <v>10995</v>
      </c>
      <c r="B1598" s="4" t="s">
        <v>4951</v>
      </c>
      <c r="C1598" s="4" t="s">
        <v>108</v>
      </c>
      <c r="D1598" s="4" t="s">
        <v>4952</v>
      </c>
      <c r="E1598" s="4" t="s">
        <v>23</v>
      </c>
      <c r="F1598" s="4" t="s">
        <v>10996</v>
      </c>
      <c r="G1598" s="4" t="s">
        <v>10997</v>
      </c>
      <c r="H1598" s="4">
        <v>1.3</v>
      </c>
      <c r="I1598" s="4">
        <v>1.1000000000000001</v>
      </c>
      <c r="J1598" s="4">
        <v>0.23058000000000001</v>
      </c>
      <c r="K1598" s="4" t="b">
        <v>1</v>
      </c>
      <c r="L1598" s="4" t="b">
        <v>0</v>
      </c>
    </row>
    <row r="1599" spans="1:14" ht="13">
      <c r="A1599" s="4" t="s">
        <v>10998</v>
      </c>
      <c r="B1599" s="4" t="s">
        <v>4951</v>
      </c>
      <c r="C1599" s="4" t="s">
        <v>108</v>
      </c>
      <c r="D1599" s="4" t="s">
        <v>4952</v>
      </c>
      <c r="E1599" s="4" t="s">
        <v>23</v>
      </c>
      <c r="F1599" s="4" t="s">
        <v>10999</v>
      </c>
      <c r="G1599" s="4" t="s">
        <v>11000</v>
      </c>
      <c r="H1599" s="4">
        <v>1.31</v>
      </c>
      <c r="I1599" s="4">
        <v>1.1299999999999999</v>
      </c>
      <c r="J1599" s="4">
        <v>0.23104</v>
      </c>
      <c r="K1599" s="4" t="b">
        <v>1</v>
      </c>
      <c r="L1599" s="4" t="b">
        <v>0</v>
      </c>
    </row>
    <row r="1600" spans="1:14" ht="13">
      <c r="A1600" s="4" t="s">
        <v>11001</v>
      </c>
      <c r="B1600" s="4" t="s">
        <v>4951</v>
      </c>
      <c r="C1600" s="4" t="s">
        <v>108</v>
      </c>
      <c r="D1600" s="4" t="s">
        <v>4952</v>
      </c>
      <c r="E1600" s="4" t="s">
        <v>23</v>
      </c>
      <c r="F1600" s="4" t="s">
        <v>11002</v>
      </c>
      <c r="G1600" s="4" t="s">
        <v>11003</v>
      </c>
      <c r="H1600" s="4">
        <v>1.31</v>
      </c>
      <c r="I1600" s="4">
        <v>1.22</v>
      </c>
      <c r="J1600" s="4">
        <v>0.24026</v>
      </c>
      <c r="K1600" s="4" t="b">
        <v>1</v>
      </c>
      <c r="L1600" s="4" t="b">
        <v>0</v>
      </c>
    </row>
    <row r="1601" spans="1:13" ht="13">
      <c r="A1601" s="4" t="s">
        <v>11004</v>
      </c>
      <c r="B1601" s="4" t="s">
        <v>4951</v>
      </c>
      <c r="C1601" s="4" t="s">
        <v>108</v>
      </c>
      <c r="D1601" s="4" t="s">
        <v>4952</v>
      </c>
      <c r="E1601" s="4" t="s">
        <v>23</v>
      </c>
      <c r="F1601" s="4" t="s">
        <v>11005</v>
      </c>
      <c r="G1601" s="4" t="s">
        <v>11006</v>
      </c>
      <c r="H1601" s="4">
        <v>1.32</v>
      </c>
      <c r="I1601" s="4">
        <v>1.24</v>
      </c>
      <c r="J1601" s="4">
        <v>0.24440000000000001</v>
      </c>
      <c r="K1601" s="4" t="b">
        <v>1</v>
      </c>
      <c r="L1601" s="4" t="b">
        <v>0</v>
      </c>
    </row>
    <row r="1602" spans="1:13" ht="13">
      <c r="A1602" s="4" t="s">
        <v>3199</v>
      </c>
      <c r="B1602" s="4" t="s">
        <v>4951</v>
      </c>
      <c r="C1602" s="4" t="s">
        <v>108</v>
      </c>
      <c r="D1602" s="4" t="s">
        <v>4952</v>
      </c>
      <c r="E1602" s="4" t="s">
        <v>23</v>
      </c>
      <c r="F1602" s="4" t="s">
        <v>4993</v>
      </c>
      <c r="G1602" s="4" t="s">
        <v>3095</v>
      </c>
      <c r="H1602" s="4">
        <v>1.32</v>
      </c>
      <c r="I1602" s="4">
        <v>1.01</v>
      </c>
      <c r="J1602" s="4">
        <v>0.21329000000000001</v>
      </c>
      <c r="K1602" s="4" t="b">
        <v>1</v>
      </c>
      <c r="L1602" s="4" t="b">
        <v>1</v>
      </c>
      <c r="M1602" s="41" t="s">
        <v>4929</v>
      </c>
    </row>
    <row r="1603" spans="1:13" ht="13">
      <c r="A1603" s="4" t="s">
        <v>11007</v>
      </c>
      <c r="B1603" s="4" t="s">
        <v>4951</v>
      </c>
      <c r="C1603" s="4" t="s">
        <v>108</v>
      </c>
      <c r="D1603" s="4" t="s">
        <v>4952</v>
      </c>
      <c r="E1603" s="4" t="s">
        <v>23</v>
      </c>
      <c r="F1603" s="4" t="s">
        <v>11008</v>
      </c>
      <c r="G1603" s="4" t="s">
        <v>11009</v>
      </c>
      <c r="H1603" s="4">
        <v>1.33</v>
      </c>
      <c r="I1603" s="4">
        <v>1.2</v>
      </c>
      <c r="J1603" s="4">
        <v>0.26064999999999999</v>
      </c>
      <c r="K1603" s="4" t="b">
        <v>1</v>
      </c>
      <c r="L1603" s="4" t="b">
        <v>0</v>
      </c>
    </row>
    <row r="1604" spans="1:13" ht="13">
      <c r="A1604" s="4" t="s">
        <v>11010</v>
      </c>
      <c r="B1604" s="4" t="s">
        <v>4951</v>
      </c>
      <c r="C1604" s="4" t="s">
        <v>108</v>
      </c>
      <c r="D1604" s="4" t="s">
        <v>4952</v>
      </c>
      <c r="E1604" s="4" t="s">
        <v>23</v>
      </c>
      <c r="F1604" s="4" t="s">
        <v>11011</v>
      </c>
      <c r="G1604" s="4" t="s">
        <v>11012</v>
      </c>
      <c r="H1604" s="4">
        <v>1.33</v>
      </c>
      <c r="I1604" s="4">
        <v>1.21</v>
      </c>
      <c r="J1604" s="4">
        <v>0.22616</v>
      </c>
      <c r="K1604" s="4" t="b">
        <v>1</v>
      </c>
      <c r="L1604" s="4" t="b">
        <v>0</v>
      </c>
    </row>
    <row r="1605" spans="1:13" ht="13">
      <c r="A1605" s="4" t="s">
        <v>11013</v>
      </c>
      <c r="B1605" s="4" t="s">
        <v>4951</v>
      </c>
      <c r="C1605" s="4" t="s">
        <v>108</v>
      </c>
      <c r="D1605" s="4" t="s">
        <v>4952</v>
      </c>
      <c r="E1605" s="4" t="s">
        <v>23</v>
      </c>
      <c r="F1605" s="4" t="s">
        <v>11014</v>
      </c>
      <c r="G1605" s="4" t="s">
        <v>11015</v>
      </c>
      <c r="H1605" s="4">
        <v>1.34</v>
      </c>
      <c r="I1605" s="4">
        <v>1.07</v>
      </c>
      <c r="J1605" s="4">
        <v>0.22523000000000001</v>
      </c>
      <c r="K1605" s="4" t="b">
        <v>1</v>
      </c>
      <c r="L1605" s="4" t="b">
        <v>0</v>
      </c>
    </row>
    <row r="1606" spans="1:13" ht="13">
      <c r="A1606" s="4" t="s">
        <v>11016</v>
      </c>
      <c r="B1606" s="4" t="s">
        <v>4951</v>
      </c>
      <c r="C1606" s="4" t="s">
        <v>108</v>
      </c>
      <c r="D1606" s="4" t="s">
        <v>4952</v>
      </c>
      <c r="E1606" s="4" t="s">
        <v>23</v>
      </c>
      <c r="F1606" s="4" t="s">
        <v>11017</v>
      </c>
      <c r="G1606" s="4" t="s">
        <v>11018</v>
      </c>
      <c r="H1606" s="4">
        <v>1.34</v>
      </c>
      <c r="I1606" s="4">
        <v>1.1100000000000001</v>
      </c>
      <c r="J1606" s="4">
        <v>0.22334000000000001</v>
      </c>
      <c r="K1606" s="4" t="b">
        <v>1</v>
      </c>
      <c r="L1606" s="4" t="b">
        <v>0</v>
      </c>
    </row>
    <row r="1607" spans="1:13" ht="13">
      <c r="A1607" s="4" t="s">
        <v>11019</v>
      </c>
      <c r="B1607" s="4" t="s">
        <v>4951</v>
      </c>
      <c r="C1607" s="4" t="s">
        <v>108</v>
      </c>
      <c r="D1607" s="4" t="s">
        <v>4952</v>
      </c>
      <c r="E1607" s="4" t="s">
        <v>23</v>
      </c>
      <c r="F1607" s="4" t="s">
        <v>11020</v>
      </c>
      <c r="G1607" s="4" t="s">
        <v>11021</v>
      </c>
      <c r="H1607" s="4">
        <v>1.35</v>
      </c>
      <c r="I1607" s="4">
        <v>1.18</v>
      </c>
      <c r="J1607" s="4">
        <v>0.24592</v>
      </c>
      <c r="K1607" s="4" t="b">
        <v>1</v>
      </c>
      <c r="L1607" s="4" t="b">
        <v>0</v>
      </c>
    </row>
    <row r="1608" spans="1:13" ht="13">
      <c r="A1608" s="4" t="s">
        <v>11022</v>
      </c>
      <c r="B1608" s="4" t="s">
        <v>4951</v>
      </c>
      <c r="C1608" s="4" t="s">
        <v>108</v>
      </c>
      <c r="D1608" s="4" t="s">
        <v>4952</v>
      </c>
      <c r="E1608" s="4" t="s">
        <v>23</v>
      </c>
      <c r="F1608" s="4" t="s">
        <v>11023</v>
      </c>
      <c r="G1608" s="4" t="s">
        <v>11024</v>
      </c>
      <c r="H1608" s="4">
        <v>1.35</v>
      </c>
      <c r="I1608" s="4">
        <v>1.1200000000000001</v>
      </c>
      <c r="J1608" s="4">
        <v>0.25714999999999999</v>
      </c>
      <c r="K1608" s="4" t="b">
        <v>1</v>
      </c>
      <c r="L1608" s="4" t="b">
        <v>0</v>
      </c>
    </row>
    <row r="1609" spans="1:13" ht="13">
      <c r="A1609" s="4" t="s">
        <v>11025</v>
      </c>
      <c r="B1609" s="4" t="s">
        <v>4951</v>
      </c>
      <c r="C1609" s="4" t="s">
        <v>108</v>
      </c>
      <c r="D1609" s="4" t="s">
        <v>4952</v>
      </c>
      <c r="E1609" s="4" t="s">
        <v>23</v>
      </c>
      <c r="F1609" s="4" t="s">
        <v>11026</v>
      </c>
      <c r="G1609" s="4" t="s">
        <v>11027</v>
      </c>
      <c r="H1609" s="4">
        <v>1.36</v>
      </c>
      <c r="I1609" s="4">
        <v>1.03</v>
      </c>
      <c r="J1609" s="4">
        <v>0.21853</v>
      </c>
      <c r="K1609" s="4" t="b">
        <v>1</v>
      </c>
      <c r="L1609" s="4" t="b">
        <v>0</v>
      </c>
    </row>
    <row r="1610" spans="1:13" ht="13">
      <c r="A1610" s="4" t="s">
        <v>11028</v>
      </c>
      <c r="B1610" s="4" t="s">
        <v>4951</v>
      </c>
      <c r="C1610" s="4" t="s">
        <v>108</v>
      </c>
      <c r="D1610" s="4" t="s">
        <v>4952</v>
      </c>
      <c r="E1610" s="4" t="s">
        <v>23</v>
      </c>
      <c r="F1610" s="4" t="s">
        <v>11029</v>
      </c>
      <c r="G1610" s="4" t="s">
        <v>11030</v>
      </c>
      <c r="H1610" s="4">
        <v>1.36</v>
      </c>
      <c r="I1610" s="4">
        <v>1.06</v>
      </c>
      <c r="J1610" s="4">
        <v>0.23713000000000001</v>
      </c>
      <c r="K1610" s="4" t="b">
        <v>1</v>
      </c>
      <c r="L1610" s="4" t="b">
        <v>0</v>
      </c>
    </row>
    <row r="1611" spans="1:13" ht="13">
      <c r="A1611" s="4" t="s">
        <v>11031</v>
      </c>
      <c r="B1611" s="4" t="s">
        <v>4951</v>
      </c>
      <c r="C1611" s="4" t="s">
        <v>108</v>
      </c>
      <c r="D1611" s="4" t="s">
        <v>4952</v>
      </c>
      <c r="E1611" s="4" t="s">
        <v>23</v>
      </c>
      <c r="F1611" s="4" t="s">
        <v>11032</v>
      </c>
      <c r="G1611" s="4" t="s">
        <v>11033</v>
      </c>
      <c r="H1611" s="4">
        <v>1.36</v>
      </c>
      <c r="I1611" s="4">
        <v>1.1100000000000001</v>
      </c>
      <c r="J1611" s="4">
        <v>0.24110999999999999</v>
      </c>
      <c r="K1611" s="4" t="b">
        <v>1</v>
      </c>
      <c r="L1611" s="4" t="b">
        <v>0</v>
      </c>
    </row>
    <row r="1612" spans="1:13" ht="13">
      <c r="A1612" s="4" t="s">
        <v>11034</v>
      </c>
      <c r="B1612" s="4" t="s">
        <v>4951</v>
      </c>
      <c r="C1612" s="4" t="s">
        <v>108</v>
      </c>
      <c r="D1612" s="4" t="s">
        <v>4952</v>
      </c>
      <c r="E1612" s="4" t="s">
        <v>23</v>
      </c>
      <c r="F1612" s="4" t="s">
        <v>11035</v>
      </c>
      <c r="G1612" s="4" t="s">
        <v>11036</v>
      </c>
      <c r="H1612" s="4">
        <v>1.37</v>
      </c>
      <c r="I1612" s="4">
        <v>1.1000000000000001</v>
      </c>
      <c r="J1612" s="4">
        <v>0.24062</v>
      </c>
      <c r="K1612" s="4" t="b">
        <v>1</v>
      </c>
      <c r="L1612" s="4" t="b">
        <v>0</v>
      </c>
    </row>
    <row r="1613" spans="1:13" ht="13">
      <c r="A1613" s="4" t="s">
        <v>11037</v>
      </c>
      <c r="B1613" s="4" t="s">
        <v>4951</v>
      </c>
      <c r="C1613" s="4" t="s">
        <v>108</v>
      </c>
      <c r="D1613" s="4" t="s">
        <v>4952</v>
      </c>
      <c r="E1613" s="4" t="s">
        <v>23</v>
      </c>
      <c r="F1613" s="4" t="s">
        <v>11038</v>
      </c>
      <c r="G1613" s="4" t="s">
        <v>11039</v>
      </c>
      <c r="H1613" s="4">
        <v>1.39</v>
      </c>
      <c r="I1613" s="4">
        <v>1.0900000000000001</v>
      </c>
      <c r="J1613" s="4">
        <v>0.24721000000000001</v>
      </c>
      <c r="K1613" s="4" t="b">
        <v>1</v>
      </c>
      <c r="L1613" s="4" t="b">
        <v>0</v>
      </c>
    </row>
    <row r="1614" spans="1:13" ht="13">
      <c r="A1614" s="4" t="s">
        <v>11040</v>
      </c>
      <c r="B1614" s="4" t="s">
        <v>4951</v>
      </c>
      <c r="C1614" s="4" t="s">
        <v>108</v>
      </c>
      <c r="D1614" s="4" t="s">
        <v>4952</v>
      </c>
      <c r="E1614" s="4" t="s">
        <v>23</v>
      </c>
      <c r="F1614" s="4" t="s">
        <v>11041</v>
      </c>
      <c r="G1614" s="4" t="s">
        <v>11042</v>
      </c>
      <c r="H1614" s="4">
        <v>1.39</v>
      </c>
      <c r="I1614" s="4">
        <v>1.06</v>
      </c>
      <c r="J1614" s="4">
        <v>0.22051000000000001</v>
      </c>
      <c r="K1614" s="4" t="b">
        <v>1</v>
      </c>
      <c r="L1614" s="4" t="b">
        <v>0</v>
      </c>
    </row>
    <row r="1615" spans="1:13" ht="13">
      <c r="A1615" s="4" t="s">
        <v>11043</v>
      </c>
      <c r="B1615" s="4" t="s">
        <v>4951</v>
      </c>
      <c r="C1615" s="4" t="s">
        <v>108</v>
      </c>
      <c r="D1615" s="4" t="s">
        <v>4952</v>
      </c>
      <c r="E1615" s="4" t="s">
        <v>23</v>
      </c>
      <c r="F1615" s="4" t="s">
        <v>11044</v>
      </c>
      <c r="G1615" s="4" t="s">
        <v>11045</v>
      </c>
      <c r="H1615" s="4">
        <v>1.4</v>
      </c>
      <c r="I1615" s="4">
        <v>1.1399999999999999</v>
      </c>
      <c r="J1615" s="4">
        <v>0.22753999999999999</v>
      </c>
      <c r="K1615" s="4" t="b">
        <v>1</v>
      </c>
      <c r="L1615" s="4" t="b">
        <v>0</v>
      </c>
    </row>
    <row r="1616" spans="1:13" ht="13">
      <c r="A1616" s="4" t="s">
        <v>11046</v>
      </c>
      <c r="B1616" s="4" t="s">
        <v>4951</v>
      </c>
      <c r="C1616" s="4" t="s">
        <v>108</v>
      </c>
      <c r="D1616" s="4" t="s">
        <v>4952</v>
      </c>
      <c r="E1616" s="4" t="s">
        <v>23</v>
      </c>
      <c r="F1616" s="4" t="s">
        <v>11047</v>
      </c>
      <c r="G1616" s="4" t="s">
        <v>11048</v>
      </c>
      <c r="H1616" s="4">
        <v>1.41</v>
      </c>
      <c r="I1616" s="4">
        <v>1.06</v>
      </c>
      <c r="J1616" s="4">
        <v>0.24351999999999999</v>
      </c>
      <c r="K1616" s="4" t="b">
        <v>1</v>
      </c>
      <c r="L1616" s="4" t="b">
        <v>0</v>
      </c>
    </row>
    <row r="1617" spans="1:14" ht="13">
      <c r="A1617" s="4" t="s">
        <v>11049</v>
      </c>
      <c r="B1617" s="4" t="s">
        <v>4951</v>
      </c>
      <c r="C1617" s="4" t="s">
        <v>108</v>
      </c>
      <c r="D1617" s="4" t="s">
        <v>4952</v>
      </c>
      <c r="E1617" s="4" t="s">
        <v>23</v>
      </c>
      <c r="F1617" s="4" t="s">
        <v>11050</v>
      </c>
      <c r="G1617" s="4" t="s">
        <v>11051</v>
      </c>
      <c r="H1617" s="4">
        <v>1.41</v>
      </c>
      <c r="I1617" s="4">
        <v>1.01</v>
      </c>
      <c r="J1617" s="4">
        <v>0.21723000000000001</v>
      </c>
      <c r="K1617" s="4" t="b">
        <v>1</v>
      </c>
      <c r="L1617" s="4" t="b">
        <v>0</v>
      </c>
    </row>
    <row r="1618" spans="1:14" ht="13">
      <c r="A1618" s="4" t="s">
        <v>11052</v>
      </c>
      <c r="B1618" s="4" t="s">
        <v>4951</v>
      </c>
      <c r="C1618" s="4" t="s">
        <v>108</v>
      </c>
      <c r="D1618" s="4" t="s">
        <v>4952</v>
      </c>
      <c r="E1618" s="4" t="s">
        <v>23</v>
      </c>
      <c r="F1618" s="4" t="s">
        <v>11053</v>
      </c>
      <c r="G1618" s="4" t="s">
        <v>11054</v>
      </c>
      <c r="H1618" s="4">
        <v>1.42</v>
      </c>
      <c r="I1618" s="4">
        <v>1.05</v>
      </c>
      <c r="J1618" s="4">
        <v>0.22031999999999999</v>
      </c>
      <c r="K1618" s="4" t="b">
        <v>1</v>
      </c>
      <c r="L1618" s="4" t="b">
        <v>0</v>
      </c>
    </row>
    <row r="1619" spans="1:14" ht="13">
      <c r="A1619" s="4" t="s">
        <v>11055</v>
      </c>
      <c r="B1619" s="4" t="s">
        <v>4951</v>
      </c>
      <c r="C1619" s="4" t="s">
        <v>108</v>
      </c>
      <c r="D1619" s="4" t="s">
        <v>4952</v>
      </c>
      <c r="E1619" s="4" t="s">
        <v>23</v>
      </c>
      <c r="F1619" s="4" t="s">
        <v>11056</v>
      </c>
      <c r="G1619" s="4" t="s">
        <v>11057</v>
      </c>
      <c r="H1619" s="4">
        <v>1.43</v>
      </c>
      <c r="I1619" s="4">
        <v>0.97</v>
      </c>
      <c r="J1619" s="4">
        <v>0.21732000000000001</v>
      </c>
      <c r="K1619" s="4" t="b">
        <v>1</v>
      </c>
      <c r="L1619" s="4" t="b">
        <v>0</v>
      </c>
    </row>
    <row r="1620" spans="1:14" ht="13">
      <c r="A1620" s="4" t="s">
        <v>11058</v>
      </c>
      <c r="B1620" s="4" t="s">
        <v>4951</v>
      </c>
      <c r="C1620" s="4" t="s">
        <v>108</v>
      </c>
      <c r="D1620" s="4" t="s">
        <v>4952</v>
      </c>
      <c r="E1620" s="4" t="s">
        <v>23</v>
      </c>
      <c r="F1620" s="4" t="s">
        <v>11059</v>
      </c>
      <c r="G1620" s="4" t="s">
        <v>11060</v>
      </c>
      <c r="H1620" s="4">
        <v>1.44</v>
      </c>
      <c r="I1620" s="4">
        <v>1.1299999999999999</v>
      </c>
      <c r="J1620" s="4">
        <v>0.24901999999999999</v>
      </c>
      <c r="K1620" s="4" t="b">
        <v>1</v>
      </c>
      <c r="L1620" s="4" t="b">
        <v>0</v>
      </c>
    </row>
    <row r="1621" spans="1:14" ht="13">
      <c r="A1621" s="4" t="s">
        <v>11061</v>
      </c>
      <c r="B1621" s="4" t="s">
        <v>4951</v>
      </c>
      <c r="C1621" s="4" t="s">
        <v>108</v>
      </c>
      <c r="D1621" s="4" t="s">
        <v>4952</v>
      </c>
      <c r="E1621" s="4" t="s">
        <v>23</v>
      </c>
      <c r="F1621" s="4" t="s">
        <v>11062</v>
      </c>
      <c r="G1621" s="4" t="s">
        <v>11063</v>
      </c>
      <c r="H1621" s="4">
        <v>1.45</v>
      </c>
      <c r="I1621" s="4">
        <v>1.1499999999999999</v>
      </c>
      <c r="J1621" s="4">
        <v>0.23855000000000001</v>
      </c>
      <c r="K1621" s="4" t="b">
        <v>1</v>
      </c>
      <c r="L1621" s="4" t="b">
        <v>0</v>
      </c>
    </row>
    <row r="1622" spans="1:14" ht="13">
      <c r="A1622" s="4" t="s">
        <v>11064</v>
      </c>
      <c r="B1622" s="4" t="s">
        <v>4951</v>
      </c>
      <c r="C1622" s="4" t="s">
        <v>108</v>
      </c>
      <c r="D1622" s="4" t="s">
        <v>4952</v>
      </c>
      <c r="E1622" s="4" t="s">
        <v>23</v>
      </c>
      <c r="F1622" s="4" t="s">
        <v>11065</v>
      </c>
      <c r="G1622" s="4" t="s">
        <v>11066</v>
      </c>
      <c r="H1622" s="4">
        <v>1.47</v>
      </c>
      <c r="I1622" s="4">
        <v>1.04</v>
      </c>
      <c r="J1622" s="4">
        <v>0.22639000000000001</v>
      </c>
      <c r="K1622" s="4" t="b">
        <v>1</v>
      </c>
      <c r="L1622" s="4" t="b">
        <v>0</v>
      </c>
    </row>
    <row r="1623" spans="1:14" ht="13">
      <c r="A1623" s="4" t="s">
        <v>11067</v>
      </c>
      <c r="B1623" s="4" t="s">
        <v>4951</v>
      </c>
      <c r="C1623" s="4" t="s">
        <v>108</v>
      </c>
      <c r="D1623" s="4" t="s">
        <v>4952</v>
      </c>
      <c r="E1623" s="4" t="s">
        <v>23</v>
      </c>
      <c r="F1623" s="4" t="s">
        <v>11068</v>
      </c>
      <c r="G1623" s="4" t="s">
        <v>11069</v>
      </c>
      <c r="H1623" s="4">
        <v>1.47</v>
      </c>
      <c r="I1623" s="4">
        <v>1.1200000000000001</v>
      </c>
      <c r="J1623" s="4">
        <v>0.25064999999999998</v>
      </c>
      <c r="K1623" s="4" t="b">
        <v>1</v>
      </c>
      <c r="L1623" s="4" t="b">
        <v>0</v>
      </c>
    </row>
    <row r="1624" spans="1:14" ht="13">
      <c r="A1624" s="4" t="s">
        <v>11070</v>
      </c>
      <c r="B1624" s="4" t="s">
        <v>4951</v>
      </c>
      <c r="C1624" s="4" t="s">
        <v>108</v>
      </c>
      <c r="D1624" s="4" t="s">
        <v>4952</v>
      </c>
      <c r="E1624" s="4" t="s">
        <v>23</v>
      </c>
      <c r="F1624" s="4" t="s">
        <v>11071</v>
      </c>
      <c r="G1624" s="4" t="s">
        <v>11072</v>
      </c>
      <c r="H1624" s="4">
        <v>1.48</v>
      </c>
      <c r="I1624" s="4">
        <v>1.05</v>
      </c>
      <c r="J1624" s="4">
        <v>0.22633</v>
      </c>
      <c r="K1624" s="4" t="b">
        <v>1</v>
      </c>
      <c r="L1624" s="4" t="b">
        <v>0</v>
      </c>
    </row>
    <row r="1625" spans="1:14" ht="13">
      <c r="A1625" s="4" t="s">
        <v>11073</v>
      </c>
      <c r="B1625" s="4" t="s">
        <v>4951</v>
      </c>
      <c r="C1625" s="4" t="s">
        <v>108</v>
      </c>
      <c r="D1625" s="4" t="s">
        <v>4952</v>
      </c>
      <c r="E1625" s="4" t="s">
        <v>23</v>
      </c>
      <c r="F1625" s="4" t="s">
        <v>11074</v>
      </c>
      <c r="G1625" s="4" t="s">
        <v>11075</v>
      </c>
      <c r="H1625" s="4">
        <v>1.49</v>
      </c>
      <c r="I1625" s="4">
        <v>1.05</v>
      </c>
      <c r="J1625" s="4">
        <v>0.22791</v>
      </c>
      <c r="K1625" s="4" t="b">
        <v>1</v>
      </c>
      <c r="L1625" s="4" t="b">
        <v>0</v>
      </c>
    </row>
    <row r="1626" spans="1:14" ht="13">
      <c r="A1626" s="4" t="s">
        <v>3200</v>
      </c>
      <c r="B1626" s="4" t="s">
        <v>4951</v>
      </c>
      <c r="C1626" s="4" t="s">
        <v>108</v>
      </c>
      <c r="D1626" s="4" t="s">
        <v>4952</v>
      </c>
      <c r="E1626" s="4" t="s">
        <v>23</v>
      </c>
      <c r="F1626" s="4" t="s">
        <v>4994</v>
      </c>
      <c r="G1626" s="4" t="s">
        <v>3096</v>
      </c>
      <c r="H1626" s="4">
        <v>1.5</v>
      </c>
      <c r="I1626" s="4">
        <v>1.05</v>
      </c>
      <c r="J1626" s="4">
        <v>0.21798999999999999</v>
      </c>
      <c r="K1626" s="4" t="b">
        <v>1</v>
      </c>
      <c r="L1626" s="4" t="b">
        <v>1</v>
      </c>
      <c r="M1626" s="41" t="s">
        <v>4929</v>
      </c>
      <c r="N1626" s="41" t="s">
        <v>4995</v>
      </c>
    </row>
    <row r="1627" spans="1:14" ht="13">
      <c r="A1627" s="4" t="s">
        <v>11076</v>
      </c>
      <c r="B1627" s="4" t="s">
        <v>4951</v>
      </c>
      <c r="C1627" s="4" t="s">
        <v>108</v>
      </c>
      <c r="D1627" s="4" t="s">
        <v>4952</v>
      </c>
      <c r="E1627" s="4" t="s">
        <v>23</v>
      </c>
      <c r="F1627" s="4" t="s">
        <v>11077</v>
      </c>
      <c r="G1627" s="4" t="s">
        <v>11078</v>
      </c>
      <c r="H1627" s="4">
        <v>1.51</v>
      </c>
      <c r="I1627" s="4">
        <v>1.1000000000000001</v>
      </c>
      <c r="J1627" s="4">
        <v>0.22225</v>
      </c>
      <c r="K1627" s="4" t="b">
        <v>1</v>
      </c>
      <c r="L1627" s="4" t="b">
        <v>0</v>
      </c>
    </row>
    <row r="1628" spans="1:14" ht="13">
      <c r="A1628" s="4" t="s">
        <v>11079</v>
      </c>
      <c r="B1628" s="4" t="s">
        <v>4951</v>
      </c>
      <c r="C1628" s="4" t="s">
        <v>108</v>
      </c>
      <c r="D1628" s="4" t="s">
        <v>4952</v>
      </c>
      <c r="E1628" s="4" t="s">
        <v>23</v>
      </c>
      <c r="F1628" s="4" t="s">
        <v>11080</v>
      </c>
      <c r="G1628" s="4" t="s">
        <v>11081</v>
      </c>
      <c r="H1628" s="4">
        <v>1.54</v>
      </c>
      <c r="I1628" s="4">
        <v>1.1299999999999999</v>
      </c>
      <c r="J1628" s="4">
        <v>0.21961</v>
      </c>
      <c r="K1628" s="4" t="b">
        <v>1</v>
      </c>
      <c r="L1628" s="4" t="b">
        <v>0</v>
      </c>
    </row>
    <row r="1629" spans="1:14" ht="13">
      <c r="A1629" s="4" t="s">
        <v>11082</v>
      </c>
      <c r="B1629" s="4" t="s">
        <v>4951</v>
      </c>
      <c r="C1629" s="4" t="s">
        <v>108</v>
      </c>
      <c r="D1629" s="4" t="s">
        <v>4952</v>
      </c>
      <c r="E1629" s="4" t="s">
        <v>23</v>
      </c>
      <c r="F1629" s="4" t="s">
        <v>11083</v>
      </c>
      <c r="G1629" s="4" t="s">
        <v>11084</v>
      </c>
      <c r="H1629" s="4">
        <v>1.55</v>
      </c>
      <c r="I1629" s="4">
        <v>1.2</v>
      </c>
      <c r="J1629" s="4">
        <v>0.24728</v>
      </c>
      <c r="K1629" s="4" t="b">
        <v>1</v>
      </c>
      <c r="L1629" s="4" t="b">
        <v>0</v>
      </c>
    </row>
    <row r="1630" spans="1:14" ht="13">
      <c r="A1630" s="4" t="s">
        <v>11085</v>
      </c>
      <c r="B1630" s="4" t="s">
        <v>4951</v>
      </c>
      <c r="C1630" s="4" t="s">
        <v>108</v>
      </c>
      <c r="D1630" s="4" t="s">
        <v>4952</v>
      </c>
      <c r="E1630" s="4" t="s">
        <v>23</v>
      </c>
      <c r="F1630" s="4" t="s">
        <v>11086</v>
      </c>
      <c r="G1630" s="4" t="s">
        <v>11087</v>
      </c>
      <c r="H1630" s="4">
        <v>1.57</v>
      </c>
      <c r="I1630" s="4">
        <v>1.26</v>
      </c>
      <c r="J1630" s="4">
        <v>0.23011999999999999</v>
      </c>
      <c r="K1630" s="4" t="b">
        <v>1</v>
      </c>
      <c r="L1630" s="4" t="b">
        <v>0</v>
      </c>
    </row>
    <row r="1631" spans="1:14" ht="13">
      <c r="A1631" s="4" t="s">
        <v>11088</v>
      </c>
      <c r="B1631" s="4" t="s">
        <v>4951</v>
      </c>
      <c r="C1631" s="4" t="s">
        <v>108</v>
      </c>
      <c r="D1631" s="4" t="s">
        <v>4952</v>
      </c>
      <c r="E1631" s="4" t="s">
        <v>23</v>
      </c>
      <c r="F1631" s="4" t="s">
        <v>11089</v>
      </c>
      <c r="G1631" s="4" t="s">
        <v>11090</v>
      </c>
      <c r="H1631" s="4">
        <v>1.57</v>
      </c>
      <c r="I1631" s="4">
        <v>1.53</v>
      </c>
      <c r="J1631" s="4">
        <v>0.21487999999999999</v>
      </c>
      <c r="K1631" s="4" t="b">
        <v>1</v>
      </c>
      <c r="L1631" s="4" t="b">
        <v>0</v>
      </c>
    </row>
    <row r="1632" spans="1:14" ht="13">
      <c r="A1632" s="4" t="s">
        <v>11091</v>
      </c>
      <c r="B1632" s="4" t="s">
        <v>4951</v>
      </c>
      <c r="C1632" s="4" t="s">
        <v>108</v>
      </c>
      <c r="D1632" s="4" t="s">
        <v>4952</v>
      </c>
      <c r="E1632" s="4" t="s">
        <v>23</v>
      </c>
      <c r="F1632" s="4" t="s">
        <v>11092</v>
      </c>
      <c r="G1632" s="4" t="s">
        <v>11093</v>
      </c>
      <c r="H1632" s="4">
        <v>1.58</v>
      </c>
      <c r="I1632" s="4">
        <v>1.1200000000000001</v>
      </c>
      <c r="J1632" s="4">
        <v>0.21922</v>
      </c>
      <c r="K1632" s="4" t="b">
        <v>1</v>
      </c>
      <c r="L1632" s="4" t="b">
        <v>0</v>
      </c>
    </row>
    <row r="1633" spans="1:12" ht="13">
      <c r="A1633" s="4" t="s">
        <v>11094</v>
      </c>
      <c r="B1633" s="4" t="s">
        <v>4951</v>
      </c>
      <c r="C1633" s="4" t="s">
        <v>108</v>
      </c>
      <c r="D1633" s="4" t="s">
        <v>4952</v>
      </c>
      <c r="E1633" s="4" t="s">
        <v>23</v>
      </c>
      <c r="F1633" s="4" t="s">
        <v>11095</v>
      </c>
      <c r="G1633" s="4" t="s">
        <v>11096</v>
      </c>
      <c r="H1633" s="4">
        <v>1.59</v>
      </c>
      <c r="I1633" s="4">
        <v>1.2</v>
      </c>
      <c r="J1633" s="4">
        <v>0.23621</v>
      </c>
      <c r="K1633" s="4" t="b">
        <v>1</v>
      </c>
      <c r="L1633" s="4" t="b">
        <v>0</v>
      </c>
    </row>
    <row r="1634" spans="1:12" ht="13">
      <c r="A1634" s="4" t="s">
        <v>11097</v>
      </c>
      <c r="B1634" s="4" t="s">
        <v>4951</v>
      </c>
      <c r="C1634" s="4" t="s">
        <v>108</v>
      </c>
      <c r="D1634" s="4" t="s">
        <v>4952</v>
      </c>
      <c r="E1634" s="4" t="s">
        <v>23</v>
      </c>
      <c r="F1634" s="4" t="s">
        <v>11098</v>
      </c>
      <c r="G1634" s="4" t="s">
        <v>11099</v>
      </c>
      <c r="H1634" s="4">
        <v>1.59</v>
      </c>
      <c r="I1634" s="4">
        <v>1.1499999999999999</v>
      </c>
      <c r="J1634" s="4">
        <v>0.24342</v>
      </c>
      <c r="K1634" s="4" t="b">
        <v>1</v>
      </c>
      <c r="L1634" s="4" t="b">
        <v>0</v>
      </c>
    </row>
    <row r="1635" spans="1:12" ht="13">
      <c r="A1635" s="4" t="s">
        <v>11100</v>
      </c>
      <c r="B1635" s="4" t="s">
        <v>4951</v>
      </c>
      <c r="C1635" s="4" t="s">
        <v>108</v>
      </c>
      <c r="D1635" s="4" t="s">
        <v>4952</v>
      </c>
      <c r="E1635" s="4" t="s">
        <v>23</v>
      </c>
      <c r="F1635" s="4" t="s">
        <v>11101</v>
      </c>
      <c r="G1635" s="4" t="s">
        <v>11102</v>
      </c>
      <c r="H1635" s="4">
        <v>1.6</v>
      </c>
      <c r="I1635" s="4">
        <v>1.1399999999999999</v>
      </c>
      <c r="J1635" s="4">
        <v>0.25144</v>
      </c>
      <c r="K1635" s="4" t="b">
        <v>1</v>
      </c>
      <c r="L1635" s="4" t="b">
        <v>0</v>
      </c>
    </row>
    <row r="1636" spans="1:12" ht="13">
      <c r="A1636" s="4" t="s">
        <v>11103</v>
      </c>
      <c r="B1636" s="4" t="s">
        <v>4951</v>
      </c>
      <c r="C1636" s="4" t="s">
        <v>108</v>
      </c>
      <c r="D1636" s="4" t="s">
        <v>4952</v>
      </c>
      <c r="E1636" s="4" t="s">
        <v>23</v>
      </c>
      <c r="F1636" s="4" t="s">
        <v>11104</v>
      </c>
      <c r="G1636" s="4" t="s">
        <v>11105</v>
      </c>
      <c r="H1636" s="4">
        <v>1.6</v>
      </c>
      <c r="I1636" s="4">
        <v>1.04</v>
      </c>
      <c r="J1636" s="4">
        <v>0.22620999999999999</v>
      </c>
      <c r="K1636" s="4" t="b">
        <v>1</v>
      </c>
      <c r="L1636" s="4" t="b">
        <v>0</v>
      </c>
    </row>
    <row r="1637" spans="1:12" ht="13">
      <c r="A1637" s="4" t="s">
        <v>11106</v>
      </c>
      <c r="B1637" s="4" t="s">
        <v>4951</v>
      </c>
      <c r="C1637" s="4" t="s">
        <v>108</v>
      </c>
      <c r="D1637" s="4" t="s">
        <v>4952</v>
      </c>
      <c r="E1637" s="4" t="s">
        <v>23</v>
      </c>
      <c r="F1637" s="4" t="s">
        <v>11107</v>
      </c>
      <c r="G1637" s="4" t="s">
        <v>11108</v>
      </c>
      <c r="H1637" s="4">
        <v>1.61</v>
      </c>
      <c r="I1637" s="4">
        <v>1.03</v>
      </c>
      <c r="J1637" s="4">
        <v>0.22832</v>
      </c>
      <c r="K1637" s="4" t="b">
        <v>1</v>
      </c>
      <c r="L1637" s="4" t="b">
        <v>0</v>
      </c>
    </row>
    <row r="1638" spans="1:12" ht="13">
      <c r="A1638" s="4" t="s">
        <v>11109</v>
      </c>
      <c r="B1638" s="4" t="s">
        <v>4951</v>
      </c>
      <c r="C1638" s="4" t="s">
        <v>108</v>
      </c>
      <c r="D1638" s="4" t="s">
        <v>4952</v>
      </c>
      <c r="E1638" s="4" t="s">
        <v>23</v>
      </c>
      <c r="F1638" s="4" t="s">
        <v>11110</v>
      </c>
      <c r="G1638" s="4" t="s">
        <v>11111</v>
      </c>
      <c r="H1638" s="4">
        <v>1.62</v>
      </c>
      <c r="I1638" s="4">
        <v>1.1399999999999999</v>
      </c>
      <c r="J1638" s="4">
        <v>0.25841999999999998</v>
      </c>
      <c r="K1638" s="4" t="b">
        <v>1</v>
      </c>
      <c r="L1638" s="4" t="b">
        <v>0</v>
      </c>
    </row>
    <row r="1639" spans="1:12" ht="13">
      <c r="A1639" s="4" t="s">
        <v>11112</v>
      </c>
      <c r="B1639" s="4" t="s">
        <v>4951</v>
      </c>
      <c r="C1639" s="4" t="s">
        <v>108</v>
      </c>
      <c r="D1639" s="4" t="s">
        <v>4952</v>
      </c>
      <c r="E1639" s="4" t="s">
        <v>23</v>
      </c>
      <c r="F1639" s="4" t="s">
        <v>11113</v>
      </c>
      <c r="G1639" s="4" t="s">
        <v>11114</v>
      </c>
      <c r="H1639" s="4">
        <v>1.62</v>
      </c>
      <c r="I1639" s="4">
        <v>1.07</v>
      </c>
      <c r="J1639" s="4">
        <v>0.23286999999999999</v>
      </c>
      <c r="K1639" s="4" t="b">
        <v>1</v>
      </c>
      <c r="L1639" s="4" t="b">
        <v>0</v>
      </c>
    </row>
    <row r="1640" spans="1:12" ht="13">
      <c r="A1640" s="4" t="s">
        <v>11115</v>
      </c>
      <c r="B1640" s="4" t="s">
        <v>4951</v>
      </c>
      <c r="C1640" s="4" t="s">
        <v>108</v>
      </c>
      <c r="D1640" s="4" t="s">
        <v>4952</v>
      </c>
      <c r="E1640" s="4" t="s">
        <v>23</v>
      </c>
      <c r="F1640" s="4" t="s">
        <v>11116</v>
      </c>
      <c r="G1640" s="4" t="s">
        <v>11117</v>
      </c>
      <c r="H1640" s="4">
        <v>1.63</v>
      </c>
      <c r="I1640" s="4">
        <v>1.1599999999999999</v>
      </c>
      <c r="J1640" s="4">
        <v>0.24684</v>
      </c>
      <c r="K1640" s="4" t="b">
        <v>1</v>
      </c>
      <c r="L1640" s="4" t="b">
        <v>0</v>
      </c>
    </row>
    <row r="1641" spans="1:12" ht="13">
      <c r="A1641" s="4" t="s">
        <v>11118</v>
      </c>
      <c r="B1641" s="4" t="s">
        <v>4951</v>
      </c>
      <c r="C1641" s="4" t="s">
        <v>108</v>
      </c>
      <c r="D1641" s="4" t="s">
        <v>4952</v>
      </c>
      <c r="E1641" s="4" t="s">
        <v>23</v>
      </c>
      <c r="F1641" s="4" t="s">
        <v>11119</v>
      </c>
      <c r="G1641" s="4" t="s">
        <v>11120</v>
      </c>
      <c r="H1641" s="4">
        <v>1.65</v>
      </c>
      <c r="I1641" s="4">
        <v>1.05</v>
      </c>
      <c r="J1641" s="4">
        <v>0.23258999999999999</v>
      </c>
      <c r="K1641" s="4" t="b">
        <v>1</v>
      </c>
      <c r="L1641" s="4" t="b">
        <v>0</v>
      </c>
    </row>
    <row r="1642" spans="1:12" ht="13">
      <c r="A1642" s="4" t="s">
        <v>5204</v>
      </c>
      <c r="B1642" s="4" t="s">
        <v>4951</v>
      </c>
      <c r="C1642" s="4" t="s">
        <v>108</v>
      </c>
      <c r="D1642" s="4" t="s">
        <v>4952</v>
      </c>
      <c r="E1642" s="4" t="s">
        <v>23</v>
      </c>
      <c r="F1642" s="4" t="s">
        <v>5205</v>
      </c>
      <c r="G1642" s="4" t="s">
        <v>5206</v>
      </c>
      <c r="H1642" s="4">
        <v>1.66</v>
      </c>
      <c r="I1642" s="4">
        <v>1.05</v>
      </c>
      <c r="J1642" s="4">
        <v>0.22278999999999999</v>
      </c>
      <c r="K1642" s="4" t="b">
        <v>1</v>
      </c>
      <c r="L1642" s="4" t="b">
        <v>0</v>
      </c>
    </row>
    <row r="1643" spans="1:12" ht="13">
      <c r="A1643" s="4" t="s">
        <v>11121</v>
      </c>
      <c r="B1643" s="4" t="s">
        <v>4951</v>
      </c>
      <c r="C1643" s="4" t="s">
        <v>108</v>
      </c>
      <c r="D1643" s="4" t="s">
        <v>4952</v>
      </c>
      <c r="E1643" s="4" t="s">
        <v>23</v>
      </c>
      <c r="F1643" s="4" t="s">
        <v>11122</v>
      </c>
      <c r="G1643" s="4" t="s">
        <v>11123</v>
      </c>
      <c r="H1643" s="4">
        <v>1.67</v>
      </c>
      <c r="I1643" s="4">
        <v>1.1200000000000001</v>
      </c>
      <c r="J1643" s="4">
        <v>0.22986000000000001</v>
      </c>
      <c r="K1643" s="4" t="b">
        <v>1</v>
      </c>
      <c r="L1643" s="4" t="b">
        <v>0</v>
      </c>
    </row>
    <row r="1644" spans="1:12" ht="13">
      <c r="A1644" s="4" t="s">
        <v>11124</v>
      </c>
      <c r="B1644" s="4" t="s">
        <v>4951</v>
      </c>
      <c r="C1644" s="4" t="s">
        <v>108</v>
      </c>
      <c r="D1644" s="4" t="s">
        <v>4952</v>
      </c>
      <c r="E1644" s="4" t="s">
        <v>23</v>
      </c>
      <c r="F1644" s="4" t="s">
        <v>11125</v>
      </c>
      <c r="G1644" s="4" t="s">
        <v>11126</v>
      </c>
      <c r="H1644" s="4">
        <v>1.67</v>
      </c>
      <c r="I1644" s="4">
        <v>1.1100000000000001</v>
      </c>
      <c r="J1644" s="4">
        <v>0.24359</v>
      </c>
      <c r="K1644" s="4" t="b">
        <v>1</v>
      </c>
      <c r="L1644" s="4" t="b">
        <v>0</v>
      </c>
    </row>
    <row r="1645" spans="1:12" ht="13">
      <c r="A1645" s="4" t="s">
        <v>11127</v>
      </c>
      <c r="B1645" s="4" t="s">
        <v>4951</v>
      </c>
      <c r="C1645" s="4" t="s">
        <v>108</v>
      </c>
      <c r="D1645" s="4" t="s">
        <v>4952</v>
      </c>
      <c r="E1645" s="4" t="s">
        <v>23</v>
      </c>
      <c r="F1645" s="4" t="s">
        <v>11128</v>
      </c>
      <c r="G1645" s="4" t="s">
        <v>11129</v>
      </c>
      <c r="H1645" s="4">
        <v>1.68</v>
      </c>
      <c r="I1645" s="4">
        <v>1.07</v>
      </c>
      <c r="J1645" s="4">
        <v>0.22839999999999999</v>
      </c>
      <c r="K1645" s="4" t="b">
        <v>1</v>
      </c>
      <c r="L1645" s="4" t="b">
        <v>0</v>
      </c>
    </row>
    <row r="1646" spans="1:12" ht="13">
      <c r="A1646" s="4" t="s">
        <v>11130</v>
      </c>
      <c r="B1646" s="4" t="s">
        <v>4951</v>
      </c>
      <c r="C1646" s="4" t="s">
        <v>108</v>
      </c>
      <c r="D1646" s="4" t="s">
        <v>4952</v>
      </c>
      <c r="E1646" s="4" t="s">
        <v>23</v>
      </c>
      <c r="F1646" s="4" t="s">
        <v>11131</v>
      </c>
      <c r="G1646" s="4" t="s">
        <v>11132</v>
      </c>
      <c r="H1646" s="4">
        <v>1.69</v>
      </c>
      <c r="I1646" s="4">
        <v>1</v>
      </c>
      <c r="J1646" s="4">
        <v>0.22359000000000001</v>
      </c>
      <c r="K1646" s="4" t="b">
        <v>1</v>
      </c>
      <c r="L1646" s="4" t="b">
        <v>0</v>
      </c>
    </row>
    <row r="1647" spans="1:12" ht="13">
      <c r="A1647" s="4" t="s">
        <v>11133</v>
      </c>
      <c r="B1647" s="4" t="s">
        <v>4951</v>
      </c>
      <c r="C1647" s="4" t="s">
        <v>108</v>
      </c>
      <c r="D1647" s="4" t="s">
        <v>4952</v>
      </c>
      <c r="E1647" s="4" t="s">
        <v>23</v>
      </c>
      <c r="F1647" s="4" t="s">
        <v>11134</v>
      </c>
      <c r="G1647" s="4" t="s">
        <v>11135</v>
      </c>
      <c r="H1647" s="4">
        <v>1.69</v>
      </c>
      <c r="I1647" s="4">
        <v>1.06</v>
      </c>
      <c r="J1647" s="4">
        <v>0.22908999999999999</v>
      </c>
      <c r="K1647" s="4" t="b">
        <v>1</v>
      </c>
      <c r="L1647" s="4" t="b">
        <v>0</v>
      </c>
    </row>
    <row r="1648" spans="1:12" ht="13">
      <c r="A1648" s="4" t="s">
        <v>11136</v>
      </c>
      <c r="B1648" s="4" t="s">
        <v>4951</v>
      </c>
      <c r="C1648" s="4" t="s">
        <v>108</v>
      </c>
      <c r="D1648" s="4" t="s">
        <v>4952</v>
      </c>
      <c r="E1648" s="4" t="s">
        <v>23</v>
      </c>
      <c r="F1648" s="4" t="s">
        <v>11137</v>
      </c>
      <c r="G1648" s="4" t="s">
        <v>11138</v>
      </c>
      <c r="H1648" s="4">
        <v>1.7</v>
      </c>
      <c r="I1648" s="4">
        <v>1.02</v>
      </c>
      <c r="J1648" s="4">
        <v>0.23737</v>
      </c>
      <c r="K1648" s="4" t="b">
        <v>1</v>
      </c>
      <c r="L1648" s="4" t="b">
        <v>0</v>
      </c>
    </row>
    <row r="1649" spans="1:13" ht="13">
      <c r="A1649" s="4" t="s">
        <v>11139</v>
      </c>
      <c r="B1649" s="4" t="s">
        <v>4951</v>
      </c>
      <c r="C1649" s="4" t="s">
        <v>108</v>
      </c>
      <c r="D1649" s="4" t="s">
        <v>4952</v>
      </c>
      <c r="E1649" s="4" t="s">
        <v>23</v>
      </c>
      <c r="F1649" s="4" t="s">
        <v>11140</v>
      </c>
      <c r="G1649" s="4" t="s">
        <v>11141</v>
      </c>
      <c r="H1649" s="4">
        <v>1.71</v>
      </c>
      <c r="I1649" s="4">
        <v>1.06</v>
      </c>
      <c r="J1649" s="4">
        <v>0.23255000000000001</v>
      </c>
      <c r="K1649" s="4" t="b">
        <v>1</v>
      </c>
      <c r="L1649" s="4" t="b">
        <v>0</v>
      </c>
    </row>
    <row r="1650" spans="1:13" ht="13">
      <c r="A1650" s="4" t="s">
        <v>11142</v>
      </c>
      <c r="B1650" s="4" t="s">
        <v>4951</v>
      </c>
      <c r="C1650" s="4" t="s">
        <v>108</v>
      </c>
      <c r="D1650" s="4" t="s">
        <v>4952</v>
      </c>
      <c r="E1650" s="4" t="s">
        <v>23</v>
      </c>
      <c r="F1650" s="4" t="s">
        <v>11143</v>
      </c>
      <c r="G1650" s="4" t="s">
        <v>11144</v>
      </c>
      <c r="H1650" s="4">
        <v>1.71</v>
      </c>
      <c r="I1650" s="4">
        <v>1.1599999999999999</v>
      </c>
      <c r="J1650" s="4">
        <v>0.25316</v>
      </c>
      <c r="K1650" s="4" t="b">
        <v>1</v>
      </c>
      <c r="L1650" s="4" t="b">
        <v>0</v>
      </c>
    </row>
    <row r="1651" spans="1:13" ht="13">
      <c r="A1651" s="4" t="s">
        <v>11145</v>
      </c>
      <c r="B1651" s="4" t="s">
        <v>4951</v>
      </c>
      <c r="C1651" s="4" t="s">
        <v>108</v>
      </c>
      <c r="D1651" s="4" t="s">
        <v>4952</v>
      </c>
      <c r="E1651" s="4" t="s">
        <v>23</v>
      </c>
      <c r="F1651" s="4" t="s">
        <v>11146</v>
      </c>
      <c r="G1651" s="4" t="s">
        <v>11147</v>
      </c>
      <c r="H1651" s="4">
        <v>1.72</v>
      </c>
      <c r="I1651" s="4">
        <v>1.0900000000000001</v>
      </c>
      <c r="J1651" s="4">
        <v>0.22589000000000001</v>
      </c>
      <c r="K1651" s="4" t="b">
        <v>1</v>
      </c>
      <c r="L1651" s="4" t="b">
        <v>0</v>
      </c>
    </row>
    <row r="1652" spans="1:13" ht="13">
      <c r="A1652" s="4" t="s">
        <v>3201</v>
      </c>
      <c r="B1652" s="4" t="s">
        <v>4951</v>
      </c>
      <c r="C1652" s="4" t="s">
        <v>108</v>
      </c>
      <c r="D1652" s="4" t="s">
        <v>4952</v>
      </c>
      <c r="E1652" s="4" t="s">
        <v>23</v>
      </c>
      <c r="F1652" s="4" t="s">
        <v>5091</v>
      </c>
      <c r="G1652" s="4" t="s">
        <v>3097</v>
      </c>
      <c r="H1652" s="4">
        <v>1.73</v>
      </c>
      <c r="I1652" s="4">
        <v>1.05</v>
      </c>
      <c r="J1652" s="4">
        <v>0.21596000000000001</v>
      </c>
      <c r="K1652" s="4" t="b">
        <v>1</v>
      </c>
      <c r="L1652" s="4" t="b">
        <v>1</v>
      </c>
      <c r="M1652" s="41" t="s">
        <v>5087</v>
      </c>
    </row>
    <row r="1653" spans="1:13" ht="13">
      <c r="A1653" s="4" t="s">
        <v>11148</v>
      </c>
      <c r="B1653" s="4" t="s">
        <v>4951</v>
      </c>
      <c r="C1653" s="4" t="s">
        <v>108</v>
      </c>
      <c r="D1653" s="4" t="s">
        <v>4952</v>
      </c>
      <c r="E1653" s="4" t="s">
        <v>23</v>
      </c>
      <c r="F1653" s="4" t="s">
        <v>11149</v>
      </c>
      <c r="G1653" s="4" t="s">
        <v>11150</v>
      </c>
      <c r="H1653" s="4">
        <v>1.74</v>
      </c>
      <c r="I1653" s="4">
        <v>1.1000000000000001</v>
      </c>
      <c r="J1653" s="4">
        <v>0.23135</v>
      </c>
      <c r="K1653" s="4" t="b">
        <v>1</v>
      </c>
      <c r="L1653" s="4" t="b">
        <v>0</v>
      </c>
    </row>
    <row r="1654" spans="1:13" ht="13">
      <c r="A1654" s="4" t="s">
        <v>11151</v>
      </c>
      <c r="B1654" s="4" t="s">
        <v>4951</v>
      </c>
      <c r="C1654" s="4" t="s">
        <v>108</v>
      </c>
      <c r="D1654" s="4" t="s">
        <v>4952</v>
      </c>
      <c r="E1654" s="4" t="s">
        <v>23</v>
      </c>
      <c r="F1654" s="4" t="s">
        <v>11152</v>
      </c>
      <c r="G1654" s="4" t="s">
        <v>11153</v>
      </c>
      <c r="H1654" s="4">
        <v>1.74</v>
      </c>
      <c r="I1654" s="4">
        <v>1.1299999999999999</v>
      </c>
      <c r="J1654" s="4">
        <v>0.24948000000000001</v>
      </c>
      <c r="K1654" s="4" t="b">
        <v>1</v>
      </c>
      <c r="L1654" s="4" t="b">
        <v>0</v>
      </c>
    </row>
    <row r="1655" spans="1:13" ht="13">
      <c r="A1655" s="4" t="s">
        <v>11154</v>
      </c>
      <c r="B1655" s="4" t="s">
        <v>4951</v>
      </c>
      <c r="C1655" s="4" t="s">
        <v>108</v>
      </c>
      <c r="D1655" s="4" t="s">
        <v>4952</v>
      </c>
      <c r="E1655" s="4" t="s">
        <v>23</v>
      </c>
      <c r="F1655" s="4" t="s">
        <v>11155</v>
      </c>
      <c r="G1655" s="4" t="s">
        <v>11156</v>
      </c>
      <c r="H1655" s="4">
        <v>1.75</v>
      </c>
      <c r="I1655" s="4">
        <v>1.1100000000000001</v>
      </c>
      <c r="J1655" s="4">
        <v>0.2261</v>
      </c>
      <c r="K1655" s="4" t="b">
        <v>1</v>
      </c>
      <c r="L1655" s="4" t="b">
        <v>0</v>
      </c>
    </row>
    <row r="1656" spans="1:13" ht="13">
      <c r="A1656" s="4" t="s">
        <v>3202</v>
      </c>
      <c r="B1656" s="4" t="s">
        <v>4951</v>
      </c>
      <c r="C1656" s="4" t="s">
        <v>108</v>
      </c>
      <c r="D1656" s="4" t="s">
        <v>4952</v>
      </c>
      <c r="E1656" s="4" t="s">
        <v>23</v>
      </c>
      <c r="F1656" s="4" t="s">
        <v>5160</v>
      </c>
      <c r="G1656" s="4" t="s">
        <v>3098</v>
      </c>
      <c r="H1656" s="4">
        <v>1.76</v>
      </c>
      <c r="I1656" s="4">
        <v>1.08</v>
      </c>
      <c r="J1656" s="4">
        <v>0.22733</v>
      </c>
      <c r="K1656" s="4" t="b">
        <v>1</v>
      </c>
      <c r="L1656" s="4" t="b">
        <v>1</v>
      </c>
      <c r="M1656" s="41" t="s">
        <v>4955</v>
      </c>
    </row>
    <row r="1657" spans="1:13" ht="13">
      <c r="A1657" s="4" t="s">
        <v>3203</v>
      </c>
      <c r="B1657" s="4" t="s">
        <v>4951</v>
      </c>
      <c r="C1657" s="4" t="s">
        <v>108</v>
      </c>
      <c r="D1657" s="4" t="s">
        <v>4952</v>
      </c>
      <c r="E1657" s="4" t="s">
        <v>23</v>
      </c>
      <c r="F1657" s="4" t="s">
        <v>5084</v>
      </c>
      <c r="G1657" s="4" t="s">
        <v>3099</v>
      </c>
      <c r="H1657" s="4">
        <v>1.77</v>
      </c>
      <c r="I1657" s="4">
        <v>0.98</v>
      </c>
      <c r="J1657" s="4">
        <v>0.20635000000000001</v>
      </c>
      <c r="K1657" s="4" t="b">
        <v>1</v>
      </c>
      <c r="L1657" s="4" t="b">
        <v>1</v>
      </c>
      <c r="M1657" s="41" t="s">
        <v>4995</v>
      </c>
    </row>
    <row r="1658" spans="1:13" ht="13">
      <c r="A1658" s="4" t="s">
        <v>11157</v>
      </c>
      <c r="B1658" s="4" t="s">
        <v>4951</v>
      </c>
      <c r="C1658" s="4" t="s">
        <v>108</v>
      </c>
      <c r="D1658" s="4" t="s">
        <v>4952</v>
      </c>
      <c r="E1658" s="4" t="s">
        <v>23</v>
      </c>
      <c r="F1658" s="4" t="s">
        <v>11158</v>
      </c>
      <c r="G1658" s="4" t="s">
        <v>11159</v>
      </c>
      <c r="H1658" s="4">
        <v>1.77</v>
      </c>
      <c r="I1658" s="4">
        <v>1.1000000000000001</v>
      </c>
      <c r="J1658" s="4">
        <v>0.20577000000000001</v>
      </c>
      <c r="K1658" s="4" t="b">
        <v>1</v>
      </c>
      <c r="L1658" s="4" t="b">
        <v>0</v>
      </c>
    </row>
    <row r="1659" spans="1:13" ht="13">
      <c r="A1659" s="4" t="s">
        <v>11160</v>
      </c>
      <c r="B1659" s="4" t="s">
        <v>4951</v>
      </c>
      <c r="C1659" s="4" t="s">
        <v>108</v>
      </c>
      <c r="D1659" s="4" t="s">
        <v>4952</v>
      </c>
      <c r="E1659" s="4" t="s">
        <v>23</v>
      </c>
      <c r="F1659" s="4" t="s">
        <v>11161</v>
      </c>
      <c r="G1659" s="4" t="s">
        <v>11162</v>
      </c>
      <c r="H1659" s="4">
        <v>1.79</v>
      </c>
      <c r="I1659" s="4">
        <v>1.07</v>
      </c>
      <c r="J1659" s="4">
        <v>0.21997</v>
      </c>
      <c r="K1659" s="4" t="b">
        <v>1</v>
      </c>
      <c r="L1659" s="4" t="b">
        <v>0</v>
      </c>
    </row>
    <row r="1660" spans="1:13" ht="13">
      <c r="A1660" s="4" t="s">
        <v>11163</v>
      </c>
      <c r="B1660" s="4" t="s">
        <v>4951</v>
      </c>
      <c r="C1660" s="4" t="s">
        <v>108</v>
      </c>
      <c r="D1660" s="4" t="s">
        <v>4952</v>
      </c>
      <c r="E1660" s="4" t="s">
        <v>23</v>
      </c>
      <c r="F1660" s="4" t="s">
        <v>11164</v>
      </c>
      <c r="G1660" s="4" t="s">
        <v>11165</v>
      </c>
      <c r="H1660" s="4">
        <v>1.79</v>
      </c>
      <c r="I1660" s="4">
        <v>1.75</v>
      </c>
      <c r="J1660" s="4">
        <v>0.24024000000000001</v>
      </c>
      <c r="K1660" s="4" t="b">
        <v>1</v>
      </c>
      <c r="L1660" s="4" t="b">
        <v>0</v>
      </c>
    </row>
    <row r="1661" spans="1:13" ht="13">
      <c r="A1661" s="4" t="s">
        <v>11166</v>
      </c>
      <c r="B1661" s="4" t="s">
        <v>4951</v>
      </c>
      <c r="C1661" s="4" t="s">
        <v>108</v>
      </c>
      <c r="D1661" s="4" t="s">
        <v>4952</v>
      </c>
      <c r="E1661" s="4" t="s">
        <v>23</v>
      </c>
      <c r="F1661" s="4" t="s">
        <v>11167</v>
      </c>
      <c r="G1661" s="4" t="s">
        <v>11168</v>
      </c>
      <c r="H1661" s="4">
        <v>1.8</v>
      </c>
      <c r="I1661" s="4">
        <v>1.1200000000000001</v>
      </c>
      <c r="J1661" s="4">
        <v>0.24965999999999999</v>
      </c>
      <c r="K1661" s="4" t="b">
        <v>1</v>
      </c>
      <c r="L1661" s="4" t="b">
        <v>0</v>
      </c>
    </row>
    <row r="1662" spans="1:13" ht="13">
      <c r="A1662" s="4" t="s">
        <v>11169</v>
      </c>
      <c r="B1662" s="4" t="s">
        <v>4951</v>
      </c>
      <c r="C1662" s="4" t="s">
        <v>108</v>
      </c>
      <c r="D1662" s="4" t="s">
        <v>4952</v>
      </c>
      <c r="E1662" s="4" t="s">
        <v>23</v>
      </c>
      <c r="F1662" s="4" t="s">
        <v>11170</v>
      </c>
      <c r="G1662" s="4" t="s">
        <v>11171</v>
      </c>
      <c r="H1662" s="4">
        <v>1.82</v>
      </c>
      <c r="I1662" s="4">
        <v>1.05</v>
      </c>
      <c r="J1662" s="4">
        <v>0.22251000000000001</v>
      </c>
      <c r="K1662" s="4" t="b">
        <v>1</v>
      </c>
      <c r="L1662" s="4" t="b">
        <v>0</v>
      </c>
    </row>
    <row r="1663" spans="1:13" ht="13">
      <c r="A1663" s="4" t="s">
        <v>11172</v>
      </c>
      <c r="B1663" s="4" t="s">
        <v>4951</v>
      </c>
      <c r="C1663" s="4" t="s">
        <v>108</v>
      </c>
      <c r="D1663" s="4" t="s">
        <v>4952</v>
      </c>
      <c r="E1663" s="4" t="s">
        <v>23</v>
      </c>
      <c r="F1663" s="4" t="s">
        <v>11173</v>
      </c>
      <c r="G1663" s="4" t="s">
        <v>11174</v>
      </c>
      <c r="H1663" s="4">
        <v>1.83</v>
      </c>
      <c r="I1663" s="4">
        <v>1.17</v>
      </c>
      <c r="J1663" s="4">
        <v>0.21257999999999999</v>
      </c>
      <c r="K1663" s="4" t="b">
        <v>1</v>
      </c>
      <c r="L1663" s="4" t="b">
        <v>0</v>
      </c>
    </row>
    <row r="1664" spans="1:13" ht="13">
      <c r="A1664" s="4" t="s">
        <v>11175</v>
      </c>
      <c r="B1664" s="4" t="s">
        <v>4951</v>
      </c>
      <c r="C1664" s="4" t="s">
        <v>108</v>
      </c>
      <c r="D1664" s="4" t="s">
        <v>4952</v>
      </c>
      <c r="E1664" s="4" t="s">
        <v>23</v>
      </c>
      <c r="F1664" s="4" t="s">
        <v>11176</v>
      </c>
      <c r="G1664" s="4" t="s">
        <v>11177</v>
      </c>
      <c r="H1664" s="4">
        <v>1.83</v>
      </c>
      <c r="I1664" s="4">
        <v>1.01</v>
      </c>
      <c r="J1664" s="4">
        <v>0.22358</v>
      </c>
      <c r="K1664" s="4" t="b">
        <v>1</v>
      </c>
      <c r="L1664" s="4" t="b">
        <v>0</v>
      </c>
    </row>
    <row r="1665" spans="1:13" ht="13">
      <c r="A1665" s="4" t="s">
        <v>3204</v>
      </c>
      <c r="B1665" s="4" t="s">
        <v>4951</v>
      </c>
      <c r="C1665" s="4" t="s">
        <v>108</v>
      </c>
      <c r="D1665" s="4" t="s">
        <v>4952</v>
      </c>
      <c r="E1665" s="4" t="s">
        <v>23</v>
      </c>
      <c r="F1665" s="4" t="s">
        <v>4996</v>
      </c>
      <c r="G1665" s="4" t="s">
        <v>3100</v>
      </c>
      <c r="H1665" s="4">
        <v>1.84</v>
      </c>
      <c r="I1665" s="4">
        <v>1.1299999999999999</v>
      </c>
      <c r="J1665" s="4">
        <v>0.22214</v>
      </c>
      <c r="K1665" s="4" t="b">
        <v>1</v>
      </c>
      <c r="L1665" s="4" t="b">
        <v>1</v>
      </c>
      <c r="M1665" s="41" t="s">
        <v>4929</v>
      </c>
    </row>
    <row r="1666" spans="1:13" ht="13">
      <c r="A1666" s="4" t="s">
        <v>11178</v>
      </c>
      <c r="B1666" s="4" t="s">
        <v>4951</v>
      </c>
      <c r="C1666" s="4" t="s">
        <v>108</v>
      </c>
      <c r="D1666" s="4" t="s">
        <v>4952</v>
      </c>
      <c r="E1666" s="4" t="s">
        <v>23</v>
      </c>
      <c r="F1666" s="4" t="s">
        <v>11179</v>
      </c>
      <c r="G1666" s="4" t="s">
        <v>11180</v>
      </c>
      <c r="H1666" s="4">
        <v>1.84</v>
      </c>
      <c r="I1666" s="4">
        <v>1.1399999999999999</v>
      </c>
      <c r="J1666" s="4">
        <v>0.224</v>
      </c>
      <c r="K1666" s="4" t="b">
        <v>1</v>
      </c>
      <c r="L1666" s="4" t="b">
        <v>0</v>
      </c>
    </row>
    <row r="1667" spans="1:13" ht="13">
      <c r="A1667" s="4" t="s">
        <v>11181</v>
      </c>
      <c r="B1667" s="4" t="s">
        <v>4951</v>
      </c>
      <c r="C1667" s="4" t="s">
        <v>108</v>
      </c>
      <c r="D1667" s="4" t="s">
        <v>4952</v>
      </c>
      <c r="E1667" s="4" t="s">
        <v>23</v>
      </c>
      <c r="F1667" s="4" t="s">
        <v>11182</v>
      </c>
      <c r="G1667" s="4" t="s">
        <v>11183</v>
      </c>
      <c r="H1667" s="4">
        <v>1.85</v>
      </c>
      <c r="I1667" s="4">
        <v>1.19</v>
      </c>
      <c r="J1667" s="4">
        <v>0.23347000000000001</v>
      </c>
      <c r="K1667" s="4" t="b">
        <v>1</v>
      </c>
      <c r="L1667" s="4" t="b">
        <v>0</v>
      </c>
    </row>
    <row r="1668" spans="1:13" ht="13">
      <c r="A1668" s="4" t="s">
        <v>11184</v>
      </c>
      <c r="B1668" s="4" t="s">
        <v>4951</v>
      </c>
      <c r="C1668" s="4" t="s">
        <v>108</v>
      </c>
      <c r="D1668" s="4" t="s">
        <v>4952</v>
      </c>
      <c r="E1668" s="4" t="s">
        <v>23</v>
      </c>
      <c r="F1668" s="4" t="s">
        <v>11185</v>
      </c>
      <c r="G1668" s="4" t="s">
        <v>11186</v>
      </c>
      <c r="H1668" s="4">
        <v>1.85</v>
      </c>
      <c r="I1668" s="4">
        <v>1.1200000000000001</v>
      </c>
      <c r="J1668" s="4">
        <v>0.20885999999999999</v>
      </c>
      <c r="K1668" s="4" t="b">
        <v>1</v>
      </c>
      <c r="L1668" s="4" t="b">
        <v>0</v>
      </c>
    </row>
    <row r="1669" spans="1:13" ht="13">
      <c r="A1669" s="4" t="s">
        <v>11187</v>
      </c>
      <c r="B1669" s="4" t="s">
        <v>4951</v>
      </c>
      <c r="C1669" s="4" t="s">
        <v>108</v>
      </c>
      <c r="D1669" s="4" t="s">
        <v>4952</v>
      </c>
      <c r="E1669" s="4" t="s">
        <v>23</v>
      </c>
      <c r="F1669" s="4" t="s">
        <v>11188</v>
      </c>
      <c r="G1669" s="4" t="s">
        <v>11189</v>
      </c>
      <c r="H1669" s="4">
        <v>1.86</v>
      </c>
      <c r="I1669" s="4">
        <v>1.06</v>
      </c>
      <c r="J1669" s="4">
        <v>0.21645</v>
      </c>
      <c r="K1669" s="4" t="b">
        <v>1</v>
      </c>
      <c r="L1669" s="4" t="b">
        <v>0</v>
      </c>
    </row>
    <row r="1670" spans="1:13" ht="13">
      <c r="A1670" s="4" t="s">
        <v>11190</v>
      </c>
      <c r="B1670" s="4" t="s">
        <v>4951</v>
      </c>
      <c r="C1670" s="4" t="s">
        <v>108</v>
      </c>
      <c r="D1670" s="4" t="s">
        <v>4952</v>
      </c>
      <c r="E1670" s="4" t="s">
        <v>23</v>
      </c>
      <c r="F1670" s="4" t="s">
        <v>11191</v>
      </c>
      <c r="G1670" s="4" t="s">
        <v>11192</v>
      </c>
      <c r="H1670" s="4">
        <v>1.87</v>
      </c>
      <c r="I1670" s="4">
        <v>1.03</v>
      </c>
      <c r="J1670" s="4">
        <v>0.21972</v>
      </c>
      <c r="K1670" s="4" t="b">
        <v>1</v>
      </c>
      <c r="L1670" s="4" t="b">
        <v>0</v>
      </c>
    </row>
    <row r="1671" spans="1:13" ht="13">
      <c r="A1671" s="4" t="s">
        <v>11193</v>
      </c>
      <c r="B1671" s="4" t="s">
        <v>4951</v>
      </c>
      <c r="C1671" s="4" t="s">
        <v>108</v>
      </c>
      <c r="D1671" s="4" t="s">
        <v>4952</v>
      </c>
      <c r="E1671" s="4" t="s">
        <v>23</v>
      </c>
      <c r="F1671" s="4" t="s">
        <v>11194</v>
      </c>
      <c r="G1671" s="4" t="s">
        <v>11195</v>
      </c>
      <c r="H1671" s="4">
        <v>1.88</v>
      </c>
      <c r="I1671" s="4">
        <v>1.05</v>
      </c>
      <c r="J1671" s="4">
        <v>0.22061</v>
      </c>
      <c r="K1671" s="4" t="b">
        <v>1</v>
      </c>
      <c r="L1671" s="4" t="b">
        <v>0</v>
      </c>
    </row>
    <row r="1672" spans="1:13" ht="13">
      <c r="A1672" s="4" t="s">
        <v>11196</v>
      </c>
      <c r="B1672" s="4" t="s">
        <v>4951</v>
      </c>
      <c r="C1672" s="4" t="s">
        <v>108</v>
      </c>
      <c r="D1672" s="4" t="s">
        <v>4952</v>
      </c>
      <c r="E1672" s="4" t="s">
        <v>23</v>
      </c>
      <c r="F1672" s="4" t="s">
        <v>11197</v>
      </c>
      <c r="G1672" s="4" t="s">
        <v>11198</v>
      </c>
      <c r="H1672" s="4">
        <v>1.88</v>
      </c>
      <c r="I1672" s="4">
        <v>1.04</v>
      </c>
      <c r="J1672" s="4">
        <v>0.22209999999999999</v>
      </c>
      <c r="K1672" s="4" t="b">
        <v>1</v>
      </c>
      <c r="L1672" s="4" t="b">
        <v>0</v>
      </c>
    </row>
    <row r="1673" spans="1:13" ht="13">
      <c r="A1673" s="4" t="s">
        <v>11199</v>
      </c>
      <c r="B1673" s="4" t="s">
        <v>4951</v>
      </c>
      <c r="C1673" s="4" t="s">
        <v>108</v>
      </c>
      <c r="D1673" s="4" t="s">
        <v>4952</v>
      </c>
      <c r="E1673" s="4" t="s">
        <v>23</v>
      </c>
      <c r="F1673" s="4" t="s">
        <v>11200</v>
      </c>
      <c r="G1673" s="4" t="s">
        <v>11201</v>
      </c>
      <c r="H1673" s="4">
        <v>1.89</v>
      </c>
      <c r="I1673" s="4">
        <v>1.08</v>
      </c>
      <c r="J1673" s="4">
        <v>0.22553000000000001</v>
      </c>
      <c r="K1673" s="4" t="b">
        <v>1</v>
      </c>
      <c r="L1673" s="4" t="b">
        <v>0</v>
      </c>
    </row>
    <row r="1674" spans="1:13" ht="13">
      <c r="A1674" s="4" t="s">
        <v>3205</v>
      </c>
      <c r="B1674" s="4" t="s">
        <v>4951</v>
      </c>
      <c r="C1674" s="4" t="s">
        <v>108</v>
      </c>
      <c r="D1674" s="4" t="s">
        <v>4952</v>
      </c>
      <c r="E1674" s="4" t="s">
        <v>23</v>
      </c>
      <c r="F1674" s="4" t="s">
        <v>5161</v>
      </c>
      <c r="G1674" s="4" t="s">
        <v>3101</v>
      </c>
      <c r="H1674" s="4">
        <v>1.9</v>
      </c>
      <c r="I1674" s="4">
        <v>1.04</v>
      </c>
      <c r="J1674" s="4">
        <v>0.22778000000000001</v>
      </c>
      <c r="K1674" s="4" t="b">
        <v>1</v>
      </c>
      <c r="L1674" s="4" t="b">
        <v>1</v>
      </c>
      <c r="M1674" s="41" t="s">
        <v>4955</v>
      </c>
    </row>
    <row r="1675" spans="1:13" ht="13">
      <c r="A1675" s="4" t="s">
        <v>11202</v>
      </c>
      <c r="B1675" s="4" t="s">
        <v>4951</v>
      </c>
      <c r="C1675" s="4" t="s">
        <v>108</v>
      </c>
      <c r="D1675" s="4" t="s">
        <v>4952</v>
      </c>
      <c r="E1675" s="4" t="s">
        <v>23</v>
      </c>
      <c r="F1675" s="4" t="s">
        <v>11203</v>
      </c>
      <c r="G1675" s="4" t="s">
        <v>11204</v>
      </c>
      <c r="H1675" s="4">
        <v>1.91</v>
      </c>
      <c r="I1675" s="4">
        <v>1.1000000000000001</v>
      </c>
      <c r="J1675" s="4">
        <v>0.22946</v>
      </c>
      <c r="K1675" s="4" t="b">
        <v>1</v>
      </c>
      <c r="L1675" s="4" t="b">
        <v>0</v>
      </c>
    </row>
    <row r="1676" spans="1:13" ht="13">
      <c r="A1676" s="4" t="s">
        <v>11205</v>
      </c>
      <c r="B1676" s="4" t="s">
        <v>4951</v>
      </c>
      <c r="C1676" s="4" t="s">
        <v>108</v>
      </c>
      <c r="D1676" s="4" t="s">
        <v>4952</v>
      </c>
      <c r="E1676" s="4" t="s">
        <v>23</v>
      </c>
      <c r="F1676" s="4" t="s">
        <v>11206</v>
      </c>
      <c r="G1676" s="4" t="s">
        <v>11207</v>
      </c>
      <c r="H1676" s="4">
        <v>1.93</v>
      </c>
      <c r="I1676" s="4">
        <v>1.1000000000000001</v>
      </c>
      <c r="J1676" s="4">
        <v>0.23191999999999999</v>
      </c>
      <c r="K1676" s="4" t="b">
        <v>1</v>
      </c>
      <c r="L1676" s="4" t="b">
        <v>0</v>
      </c>
    </row>
    <row r="1677" spans="1:13" ht="13">
      <c r="A1677" s="4" t="s">
        <v>11208</v>
      </c>
      <c r="B1677" s="4" t="s">
        <v>4951</v>
      </c>
      <c r="C1677" s="4" t="s">
        <v>108</v>
      </c>
      <c r="D1677" s="4" t="s">
        <v>4952</v>
      </c>
      <c r="E1677" s="4" t="s">
        <v>23</v>
      </c>
      <c r="F1677" s="4" t="s">
        <v>11209</v>
      </c>
      <c r="G1677" s="4" t="s">
        <v>11210</v>
      </c>
      <c r="H1677" s="4">
        <v>1.94</v>
      </c>
      <c r="I1677" s="4">
        <v>1.06</v>
      </c>
      <c r="J1677" s="4">
        <v>0.23748</v>
      </c>
      <c r="K1677" s="4" t="b">
        <v>1</v>
      </c>
      <c r="L1677" s="4" t="b">
        <v>0</v>
      </c>
    </row>
    <row r="1678" spans="1:13" ht="13">
      <c r="A1678" s="4" t="s">
        <v>11211</v>
      </c>
      <c r="B1678" s="4" t="s">
        <v>4951</v>
      </c>
      <c r="C1678" s="4" t="s">
        <v>108</v>
      </c>
      <c r="D1678" s="4" t="s">
        <v>4952</v>
      </c>
      <c r="E1678" s="4" t="s">
        <v>23</v>
      </c>
      <c r="F1678" s="4" t="s">
        <v>11212</v>
      </c>
      <c r="G1678" s="4" t="s">
        <v>11213</v>
      </c>
      <c r="H1678" s="4">
        <v>2.15</v>
      </c>
      <c r="I1678" s="4">
        <v>1.02</v>
      </c>
      <c r="J1678" s="4">
        <v>0.22131000000000001</v>
      </c>
      <c r="K1678" s="4" t="b">
        <v>1</v>
      </c>
      <c r="L1678" s="4" t="b">
        <v>0</v>
      </c>
    </row>
    <row r="1679" spans="1:13" ht="13">
      <c r="A1679" s="4" t="s">
        <v>5074</v>
      </c>
      <c r="B1679" s="4" t="s">
        <v>4951</v>
      </c>
      <c r="C1679" s="4" t="s">
        <v>108</v>
      </c>
      <c r="D1679" s="4" t="s">
        <v>4952</v>
      </c>
      <c r="E1679" s="4" t="s">
        <v>23</v>
      </c>
      <c r="F1679" s="4" t="s">
        <v>5075</v>
      </c>
      <c r="G1679" s="4" t="s">
        <v>5076</v>
      </c>
      <c r="H1679" s="4">
        <v>2.16</v>
      </c>
      <c r="I1679" s="4">
        <v>1.1100000000000001</v>
      </c>
      <c r="J1679" s="4">
        <v>0.23945</v>
      </c>
      <c r="K1679" s="4" t="b">
        <v>1</v>
      </c>
      <c r="L1679" s="4" t="b">
        <v>0</v>
      </c>
    </row>
    <row r="1680" spans="1:13" ht="13">
      <c r="A1680" s="4" t="s">
        <v>11217</v>
      </c>
      <c r="B1680" s="4" t="s">
        <v>4951</v>
      </c>
      <c r="C1680" s="4" t="s">
        <v>108</v>
      </c>
      <c r="D1680" s="4" t="s">
        <v>4952</v>
      </c>
      <c r="E1680" s="4" t="s">
        <v>23</v>
      </c>
      <c r="F1680" s="4" t="s">
        <v>11218</v>
      </c>
      <c r="G1680" s="4" t="s">
        <v>11219</v>
      </c>
      <c r="H1680" s="4">
        <v>2.17</v>
      </c>
      <c r="I1680" s="4">
        <v>0.97</v>
      </c>
      <c r="J1680" s="4">
        <v>0.22600999999999999</v>
      </c>
      <c r="K1680" s="4" t="b">
        <v>1</v>
      </c>
      <c r="L1680" s="4" t="b">
        <v>0</v>
      </c>
    </row>
    <row r="1681" spans="1:13" ht="13">
      <c r="A1681" s="4" t="s">
        <v>3206</v>
      </c>
      <c r="B1681" s="4" t="s">
        <v>4951</v>
      </c>
      <c r="C1681" s="4" t="s">
        <v>108</v>
      </c>
      <c r="D1681" s="4" t="s">
        <v>4952</v>
      </c>
      <c r="E1681" s="4" t="s">
        <v>23</v>
      </c>
      <c r="F1681" s="4" t="s">
        <v>5092</v>
      </c>
      <c r="G1681" s="4" t="s">
        <v>3102</v>
      </c>
      <c r="H1681" s="4">
        <v>2.17</v>
      </c>
      <c r="I1681" s="4">
        <v>1.31</v>
      </c>
      <c r="J1681" s="4">
        <v>0.20655000000000001</v>
      </c>
      <c r="K1681" s="4" t="b">
        <v>1</v>
      </c>
      <c r="L1681" s="4" t="b">
        <v>1</v>
      </c>
      <c r="M1681" s="41" t="s">
        <v>5087</v>
      </c>
    </row>
    <row r="1682" spans="1:13" ht="13">
      <c r="A1682" s="4" t="s">
        <v>11220</v>
      </c>
      <c r="B1682" s="4" t="s">
        <v>4951</v>
      </c>
      <c r="C1682" s="4" t="s">
        <v>108</v>
      </c>
      <c r="D1682" s="4" t="s">
        <v>4952</v>
      </c>
      <c r="E1682" s="4" t="s">
        <v>23</v>
      </c>
      <c r="F1682" s="4" t="s">
        <v>11221</v>
      </c>
      <c r="G1682" s="4" t="s">
        <v>11222</v>
      </c>
      <c r="H1682" s="4">
        <v>2.1800000000000002</v>
      </c>
      <c r="I1682" s="4">
        <v>1.07</v>
      </c>
      <c r="J1682" s="4">
        <v>0.22076999999999999</v>
      </c>
      <c r="K1682" s="4" t="b">
        <v>1</v>
      </c>
      <c r="L1682" s="4" t="b">
        <v>0</v>
      </c>
    </row>
    <row r="1683" spans="1:13" ht="13">
      <c r="A1683" s="4" t="s">
        <v>11223</v>
      </c>
      <c r="B1683" s="4" t="s">
        <v>4951</v>
      </c>
      <c r="C1683" s="4" t="s">
        <v>108</v>
      </c>
      <c r="D1683" s="4" t="s">
        <v>4952</v>
      </c>
      <c r="E1683" s="4" t="s">
        <v>23</v>
      </c>
      <c r="F1683" s="4" t="s">
        <v>11224</v>
      </c>
      <c r="G1683" s="4" t="s">
        <v>11225</v>
      </c>
      <c r="H1683" s="4">
        <v>2.19</v>
      </c>
      <c r="I1683" s="4">
        <v>0.98</v>
      </c>
      <c r="J1683" s="4">
        <v>0.21728</v>
      </c>
      <c r="K1683" s="4" t="b">
        <v>1</v>
      </c>
      <c r="L1683" s="4" t="b">
        <v>0</v>
      </c>
    </row>
    <row r="1684" spans="1:13" ht="13">
      <c r="A1684" s="4" t="s">
        <v>11226</v>
      </c>
      <c r="B1684" s="4" t="s">
        <v>4951</v>
      </c>
      <c r="C1684" s="4" t="s">
        <v>108</v>
      </c>
      <c r="D1684" s="4" t="s">
        <v>4952</v>
      </c>
      <c r="E1684" s="4" t="s">
        <v>23</v>
      </c>
      <c r="F1684" s="4" t="s">
        <v>11227</v>
      </c>
      <c r="G1684" s="4" t="s">
        <v>11228</v>
      </c>
      <c r="H1684" s="4">
        <v>2.2000000000000002</v>
      </c>
      <c r="I1684" s="4">
        <v>1.1000000000000001</v>
      </c>
      <c r="J1684" s="4">
        <v>0.22220000000000001</v>
      </c>
      <c r="K1684" s="4" t="b">
        <v>1</v>
      </c>
      <c r="L1684" s="4" t="b">
        <v>0</v>
      </c>
    </row>
    <row r="1685" spans="1:13" ht="13">
      <c r="A1685" s="4" t="s">
        <v>11229</v>
      </c>
      <c r="B1685" s="4" t="s">
        <v>4951</v>
      </c>
      <c r="C1685" s="4" t="s">
        <v>108</v>
      </c>
      <c r="D1685" s="4" t="s">
        <v>4952</v>
      </c>
      <c r="E1685" s="4" t="s">
        <v>23</v>
      </c>
      <c r="F1685" s="4" t="s">
        <v>11230</v>
      </c>
      <c r="G1685" s="4" t="s">
        <v>11231</v>
      </c>
      <c r="H1685" s="4">
        <v>2.2000000000000002</v>
      </c>
      <c r="I1685" s="4">
        <v>1.2</v>
      </c>
      <c r="J1685" s="4">
        <v>0.23960999999999999</v>
      </c>
      <c r="K1685" s="4" t="b">
        <v>1</v>
      </c>
      <c r="L1685" s="4" t="b">
        <v>0</v>
      </c>
    </row>
    <row r="1686" spans="1:13" ht="13">
      <c r="A1686" s="4" t="s">
        <v>11232</v>
      </c>
      <c r="B1686" s="4" t="s">
        <v>4951</v>
      </c>
      <c r="C1686" s="4" t="s">
        <v>108</v>
      </c>
      <c r="D1686" s="4" t="s">
        <v>4952</v>
      </c>
      <c r="E1686" s="4" t="s">
        <v>23</v>
      </c>
      <c r="F1686" s="4" t="s">
        <v>11233</v>
      </c>
      <c r="G1686" s="4" t="s">
        <v>11234</v>
      </c>
      <c r="H1686" s="4">
        <v>2.2400000000000002</v>
      </c>
      <c r="I1686" s="4">
        <v>1.04</v>
      </c>
      <c r="J1686" s="4">
        <v>0.22367999999999999</v>
      </c>
      <c r="K1686" s="4" t="b">
        <v>1</v>
      </c>
      <c r="L1686" s="4" t="b">
        <v>0</v>
      </c>
    </row>
    <row r="1687" spans="1:13" ht="13">
      <c r="A1687" s="4" t="s">
        <v>11235</v>
      </c>
      <c r="B1687" s="4" t="s">
        <v>4951</v>
      </c>
      <c r="C1687" s="4" t="s">
        <v>108</v>
      </c>
      <c r="D1687" s="4" t="s">
        <v>4952</v>
      </c>
      <c r="E1687" s="4" t="s">
        <v>23</v>
      </c>
      <c r="F1687" s="4" t="s">
        <v>11236</v>
      </c>
      <c r="G1687" s="4" t="s">
        <v>11237</v>
      </c>
      <c r="H1687" s="4">
        <v>2.25</v>
      </c>
      <c r="I1687" s="4">
        <v>1.08</v>
      </c>
      <c r="J1687" s="4">
        <v>0.23910999999999999</v>
      </c>
      <c r="K1687" s="4" t="b">
        <v>1</v>
      </c>
      <c r="L1687" s="4" t="b">
        <v>0</v>
      </c>
    </row>
    <row r="1688" spans="1:13" ht="13">
      <c r="A1688" s="4" t="s">
        <v>11238</v>
      </c>
      <c r="B1688" s="4" t="s">
        <v>4951</v>
      </c>
      <c r="C1688" s="4" t="s">
        <v>108</v>
      </c>
      <c r="D1688" s="4" t="s">
        <v>4952</v>
      </c>
      <c r="E1688" s="4" t="s">
        <v>23</v>
      </c>
      <c r="F1688" s="4" t="s">
        <v>11239</v>
      </c>
      <c r="G1688" s="4" t="s">
        <v>11240</v>
      </c>
      <c r="H1688" s="4">
        <v>2.2599999999999998</v>
      </c>
      <c r="I1688" s="4">
        <v>1.1299999999999999</v>
      </c>
      <c r="J1688" s="4">
        <v>0.23574000000000001</v>
      </c>
      <c r="K1688" s="4" t="b">
        <v>1</v>
      </c>
      <c r="L1688" s="4" t="b">
        <v>0</v>
      </c>
    </row>
    <row r="1689" spans="1:13" ht="13">
      <c r="A1689" s="4" t="s">
        <v>11241</v>
      </c>
      <c r="B1689" s="4" t="s">
        <v>4951</v>
      </c>
      <c r="C1689" s="4" t="s">
        <v>108</v>
      </c>
      <c r="D1689" s="4" t="s">
        <v>4952</v>
      </c>
      <c r="E1689" s="4" t="s">
        <v>23</v>
      </c>
      <c r="F1689" s="4" t="s">
        <v>11242</v>
      </c>
      <c r="G1689" s="4" t="s">
        <v>11243</v>
      </c>
      <c r="H1689" s="4">
        <v>2.2599999999999998</v>
      </c>
      <c r="I1689" s="4">
        <v>0.97</v>
      </c>
      <c r="J1689" s="4">
        <v>0.24054</v>
      </c>
      <c r="K1689" s="4" t="b">
        <v>1</v>
      </c>
      <c r="L1689" s="4" t="b">
        <v>0</v>
      </c>
    </row>
    <row r="1690" spans="1:13" ht="13">
      <c r="A1690" s="4" t="s">
        <v>11244</v>
      </c>
      <c r="B1690" s="4" t="s">
        <v>4951</v>
      </c>
      <c r="C1690" s="4" t="s">
        <v>108</v>
      </c>
      <c r="D1690" s="4" t="s">
        <v>4952</v>
      </c>
      <c r="E1690" s="4" t="s">
        <v>23</v>
      </c>
      <c r="F1690" s="4" t="s">
        <v>11245</v>
      </c>
      <c r="G1690" s="4" t="s">
        <v>11246</v>
      </c>
      <c r="H1690" s="4">
        <v>2.27</v>
      </c>
      <c r="I1690" s="4">
        <v>0.97</v>
      </c>
      <c r="J1690" s="4">
        <v>0.22136</v>
      </c>
      <c r="K1690" s="4" t="b">
        <v>1</v>
      </c>
      <c r="L1690" s="4" t="b">
        <v>0</v>
      </c>
    </row>
    <row r="1691" spans="1:13" ht="13">
      <c r="A1691" s="4" t="s">
        <v>11247</v>
      </c>
      <c r="B1691" s="4" t="s">
        <v>4951</v>
      </c>
      <c r="C1691" s="4" t="s">
        <v>108</v>
      </c>
      <c r="D1691" s="4" t="s">
        <v>4952</v>
      </c>
      <c r="E1691" s="4" t="s">
        <v>23</v>
      </c>
      <c r="F1691" s="4" t="s">
        <v>11248</v>
      </c>
      <c r="G1691" s="4" t="s">
        <v>11249</v>
      </c>
      <c r="H1691" s="4">
        <v>2.2799999999999998</v>
      </c>
      <c r="I1691" s="4">
        <v>0.99</v>
      </c>
      <c r="J1691" s="4">
        <v>0.21199000000000001</v>
      </c>
      <c r="K1691" s="4" t="b">
        <v>1</v>
      </c>
      <c r="L1691" s="4" t="b">
        <v>0</v>
      </c>
    </row>
    <row r="1692" spans="1:13" ht="13">
      <c r="A1692" s="4" t="s">
        <v>11250</v>
      </c>
      <c r="B1692" s="4" t="s">
        <v>4951</v>
      </c>
      <c r="C1692" s="4" t="s">
        <v>108</v>
      </c>
      <c r="D1692" s="4" t="s">
        <v>4952</v>
      </c>
      <c r="E1692" s="4" t="s">
        <v>23</v>
      </c>
      <c r="F1692" s="4" t="s">
        <v>11251</v>
      </c>
      <c r="G1692" s="4" t="s">
        <v>11252</v>
      </c>
      <c r="H1692" s="4">
        <v>2.2999999999999998</v>
      </c>
      <c r="I1692" s="4">
        <v>1.1399999999999999</v>
      </c>
      <c r="J1692" s="4">
        <v>0.24904999999999999</v>
      </c>
      <c r="K1692" s="4" t="b">
        <v>1</v>
      </c>
      <c r="L1692" s="4" t="b">
        <v>0</v>
      </c>
    </row>
    <row r="1693" spans="1:13" ht="13">
      <c r="A1693" s="4" t="s">
        <v>11253</v>
      </c>
      <c r="B1693" s="4" t="s">
        <v>4951</v>
      </c>
      <c r="C1693" s="4" t="s">
        <v>108</v>
      </c>
      <c r="D1693" s="4" t="s">
        <v>4952</v>
      </c>
      <c r="E1693" s="4" t="s">
        <v>20</v>
      </c>
      <c r="F1693" s="4" t="s">
        <v>11254</v>
      </c>
      <c r="G1693" s="4" t="s">
        <v>11255</v>
      </c>
      <c r="H1693" s="4">
        <v>2.2999999999999998</v>
      </c>
      <c r="I1693" s="4">
        <v>1.02</v>
      </c>
      <c r="J1693" s="4">
        <v>0.22277</v>
      </c>
      <c r="K1693" s="4" t="b">
        <v>1</v>
      </c>
      <c r="L1693" s="4" t="b">
        <v>0</v>
      </c>
    </row>
    <row r="1694" spans="1:13" ht="13">
      <c r="A1694" s="4" t="s">
        <v>11256</v>
      </c>
      <c r="B1694" s="4" t="s">
        <v>4951</v>
      </c>
      <c r="C1694" s="4" t="s">
        <v>108</v>
      </c>
      <c r="D1694" s="4" t="s">
        <v>4952</v>
      </c>
      <c r="E1694" s="4" t="s">
        <v>20</v>
      </c>
      <c r="F1694" s="4" t="s">
        <v>11257</v>
      </c>
      <c r="G1694" s="4" t="s">
        <v>11258</v>
      </c>
      <c r="H1694" s="4">
        <v>2.31</v>
      </c>
      <c r="I1694" s="4">
        <v>1.1599999999999999</v>
      </c>
      <c r="J1694" s="4">
        <v>0.22938</v>
      </c>
      <c r="K1694" s="4" t="b">
        <v>1</v>
      </c>
      <c r="L1694" s="4" t="b">
        <v>0</v>
      </c>
    </row>
    <row r="1695" spans="1:13" ht="13">
      <c r="A1695" s="4" t="s">
        <v>11259</v>
      </c>
      <c r="B1695" s="4" t="s">
        <v>4951</v>
      </c>
      <c r="C1695" s="4" t="s">
        <v>108</v>
      </c>
      <c r="D1695" s="4" t="s">
        <v>4952</v>
      </c>
      <c r="E1695" s="4" t="s">
        <v>20</v>
      </c>
      <c r="F1695" s="4" t="s">
        <v>11260</v>
      </c>
      <c r="G1695" s="4" t="s">
        <v>11261</v>
      </c>
      <c r="H1695" s="4">
        <v>2.3199999999999998</v>
      </c>
      <c r="I1695" s="4">
        <v>1.01</v>
      </c>
      <c r="J1695" s="4">
        <v>0.22631999999999999</v>
      </c>
      <c r="K1695" s="4" t="b">
        <v>1</v>
      </c>
      <c r="L1695" s="4" t="b">
        <v>0</v>
      </c>
    </row>
    <row r="1696" spans="1:13" ht="13">
      <c r="A1696" s="4" t="s">
        <v>3207</v>
      </c>
      <c r="B1696" s="4" t="s">
        <v>4951</v>
      </c>
      <c r="C1696" s="4" t="s">
        <v>108</v>
      </c>
      <c r="D1696" s="4" t="s">
        <v>4952</v>
      </c>
      <c r="E1696" s="4" t="s">
        <v>20</v>
      </c>
      <c r="F1696" s="4" t="s">
        <v>4997</v>
      </c>
      <c r="G1696" s="4" t="s">
        <v>3103</v>
      </c>
      <c r="H1696" s="4">
        <v>2.3199999999999998</v>
      </c>
      <c r="I1696" s="4">
        <v>1.18</v>
      </c>
      <c r="J1696" s="4">
        <v>0.24787999999999999</v>
      </c>
      <c r="K1696" s="4" t="b">
        <v>1</v>
      </c>
      <c r="L1696" s="4" t="b">
        <v>1</v>
      </c>
      <c r="M1696" s="41" t="s">
        <v>4929</v>
      </c>
    </row>
    <row r="1697" spans="1:13" ht="13">
      <c r="A1697" s="4" t="s">
        <v>11262</v>
      </c>
      <c r="B1697" s="4" t="s">
        <v>4951</v>
      </c>
      <c r="C1697" s="4" t="s">
        <v>108</v>
      </c>
      <c r="D1697" s="4" t="s">
        <v>4952</v>
      </c>
      <c r="E1697" s="4" t="s">
        <v>20</v>
      </c>
      <c r="F1697" s="4" t="s">
        <v>11263</v>
      </c>
      <c r="G1697" s="4" t="s">
        <v>11264</v>
      </c>
      <c r="H1697" s="4">
        <v>2.34</v>
      </c>
      <c r="I1697" s="4">
        <v>1.1299999999999999</v>
      </c>
      <c r="J1697" s="4">
        <v>0.22061</v>
      </c>
      <c r="K1697" s="4" t="b">
        <v>1</v>
      </c>
      <c r="L1697" s="4" t="b">
        <v>0</v>
      </c>
    </row>
    <row r="1698" spans="1:13" ht="13">
      <c r="A1698" s="4" t="s">
        <v>11265</v>
      </c>
      <c r="B1698" s="4" t="s">
        <v>4951</v>
      </c>
      <c r="C1698" s="4" t="s">
        <v>108</v>
      </c>
      <c r="D1698" s="4" t="s">
        <v>4952</v>
      </c>
      <c r="E1698" s="4" t="s">
        <v>20</v>
      </c>
      <c r="F1698" s="4" t="s">
        <v>11266</v>
      </c>
      <c r="G1698" s="4" t="s">
        <v>11267</v>
      </c>
      <c r="H1698" s="4">
        <v>2.34</v>
      </c>
      <c r="I1698" s="4">
        <v>1.1599999999999999</v>
      </c>
      <c r="J1698" s="4">
        <v>0.24992</v>
      </c>
      <c r="K1698" s="4" t="b">
        <v>1</v>
      </c>
      <c r="L1698" s="4" t="b">
        <v>0</v>
      </c>
    </row>
    <row r="1699" spans="1:13" ht="13">
      <c r="A1699" s="4" t="s">
        <v>11268</v>
      </c>
      <c r="B1699" s="4" t="s">
        <v>4951</v>
      </c>
      <c r="C1699" s="4" t="s">
        <v>108</v>
      </c>
      <c r="D1699" s="4" t="s">
        <v>4952</v>
      </c>
      <c r="E1699" s="4" t="s">
        <v>20</v>
      </c>
      <c r="F1699" s="4" t="s">
        <v>11269</v>
      </c>
      <c r="G1699" s="4" t="s">
        <v>11270</v>
      </c>
      <c r="H1699" s="4">
        <v>2.37</v>
      </c>
      <c r="I1699" s="4">
        <v>1.18</v>
      </c>
      <c r="J1699" s="4">
        <v>0.24403</v>
      </c>
      <c r="K1699" s="4" t="b">
        <v>1</v>
      </c>
      <c r="L1699" s="4" t="b">
        <v>0</v>
      </c>
    </row>
    <row r="1700" spans="1:13" ht="13">
      <c r="A1700" s="4" t="s">
        <v>11271</v>
      </c>
      <c r="B1700" s="4" t="s">
        <v>4951</v>
      </c>
      <c r="C1700" s="4" t="s">
        <v>108</v>
      </c>
      <c r="D1700" s="4" t="s">
        <v>4952</v>
      </c>
      <c r="E1700" s="4" t="s">
        <v>20</v>
      </c>
      <c r="F1700" s="4" t="s">
        <v>11272</v>
      </c>
      <c r="G1700" s="4" t="s">
        <v>11273</v>
      </c>
      <c r="H1700" s="4">
        <v>2.37</v>
      </c>
      <c r="I1700" s="4">
        <v>1.06</v>
      </c>
      <c r="J1700" s="4">
        <v>0.23956</v>
      </c>
      <c r="K1700" s="4" t="b">
        <v>1</v>
      </c>
      <c r="L1700" s="4" t="b">
        <v>0</v>
      </c>
    </row>
    <row r="1701" spans="1:13" ht="13">
      <c r="A1701" s="4" t="s">
        <v>11274</v>
      </c>
      <c r="B1701" s="4" t="s">
        <v>4951</v>
      </c>
      <c r="C1701" s="4" t="s">
        <v>108</v>
      </c>
      <c r="D1701" s="4" t="s">
        <v>4952</v>
      </c>
      <c r="E1701" s="4" t="s">
        <v>20</v>
      </c>
      <c r="F1701" s="4" t="s">
        <v>11275</v>
      </c>
      <c r="G1701" s="4" t="s">
        <v>11276</v>
      </c>
      <c r="H1701" s="4">
        <v>2.38</v>
      </c>
      <c r="I1701" s="4">
        <v>1.1200000000000001</v>
      </c>
      <c r="J1701" s="4">
        <v>0.22628999999999999</v>
      </c>
      <c r="K1701" s="4" t="b">
        <v>1</v>
      </c>
      <c r="L1701" s="4" t="b">
        <v>0</v>
      </c>
    </row>
    <row r="1702" spans="1:13" ht="13">
      <c r="A1702" s="4" t="s">
        <v>11277</v>
      </c>
      <c r="B1702" s="4" t="s">
        <v>4951</v>
      </c>
      <c r="C1702" s="4" t="s">
        <v>108</v>
      </c>
      <c r="D1702" s="4" t="s">
        <v>4952</v>
      </c>
      <c r="E1702" s="4" t="s">
        <v>20</v>
      </c>
      <c r="F1702" s="4" t="s">
        <v>11278</v>
      </c>
      <c r="G1702" s="4" t="s">
        <v>11279</v>
      </c>
      <c r="H1702" s="4">
        <v>2.38</v>
      </c>
      <c r="I1702" s="4">
        <v>1.07</v>
      </c>
      <c r="J1702" s="4">
        <v>0.23244999999999999</v>
      </c>
      <c r="K1702" s="4" t="b">
        <v>1</v>
      </c>
      <c r="L1702" s="4" t="b">
        <v>0</v>
      </c>
    </row>
    <row r="1703" spans="1:13" ht="13">
      <c r="A1703" s="4" t="s">
        <v>3208</v>
      </c>
      <c r="B1703" s="4" t="s">
        <v>4951</v>
      </c>
      <c r="C1703" s="4" t="s">
        <v>108</v>
      </c>
      <c r="D1703" s="4" t="s">
        <v>4952</v>
      </c>
      <c r="E1703" s="4" t="s">
        <v>20</v>
      </c>
      <c r="F1703" s="4" t="s">
        <v>4998</v>
      </c>
      <c r="G1703" s="4" t="s">
        <v>3104</v>
      </c>
      <c r="H1703" s="4">
        <v>2.38</v>
      </c>
      <c r="I1703" s="4">
        <v>1.18</v>
      </c>
      <c r="J1703" s="4">
        <v>0.24790000000000001</v>
      </c>
      <c r="K1703" s="4" t="b">
        <v>1</v>
      </c>
      <c r="L1703" s="4" t="b">
        <v>1</v>
      </c>
      <c r="M1703" s="41" t="s">
        <v>4929</v>
      </c>
    </row>
    <row r="1704" spans="1:13" ht="13">
      <c r="A1704" s="4" t="s">
        <v>11280</v>
      </c>
      <c r="B1704" s="4" t="s">
        <v>4951</v>
      </c>
      <c r="C1704" s="4" t="s">
        <v>108</v>
      </c>
      <c r="D1704" s="4" t="s">
        <v>4952</v>
      </c>
      <c r="E1704" s="4" t="s">
        <v>20</v>
      </c>
      <c r="F1704" s="4" t="s">
        <v>11281</v>
      </c>
      <c r="G1704" s="4" t="s">
        <v>11282</v>
      </c>
      <c r="H1704" s="4">
        <v>2.4</v>
      </c>
      <c r="I1704" s="4">
        <v>1.1100000000000001</v>
      </c>
      <c r="J1704" s="4">
        <v>0.24598</v>
      </c>
      <c r="K1704" s="4" t="b">
        <v>1</v>
      </c>
      <c r="L1704" s="4" t="b">
        <v>0</v>
      </c>
    </row>
    <row r="1705" spans="1:13" ht="13">
      <c r="A1705" s="4" t="s">
        <v>11283</v>
      </c>
      <c r="B1705" s="4" t="s">
        <v>4951</v>
      </c>
      <c r="C1705" s="4" t="s">
        <v>108</v>
      </c>
      <c r="D1705" s="4" t="s">
        <v>4952</v>
      </c>
      <c r="E1705" s="4" t="s">
        <v>20</v>
      </c>
      <c r="F1705" s="4" t="s">
        <v>11284</v>
      </c>
      <c r="G1705" s="4" t="s">
        <v>11285</v>
      </c>
      <c r="H1705" s="4">
        <v>2.4</v>
      </c>
      <c r="I1705" s="4">
        <v>1.02</v>
      </c>
      <c r="J1705" s="4">
        <v>0.22449</v>
      </c>
      <c r="K1705" s="4" t="b">
        <v>1</v>
      </c>
      <c r="L1705" s="4" t="b">
        <v>0</v>
      </c>
    </row>
    <row r="1706" spans="1:13" ht="13">
      <c r="A1706" s="4" t="s">
        <v>11286</v>
      </c>
      <c r="B1706" s="4" t="s">
        <v>4951</v>
      </c>
      <c r="C1706" s="4" t="s">
        <v>108</v>
      </c>
      <c r="D1706" s="4" t="s">
        <v>4952</v>
      </c>
      <c r="E1706" s="4" t="s">
        <v>20</v>
      </c>
      <c r="F1706" s="4" t="s">
        <v>11287</v>
      </c>
      <c r="G1706" s="4" t="s">
        <v>11288</v>
      </c>
      <c r="H1706" s="4">
        <v>2.41</v>
      </c>
      <c r="I1706" s="4">
        <v>1.3</v>
      </c>
      <c r="J1706" s="4">
        <v>0.21629999999999999</v>
      </c>
      <c r="K1706" s="4" t="b">
        <v>1</v>
      </c>
      <c r="L1706" s="4" t="b">
        <v>0</v>
      </c>
    </row>
    <row r="1707" spans="1:13" ht="13">
      <c r="A1707" s="4" t="s">
        <v>11289</v>
      </c>
      <c r="B1707" s="4" t="s">
        <v>4951</v>
      </c>
      <c r="C1707" s="4" t="s">
        <v>108</v>
      </c>
      <c r="D1707" s="4" t="s">
        <v>4952</v>
      </c>
      <c r="E1707" s="4" t="s">
        <v>20</v>
      </c>
      <c r="F1707" s="4" t="s">
        <v>11290</v>
      </c>
      <c r="G1707" s="4" t="s">
        <v>11291</v>
      </c>
      <c r="H1707" s="4">
        <v>2.41</v>
      </c>
      <c r="I1707" s="4">
        <v>1.03</v>
      </c>
      <c r="J1707" s="4">
        <v>0.22025</v>
      </c>
      <c r="K1707" s="4" t="b">
        <v>1</v>
      </c>
      <c r="L1707" s="4" t="b">
        <v>0</v>
      </c>
    </row>
    <row r="1708" spans="1:13" ht="13">
      <c r="A1708" s="4" t="s">
        <v>3209</v>
      </c>
      <c r="B1708" s="4" t="s">
        <v>4951</v>
      </c>
      <c r="C1708" s="4" t="s">
        <v>108</v>
      </c>
      <c r="D1708" s="4" t="s">
        <v>4952</v>
      </c>
      <c r="E1708" s="4" t="s">
        <v>20</v>
      </c>
      <c r="F1708" s="4" t="s">
        <v>4999</v>
      </c>
      <c r="G1708" s="4" t="s">
        <v>3105</v>
      </c>
      <c r="H1708" s="4">
        <v>2.42</v>
      </c>
      <c r="I1708" s="4">
        <v>1.08</v>
      </c>
      <c r="J1708" s="4">
        <v>0.22477</v>
      </c>
      <c r="K1708" s="4" t="b">
        <v>1</v>
      </c>
      <c r="L1708" s="4" t="b">
        <v>1</v>
      </c>
      <c r="M1708" s="41" t="s">
        <v>4929</v>
      </c>
    </row>
    <row r="1709" spans="1:13" ht="13">
      <c r="A1709" s="4" t="s">
        <v>11292</v>
      </c>
      <c r="B1709" s="4" t="s">
        <v>4951</v>
      </c>
      <c r="C1709" s="4" t="s">
        <v>108</v>
      </c>
      <c r="D1709" s="4" t="s">
        <v>4952</v>
      </c>
      <c r="E1709" s="4" t="s">
        <v>20</v>
      </c>
      <c r="F1709" s="4" t="s">
        <v>11293</v>
      </c>
      <c r="G1709" s="4" t="s">
        <v>11294</v>
      </c>
      <c r="H1709" s="4">
        <v>2.4300000000000002</v>
      </c>
      <c r="I1709" s="4">
        <v>1.21</v>
      </c>
      <c r="J1709" s="4">
        <v>0.26601999999999998</v>
      </c>
      <c r="K1709" s="4" t="b">
        <v>1</v>
      </c>
      <c r="L1709" s="4" t="b">
        <v>0</v>
      </c>
    </row>
    <row r="1710" spans="1:13" ht="13">
      <c r="A1710" s="4" t="s">
        <v>11295</v>
      </c>
      <c r="B1710" s="4" t="s">
        <v>4951</v>
      </c>
      <c r="C1710" s="4" t="s">
        <v>108</v>
      </c>
      <c r="D1710" s="4" t="s">
        <v>4952</v>
      </c>
      <c r="E1710" s="4" t="s">
        <v>20</v>
      </c>
      <c r="F1710" s="4" t="s">
        <v>11296</v>
      </c>
      <c r="G1710" s="4" t="s">
        <v>11297</v>
      </c>
      <c r="H1710" s="4">
        <v>2.44</v>
      </c>
      <c r="I1710" s="4">
        <v>1.03</v>
      </c>
      <c r="J1710" s="4">
        <v>0.22581000000000001</v>
      </c>
      <c r="K1710" s="4" t="b">
        <v>1</v>
      </c>
      <c r="L1710" s="4" t="b">
        <v>0</v>
      </c>
    </row>
    <row r="1711" spans="1:13" ht="13">
      <c r="A1711" s="4" t="s">
        <v>3210</v>
      </c>
      <c r="B1711" s="4" t="s">
        <v>4951</v>
      </c>
      <c r="C1711" s="4" t="s">
        <v>108</v>
      </c>
      <c r="D1711" s="4" t="s">
        <v>4952</v>
      </c>
      <c r="E1711" s="4" t="s">
        <v>20</v>
      </c>
      <c r="F1711" s="4" t="s">
        <v>5000</v>
      </c>
      <c r="G1711" s="4" t="s">
        <v>3106</v>
      </c>
      <c r="H1711" s="4">
        <v>2.46</v>
      </c>
      <c r="I1711" s="4">
        <v>1.07</v>
      </c>
      <c r="J1711" s="4">
        <v>0.23527000000000001</v>
      </c>
      <c r="K1711" s="4" t="b">
        <v>1</v>
      </c>
      <c r="L1711" s="4" t="b">
        <v>1</v>
      </c>
      <c r="M1711" s="41" t="s">
        <v>4929</v>
      </c>
    </row>
    <row r="1712" spans="1:13" ht="13">
      <c r="A1712" s="4" t="s">
        <v>11298</v>
      </c>
      <c r="B1712" s="4" t="s">
        <v>4951</v>
      </c>
      <c r="C1712" s="4" t="s">
        <v>108</v>
      </c>
      <c r="D1712" s="4" t="s">
        <v>4952</v>
      </c>
      <c r="E1712" s="4" t="s">
        <v>20</v>
      </c>
      <c r="F1712" s="4" t="s">
        <v>11299</v>
      </c>
      <c r="G1712" s="4" t="s">
        <v>11300</v>
      </c>
      <c r="H1712" s="4">
        <v>2.4700000000000002</v>
      </c>
      <c r="I1712" s="4">
        <v>1.03</v>
      </c>
      <c r="J1712" s="4">
        <v>0.23080999999999999</v>
      </c>
      <c r="K1712" s="4" t="b">
        <v>1</v>
      </c>
      <c r="L1712" s="4" t="b">
        <v>0</v>
      </c>
    </row>
    <row r="1713" spans="1:13" ht="13">
      <c r="A1713" s="4" t="s">
        <v>11301</v>
      </c>
      <c r="B1713" s="4" t="s">
        <v>4951</v>
      </c>
      <c r="C1713" s="4" t="s">
        <v>108</v>
      </c>
      <c r="D1713" s="4" t="s">
        <v>4952</v>
      </c>
      <c r="E1713" s="4" t="s">
        <v>20</v>
      </c>
      <c r="F1713" s="4" t="s">
        <v>11302</v>
      </c>
      <c r="G1713" s="4" t="s">
        <v>11303</v>
      </c>
      <c r="H1713" s="4">
        <v>2.4700000000000002</v>
      </c>
      <c r="I1713" s="4">
        <v>1.05</v>
      </c>
      <c r="J1713" s="4">
        <v>0.23121</v>
      </c>
      <c r="K1713" s="4" t="b">
        <v>1</v>
      </c>
      <c r="L1713" s="4" t="b">
        <v>0</v>
      </c>
    </row>
    <row r="1714" spans="1:13" ht="13">
      <c r="A1714" s="4" t="s">
        <v>3211</v>
      </c>
      <c r="B1714" s="4" t="s">
        <v>4951</v>
      </c>
      <c r="C1714" s="4" t="s">
        <v>108</v>
      </c>
      <c r="D1714" s="4" t="s">
        <v>4952</v>
      </c>
      <c r="E1714" s="4" t="s">
        <v>20</v>
      </c>
      <c r="F1714" s="4" t="s">
        <v>5133</v>
      </c>
      <c r="G1714" s="4" t="s">
        <v>3107</v>
      </c>
      <c r="H1714" s="4">
        <v>2.4900000000000002</v>
      </c>
      <c r="I1714" s="4">
        <v>1.02</v>
      </c>
      <c r="J1714" s="4">
        <v>0.23125999999999999</v>
      </c>
      <c r="K1714" s="4" t="b">
        <v>1</v>
      </c>
      <c r="L1714" s="4" t="b">
        <v>1</v>
      </c>
      <c r="M1714" s="41" t="s">
        <v>4929</v>
      </c>
    </row>
    <row r="1715" spans="1:13" ht="13">
      <c r="A1715" s="4" t="s">
        <v>11304</v>
      </c>
      <c r="B1715" s="4" t="s">
        <v>4951</v>
      </c>
      <c r="C1715" s="4" t="s">
        <v>108</v>
      </c>
      <c r="D1715" s="4" t="s">
        <v>4952</v>
      </c>
      <c r="E1715" s="4" t="s">
        <v>20</v>
      </c>
      <c r="F1715" s="4" t="s">
        <v>11305</v>
      </c>
      <c r="G1715" s="4" t="s">
        <v>11306</v>
      </c>
      <c r="H1715" s="4">
        <v>2.4900000000000002</v>
      </c>
      <c r="I1715" s="4">
        <v>1.1200000000000001</v>
      </c>
      <c r="J1715" s="4">
        <v>0.22109000000000001</v>
      </c>
      <c r="K1715" s="4" t="b">
        <v>1</v>
      </c>
      <c r="L1715" s="4" t="b">
        <v>0</v>
      </c>
    </row>
    <row r="1716" spans="1:13" ht="13">
      <c r="A1716" s="4" t="s">
        <v>11307</v>
      </c>
      <c r="B1716" s="4" t="s">
        <v>4951</v>
      </c>
      <c r="C1716" s="4" t="s">
        <v>108</v>
      </c>
      <c r="D1716" s="4" t="s">
        <v>4952</v>
      </c>
      <c r="E1716" s="4" t="s">
        <v>20</v>
      </c>
      <c r="F1716" s="4" t="s">
        <v>11308</v>
      </c>
      <c r="G1716" s="4" t="s">
        <v>11309</v>
      </c>
      <c r="H1716" s="4">
        <v>2.5</v>
      </c>
      <c r="I1716" s="4">
        <v>1.04</v>
      </c>
      <c r="J1716" s="4">
        <v>0.23080000000000001</v>
      </c>
      <c r="K1716" s="4" t="b">
        <v>1</v>
      </c>
      <c r="L1716" s="4" t="b">
        <v>0</v>
      </c>
    </row>
    <row r="1717" spans="1:13" ht="13">
      <c r="A1717" s="4" t="s">
        <v>11310</v>
      </c>
      <c r="B1717" s="4" t="s">
        <v>4951</v>
      </c>
      <c r="C1717" s="4" t="s">
        <v>108</v>
      </c>
      <c r="D1717" s="4" t="s">
        <v>4952</v>
      </c>
      <c r="E1717" s="4" t="s">
        <v>20</v>
      </c>
      <c r="F1717" s="4" t="s">
        <v>11311</v>
      </c>
      <c r="G1717" s="4" t="s">
        <v>11312</v>
      </c>
      <c r="H1717" s="4">
        <v>2.5099999999999998</v>
      </c>
      <c r="I1717" s="4">
        <v>1.04</v>
      </c>
      <c r="J1717" s="4">
        <v>0.23261999999999999</v>
      </c>
      <c r="K1717" s="4" t="b">
        <v>1</v>
      </c>
      <c r="L1717" s="4" t="b">
        <v>0</v>
      </c>
    </row>
    <row r="1718" spans="1:13" ht="13">
      <c r="A1718" s="4" t="s">
        <v>11313</v>
      </c>
      <c r="B1718" s="4" t="s">
        <v>4951</v>
      </c>
      <c r="C1718" s="4" t="s">
        <v>108</v>
      </c>
      <c r="D1718" s="4" t="s">
        <v>4952</v>
      </c>
      <c r="E1718" s="4" t="s">
        <v>20</v>
      </c>
      <c r="F1718" s="4" t="s">
        <v>11314</v>
      </c>
      <c r="G1718" s="4" t="s">
        <v>11315</v>
      </c>
      <c r="H1718" s="4">
        <v>2.5099999999999998</v>
      </c>
      <c r="I1718" s="4">
        <v>1.1000000000000001</v>
      </c>
      <c r="J1718" s="4">
        <v>0.23261000000000001</v>
      </c>
      <c r="K1718" s="4" t="b">
        <v>1</v>
      </c>
      <c r="L1718" s="4" t="b">
        <v>0</v>
      </c>
    </row>
    <row r="1719" spans="1:13" ht="13">
      <c r="A1719" s="4" t="s">
        <v>11316</v>
      </c>
      <c r="B1719" s="4" t="s">
        <v>4951</v>
      </c>
      <c r="C1719" s="4" t="s">
        <v>108</v>
      </c>
      <c r="D1719" s="4" t="s">
        <v>4952</v>
      </c>
      <c r="E1719" s="4" t="s">
        <v>20</v>
      </c>
      <c r="F1719" s="4" t="s">
        <v>11317</v>
      </c>
      <c r="G1719" s="4" t="s">
        <v>11318</v>
      </c>
      <c r="H1719" s="4">
        <v>2.5099999999999998</v>
      </c>
      <c r="I1719" s="4">
        <v>1.1599999999999999</v>
      </c>
      <c r="J1719" s="4">
        <v>0.23261000000000001</v>
      </c>
      <c r="K1719" s="4" t="b">
        <v>1</v>
      </c>
      <c r="L1719" s="4" t="b">
        <v>0</v>
      </c>
    </row>
    <row r="1720" spans="1:13" ht="13">
      <c r="A1720" s="4" t="s">
        <v>11319</v>
      </c>
      <c r="B1720" s="4" t="s">
        <v>4951</v>
      </c>
      <c r="C1720" s="4" t="s">
        <v>108</v>
      </c>
      <c r="D1720" s="4" t="s">
        <v>4952</v>
      </c>
      <c r="E1720" s="4" t="s">
        <v>20</v>
      </c>
      <c r="F1720" s="4" t="s">
        <v>11320</v>
      </c>
      <c r="G1720" s="4" t="s">
        <v>11321</v>
      </c>
      <c r="H1720" s="4">
        <v>2.52</v>
      </c>
      <c r="I1720" s="4">
        <v>1.1499999999999999</v>
      </c>
      <c r="J1720" s="4">
        <v>0.23930000000000001</v>
      </c>
      <c r="K1720" s="4" t="b">
        <v>1</v>
      </c>
      <c r="L1720" s="4" t="b">
        <v>0</v>
      </c>
    </row>
    <row r="1721" spans="1:13" ht="13">
      <c r="A1721" s="4" t="s">
        <v>11322</v>
      </c>
      <c r="B1721" s="4" t="s">
        <v>4951</v>
      </c>
      <c r="C1721" s="4" t="s">
        <v>108</v>
      </c>
      <c r="D1721" s="4" t="s">
        <v>4952</v>
      </c>
      <c r="E1721" s="4" t="s">
        <v>20</v>
      </c>
      <c r="F1721" s="4" t="s">
        <v>11323</v>
      </c>
      <c r="G1721" s="4" t="s">
        <v>11324</v>
      </c>
      <c r="H1721" s="4">
        <v>2.5299999999999998</v>
      </c>
      <c r="I1721" s="4">
        <v>1.17</v>
      </c>
      <c r="J1721" s="4">
        <v>0.23551</v>
      </c>
      <c r="K1721" s="4" t="b">
        <v>1</v>
      </c>
      <c r="L1721" s="4" t="b">
        <v>0</v>
      </c>
    </row>
    <row r="1722" spans="1:13" ht="13">
      <c r="A1722" s="4" t="s">
        <v>11325</v>
      </c>
      <c r="B1722" s="4" t="s">
        <v>4951</v>
      </c>
      <c r="C1722" s="4" t="s">
        <v>108</v>
      </c>
      <c r="D1722" s="4" t="s">
        <v>4952</v>
      </c>
      <c r="E1722" s="4" t="s">
        <v>20</v>
      </c>
      <c r="F1722" s="4" t="s">
        <v>11326</v>
      </c>
      <c r="G1722" s="4" t="s">
        <v>11327</v>
      </c>
      <c r="H1722" s="4">
        <v>2.54</v>
      </c>
      <c r="I1722" s="4">
        <v>1.1399999999999999</v>
      </c>
      <c r="J1722" s="4">
        <v>0.23799000000000001</v>
      </c>
      <c r="K1722" s="4" t="b">
        <v>1</v>
      </c>
      <c r="L1722" s="4" t="b">
        <v>0</v>
      </c>
    </row>
    <row r="1723" spans="1:13" ht="13">
      <c r="A1723" s="4" t="s">
        <v>3212</v>
      </c>
      <c r="B1723" s="4" t="s">
        <v>4951</v>
      </c>
      <c r="C1723" s="4" t="s">
        <v>108</v>
      </c>
      <c r="D1723" s="4" t="s">
        <v>4952</v>
      </c>
      <c r="E1723" s="4" t="s">
        <v>20</v>
      </c>
      <c r="F1723" s="4" t="s">
        <v>5134</v>
      </c>
      <c r="G1723" s="4" t="s">
        <v>3108</v>
      </c>
      <c r="H1723" s="4">
        <v>2.54</v>
      </c>
      <c r="I1723" s="4">
        <v>1.1599999999999999</v>
      </c>
      <c r="J1723" s="4">
        <v>0.23455999999999999</v>
      </c>
      <c r="K1723" s="4" t="b">
        <v>1</v>
      </c>
      <c r="L1723" s="4" t="b">
        <v>1</v>
      </c>
      <c r="M1723" s="41" t="s">
        <v>4929</v>
      </c>
    </row>
    <row r="1724" spans="1:13" ht="13">
      <c r="A1724" s="4" t="s">
        <v>11328</v>
      </c>
      <c r="B1724" s="4" t="s">
        <v>4951</v>
      </c>
      <c r="C1724" s="4" t="s">
        <v>108</v>
      </c>
      <c r="D1724" s="4" t="s">
        <v>4952</v>
      </c>
      <c r="E1724" s="4" t="s">
        <v>20</v>
      </c>
      <c r="F1724" s="4" t="s">
        <v>11329</v>
      </c>
      <c r="G1724" s="4" t="s">
        <v>11330</v>
      </c>
      <c r="H1724" s="4">
        <v>2.54</v>
      </c>
      <c r="I1724" s="4">
        <v>1.1000000000000001</v>
      </c>
      <c r="J1724" s="4">
        <v>0.23776</v>
      </c>
      <c r="K1724" s="4" t="b">
        <v>1</v>
      </c>
      <c r="L1724" s="4" t="b">
        <v>0</v>
      </c>
    </row>
    <row r="1725" spans="1:13" ht="13">
      <c r="A1725" s="4" t="s">
        <v>11331</v>
      </c>
      <c r="B1725" s="4" t="s">
        <v>4951</v>
      </c>
      <c r="C1725" s="4" t="s">
        <v>108</v>
      </c>
      <c r="D1725" s="4" t="s">
        <v>4952</v>
      </c>
      <c r="E1725" s="4" t="s">
        <v>21</v>
      </c>
      <c r="F1725" s="4" t="s">
        <v>11332</v>
      </c>
      <c r="G1725" s="4" t="s">
        <v>11333</v>
      </c>
      <c r="H1725" s="4">
        <v>2.5499999999999998</v>
      </c>
      <c r="I1725" s="4">
        <v>1.1399999999999999</v>
      </c>
      <c r="J1725" s="4">
        <v>0.24990000000000001</v>
      </c>
      <c r="K1725" s="4" t="b">
        <v>1</v>
      </c>
      <c r="L1725" s="4" t="b">
        <v>0</v>
      </c>
    </row>
    <row r="1726" spans="1:13" ht="13">
      <c r="A1726" s="4" t="s">
        <v>11334</v>
      </c>
      <c r="B1726" s="4" t="s">
        <v>4951</v>
      </c>
      <c r="C1726" s="4" t="s">
        <v>108</v>
      </c>
      <c r="D1726" s="4" t="s">
        <v>4952</v>
      </c>
      <c r="E1726" s="4" t="s">
        <v>21</v>
      </c>
      <c r="F1726" s="4" t="s">
        <v>11335</v>
      </c>
      <c r="G1726" s="4" t="s">
        <v>11336</v>
      </c>
      <c r="H1726" s="4">
        <v>2.57</v>
      </c>
      <c r="I1726" s="4">
        <v>1.01</v>
      </c>
      <c r="J1726" s="4">
        <v>0.21451999999999999</v>
      </c>
      <c r="K1726" s="4" t="b">
        <v>1</v>
      </c>
      <c r="L1726" s="4" t="b">
        <v>0</v>
      </c>
    </row>
    <row r="1727" spans="1:13" ht="13">
      <c r="A1727" s="4" t="s">
        <v>11337</v>
      </c>
      <c r="B1727" s="4" t="s">
        <v>4951</v>
      </c>
      <c r="C1727" s="4" t="s">
        <v>108</v>
      </c>
      <c r="D1727" s="4" t="s">
        <v>4952</v>
      </c>
      <c r="E1727" s="4" t="s">
        <v>21</v>
      </c>
      <c r="F1727" s="4" t="s">
        <v>11338</v>
      </c>
      <c r="G1727" s="4" t="s">
        <v>11339</v>
      </c>
      <c r="H1727" s="4">
        <v>2.58</v>
      </c>
      <c r="I1727" s="4">
        <v>1.1200000000000001</v>
      </c>
      <c r="J1727" s="4">
        <v>0.23357</v>
      </c>
      <c r="K1727" s="4" t="b">
        <v>1</v>
      </c>
      <c r="L1727" s="4" t="b">
        <v>0</v>
      </c>
    </row>
    <row r="1728" spans="1:13" ht="13">
      <c r="A1728" s="4" t="s">
        <v>11340</v>
      </c>
      <c r="B1728" s="4" t="s">
        <v>4951</v>
      </c>
      <c r="C1728" s="4" t="s">
        <v>108</v>
      </c>
      <c r="D1728" s="4" t="s">
        <v>4952</v>
      </c>
      <c r="E1728" s="4" t="s">
        <v>21</v>
      </c>
      <c r="F1728" s="4" t="s">
        <v>11341</v>
      </c>
      <c r="G1728" s="4" t="s">
        <v>11342</v>
      </c>
      <c r="H1728" s="4">
        <v>2.58</v>
      </c>
      <c r="I1728" s="4">
        <v>1.03</v>
      </c>
      <c r="J1728" s="4">
        <v>0.21493000000000001</v>
      </c>
      <c r="K1728" s="4" t="b">
        <v>1</v>
      </c>
      <c r="L1728" s="4" t="b">
        <v>0</v>
      </c>
    </row>
    <row r="1729" spans="1:12" ht="13">
      <c r="A1729" s="4" t="s">
        <v>11343</v>
      </c>
      <c r="B1729" s="4" t="s">
        <v>4951</v>
      </c>
      <c r="C1729" s="4" t="s">
        <v>108</v>
      </c>
      <c r="D1729" s="4" t="s">
        <v>4952</v>
      </c>
      <c r="E1729" s="4" t="s">
        <v>21</v>
      </c>
      <c r="F1729" s="4" t="s">
        <v>11344</v>
      </c>
      <c r="G1729" s="4" t="s">
        <v>11345</v>
      </c>
      <c r="H1729" s="4">
        <v>2.59</v>
      </c>
      <c r="I1729" s="4">
        <v>1.1000000000000001</v>
      </c>
      <c r="J1729" s="4">
        <v>0.22503999999999999</v>
      </c>
      <c r="K1729" s="4" t="b">
        <v>1</v>
      </c>
      <c r="L1729" s="4" t="b">
        <v>0</v>
      </c>
    </row>
    <row r="1730" spans="1:12" ht="13">
      <c r="A1730" s="4" t="s">
        <v>11346</v>
      </c>
      <c r="B1730" s="4" t="s">
        <v>4951</v>
      </c>
      <c r="C1730" s="4" t="s">
        <v>108</v>
      </c>
      <c r="D1730" s="4" t="s">
        <v>4952</v>
      </c>
      <c r="E1730" s="4" t="s">
        <v>21</v>
      </c>
      <c r="F1730" s="4" t="s">
        <v>11347</v>
      </c>
      <c r="G1730" s="4" t="s">
        <v>11348</v>
      </c>
      <c r="H1730" s="4">
        <v>2.59</v>
      </c>
      <c r="I1730" s="4">
        <v>1.06</v>
      </c>
      <c r="J1730" s="4">
        <v>0.22896</v>
      </c>
      <c r="K1730" s="4" t="b">
        <v>1</v>
      </c>
      <c r="L1730" s="4" t="b">
        <v>0</v>
      </c>
    </row>
    <row r="1731" spans="1:12" ht="13">
      <c r="A1731" s="4" t="s">
        <v>11349</v>
      </c>
      <c r="B1731" s="4" t="s">
        <v>4951</v>
      </c>
      <c r="C1731" s="4" t="s">
        <v>108</v>
      </c>
      <c r="D1731" s="4" t="s">
        <v>4952</v>
      </c>
      <c r="E1731" s="4" t="s">
        <v>21</v>
      </c>
      <c r="F1731" s="4" t="s">
        <v>11350</v>
      </c>
      <c r="G1731" s="4" t="s">
        <v>11351</v>
      </c>
      <c r="H1731" s="4">
        <v>2.59</v>
      </c>
      <c r="I1731" s="4">
        <v>0.99</v>
      </c>
      <c r="J1731" s="4">
        <v>0.23230000000000001</v>
      </c>
      <c r="K1731" s="4" t="b">
        <v>1</v>
      </c>
      <c r="L1731" s="4" t="b">
        <v>0</v>
      </c>
    </row>
    <row r="1732" spans="1:12" ht="13">
      <c r="A1732" s="4" t="s">
        <v>11352</v>
      </c>
      <c r="B1732" s="4" t="s">
        <v>4951</v>
      </c>
      <c r="C1732" s="4" t="s">
        <v>108</v>
      </c>
      <c r="D1732" s="4" t="s">
        <v>4952</v>
      </c>
      <c r="E1732" s="4" t="s">
        <v>21</v>
      </c>
      <c r="F1732" s="4" t="s">
        <v>11353</v>
      </c>
      <c r="G1732" s="4" t="s">
        <v>11354</v>
      </c>
      <c r="H1732" s="4">
        <v>2.6</v>
      </c>
      <c r="I1732" s="4">
        <v>1.08</v>
      </c>
      <c r="J1732" s="4">
        <v>0.22903999999999999</v>
      </c>
      <c r="K1732" s="4" t="b">
        <v>1</v>
      </c>
      <c r="L1732" s="4" t="b">
        <v>0</v>
      </c>
    </row>
    <row r="1733" spans="1:12" ht="13">
      <c r="A1733" s="4" t="s">
        <v>11355</v>
      </c>
      <c r="B1733" s="4" t="s">
        <v>4951</v>
      </c>
      <c r="C1733" s="4" t="s">
        <v>108</v>
      </c>
      <c r="D1733" s="4" t="s">
        <v>4952</v>
      </c>
      <c r="E1733" s="4" t="s">
        <v>21</v>
      </c>
      <c r="F1733" s="4" t="s">
        <v>11356</v>
      </c>
      <c r="G1733" s="4" t="s">
        <v>11357</v>
      </c>
      <c r="H1733" s="4">
        <v>2.6</v>
      </c>
      <c r="I1733" s="4">
        <v>1.06</v>
      </c>
      <c r="J1733" s="4">
        <v>0.23968999999999999</v>
      </c>
      <c r="K1733" s="4" t="b">
        <v>1</v>
      </c>
      <c r="L1733" s="4" t="b">
        <v>0</v>
      </c>
    </row>
    <row r="1734" spans="1:12" ht="13">
      <c r="A1734" s="4" t="s">
        <v>11358</v>
      </c>
      <c r="B1734" s="4" t="s">
        <v>4951</v>
      </c>
      <c r="C1734" s="4" t="s">
        <v>108</v>
      </c>
      <c r="D1734" s="4" t="s">
        <v>4952</v>
      </c>
      <c r="E1734" s="4" t="s">
        <v>21</v>
      </c>
      <c r="F1734" s="4" t="s">
        <v>11359</v>
      </c>
      <c r="G1734" s="4" t="s">
        <v>11360</v>
      </c>
      <c r="H1734" s="4">
        <v>2.61</v>
      </c>
      <c r="I1734" s="4">
        <v>1.06</v>
      </c>
      <c r="J1734" s="4">
        <v>0.22412000000000001</v>
      </c>
      <c r="K1734" s="4" t="b">
        <v>1</v>
      </c>
      <c r="L1734" s="4" t="b">
        <v>0</v>
      </c>
    </row>
    <row r="1735" spans="1:12" ht="13">
      <c r="A1735" s="4" t="s">
        <v>11361</v>
      </c>
      <c r="B1735" s="4" t="s">
        <v>4951</v>
      </c>
      <c r="C1735" s="4" t="s">
        <v>108</v>
      </c>
      <c r="D1735" s="4" t="s">
        <v>4952</v>
      </c>
      <c r="E1735" s="4" t="s">
        <v>21</v>
      </c>
      <c r="F1735" s="4" t="s">
        <v>11362</v>
      </c>
      <c r="G1735" s="4" t="s">
        <v>11363</v>
      </c>
      <c r="H1735" s="4">
        <v>2.61</v>
      </c>
      <c r="I1735" s="4">
        <v>1.05</v>
      </c>
      <c r="J1735" s="4">
        <v>0.21819</v>
      </c>
      <c r="K1735" s="4" t="b">
        <v>1</v>
      </c>
      <c r="L1735" s="4" t="b">
        <v>0</v>
      </c>
    </row>
    <row r="1736" spans="1:12" ht="13">
      <c r="A1736" s="4" t="s">
        <v>11364</v>
      </c>
      <c r="B1736" s="4" t="s">
        <v>4951</v>
      </c>
      <c r="C1736" s="4" t="s">
        <v>108</v>
      </c>
      <c r="D1736" s="4" t="s">
        <v>4952</v>
      </c>
      <c r="E1736" s="4" t="s">
        <v>21</v>
      </c>
      <c r="F1736" s="4" t="s">
        <v>11365</v>
      </c>
      <c r="G1736" s="4" t="s">
        <v>11366</v>
      </c>
      <c r="H1736" s="4">
        <v>2.62</v>
      </c>
      <c r="I1736" s="4">
        <v>1.04</v>
      </c>
      <c r="J1736" s="4">
        <v>0.22214999999999999</v>
      </c>
      <c r="K1736" s="4" t="b">
        <v>1</v>
      </c>
      <c r="L1736" s="4" t="b">
        <v>0</v>
      </c>
    </row>
    <row r="1737" spans="1:12" ht="13">
      <c r="A1737" s="4" t="s">
        <v>11367</v>
      </c>
      <c r="B1737" s="4" t="s">
        <v>4951</v>
      </c>
      <c r="C1737" s="4" t="s">
        <v>108</v>
      </c>
      <c r="D1737" s="4" t="s">
        <v>4952</v>
      </c>
      <c r="E1737" s="4" t="s">
        <v>21</v>
      </c>
      <c r="F1737" s="4" t="s">
        <v>11368</v>
      </c>
      <c r="G1737" s="4" t="s">
        <v>11369</v>
      </c>
      <c r="H1737" s="4">
        <v>2.62</v>
      </c>
      <c r="I1737" s="4">
        <v>1.1399999999999999</v>
      </c>
      <c r="J1737" s="4">
        <v>0.23824000000000001</v>
      </c>
      <c r="K1737" s="4" t="b">
        <v>1</v>
      </c>
      <c r="L1737" s="4" t="b">
        <v>0</v>
      </c>
    </row>
    <row r="1738" spans="1:12" ht="13">
      <c r="A1738" s="4" t="s">
        <v>11370</v>
      </c>
      <c r="B1738" s="4" t="s">
        <v>4951</v>
      </c>
      <c r="C1738" s="4" t="s">
        <v>108</v>
      </c>
      <c r="D1738" s="4" t="s">
        <v>4952</v>
      </c>
      <c r="E1738" s="4" t="s">
        <v>21</v>
      </c>
      <c r="F1738" s="4" t="s">
        <v>11371</v>
      </c>
      <c r="G1738" s="4" t="s">
        <v>11372</v>
      </c>
      <c r="H1738" s="4">
        <v>2.63</v>
      </c>
      <c r="I1738" s="4">
        <v>1.1100000000000001</v>
      </c>
      <c r="J1738" s="4">
        <v>0.22947000000000001</v>
      </c>
      <c r="K1738" s="4" t="b">
        <v>1</v>
      </c>
      <c r="L1738" s="4" t="b">
        <v>0</v>
      </c>
    </row>
    <row r="1739" spans="1:12" ht="13">
      <c r="A1739" s="4" t="s">
        <v>11373</v>
      </c>
      <c r="B1739" s="4" t="s">
        <v>4951</v>
      </c>
      <c r="C1739" s="4" t="s">
        <v>108</v>
      </c>
      <c r="D1739" s="4" t="s">
        <v>4952</v>
      </c>
      <c r="E1739" s="4" t="s">
        <v>21</v>
      </c>
      <c r="F1739" s="4" t="s">
        <v>11374</v>
      </c>
      <c r="G1739" s="4" t="s">
        <v>11375</v>
      </c>
      <c r="H1739" s="4">
        <v>2.63</v>
      </c>
      <c r="I1739" s="4">
        <v>1.05</v>
      </c>
      <c r="J1739" s="4">
        <v>0.22957</v>
      </c>
      <c r="K1739" s="4" t="b">
        <v>1</v>
      </c>
      <c r="L1739" s="4" t="b">
        <v>0</v>
      </c>
    </row>
    <row r="1740" spans="1:12" ht="13">
      <c r="A1740" s="4" t="s">
        <v>11376</v>
      </c>
      <c r="B1740" s="4" t="s">
        <v>4951</v>
      </c>
      <c r="C1740" s="4" t="s">
        <v>108</v>
      </c>
      <c r="D1740" s="4" t="s">
        <v>4952</v>
      </c>
      <c r="E1740" s="4" t="s">
        <v>21</v>
      </c>
      <c r="F1740" s="4" t="s">
        <v>11377</v>
      </c>
      <c r="G1740" s="4" t="s">
        <v>11378</v>
      </c>
      <c r="H1740" s="4">
        <v>2.64</v>
      </c>
      <c r="I1740" s="4">
        <v>1.2</v>
      </c>
      <c r="J1740" s="4">
        <v>0.22617999999999999</v>
      </c>
      <c r="K1740" s="4" t="b">
        <v>1</v>
      </c>
      <c r="L1740" s="4" t="b">
        <v>0</v>
      </c>
    </row>
    <row r="1741" spans="1:12" ht="13">
      <c r="A1741" s="4" t="s">
        <v>11379</v>
      </c>
      <c r="B1741" s="4" t="s">
        <v>4951</v>
      </c>
      <c r="C1741" s="4" t="s">
        <v>108</v>
      </c>
      <c r="D1741" s="4" t="s">
        <v>4952</v>
      </c>
      <c r="E1741" s="4" t="s">
        <v>21</v>
      </c>
      <c r="F1741" s="4" t="s">
        <v>11380</v>
      </c>
      <c r="G1741" s="4" t="s">
        <v>11381</v>
      </c>
      <c r="H1741" s="4">
        <v>2.64</v>
      </c>
      <c r="I1741" s="4">
        <v>1.24</v>
      </c>
      <c r="J1741" s="4">
        <v>0.27576000000000001</v>
      </c>
      <c r="K1741" s="4" t="b">
        <v>1</v>
      </c>
      <c r="L1741" s="4" t="b">
        <v>0</v>
      </c>
    </row>
    <row r="1742" spans="1:12" ht="13">
      <c r="A1742" s="4" t="s">
        <v>11382</v>
      </c>
      <c r="B1742" s="4" t="s">
        <v>4951</v>
      </c>
      <c r="C1742" s="4" t="s">
        <v>108</v>
      </c>
      <c r="D1742" s="4" t="s">
        <v>4952</v>
      </c>
      <c r="E1742" s="4" t="s">
        <v>21</v>
      </c>
      <c r="F1742" s="4" t="s">
        <v>11383</v>
      </c>
      <c r="G1742" s="4" t="s">
        <v>11384</v>
      </c>
      <c r="H1742" s="4">
        <v>2.64</v>
      </c>
      <c r="I1742" s="4">
        <v>1.18</v>
      </c>
      <c r="J1742" s="4">
        <v>0.25363000000000002</v>
      </c>
      <c r="K1742" s="4" t="b">
        <v>1</v>
      </c>
      <c r="L1742" s="4" t="b">
        <v>0</v>
      </c>
    </row>
    <row r="1743" spans="1:12" ht="13">
      <c r="A1743" s="4" t="s">
        <v>11385</v>
      </c>
      <c r="B1743" s="4" t="s">
        <v>4951</v>
      </c>
      <c r="C1743" s="4" t="s">
        <v>108</v>
      </c>
      <c r="D1743" s="4" t="s">
        <v>4952</v>
      </c>
      <c r="E1743" s="4" t="s">
        <v>21</v>
      </c>
      <c r="F1743" s="4" t="s">
        <v>11386</v>
      </c>
      <c r="G1743" s="4" t="s">
        <v>11387</v>
      </c>
      <c r="H1743" s="4">
        <v>2.65</v>
      </c>
      <c r="I1743" s="4">
        <v>1.02</v>
      </c>
      <c r="J1743" s="4">
        <v>0.22644</v>
      </c>
      <c r="K1743" s="4" t="b">
        <v>1</v>
      </c>
      <c r="L1743" s="4" t="b">
        <v>0</v>
      </c>
    </row>
    <row r="1744" spans="1:12" ht="13">
      <c r="A1744" s="4" t="s">
        <v>11388</v>
      </c>
      <c r="B1744" s="4" t="s">
        <v>4951</v>
      </c>
      <c r="C1744" s="4" t="s">
        <v>108</v>
      </c>
      <c r="D1744" s="4" t="s">
        <v>4952</v>
      </c>
      <c r="E1744" s="4" t="s">
        <v>21</v>
      </c>
      <c r="F1744" s="4" t="s">
        <v>11389</v>
      </c>
      <c r="G1744" s="4" t="s">
        <v>11390</v>
      </c>
      <c r="H1744" s="4">
        <v>2.66</v>
      </c>
      <c r="I1744" s="4">
        <v>1.0900000000000001</v>
      </c>
      <c r="J1744" s="4">
        <v>0.23028000000000001</v>
      </c>
      <c r="K1744" s="4" t="b">
        <v>1</v>
      </c>
      <c r="L1744" s="4" t="b">
        <v>0</v>
      </c>
    </row>
    <row r="1745" spans="1:14" ht="13">
      <c r="A1745" s="4" t="s">
        <v>11391</v>
      </c>
      <c r="B1745" s="4" t="s">
        <v>4951</v>
      </c>
      <c r="C1745" s="4" t="s">
        <v>108</v>
      </c>
      <c r="D1745" s="4" t="s">
        <v>4952</v>
      </c>
      <c r="E1745" s="4" t="s">
        <v>21</v>
      </c>
      <c r="F1745" s="4" t="s">
        <v>11392</v>
      </c>
      <c r="G1745" s="4" t="s">
        <v>11393</v>
      </c>
      <c r="H1745" s="4">
        <v>2.66</v>
      </c>
      <c r="I1745" s="4">
        <v>1.32</v>
      </c>
      <c r="J1745" s="4">
        <v>0.24693000000000001</v>
      </c>
      <c r="K1745" s="4" t="b">
        <v>1</v>
      </c>
      <c r="L1745" s="4" t="b">
        <v>0</v>
      </c>
    </row>
    <row r="1746" spans="1:14" ht="13">
      <c r="A1746" s="4" t="s">
        <v>11394</v>
      </c>
      <c r="B1746" s="4" t="s">
        <v>4951</v>
      </c>
      <c r="C1746" s="4" t="s">
        <v>108</v>
      </c>
      <c r="D1746" s="4" t="s">
        <v>4952</v>
      </c>
      <c r="E1746" s="4" t="s">
        <v>19</v>
      </c>
      <c r="F1746" s="4" t="s">
        <v>11395</v>
      </c>
      <c r="G1746" s="4" t="s">
        <v>11396</v>
      </c>
      <c r="H1746" s="4">
        <v>2.67</v>
      </c>
      <c r="I1746" s="4">
        <v>1.24</v>
      </c>
      <c r="J1746" s="4">
        <v>0.23621</v>
      </c>
      <c r="K1746" s="4" t="b">
        <v>1</v>
      </c>
      <c r="L1746" s="4" t="b">
        <v>0</v>
      </c>
    </row>
    <row r="1747" spans="1:14" ht="13">
      <c r="A1747" s="4" t="s">
        <v>11397</v>
      </c>
      <c r="B1747" s="4" t="s">
        <v>4951</v>
      </c>
      <c r="C1747" s="4" t="s">
        <v>108</v>
      </c>
      <c r="D1747" s="4" t="s">
        <v>4952</v>
      </c>
      <c r="E1747" s="4" t="s">
        <v>19</v>
      </c>
      <c r="F1747" s="4" t="s">
        <v>11398</v>
      </c>
      <c r="G1747" s="4" t="s">
        <v>11399</v>
      </c>
      <c r="H1747" s="4">
        <v>2.67</v>
      </c>
      <c r="I1747" s="4">
        <v>1.1599999999999999</v>
      </c>
      <c r="J1747" s="4">
        <v>0.25999</v>
      </c>
      <c r="K1747" s="4" t="b">
        <v>1</v>
      </c>
      <c r="L1747" s="4" t="b">
        <v>0</v>
      </c>
    </row>
    <row r="1748" spans="1:14" ht="13">
      <c r="A1748" s="4" t="s">
        <v>11400</v>
      </c>
      <c r="B1748" s="4" t="s">
        <v>4951</v>
      </c>
      <c r="C1748" s="4" t="s">
        <v>108</v>
      </c>
      <c r="D1748" s="4" t="s">
        <v>4952</v>
      </c>
      <c r="E1748" s="4" t="s">
        <v>19</v>
      </c>
      <c r="F1748" s="4" t="s">
        <v>11401</v>
      </c>
      <c r="G1748" s="4" t="s">
        <v>11402</v>
      </c>
      <c r="H1748" s="4">
        <v>2.68</v>
      </c>
      <c r="I1748" s="4">
        <v>1.07</v>
      </c>
      <c r="J1748" s="4">
        <v>0.22567000000000001</v>
      </c>
      <c r="K1748" s="4" t="b">
        <v>1</v>
      </c>
      <c r="L1748" s="4" t="b">
        <v>0</v>
      </c>
    </row>
    <row r="1749" spans="1:14" ht="13">
      <c r="A1749" s="4" t="s">
        <v>11403</v>
      </c>
      <c r="B1749" s="4" t="s">
        <v>4951</v>
      </c>
      <c r="C1749" s="4" t="s">
        <v>108</v>
      </c>
      <c r="D1749" s="4" t="s">
        <v>4952</v>
      </c>
      <c r="E1749" s="4" t="s">
        <v>19</v>
      </c>
      <c r="F1749" s="4" t="s">
        <v>11404</v>
      </c>
      <c r="G1749" s="4" t="s">
        <v>11405</v>
      </c>
      <c r="H1749" s="4">
        <v>2.68</v>
      </c>
      <c r="I1749" s="4">
        <v>1.68</v>
      </c>
      <c r="J1749" s="4">
        <v>0.24082999999999999</v>
      </c>
      <c r="K1749" s="4" t="b">
        <v>1</v>
      </c>
      <c r="L1749" s="4" t="b">
        <v>0</v>
      </c>
    </row>
    <row r="1750" spans="1:14" ht="13">
      <c r="A1750" s="4" t="s">
        <v>11406</v>
      </c>
      <c r="B1750" s="4" t="s">
        <v>4951</v>
      </c>
      <c r="C1750" s="4" t="s">
        <v>108</v>
      </c>
      <c r="D1750" s="4" t="s">
        <v>4952</v>
      </c>
      <c r="E1750" s="4" t="s">
        <v>19</v>
      </c>
      <c r="F1750" s="4" t="s">
        <v>11407</v>
      </c>
      <c r="G1750" s="4" t="s">
        <v>11408</v>
      </c>
      <c r="H1750" s="4">
        <v>2.69</v>
      </c>
      <c r="I1750" s="4">
        <v>1.1499999999999999</v>
      </c>
      <c r="J1750" s="4">
        <v>0.21654000000000001</v>
      </c>
      <c r="K1750" s="4" t="b">
        <v>1</v>
      </c>
      <c r="L1750" s="4" t="b">
        <v>0</v>
      </c>
    </row>
    <row r="1751" spans="1:14" ht="13">
      <c r="A1751" s="4" t="s">
        <v>11409</v>
      </c>
      <c r="B1751" s="4" t="s">
        <v>4951</v>
      </c>
      <c r="C1751" s="4" t="s">
        <v>108</v>
      </c>
      <c r="D1751" s="4" t="s">
        <v>4952</v>
      </c>
      <c r="E1751" s="4" t="s">
        <v>19</v>
      </c>
      <c r="F1751" s="4" t="s">
        <v>11410</v>
      </c>
      <c r="G1751" s="4" t="s">
        <v>11411</v>
      </c>
      <c r="H1751" s="4">
        <v>2.69</v>
      </c>
      <c r="I1751" s="4">
        <v>1.05</v>
      </c>
      <c r="J1751" s="4">
        <v>0.23225999999999999</v>
      </c>
      <c r="K1751" s="4" t="b">
        <v>1</v>
      </c>
      <c r="L1751" s="4" t="b">
        <v>0</v>
      </c>
    </row>
    <row r="1752" spans="1:14" ht="13">
      <c r="A1752" s="4" t="s">
        <v>11412</v>
      </c>
      <c r="B1752" s="4" t="s">
        <v>4951</v>
      </c>
      <c r="C1752" s="4" t="s">
        <v>108</v>
      </c>
      <c r="D1752" s="4" t="s">
        <v>4952</v>
      </c>
      <c r="E1752" s="4" t="s">
        <v>19</v>
      </c>
      <c r="F1752" s="4" t="s">
        <v>11413</v>
      </c>
      <c r="G1752" s="4" t="s">
        <v>11414</v>
      </c>
      <c r="H1752" s="4">
        <v>2.7</v>
      </c>
      <c r="I1752" s="4">
        <v>1.1299999999999999</v>
      </c>
      <c r="J1752" s="4">
        <v>0.23535</v>
      </c>
      <c r="K1752" s="4" t="b">
        <v>1</v>
      </c>
      <c r="L1752" s="4" t="b">
        <v>0</v>
      </c>
    </row>
    <row r="1753" spans="1:14" ht="13">
      <c r="A1753" s="4" t="s">
        <v>5077</v>
      </c>
      <c r="B1753" s="4" t="s">
        <v>4951</v>
      </c>
      <c r="C1753" s="4" t="s">
        <v>108</v>
      </c>
      <c r="D1753" s="4" t="s">
        <v>4952</v>
      </c>
      <c r="E1753" s="4" t="s">
        <v>19</v>
      </c>
      <c r="F1753" s="4" t="s">
        <v>5078</v>
      </c>
      <c r="G1753" s="4" t="s">
        <v>5079</v>
      </c>
      <c r="H1753" s="4">
        <v>2.72</v>
      </c>
      <c r="I1753" s="4">
        <v>1.1399999999999999</v>
      </c>
      <c r="J1753" s="4">
        <v>0.22599</v>
      </c>
      <c r="K1753" s="4" t="b">
        <v>1</v>
      </c>
      <c r="L1753" s="4" t="b">
        <v>0</v>
      </c>
    </row>
    <row r="1754" spans="1:14" ht="13">
      <c r="A1754" s="4" t="s">
        <v>3213</v>
      </c>
      <c r="B1754" s="4" t="s">
        <v>4951</v>
      </c>
      <c r="C1754" s="4" t="s">
        <v>108</v>
      </c>
      <c r="D1754" s="4" t="s">
        <v>4952</v>
      </c>
      <c r="E1754" s="4" t="s">
        <v>19</v>
      </c>
      <c r="F1754" s="4" t="s">
        <v>5001</v>
      </c>
      <c r="G1754" s="4" t="s">
        <v>3109</v>
      </c>
      <c r="H1754" s="4">
        <v>2.72</v>
      </c>
      <c r="I1754" s="4">
        <v>1.1299999999999999</v>
      </c>
      <c r="J1754" s="4">
        <v>0.23124</v>
      </c>
      <c r="K1754" s="4" t="b">
        <v>1</v>
      </c>
      <c r="L1754" s="4" t="b">
        <v>1</v>
      </c>
      <c r="M1754" s="41" t="s">
        <v>4929</v>
      </c>
      <c r="N1754" s="41" t="s">
        <v>4929</v>
      </c>
    </row>
    <row r="1755" spans="1:14" ht="13">
      <c r="A1755" s="4" t="s">
        <v>11415</v>
      </c>
      <c r="B1755" s="4" t="s">
        <v>4951</v>
      </c>
      <c r="C1755" s="4" t="s">
        <v>108</v>
      </c>
      <c r="D1755" s="4" t="s">
        <v>4952</v>
      </c>
      <c r="E1755" s="4" t="s">
        <v>19</v>
      </c>
      <c r="F1755" s="4" t="s">
        <v>11416</v>
      </c>
      <c r="G1755" s="4" t="s">
        <v>11417</v>
      </c>
      <c r="H1755" s="4">
        <v>2.74</v>
      </c>
      <c r="I1755" s="4">
        <v>1.71</v>
      </c>
      <c r="J1755" s="4">
        <v>0.23604</v>
      </c>
      <c r="K1755" s="4" t="b">
        <v>1</v>
      </c>
      <c r="L1755" s="4" t="b">
        <v>0</v>
      </c>
    </row>
    <row r="1756" spans="1:14" ht="13">
      <c r="A1756" s="4" t="s">
        <v>11418</v>
      </c>
      <c r="B1756" s="4" t="s">
        <v>4951</v>
      </c>
      <c r="C1756" s="4" t="s">
        <v>108</v>
      </c>
      <c r="D1756" s="4" t="s">
        <v>4952</v>
      </c>
      <c r="E1756" s="4" t="s">
        <v>19</v>
      </c>
      <c r="F1756" s="4" t="s">
        <v>11419</v>
      </c>
      <c r="G1756" s="4" t="s">
        <v>11420</v>
      </c>
      <c r="H1756" s="4">
        <v>2.74</v>
      </c>
      <c r="I1756" s="4">
        <v>1.19</v>
      </c>
      <c r="J1756" s="4">
        <v>0.22647999999999999</v>
      </c>
      <c r="K1756" s="4" t="b">
        <v>1</v>
      </c>
      <c r="L1756" s="4" t="b">
        <v>0</v>
      </c>
    </row>
    <row r="1757" spans="1:14" ht="13">
      <c r="A1757" s="4" t="s">
        <v>5201</v>
      </c>
      <c r="B1757" s="4" t="s">
        <v>4951</v>
      </c>
      <c r="C1757" s="4" t="s">
        <v>108</v>
      </c>
      <c r="D1757" s="4" t="s">
        <v>4952</v>
      </c>
      <c r="E1757" s="4" t="s">
        <v>19</v>
      </c>
      <c r="F1757" s="4" t="s">
        <v>5202</v>
      </c>
      <c r="G1757" s="4" t="s">
        <v>5203</v>
      </c>
      <c r="H1757" s="4">
        <v>2.75</v>
      </c>
      <c r="I1757" s="4">
        <v>1.04</v>
      </c>
      <c r="J1757" s="4">
        <v>0.21178</v>
      </c>
      <c r="K1757" s="4" t="b">
        <v>1</v>
      </c>
      <c r="L1757" s="4" t="b">
        <v>0</v>
      </c>
    </row>
    <row r="1758" spans="1:14" ht="13">
      <c r="A1758" s="4" t="s">
        <v>11421</v>
      </c>
      <c r="B1758" s="4" t="s">
        <v>4951</v>
      </c>
      <c r="C1758" s="4" t="s">
        <v>108</v>
      </c>
      <c r="D1758" s="4" t="s">
        <v>4952</v>
      </c>
      <c r="E1758" s="4" t="s">
        <v>19</v>
      </c>
      <c r="F1758" s="4" t="s">
        <v>11422</v>
      </c>
      <c r="G1758" s="4" t="s">
        <v>11423</v>
      </c>
      <c r="H1758" s="4">
        <v>2.75</v>
      </c>
      <c r="I1758" s="4">
        <v>1.1299999999999999</v>
      </c>
      <c r="J1758" s="4">
        <v>0.23019000000000001</v>
      </c>
      <c r="K1758" s="4" t="b">
        <v>1</v>
      </c>
      <c r="L1758" s="4" t="b">
        <v>0</v>
      </c>
    </row>
    <row r="1759" spans="1:14" ht="13">
      <c r="A1759" s="4" t="s">
        <v>3214</v>
      </c>
      <c r="B1759" s="4" t="s">
        <v>4951</v>
      </c>
      <c r="C1759" s="4" t="s">
        <v>108</v>
      </c>
      <c r="D1759" s="4" t="s">
        <v>4952</v>
      </c>
      <c r="E1759" s="4" t="s">
        <v>19</v>
      </c>
      <c r="F1759" s="4" t="s">
        <v>5002</v>
      </c>
      <c r="G1759" s="4" t="s">
        <v>3110</v>
      </c>
      <c r="H1759" s="4">
        <v>2.76</v>
      </c>
      <c r="I1759" s="4">
        <v>1.0900000000000001</v>
      </c>
      <c r="J1759" s="4">
        <v>0.22899</v>
      </c>
      <c r="K1759" s="4" t="b">
        <v>1</v>
      </c>
      <c r="L1759" s="4" t="b">
        <v>1</v>
      </c>
      <c r="M1759" s="41" t="s">
        <v>4929</v>
      </c>
      <c r="N1759" s="41" t="s">
        <v>4955</v>
      </c>
    </row>
    <row r="1760" spans="1:14" ht="13">
      <c r="A1760" s="4" t="s">
        <v>11424</v>
      </c>
      <c r="B1760" s="4" t="s">
        <v>4951</v>
      </c>
      <c r="C1760" s="4" t="s">
        <v>108</v>
      </c>
      <c r="D1760" s="4" t="s">
        <v>4952</v>
      </c>
      <c r="E1760" s="4" t="s">
        <v>19</v>
      </c>
      <c r="F1760" s="4" t="s">
        <v>11425</v>
      </c>
      <c r="G1760" s="4" t="s">
        <v>11426</v>
      </c>
      <c r="H1760" s="4">
        <v>2.76</v>
      </c>
      <c r="I1760" s="4">
        <v>1.08</v>
      </c>
      <c r="J1760" s="4">
        <v>0.23458999999999999</v>
      </c>
      <c r="K1760" s="4" t="b">
        <v>1</v>
      </c>
      <c r="L1760" s="4" t="b">
        <v>0</v>
      </c>
    </row>
    <row r="1761" spans="1:14" ht="13">
      <c r="A1761" s="4" t="s">
        <v>11430</v>
      </c>
      <c r="B1761" s="4" t="s">
        <v>4951</v>
      </c>
      <c r="C1761" s="4" t="s">
        <v>108</v>
      </c>
      <c r="D1761" s="4" t="s">
        <v>4952</v>
      </c>
      <c r="E1761" s="4" t="s">
        <v>19</v>
      </c>
      <c r="F1761" s="4" t="s">
        <v>11431</v>
      </c>
      <c r="G1761" s="4" t="s">
        <v>11432</v>
      </c>
      <c r="H1761" s="4">
        <v>2.77</v>
      </c>
      <c r="I1761" s="4">
        <v>1.1499999999999999</v>
      </c>
      <c r="J1761" s="4">
        <v>0.24759</v>
      </c>
      <c r="K1761" s="4" t="b">
        <v>1</v>
      </c>
      <c r="L1761" s="4" t="b">
        <v>0</v>
      </c>
    </row>
    <row r="1762" spans="1:14" ht="13">
      <c r="A1762" s="4" t="s">
        <v>11433</v>
      </c>
      <c r="B1762" s="4" t="s">
        <v>4951</v>
      </c>
      <c r="C1762" s="4" t="s">
        <v>108</v>
      </c>
      <c r="D1762" s="4" t="s">
        <v>4952</v>
      </c>
      <c r="E1762" s="4" t="s">
        <v>19</v>
      </c>
      <c r="F1762" s="4" t="s">
        <v>11434</v>
      </c>
      <c r="G1762" s="4" t="s">
        <v>11435</v>
      </c>
      <c r="H1762" s="4">
        <v>2.77</v>
      </c>
      <c r="I1762" s="4">
        <v>1.0900000000000001</v>
      </c>
      <c r="J1762" s="4">
        <v>0.24304000000000001</v>
      </c>
      <c r="K1762" s="4" t="b">
        <v>1</v>
      </c>
      <c r="L1762" s="4" t="b">
        <v>0</v>
      </c>
    </row>
    <row r="1763" spans="1:14" ht="13">
      <c r="A1763" s="4" t="s">
        <v>3215</v>
      </c>
      <c r="B1763" s="4" t="s">
        <v>4951</v>
      </c>
      <c r="C1763" s="4" t="s">
        <v>108</v>
      </c>
      <c r="D1763" s="4" t="s">
        <v>4952</v>
      </c>
      <c r="E1763" s="4" t="s">
        <v>19</v>
      </c>
      <c r="F1763" s="4" t="s">
        <v>5003</v>
      </c>
      <c r="G1763" s="4" t="s">
        <v>3111</v>
      </c>
      <c r="H1763" s="4">
        <v>2.77</v>
      </c>
      <c r="I1763" s="4">
        <v>1.04</v>
      </c>
      <c r="J1763" s="4">
        <v>0.23074</v>
      </c>
      <c r="K1763" s="4" t="b">
        <v>1</v>
      </c>
      <c r="L1763" s="4" t="b">
        <v>1</v>
      </c>
      <c r="M1763" s="41" t="s">
        <v>4929</v>
      </c>
    </row>
    <row r="1764" spans="1:14" ht="13">
      <c r="A1764" s="4" t="s">
        <v>11436</v>
      </c>
      <c r="B1764" s="4" t="s">
        <v>4951</v>
      </c>
      <c r="C1764" s="4" t="s">
        <v>108</v>
      </c>
      <c r="D1764" s="4" t="s">
        <v>4952</v>
      </c>
      <c r="E1764" s="4" t="s">
        <v>19</v>
      </c>
      <c r="F1764" s="4" t="s">
        <v>11437</v>
      </c>
      <c r="G1764" s="4" t="s">
        <v>11438</v>
      </c>
      <c r="H1764" s="4">
        <v>2.78</v>
      </c>
      <c r="I1764" s="4">
        <v>1.1100000000000001</v>
      </c>
      <c r="J1764" s="4">
        <v>0.22125</v>
      </c>
      <c r="K1764" s="4" t="b">
        <v>1</v>
      </c>
      <c r="L1764" s="4" t="b">
        <v>0</v>
      </c>
    </row>
    <row r="1765" spans="1:14" ht="13">
      <c r="A1765" s="4" t="s">
        <v>11439</v>
      </c>
      <c r="B1765" s="4" t="s">
        <v>4951</v>
      </c>
      <c r="C1765" s="4" t="s">
        <v>108</v>
      </c>
      <c r="D1765" s="4" t="s">
        <v>4952</v>
      </c>
      <c r="E1765" s="4" t="s">
        <v>19</v>
      </c>
      <c r="F1765" s="4" t="s">
        <v>11440</v>
      </c>
      <c r="G1765" s="4" t="s">
        <v>11441</v>
      </c>
      <c r="H1765" s="4">
        <v>2.8</v>
      </c>
      <c r="I1765" s="4">
        <v>1.1399999999999999</v>
      </c>
      <c r="J1765" s="4">
        <v>0.23250000000000001</v>
      </c>
      <c r="K1765" s="4" t="b">
        <v>1</v>
      </c>
      <c r="L1765" s="4" t="b">
        <v>0</v>
      </c>
    </row>
    <row r="1766" spans="1:14" ht="13">
      <c r="A1766" s="4" t="s">
        <v>11442</v>
      </c>
      <c r="B1766" s="4" t="s">
        <v>4951</v>
      </c>
      <c r="C1766" s="4" t="s">
        <v>108</v>
      </c>
      <c r="D1766" s="4" t="s">
        <v>4952</v>
      </c>
      <c r="E1766" s="4" t="s">
        <v>19</v>
      </c>
      <c r="F1766" s="4" t="s">
        <v>11443</v>
      </c>
      <c r="G1766" s="4" t="s">
        <v>11444</v>
      </c>
      <c r="H1766" s="4">
        <v>2.81</v>
      </c>
      <c r="I1766" s="4">
        <v>1.0900000000000001</v>
      </c>
      <c r="J1766" s="4">
        <v>0.22656000000000001</v>
      </c>
      <c r="K1766" s="4" t="b">
        <v>1</v>
      </c>
      <c r="L1766" s="4" t="b">
        <v>0</v>
      </c>
    </row>
    <row r="1767" spans="1:14" ht="13">
      <c r="A1767" s="4" t="s">
        <v>11445</v>
      </c>
      <c r="B1767" s="4" t="s">
        <v>4951</v>
      </c>
      <c r="C1767" s="4" t="s">
        <v>108</v>
      </c>
      <c r="D1767" s="4" t="s">
        <v>4952</v>
      </c>
      <c r="E1767" s="4" t="s">
        <v>19</v>
      </c>
      <c r="F1767" s="4" t="s">
        <v>11446</v>
      </c>
      <c r="G1767" s="4" t="s">
        <v>11447</v>
      </c>
      <c r="H1767" s="4">
        <v>1.4</v>
      </c>
      <c r="I1767" s="4">
        <v>1.33</v>
      </c>
      <c r="J1767" s="4">
        <v>0.24409</v>
      </c>
      <c r="K1767" s="4" t="b">
        <v>1</v>
      </c>
      <c r="L1767" s="4" t="b">
        <v>0</v>
      </c>
    </row>
    <row r="1768" spans="1:14" ht="13">
      <c r="A1768" s="4" t="s">
        <v>3216</v>
      </c>
      <c r="B1768" s="4" t="s">
        <v>4951</v>
      </c>
      <c r="C1768" s="4" t="s">
        <v>108</v>
      </c>
      <c r="D1768" s="4" t="s">
        <v>4952</v>
      </c>
      <c r="E1768" s="4" t="s">
        <v>19</v>
      </c>
      <c r="F1768" s="4" t="s">
        <v>5004</v>
      </c>
      <c r="G1768" s="4" t="s">
        <v>3112</v>
      </c>
      <c r="H1768" s="4">
        <v>1.41</v>
      </c>
      <c r="I1768" s="4">
        <v>1.03</v>
      </c>
      <c r="J1768" s="4">
        <v>0.2215</v>
      </c>
      <c r="K1768" s="4" t="b">
        <v>1</v>
      </c>
      <c r="L1768" s="4" t="b">
        <v>1</v>
      </c>
      <c r="M1768" s="41" t="s">
        <v>4929</v>
      </c>
      <c r="N1768" s="41" t="s">
        <v>4955</v>
      </c>
    </row>
    <row r="1769" spans="1:14" ht="13">
      <c r="A1769" s="4" t="s">
        <v>11448</v>
      </c>
      <c r="B1769" s="4" t="s">
        <v>4951</v>
      </c>
      <c r="C1769" s="4" t="s">
        <v>108</v>
      </c>
      <c r="D1769" s="4" t="s">
        <v>4952</v>
      </c>
      <c r="E1769" s="4" t="s">
        <v>19</v>
      </c>
      <c r="F1769" s="4" t="s">
        <v>11449</v>
      </c>
      <c r="G1769" s="4" t="s">
        <v>11450</v>
      </c>
      <c r="H1769" s="4">
        <v>1.41</v>
      </c>
      <c r="I1769" s="4">
        <v>1.08</v>
      </c>
      <c r="J1769" s="4">
        <v>0.24030000000000001</v>
      </c>
      <c r="K1769" s="4" t="b">
        <v>1</v>
      </c>
      <c r="L1769" s="4" t="b">
        <v>0</v>
      </c>
    </row>
    <row r="1770" spans="1:14" ht="13">
      <c r="A1770" s="4" t="s">
        <v>11451</v>
      </c>
      <c r="B1770" s="4" t="s">
        <v>4951</v>
      </c>
      <c r="C1770" s="4" t="s">
        <v>108</v>
      </c>
      <c r="D1770" s="4" t="s">
        <v>4952</v>
      </c>
      <c r="E1770" s="4" t="s">
        <v>19</v>
      </c>
      <c r="F1770" s="4" t="s">
        <v>11452</v>
      </c>
      <c r="G1770" s="4" t="s">
        <v>11453</v>
      </c>
      <c r="H1770" s="4">
        <v>1.42</v>
      </c>
      <c r="I1770" s="4">
        <v>1.22</v>
      </c>
      <c r="J1770" s="4">
        <v>0.24681</v>
      </c>
      <c r="K1770" s="4" t="b">
        <v>1</v>
      </c>
      <c r="L1770" s="4" t="b">
        <v>0</v>
      </c>
    </row>
    <row r="1771" spans="1:14" ht="13">
      <c r="A1771" s="4" t="s">
        <v>11454</v>
      </c>
      <c r="B1771" s="4" t="s">
        <v>4951</v>
      </c>
      <c r="C1771" s="4" t="s">
        <v>108</v>
      </c>
      <c r="D1771" s="4" t="s">
        <v>4952</v>
      </c>
      <c r="E1771" s="4" t="s">
        <v>19</v>
      </c>
      <c r="F1771" s="4" t="s">
        <v>11455</v>
      </c>
      <c r="G1771" s="4" t="s">
        <v>11456</v>
      </c>
      <c r="H1771" s="4">
        <v>1.43</v>
      </c>
      <c r="I1771" s="4">
        <v>1.03</v>
      </c>
      <c r="J1771" s="4">
        <v>0.22220999999999999</v>
      </c>
      <c r="K1771" s="4" t="b">
        <v>1</v>
      </c>
      <c r="L1771" s="4" t="b">
        <v>0</v>
      </c>
    </row>
    <row r="1772" spans="1:14" ht="13">
      <c r="A1772" s="4" t="s">
        <v>11457</v>
      </c>
      <c r="B1772" s="4" t="s">
        <v>4951</v>
      </c>
      <c r="C1772" s="4" t="s">
        <v>108</v>
      </c>
      <c r="D1772" s="4" t="s">
        <v>4952</v>
      </c>
      <c r="E1772" s="4" t="s">
        <v>19</v>
      </c>
      <c r="F1772" s="4" t="s">
        <v>11458</v>
      </c>
      <c r="G1772" s="4" t="s">
        <v>11459</v>
      </c>
      <c r="H1772" s="4">
        <v>1.44</v>
      </c>
      <c r="I1772" s="4">
        <v>1.28</v>
      </c>
      <c r="J1772" s="4">
        <v>0.22406000000000001</v>
      </c>
      <c r="K1772" s="4" t="b">
        <v>1</v>
      </c>
      <c r="L1772" s="4" t="b">
        <v>0</v>
      </c>
    </row>
    <row r="1773" spans="1:14" ht="13">
      <c r="A1773" s="4" t="s">
        <v>11460</v>
      </c>
      <c r="B1773" s="4" t="s">
        <v>4951</v>
      </c>
      <c r="C1773" s="4" t="s">
        <v>108</v>
      </c>
      <c r="D1773" s="4" t="s">
        <v>4952</v>
      </c>
      <c r="E1773" s="4" t="s">
        <v>19</v>
      </c>
      <c r="F1773" s="4" t="s">
        <v>11461</v>
      </c>
      <c r="G1773" s="4" t="s">
        <v>11462</v>
      </c>
      <c r="H1773" s="4">
        <v>1.45</v>
      </c>
      <c r="I1773" s="4">
        <v>1.0900000000000001</v>
      </c>
      <c r="J1773" s="4">
        <v>0.24331</v>
      </c>
      <c r="K1773" s="4" t="b">
        <v>1</v>
      </c>
      <c r="L1773" s="4" t="b">
        <v>0</v>
      </c>
    </row>
    <row r="1774" spans="1:14" ht="13">
      <c r="A1774" s="4" t="s">
        <v>11463</v>
      </c>
      <c r="B1774" s="4" t="s">
        <v>4951</v>
      </c>
      <c r="C1774" s="4" t="s">
        <v>108</v>
      </c>
      <c r="D1774" s="4" t="s">
        <v>4952</v>
      </c>
      <c r="E1774" s="4" t="s">
        <v>19</v>
      </c>
      <c r="F1774" s="4" t="s">
        <v>11464</v>
      </c>
      <c r="G1774" s="4" t="s">
        <v>11465</v>
      </c>
      <c r="H1774" s="4">
        <v>1.45</v>
      </c>
      <c r="I1774" s="4">
        <v>1.06</v>
      </c>
      <c r="J1774" s="4">
        <v>0.23216999999999999</v>
      </c>
      <c r="K1774" s="4" t="b">
        <v>1</v>
      </c>
      <c r="L1774" s="4" t="b">
        <v>0</v>
      </c>
    </row>
    <row r="1775" spans="1:14" ht="13">
      <c r="A1775" s="4" t="s">
        <v>11466</v>
      </c>
      <c r="B1775" s="4" t="s">
        <v>4951</v>
      </c>
      <c r="C1775" s="4" t="s">
        <v>108</v>
      </c>
      <c r="D1775" s="4" t="s">
        <v>4952</v>
      </c>
      <c r="E1775" s="4" t="s">
        <v>19</v>
      </c>
      <c r="F1775" s="4" t="s">
        <v>11467</v>
      </c>
      <c r="G1775" s="4" t="s">
        <v>11468</v>
      </c>
      <c r="H1775" s="4">
        <v>1.46</v>
      </c>
      <c r="I1775" s="4">
        <v>1.1499999999999999</v>
      </c>
      <c r="J1775" s="4">
        <v>0.24109</v>
      </c>
      <c r="K1775" s="4" t="b">
        <v>1</v>
      </c>
      <c r="L1775" s="4" t="b">
        <v>0</v>
      </c>
    </row>
    <row r="1776" spans="1:14" ht="13">
      <c r="A1776" s="4" t="s">
        <v>3217</v>
      </c>
      <c r="B1776" s="4" t="s">
        <v>4951</v>
      </c>
      <c r="C1776" s="4" t="s">
        <v>108</v>
      </c>
      <c r="D1776" s="4" t="s">
        <v>4952</v>
      </c>
      <c r="E1776" s="4" t="s">
        <v>19</v>
      </c>
      <c r="F1776" s="4" t="s">
        <v>5080</v>
      </c>
      <c r="G1776" s="4" t="s">
        <v>3113</v>
      </c>
      <c r="H1776" s="4">
        <v>1.47</v>
      </c>
      <c r="I1776" s="4">
        <v>1.04</v>
      </c>
      <c r="J1776" s="4">
        <v>0.21876000000000001</v>
      </c>
      <c r="K1776" s="4" t="b">
        <v>1</v>
      </c>
      <c r="L1776" s="4" t="b">
        <v>1</v>
      </c>
      <c r="M1776" s="41" t="s">
        <v>4995</v>
      </c>
      <c r="N1776" s="41" t="s">
        <v>4929</v>
      </c>
    </row>
    <row r="1777" spans="1:16" ht="13">
      <c r="A1777" s="4" t="s">
        <v>11469</v>
      </c>
      <c r="B1777" s="4" t="s">
        <v>4951</v>
      </c>
      <c r="C1777" s="4" t="s">
        <v>108</v>
      </c>
      <c r="D1777" s="4" t="s">
        <v>4952</v>
      </c>
      <c r="E1777" s="4" t="s">
        <v>19</v>
      </c>
      <c r="F1777" s="4" t="s">
        <v>11470</v>
      </c>
      <c r="G1777" s="4" t="s">
        <v>11471</v>
      </c>
      <c r="H1777" s="4">
        <v>1.48</v>
      </c>
      <c r="I1777" s="4">
        <v>1.08</v>
      </c>
      <c r="J1777" s="4">
        <v>0.22344</v>
      </c>
      <c r="K1777" s="4" t="b">
        <v>1</v>
      </c>
      <c r="L1777" s="4" t="b">
        <v>0</v>
      </c>
    </row>
    <row r="1778" spans="1:16" ht="13">
      <c r="A1778" s="4" t="s">
        <v>11472</v>
      </c>
      <c r="B1778" s="4" t="s">
        <v>4951</v>
      </c>
      <c r="C1778" s="4" t="s">
        <v>108</v>
      </c>
      <c r="D1778" s="4" t="s">
        <v>4952</v>
      </c>
      <c r="E1778" s="4" t="s">
        <v>19</v>
      </c>
      <c r="F1778" s="4" t="s">
        <v>11473</v>
      </c>
      <c r="G1778" s="4" t="s">
        <v>11474</v>
      </c>
      <c r="H1778" s="4">
        <v>1.49</v>
      </c>
      <c r="I1778" s="4">
        <v>1.1200000000000001</v>
      </c>
      <c r="J1778" s="4">
        <v>0.25929000000000002</v>
      </c>
      <c r="K1778" s="4" t="b">
        <v>1</v>
      </c>
      <c r="L1778" s="4" t="b">
        <v>0</v>
      </c>
    </row>
    <row r="1779" spans="1:16" ht="13">
      <c r="A1779" s="4" t="s">
        <v>11475</v>
      </c>
      <c r="B1779" s="4" t="s">
        <v>4951</v>
      </c>
      <c r="C1779" s="4" t="s">
        <v>108</v>
      </c>
      <c r="D1779" s="4" t="s">
        <v>4952</v>
      </c>
      <c r="E1779" s="4" t="s">
        <v>19</v>
      </c>
      <c r="F1779" s="4" t="s">
        <v>11476</v>
      </c>
      <c r="G1779" s="4" t="s">
        <v>11477</v>
      </c>
      <c r="H1779" s="4">
        <v>1.5</v>
      </c>
      <c r="I1779" s="4">
        <v>1.0900000000000001</v>
      </c>
      <c r="J1779" s="4">
        <v>0.22699</v>
      </c>
      <c r="K1779" s="4" t="b">
        <v>1</v>
      </c>
      <c r="L1779" s="4" t="b">
        <v>0</v>
      </c>
    </row>
    <row r="1780" spans="1:16" ht="13">
      <c r="A1780" s="4" t="s">
        <v>11478</v>
      </c>
      <c r="B1780" s="4" t="s">
        <v>4951</v>
      </c>
      <c r="C1780" s="4" t="s">
        <v>108</v>
      </c>
      <c r="D1780" s="4" t="s">
        <v>4952</v>
      </c>
      <c r="E1780" s="4" t="s">
        <v>19</v>
      </c>
      <c r="F1780" s="4" t="s">
        <v>11479</v>
      </c>
      <c r="G1780" s="4" t="s">
        <v>11480</v>
      </c>
      <c r="H1780" s="4">
        <v>1.51</v>
      </c>
      <c r="I1780" s="4">
        <v>1.1299999999999999</v>
      </c>
      <c r="J1780" s="4">
        <v>0.23039999999999999</v>
      </c>
      <c r="K1780" s="4" t="b">
        <v>1</v>
      </c>
      <c r="L1780" s="4" t="b">
        <v>0</v>
      </c>
    </row>
    <row r="1781" spans="1:16" ht="13">
      <c r="A1781" s="4" t="s">
        <v>11481</v>
      </c>
      <c r="B1781" s="4" t="s">
        <v>4951</v>
      </c>
      <c r="C1781" s="4" t="s">
        <v>108</v>
      </c>
      <c r="D1781" s="4" t="s">
        <v>4952</v>
      </c>
      <c r="E1781" s="4" t="s">
        <v>19</v>
      </c>
      <c r="F1781" s="4" t="s">
        <v>11482</v>
      </c>
      <c r="G1781" s="4" t="s">
        <v>11483</v>
      </c>
      <c r="H1781" s="4">
        <v>1.52</v>
      </c>
      <c r="I1781" s="4">
        <v>1.1299999999999999</v>
      </c>
      <c r="J1781" s="4">
        <v>0.24273</v>
      </c>
      <c r="K1781" s="4" t="b">
        <v>1</v>
      </c>
      <c r="L1781" s="4" t="b">
        <v>0</v>
      </c>
    </row>
    <row r="1782" spans="1:16" ht="13">
      <c r="A1782" s="4" t="s">
        <v>11484</v>
      </c>
      <c r="B1782" s="4" t="s">
        <v>4951</v>
      </c>
      <c r="C1782" s="4" t="s">
        <v>108</v>
      </c>
      <c r="D1782" s="4" t="s">
        <v>4952</v>
      </c>
      <c r="E1782" s="4" t="s">
        <v>19</v>
      </c>
      <c r="F1782" s="4" t="s">
        <v>11485</v>
      </c>
      <c r="G1782" s="4" t="s">
        <v>11486</v>
      </c>
      <c r="H1782" s="4">
        <v>1.52</v>
      </c>
      <c r="I1782" s="4">
        <v>1.07</v>
      </c>
      <c r="J1782" s="4">
        <v>0.22542000000000001</v>
      </c>
      <c r="K1782" s="4" t="b">
        <v>1</v>
      </c>
      <c r="L1782" s="4" t="b">
        <v>0</v>
      </c>
    </row>
    <row r="1783" spans="1:16" ht="13">
      <c r="A1783" s="4" t="s">
        <v>11487</v>
      </c>
      <c r="B1783" s="4" t="s">
        <v>4951</v>
      </c>
      <c r="C1783" s="4" t="s">
        <v>108</v>
      </c>
      <c r="D1783" s="4" t="s">
        <v>4952</v>
      </c>
      <c r="E1783" s="4" t="s">
        <v>19</v>
      </c>
      <c r="F1783" s="4" t="s">
        <v>11488</v>
      </c>
      <c r="G1783" s="4" t="s">
        <v>11489</v>
      </c>
      <c r="H1783" s="4">
        <v>1.53</v>
      </c>
      <c r="I1783" s="4">
        <v>1.0900000000000001</v>
      </c>
      <c r="J1783" s="4">
        <v>0.23099</v>
      </c>
      <c r="K1783" s="4" t="b">
        <v>1</v>
      </c>
      <c r="L1783" s="4" t="b">
        <v>0</v>
      </c>
    </row>
    <row r="1784" spans="1:16" ht="13">
      <c r="A1784" s="4" t="s">
        <v>3218</v>
      </c>
      <c r="B1784" s="4" t="s">
        <v>4951</v>
      </c>
      <c r="C1784" s="4" t="s">
        <v>108</v>
      </c>
      <c r="D1784" s="4" t="s">
        <v>4952</v>
      </c>
      <c r="E1784" s="4" t="s">
        <v>19</v>
      </c>
      <c r="F1784" s="4" t="s">
        <v>5005</v>
      </c>
      <c r="G1784" s="4" t="s">
        <v>3114</v>
      </c>
      <c r="H1784" s="4">
        <v>1.54</v>
      </c>
      <c r="I1784" s="4">
        <v>1.1100000000000001</v>
      </c>
      <c r="J1784" s="4">
        <v>0.23788000000000001</v>
      </c>
      <c r="K1784" s="4" t="b">
        <v>1</v>
      </c>
      <c r="L1784" s="4" t="b">
        <v>1</v>
      </c>
      <c r="M1784" s="41" t="s">
        <v>4929</v>
      </c>
    </row>
    <row r="1785" spans="1:16" ht="13">
      <c r="A1785" s="4" t="s">
        <v>11490</v>
      </c>
      <c r="B1785" s="4" t="s">
        <v>4951</v>
      </c>
      <c r="C1785" s="4" t="s">
        <v>108</v>
      </c>
      <c r="D1785" s="4" t="s">
        <v>4952</v>
      </c>
      <c r="E1785" s="4" t="s">
        <v>19</v>
      </c>
      <c r="F1785" s="4" t="s">
        <v>11491</v>
      </c>
      <c r="G1785" s="4" t="s">
        <v>11492</v>
      </c>
      <c r="H1785" s="4">
        <v>1.55</v>
      </c>
      <c r="I1785" s="4">
        <v>1.2</v>
      </c>
      <c r="J1785" s="4">
        <v>0.23766999999999999</v>
      </c>
      <c r="K1785" s="4" t="b">
        <v>1</v>
      </c>
      <c r="L1785" s="4" t="b">
        <v>0</v>
      </c>
    </row>
    <row r="1786" spans="1:16" ht="13">
      <c r="A1786" s="4" t="s">
        <v>11493</v>
      </c>
      <c r="B1786" s="4" t="s">
        <v>4951</v>
      </c>
      <c r="C1786" s="4" t="s">
        <v>108</v>
      </c>
      <c r="D1786" s="4" t="s">
        <v>4952</v>
      </c>
      <c r="E1786" s="4" t="s">
        <v>19</v>
      </c>
      <c r="F1786" s="4" t="s">
        <v>11494</v>
      </c>
      <c r="G1786" s="4" t="s">
        <v>11495</v>
      </c>
      <c r="H1786" s="4">
        <v>1.56</v>
      </c>
      <c r="I1786" s="4">
        <v>2.09</v>
      </c>
      <c r="J1786" s="4">
        <v>0.31688</v>
      </c>
      <c r="K1786" s="4" t="b">
        <v>1</v>
      </c>
      <c r="L1786" s="4" t="b">
        <v>0</v>
      </c>
    </row>
    <row r="1787" spans="1:16" ht="13">
      <c r="A1787" s="4" t="s">
        <v>11496</v>
      </c>
      <c r="B1787" s="4" t="s">
        <v>4951</v>
      </c>
      <c r="C1787" s="4" t="s">
        <v>108</v>
      </c>
      <c r="D1787" s="4" t="s">
        <v>4952</v>
      </c>
      <c r="E1787" s="4" t="s">
        <v>19</v>
      </c>
      <c r="F1787" s="4" t="s">
        <v>11497</v>
      </c>
      <c r="G1787" s="4" t="s">
        <v>11498</v>
      </c>
      <c r="H1787" s="4">
        <v>1.57</v>
      </c>
      <c r="I1787" s="4">
        <v>1.3</v>
      </c>
      <c r="J1787" s="4">
        <v>0.23222999999999999</v>
      </c>
      <c r="K1787" s="4" t="b">
        <v>1</v>
      </c>
      <c r="L1787" s="4" t="b">
        <v>0</v>
      </c>
    </row>
    <row r="1788" spans="1:16" ht="13">
      <c r="A1788" s="4" t="s">
        <v>11499</v>
      </c>
      <c r="B1788" s="4" t="s">
        <v>4951</v>
      </c>
      <c r="C1788" s="4" t="s">
        <v>108</v>
      </c>
      <c r="D1788" s="4" t="s">
        <v>4952</v>
      </c>
      <c r="E1788" s="4" t="s">
        <v>19</v>
      </c>
      <c r="F1788" s="4" t="s">
        <v>11500</v>
      </c>
      <c r="G1788" s="4" t="s">
        <v>11501</v>
      </c>
      <c r="H1788" s="4">
        <v>1.58</v>
      </c>
      <c r="I1788" s="4">
        <v>1.1499999999999999</v>
      </c>
      <c r="J1788" s="4">
        <v>0.23658000000000001</v>
      </c>
      <c r="K1788" s="4" t="b">
        <v>1</v>
      </c>
      <c r="L1788" s="4" t="b">
        <v>0</v>
      </c>
    </row>
    <row r="1789" spans="1:16" ht="13">
      <c r="A1789" s="4" t="s">
        <v>11502</v>
      </c>
      <c r="B1789" s="4" t="s">
        <v>4951</v>
      </c>
      <c r="C1789" s="4" t="s">
        <v>108</v>
      </c>
      <c r="D1789" s="4" t="s">
        <v>4952</v>
      </c>
      <c r="E1789" s="4" t="s">
        <v>19</v>
      </c>
      <c r="F1789" s="4" t="s">
        <v>11503</v>
      </c>
      <c r="G1789" s="4" t="s">
        <v>11504</v>
      </c>
      <c r="H1789" s="4">
        <v>1.61</v>
      </c>
      <c r="I1789" s="4">
        <v>0.95</v>
      </c>
      <c r="J1789" s="4">
        <v>0.1852</v>
      </c>
      <c r="K1789" s="4" t="b">
        <v>1</v>
      </c>
      <c r="L1789" s="4" t="b">
        <v>0</v>
      </c>
    </row>
    <row r="1790" spans="1:16" ht="13">
      <c r="A1790" s="4" t="s">
        <v>11505</v>
      </c>
      <c r="B1790" s="4" t="s">
        <v>4951</v>
      </c>
      <c r="C1790" s="4" t="s">
        <v>108</v>
      </c>
      <c r="D1790" s="4" t="s">
        <v>4952</v>
      </c>
      <c r="E1790" s="4" t="s">
        <v>19</v>
      </c>
      <c r="F1790" s="4" t="s">
        <v>11506</v>
      </c>
      <c r="G1790" s="4" t="s">
        <v>11507</v>
      </c>
      <c r="H1790" s="4">
        <v>1.61</v>
      </c>
      <c r="I1790" s="4">
        <v>1.22</v>
      </c>
      <c r="J1790" s="4">
        <v>0.23644000000000001</v>
      </c>
      <c r="K1790" s="4" t="b">
        <v>1</v>
      </c>
      <c r="L1790" s="4" t="b">
        <v>0</v>
      </c>
    </row>
    <row r="1791" spans="1:16" ht="13">
      <c r="A1791" s="4" t="s">
        <v>3219</v>
      </c>
      <c r="B1791" s="4" t="s">
        <v>4951</v>
      </c>
      <c r="C1791" s="4" t="s">
        <v>108</v>
      </c>
      <c r="D1791" s="4" t="s">
        <v>4952</v>
      </c>
      <c r="E1791" s="4" t="s">
        <v>19</v>
      </c>
      <c r="F1791" s="4" t="s">
        <v>5085</v>
      </c>
      <c r="G1791" s="4" t="s">
        <v>3115</v>
      </c>
      <c r="H1791" s="4">
        <v>1.62</v>
      </c>
      <c r="I1791" s="4">
        <v>1.01</v>
      </c>
      <c r="J1791" s="4">
        <v>0.20929</v>
      </c>
      <c r="K1791" s="4" t="b">
        <v>1</v>
      </c>
      <c r="L1791" s="4" t="b">
        <v>1</v>
      </c>
      <c r="M1791" s="40" t="s">
        <v>4929</v>
      </c>
      <c r="N1791" s="41" t="s">
        <v>4955</v>
      </c>
      <c r="O1791" s="41" t="s">
        <v>4955</v>
      </c>
      <c r="P1791" s="41" t="s">
        <v>4955</v>
      </c>
    </row>
    <row r="1792" spans="1:16" ht="13">
      <c r="A1792" s="4" t="s">
        <v>11508</v>
      </c>
      <c r="B1792" s="4" t="s">
        <v>4951</v>
      </c>
      <c r="C1792" s="4" t="s">
        <v>108</v>
      </c>
      <c r="D1792" s="4" t="s">
        <v>4952</v>
      </c>
      <c r="E1792" s="4" t="s">
        <v>19</v>
      </c>
      <c r="F1792" s="4" t="s">
        <v>11509</v>
      </c>
      <c r="G1792" s="4" t="s">
        <v>11510</v>
      </c>
      <c r="H1792" s="4">
        <v>1.62</v>
      </c>
      <c r="I1792" s="4">
        <v>1.08</v>
      </c>
      <c r="J1792" s="4">
        <v>0.25741000000000003</v>
      </c>
      <c r="K1792" s="4" t="b">
        <v>1</v>
      </c>
      <c r="L1792" s="4" t="b">
        <v>0</v>
      </c>
    </row>
    <row r="1793" spans="1:13" ht="13">
      <c r="A1793" s="4" t="s">
        <v>11511</v>
      </c>
      <c r="B1793" s="4" t="s">
        <v>4951</v>
      </c>
      <c r="C1793" s="4" t="s">
        <v>108</v>
      </c>
      <c r="D1793" s="4" t="s">
        <v>4952</v>
      </c>
      <c r="E1793" s="4" t="s">
        <v>19</v>
      </c>
      <c r="F1793" s="4" t="s">
        <v>11512</v>
      </c>
      <c r="G1793" s="4" t="s">
        <v>11513</v>
      </c>
      <c r="H1793" s="4">
        <v>1.63</v>
      </c>
      <c r="I1793" s="4">
        <v>0.99</v>
      </c>
      <c r="J1793" s="4">
        <v>0.19395000000000001</v>
      </c>
      <c r="K1793" s="4" t="b">
        <v>1</v>
      </c>
      <c r="L1793" s="4" t="b">
        <v>0</v>
      </c>
    </row>
    <row r="1794" spans="1:13" ht="13">
      <c r="A1794" s="4" t="s">
        <v>11517</v>
      </c>
      <c r="B1794" s="4" t="s">
        <v>4951</v>
      </c>
      <c r="C1794" s="4" t="s">
        <v>108</v>
      </c>
      <c r="D1794" s="4" t="s">
        <v>4952</v>
      </c>
      <c r="E1794" s="4" t="s">
        <v>19</v>
      </c>
      <c r="F1794" s="4" t="s">
        <v>11518</v>
      </c>
      <c r="G1794" s="4" t="s">
        <v>11519</v>
      </c>
      <c r="H1794" s="4">
        <v>1.65</v>
      </c>
      <c r="I1794" s="4">
        <v>1.1499999999999999</v>
      </c>
      <c r="J1794" s="4">
        <v>0.25007000000000001</v>
      </c>
      <c r="K1794" s="4" t="b">
        <v>1</v>
      </c>
      <c r="L1794" s="4" t="b">
        <v>0</v>
      </c>
    </row>
    <row r="1795" spans="1:13" ht="13">
      <c r="A1795" s="4" t="s">
        <v>11520</v>
      </c>
      <c r="B1795" s="4" t="s">
        <v>4951</v>
      </c>
      <c r="C1795" s="4" t="s">
        <v>108</v>
      </c>
      <c r="D1795" s="4" t="s">
        <v>4952</v>
      </c>
      <c r="E1795" s="4" t="s">
        <v>19</v>
      </c>
      <c r="F1795" s="4" t="s">
        <v>11521</v>
      </c>
      <c r="G1795" s="4" t="s">
        <v>11522</v>
      </c>
      <c r="H1795" s="4">
        <v>1.65</v>
      </c>
      <c r="I1795" s="4">
        <v>1.1200000000000001</v>
      </c>
      <c r="J1795" s="4">
        <v>0.24737000000000001</v>
      </c>
      <c r="K1795" s="4" t="b">
        <v>1</v>
      </c>
      <c r="L1795" s="4" t="b">
        <v>0</v>
      </c>
    </row>
    <row r="1796" spans="1:13" ht="13">
      <c r="A1796" s="4" t="s">
        <v>11523</v>
      </c>
      <c r="B1796" s="4" t="s">
        <v>4951</v>
      </c>
      <c r="C1796" s="4" t="s">
        <v>108</v>
      </c>
      <c r="D1796" s="4" t="s">
        <v>4952</v>
      </c>
      <c r="E1796" s="4" t="s">
        <v>19</v>
      </c>
      <c r="F1796" s="4" t="s">
        <v>11524</v>
      </c>
      <c r="G1796" s="4" t="s">
        <v>11525</v>
      </c>
      <c r="H1796" s="4">
        <v>1.66</v>
      </c>
      <c r="I1796" s="4">
        <v>1.22</v>
      </c>
      <c r="J1796" s="4">
        <v>0.28179999999999999</v>
      </c>
      <c r="K1796" s="4" t="b">
        <v>1</v>
      </c>
      <c r="L1796" s="4" t="b">
        <v>0</v>
      </c>
    </row>
    <row r="1797" spans="1:13" ht="13">
      <c r="A1797" s="4" t="s">
        <v>11526</v>
      </c>
      <c r="B1797" s="4" t="s">
        <v>4951</v>
      </c>
      <c r="C1797" s="4" t="s">
        <v>108</v>
      </c>
      <c r="D1797" s="4" t="s">
        <v>4952</v>
      </c>
      <c r="E1797" s="4" t="s">
        <v>19</v>
      </c>
      <c r="F1797" s="4" t="s">
        <v>11527</v>
      </c>
      <c r="G1797" s="4" t="s">
        <v>11528</v>
      </c>
      <c r="H1797" s="4">
        <v>1.66</v>
      </c>
      <c r="I1797" s="4">
        <v>1.1000000000000001</v>
      </c>
      <c r="J1797" s="4">
        <v>0.24374999999999999</v>
      </c>
      <c r="K1797" s="4" t="b">
        <v>1</v>
      </c>
      <c r="L1797" s="4" t="b">
        <v>0</v>
      </c>
    </row>
    <row r="1798" spans="1:13" ht="13">
      <c r="A1798" s="4" t="s">
        <v>11529</v>
      </c>
      <c r="B1798" s="4" t="s">
        <v>4951</v>
      </c>
      <c r="C1798" s="4" t="s">
        <v>108</v>
      </c>
      <c r="D1798" s="4" t="s">
        <v>4952</v>
      </c>
      <c r="E1798" s="4" t="s">
        <v>19</v>
      </c>
      <c r="F1798" s="4" t="s">
        <v>11530</v>
      </c>
      <c r="G1798" s="4" t="s">
        <v>11531</v>
      </c>
      <c r="H1798" s="4">
        <v>1.67</v>
      </c>
      <c r="I1798" s="4">
        <v>1.22</v>
      </c>
      <c r="J1798" s="4">
        <v>0.23713999999999999</v>
      </c>
      <c r="K1798" s="4" t="b">
        <v>1</v>
      </c>
      <c r="L1798" s="4" t="b">
        <v>0</v>
      </c>
    </row>
    <row r="1799" spans="1:13" ht="13">
      <c r="A1799" s="4" t="s">
        <v>11532</v>
      </c>
      <c r="B1799" s="4" t="s">
        <v>4951</v>
      </c>
      <c r="C1799" s="4" t="s">
        <v>108</v>
      </c>
      <c r="D1799" s="4" t="s">
        <v>4952</v>
      </c>
      <c r="E1799" s="4" t="s">
        <v>19</v>
      </c>
      <c r="F1799" s="4" t="s">
        <v>11533</v>
      </c>
      <c r="G1799" s="4" t="s">
        <v>11534</v>
      </c>
      <c r="H1799" s="4">
        <v>1.68</v>
      </c>
      <c r="I1799" s="4">
        <v>1.1399999999999999</v>
      </c>
      <c r="J1799" s="4">
        <v>0.25616</v>
      </c>
      <c r="K1799" s="4" t="b">
        <v>1</v>
      </c>
      <c r="L1799" s="4" t="b">
        <v>0</v>
      </c>
    </row>
    <row r="1800" spans="1:13" ht="13">
      <c r="A1800" s="4" t="s">
        <v>11535</v>
      </c>
      <c r="B1800" s="4" t="s">
        <v>4951</v>
      </c>
      <c r="C1800" s="4" t="s">
        <v>108</v>
      </c>
      <c r="D1800" s="4" t="s">
        <v>4952</v>
      </c>
      <c r="E1800" s="4" t="s">
        <v>19</v>
      </c>
      <c r="F1800" s="4" t="s">
        <v>11536</v>
      </c>
      <c r="G1800" s="4" t="s">
        <v>11537</v>
      </c>
      <c r="H1800" s="4">
        <v>1.68</v>
      </c>
      <c r="I1800" s="4">
        <v>1.19</v>
      </c>
      <c r="J1800" s="4">
        <v>0.25074000000000002</v>
      </c>
      <c r="K1800" s="4" t="b">
        <v>1</v>
      </c>
      <c r="L1800" s="4" t="b">
        <v>0</v>
      </c>
    </row>
    <row r="1801" spans="1:13" ht="13">
      <c r="A1801" s="4" t="s">
        <v>11538</v>
      </c>
      <c r="B1801" s="4" t="s">
        <v>4951</v>
      </c>
      <c r="C1801" s="4" t="s">
        <v>108</v>
      </c>
      <c r="D1801" s="4" t="s">
        <v>4952</v>
      </c>
      <c r="E1801" s="4" t="s">
        <v>19</v>
      </c>
      <c r="F1801" s="4" t="s">
        <v>11539</v>
      </c>
      <c r="G1801" s="4" t="s">
        <v>11540</v>
      </c>
      <c r="H1801" s="4">
        <v>1.69</v>
      </c>
      <c r="I1801" s="4">
        <v>1.06</v>
      </c>
      <c r="J1801" s="4">
        <v>0.26540000000000002</v>
      </c>
      <c r="K1801" s="4" t="b">
        <v>1</v>
      </c>
      <c r="L1801" s="4" t="b">
        <v>0</v>
      </c>
    </row>
    <row r="1802" spans="1:13" ht="13">
      <c r="A1802" s="4" t="s">
        <v>11541</v>
      </c>
      <c r="B1802" s="4" t="s">
        <v>4951</v>
      </c>
      <c r="C1802" s="4" t="s">
        <v>108</v>
      </c>
      <c r="D1802" s="4" t="s">
        <v>4952</v>
      </c>
      <c r="E1802" s="4" t="s">
        <v>19</v>
      </c>
      <c r="F1802" s="4" t="s">
        <v>11542</v>
      </c>
      <c r="G1802" s="4" t="s">
        <v>11543</v>
      </c>
      <c r="H1802" s="4">
        <v>1.7</v>
      </c>
      <c r="I1802" s="4">
        <v>1.0900000000000001</v>
      </c>
      <c r="J1802" s="4">
        <v>0.24564</v>
      </c>
      <c r="K1802" s="4" t="b">
        <v>1</v>
      </c>
      <c r="L1802" s="4" t="b">
        <v>0</v>
      </c>
    </row>
    <row r="1803" spans="1:13" ht="13">
      <c r="A1803" s="4" t="s">
        <v>11544</v>
      </c>
      <c r="B1803" s="4" t="s">
        <v>4951</v>
      </c>
      <c r="C1803" s="4" t="s">
        <v>108</v>
      </c>
      <c r="D1803" s="4" t="s">
        <v>4952</v>
      </c>
      <c r="E1803" s="4" t="s">
        <v>19</v>
      </c>
      <c r="F1803" s="4" t="s">
        <v>11545</v>
      </c>
      <c r="G1803" s="4" t="s">
        <v>11546</v>
      </c>
      <c r="H1803" s="4">
        <v>1.71</v>
      </c>
      <c r="I1803" s="4">
        <v>2.68</v>
      </c>
      <c r="J1803" s="4">
        <v>0.27523999999999998</v>
      </c>
      <c r="K1803" s="4" t="b">
        <v>1</v>
      </c>
      <c r="L1803" s="4" t="b">
        <v>0</v>
      </c>
    </row>
    <row r="1804" spans="1:13" ht="13">
      <c r="A1804" s="4" t="s">
        <v>11547</v>
      </c>
      <c r="B1804" s="4" t="s">
        <v>4951</v>
      </c>
      <c r="C1804" s="4" t="s">
        <v>108</v>
      </c>
      <c r="D1804" s="4" t="s">
        <v>4952</v>
      </c>
      <c r="E1804" s="4" t="s">
        <v>19</v>
      </c>
      <c r="F1804" s="4" t="s">
        <v>11548</v>
      </c>
      <c r="G1804" s="4" t="s">
        <v>11549</v>
      </c>
      <c r="H1804" s="4">
        <v>1.72</v>
      </c>
      <c r="I1804" s="4">
        <v>1.07</v>
      </c>
      <c r="J1804" s="4">
        <v>0.22855</v>
      </c>
      <c r="K1804" s="4" t="b">
        <v>1</v>
      </c>
      <c r="L1804" s="4" t="b">
        <v>0</v>
      </c>
    </row>
    <row r="1805" spans="1:13" ht="13">
      <c r="A1805" s="4" t="s">
        <v>11550</v>
      </c>
      <c r="B1805" s="4" t="s">
        <v>4951</v>
      </c>
      <c r="C1805" s="4" t="s">
        <v>108</v>
      </c>
      <c r="D1805" s="4" t="s">
        <v>4952</v>
      </c>
      <c r="E1805" s="4" t="s">
        <v>19</v>
      </c>
      <c r="F1805" s="4" t="s">
        <v>11551</v>
      </c>
      <c r="G1805" s="4" t="s">
        <v>11552</v>
      </c>
      <c r="H1805" s="4">
        <v>1.72</v>
      </c>
      <c r="I1805" s="4">
        <v>1.0900000000000001</v>
      </c>
      <c r="J1805" s="4">
        <v>0.24909000000000001</v>
      </c>
      <c r="K1805" s="4" t="b">
        <v>1</v>
      </c>
      <c r="L1805" s="4" t="b">
        <v>0</v>
      </c>
    </row>
    <row r="1806" spans="1:13" ht="13">
      <c r="A1806" s="4" t="s">
        <v>11553</v>
      </c>
      <c r="B1806" s="4" t="s">
        <v>4951</v>
      </c>
      <c r="C1806" s="4" t="s">
        <v>108</v>
      </c>
      <c r="D1806" s="4" t="s">
        <v>4952</v>
      </c>
      <c r="E1806" s="4" t="s">
        <v>19</v>
      </c>
      <c r="F1806" s="4" t="s">
        <v>11554</v>
      </c>
      <c r="G1806" s="4" t="s">
        <v>11555</v>
      </c>
      <c r="H1806" s="4">
        <v>1.73</v>
      </c>
      <c r="I1806" s="4">
        <v>1.1000000000000001</v>
      </c>
      <c r="J1806" s="4">
        <v>0.25213000000000002</v>
      </c>
      <c r="K1806" s="4" t="b">
        <v>1</v>
      </c>
      <c r="L1806" s="4" t="b">
        <v>0</v>
      </c>
    </row>
    <row r="1807" spans="1:13" ht="13">
      <c r="A1807" s="4" t="s">
        <v>3220</v>
      </c>
      <c r="B1807" s="4" t="s">
        <v>4951</v>
      </c>
      <c r="C1807" s="4" t="s">
        <v>108</v>
      </c>
      <c r="D1807" s="4" t="s">
        <v>4952</v>
      </c>
      <c r="E1807" s="4" t="s">
        <v>19</v>
      </c>
      <c r="F1807" s="4" t="s">
        <v>5135</v>
      </c>
      <c r="G1807" s="4" t="s">
        <v>3116</v>
      </c>
      <c r="H1807" s="4">
        <v>1.73</v>
      </c>
      <c r="I1807" s="4">
        <v>1.22</v>
      </c>
      <c r="J1807" s="4">
        <v>0.23061999999999999</v>
      </c>
      <c r="K1807" s="4" t="b">
        <v>1</v>
      </c>
      <c r="L1807" s="4" t="b">
        <v>1</v>
      </c>
      <c r="M1807" s="41" t="s">
        <v>4929</v>
      </c>
    </row>
    <row r="1808" spans="1:13" ht="13">
      <c r="A1808" s="4" t="s">
        <v>11556</v>
      </c>
      <c r="B1808" s="4" t="s">
        <v>4951</v>
      </c>
      <c r="C1808" s="4" t="s">
        <v>108</v>
      </c>
      <c r="D1808" s="4" t="s">
        <v>4952</v>
      </c>
      <c r="E1808" s="4" t="s">
        <v>19</v>
      </c>
      <c r="F1808" s="4" t="s">
        <v>11557</v>
      </c>
      <c r="G1808" s="4" t="s">
        <v>11558</v>
      </c>
      <c r="H1808" s="4">
        <v>1.74</v>
      </c>
      <c r="I1808" s="4">
        <v>1.2</v>
      </c>
      <c r="J1808" s="4">
        <v>0.24396999999999999</v>
      </c>
      <c r="K1808" s="4" t="b">
        <v>1</v>
      </c>
      <c r="L1808" s="4" t="b">
        <v>0</v>
      </c>
    </row>
    <row r="1809" spans="1:14" ht="13">
      <c r="A1809" s="4" t="s">
        <v>11559</v>
      </c>
      <c r="B1809" s="4" t="s">
        <v>4951</v>
      </c>
      <c r="C1809" s="4" t="s">
        <v>108</v>
      </c>
      <c r="D1809" s="4" t="s">
        <v>4952</v>
      </c>
      <c r="E1809" s="4" t="s">
        <v>19</v>
      </c>
      <c r="F1809" s="4" t="s">
        <v>11560</v>
      </c>
      <c r="G1809" s="4" t="s">
        <v>11561</v>
      </c>
      <c r="H1809" s="4">
        <v>1.75</v>
      </c>
      <c r="I1809" s="4">
        <v>1.07</v>
      </c>
      <c r="J1809" s="4">
        <v>0.24515999999999999</v>
      </c>
      <c r="K1809" s="4" t="b">
        <v>1</v>
      </c>
      <c r="L1809" s="4" t="b">
        <v>0</v>
      </c>
    </row>
    <row r="1810" spans="1:14" ht="13">
      <c r="A1810" s="4" t="s">
        <v>11562</v>
      </c>
      <c r="B1810" s="4" t="s">
        <v>4951</v>
      </c>
      <c r="C1810" s="4" t="s">
        <v>108</v>
      </c>
      <c r="D1810" s="4" t="s">
        <v>4952</v>
      </c>
      <c r="E1810" s="4" t="s">
        <v>19</v>
      </c>
      <c r="F1810" s="4" t="s">
        <v>11563</v>
      </c>
      <c r="G1810" s="4" t="s">
        <v>11564</v>
      </c>
      <c r="H1810" s="4">
        <v>1.75</v>
      </c>
      <c r="I1810" s="4">
        <v>1.04</v>
      </c>
      <c r="J1810" s="4">
        <v>0.22977</v>
      </c>
      <c r="K1810" s="4" t="b">
        <v>1</v>
      </c>
      <c r="L1810" s="4" t="b">
        <v>0</v>
      </c>
    </row>
    <row r="1811" spans="1:14" ht="13">
      <c r="A1811" s="4" t="s">
        <v>11568</v>
      </c>
      <c r="B1811" s="4" t="s">
        <v>4951</v>
      </c>
      <c r="C1811" s="4" t="s">
        <v>108</v>
      </c>
      <c r="D1811" s="4" t="s">
        <v>4952</v>
      </c>
      <c r="E1811" s="4" t="s">
        <v>19</v>
      </c>
      <c r="F1811" s="4" t="s">
        <v>11569</v>
      </c>
      <c r="G1811" s="4" t="s">
        <v>11570</v>
      </c>
      <c r="H1811" s="4">
        <v>1.77</v>
      </c>
      <c r="I1811" s="4">
        <v>1.02</v>
      </c>
      <c r="J1811" s="4">
        <v>0.19078999999999999</v>
      </c>
      <c r="K1811" s="4" t="b">
        <v>1</v>
      </c>
      <c r="L1811" s="4" t="b">
        <v>0</v>
      </c>
    </row>
    <row r="1812" spans="1:14" ht="13">
      <c r="A1812" s="4" t="s">
        <v>11571</v>
      </c>
      <c r="B1812" s="4" t="s">
        <v>4951</v>
      </c>
      <c r="C1812" s="4" t="s">
        <v>108</v>
      </c>
      <c r="D1812" s="4" t="s">
        <v>4952</v>
      </c>
      <c r="E1812" s="4" t="s">
        <v>19</v>
      </c>
      <c r="F1812" s="4" t="s">
        <v>11572</v>
      </c>
      <c r="G1812" s="4" t="s">
        <v>11573</v>
      </c>
      <c r="H1812" s="4">
        <v>1.77</v>
      </c>
      <c r="I1812" s="4">
        <v>1.17</v>
      </c>
      <c r="J1812" s="4">
        <v>0.22178999999999999</v>
      </c>
      <c r="K1812" s="4" t="b">
        <v>1</v>
      </c>
      <c r="L1812" s="4" t="b">
        <v>0</v>
      </c>
    </row>
    <row r="1813" spans="1:14" ht="13">
      <c r="A1813" s="4" t="s">
        <v>11574</v>
      </c>
      <c r="B1813" s="4" t="s">
        <v>4951</v>
      </c>
      <c r="C1813" s="4" t="s">
        <v>108</v>
      </c>
      <c r="D1813" s="4" t="s">
        <v>4952</v>
      </c>
      <c r="E1813" s="4" t="s">
        <v>19</v>
      </c>
      <c r="F1813" s="4" t="s">
        <v>11575</v>
      </c>
      <c r="G1813" s="4" t="s">
        <v>11576</v>
      </c>
      <c r="H1813" s="4">
        <v>1.79</v>
      </c>
      <c r="I1813" s="4">
        <v>1.18</v>
      </c>
      <c r="J1813" s="4">
        <v>0.21343000000000001</v>
      </c>
      <c r="K1813" s="4" t="b">
        <v>1</v>
      </c>
      <c r="L1813" s="4" t="b">
        <v>0</v>
      </c>
    </row>
    <row r="1814" spans="1:14" ht="13">
      <c r="A1814" s="4" t="s">
        <v>11580</v>
      </c>
      <c r="B1814" s="4" t="s">
        <v>4951</v>
      </c>
      <c r="C1814" s="4" t="s">
        <v>108</v>
      </c>
      <c r="D1814" s="4" t="s">
        <v>4952</v>
      </c>
      <c r="E1814" s="4" t="s">
        <v>19</v>
      </c>
      <c r="F1814" s="4" t="s">
        <v>11581</v>
      </c>
      <c r="G1814" s="4" t="s">
        <v>11582</v>
      </c>
      <c r="H1814" s="4">
        <v>1.8</v>
      </c>
      <c r="I1814" s="4">
        <v>1.07</v>
      </c>
      <c r="J1814" s="4">
        <v>0.23511000000000001</v>
      </c>
      <c r="K1814" s="4" t="b">
        <v>1</v>
      </c>
      <c r="L1814" s="4" t="b">
        <v>0</v>
      </c>
    </row>
    <row r="1815" spans="1:14" ht="13">
      <c r="A1815" s="4" t="s">
        <v>11583</v>
      </c>
      <c r="B1815" s="4" t="s">
        <v>4951</v>
      </c>
      <c r="C1815" s="4" t="s">
        <v>108</v>
      </c>
      <c r="D1815" s="4" t="s">
        <v>4952</v>
      </c>
      <c r="E1815" s="4" t="s">
        <v>19</v>
      </c>
      <c r="F1815" s="4" t="s">
        <v>11584</v>
      </c>
      <c r="G1815" s="4" t="s">
        <v>11585</v>
      </c>
      <c r="H1815" s="4">
        <v>1.82</v>
      </c>
      <c r="I1815" s="4">
        <v>1.02</v>
      </c>
      <c r="J1815" s="4">
        <v>0.22778999999999999</v>
      </c>
      <c r="K1815" s="4" t="b">
        <v>1</v>
      </c>
      <c r="L1815" s="4" t="b">
        <v>0</v>
      </c>
    </row>
    <row r="1816" spans="1:14" ht="13">
      <c r="A1816" s="4" t="s">
        <v>11586</v>
      </c>
      <c r="B1816" s="4" t="s">
        <v>4951</v>
      </c>
      <c r="C1816" s="4" t="s">
        <v>108</v>
      </c>
      <c r="D1816" s="4" t="s">
        <v>4952</v>
      </c>
      <c r="E1816" s="4" t="s">
        <v>19</v>
      </c>
      <c r="F1816" s="4" t="s">
        <v>11587</v>
      </c>
      <c r="G1816" s="4" t="s">
        <v>11588</v>
      </c>
      <c r="H1816" s="4">
        <v>1.83</v>
      </c>
      <c r="I1816" s="4">
        <v>1.1499999999999999</v>
      </c>
      <c r="J1816" s="4">
        <v>0.25430000000000003</v>
      </c>
      <c r="K1816" s="4" t="b">
        <v>1</v>
      </c>
      <c r="L1816" s="4" t="b">
        <v>0</v>
      </c>
    </row>
    <row r="1817" spans="1:14" ht="13">
      <c r="A1817" s="4" t="s">
        <v>3221</v>
      </c>
      <c r="B1817" s="4" t="s">
        <v>4951</v>
      </c>
      <c r="C1817" s="4" t="s">
        <v>108</v>
      </c>
      <c r="D1817" s="4" t="s">
        <v>4952</v>
      </c>
      <c r="E1817" s="4" t="s">
        <v>19</v>
      </c>
      <c r="F1817" s="4" t="s">
        <v>5006</v>
      </c>
      <c r="G1817" s="4" t="s">
        <v>3117</v>
      </c>
      <c r="H1817" s="4">
        <v>1.83</v>
      </c>
      <c r="I1817" s="4">
        <v>1.07</v>
      </c>
      <c r="J1817" s="4">
        <v>0.22106000000000001</v>
      </c>
      <c r="K1817" s="4" t="b">
        <v>1</v>
      </c>
      <c r="L1817" s="4" t="b">
        <v>1</v>
      </c>
      <c r="M1817" s="41" t="s">
        <v>4929</v>
      </c>
      <c r="N1817" s="41" t="s">
        <v>4929</v>
      </c>
    </row>
    <row r="1818" spans="1:14" ht="13">
      <c r="A1818" s="4" t="s">
        <v>11589</v>
      </c>
      <c r="B1818" s="4" t="s">
        <v>4951</v>
      </c>
      <c r="C1818" s="4" t="s">
        <v>108</v>
      </c>
      <c r="D1818" s="4" t="s">
        <v>4952</v>
      </c>
      <c r="E1818" s="4" t="s">
        <v>19</v>
      </c>
      <c r="F1818" s="4" t="s">
        <v>11590</v>
      </c>
      <c r="G1818" s="4" t="s">
        <v>11591</v>
      </c>
      <c r="H1818" s="4">
        <v>1.83</v>
      </c>
      <c r="I1818" s="4">
        <v>1.1200000000000001</v>
      </c>
      <c r="J1818" s="4">
        <v>0.22921</v>
      </c>
      <c r="K1818" s="4" t="b">
        <v>1</v>
      </c>
      <c r="L1818" s="4" t="b">
        <v>0</v>
      </c>
    </row>
    <row r="1819" spans="1:14" ht="13">
      <c r="A1819" s="4" t="s">
        <v>11592</v>
      </c>
      <c r="B1819" s="4" t="s">
        <v>4951</v>
      </c>
      <c r="C1819" s="4" t="s">
        <v>108</v>
      </c>
      <c r="D1819" s="4" t="s">
        <v>4952</v>
      </c>
      <c r="E1819" s="4" t="s">
        <v>22</v>
      </c>
      <c r="F1819" s="4" t="s">
        <v>11593</v>
      </c>
      <c r="G1819" s="4" t="s">
        <v>11594</v>
      </c>
      <c r="H1819" s="4">
        <v>1.9</v>
      </c>
      <c r="I1819" s="4">
        <v>1.08</v>
      </c>
      <c r="J1819" s="4">
        <v>0.25896999999999998</v>
      </c>
      <c r="K1819" s="4" t="b">
        <v>1</v>
      </c>
      <c r="L1819" s="4" t="b">
        <v>0</v>
      </c>
    </row>
    <row r="1820" spans="1:14" ht="13">
      <c r="A1820" s="4" t="s">
        <v>11595</v>
      </c>
      <c r="B1820" s="4" t="s">
        <v>4951</v>
      </c>
      <c r="C1820" s="4" t="s">
        <v>108</v>
      </c>
      <c r="D1820" s="4" t="s">
        <v>4952</v>
      </c>
      <c r="E1820" s="4" t="s">
        <v>22</v>
      </c>
      <c r="F1820" s="4" t="s">
        <v>11596</v>
      </c>
      <c r="G1820" s="4" t="s">
        <v>11597</v>
      </c>
      <c r="H1820" s="4">
        <v>1.93</v>
      </c>
      <c r="I1820" s="4">
        <v>1.08</v>
      </c>
      <c r="J1820" s="4">
        <v>0.25896000000000002</v>
      </c>
      <c r="K1820" s="4" t="b">
        <v>1</v>
      </c>
      <c r="L1820" s="4" t="b">
        <v>0</v>
      </c>
    </row>
    <row r="1821" spans="1:14" ht="13">
      <c r="A1821" s="4" t="s">
        <v>3222</v>
      </c>
      <c r="B1821" s="4" t="s">
        <v>4951</v>
      </c>
      <c r="C1821" s="4" t="s">
        <v>108</v>
      </c>
      <c r="D1821" s="4" t="s">
        <v>4952</v>
      </c>
      <c r="E1821" s="4" t="s">
        <v>22</v>
      </c>
      <c r="F1821" s="4" t="s">
        <v>5007</v>
      </c>
      <c r="G1821" s="4" t="s">
        <v>3118</v>
      </c>
      <c r="H1821" s="4">
        <v>1.94</v>
      </c>
      <c r="I1821" s="4">
        <v>1.1100000000000001</v>
      </c>
      <c r="J1821" s="4">
        <v>0.25790999999999997</v>
      </c>
      <c r="K1821" s="4" t="b">
        <v>1</v>
      </c>
      <c r="L1821" s="4" t="b">
        <v>1</v>
      </c>
      <c r="M1821" s="41" t="s">
        <v>4929</v>
      </c>
    </row>
    <row r="1822" spans="1:14" ht="13">
      <c r="A1822" s="4" t="s">
        <v>11598</v>
      </c>
      <c r="B1822" s="4" t="s">
        <v>4951</v>
      </c>
      <c r="C1822" s="4" t="s">
        <v>108</v>
      </c>
      <c r="D1822" s="4" t="s">
        <v>4952</v>
      </c>
      <c r="E1822" s="4" t="s">
        <v>22</v>
      </c>
      <c r="F1822" s="4" t="s">
        <v>11599</v>
      </c>
      <c r="G1822" s="4" t="s">
        <v>11600</v>
      </c>
      <c r="H1822" s="4">
        <v>1.95</v>
      </c>
      <c r="I1822" s="4">
        <v>1.1200000000000001</v>
      </c>
      <c r="J1822" s="4">
        <v>0.24836</v>
      </c>
      <c r="K1822" s="4" t="b">
        <v>1</v>
      </c>
      <c r="L1822" s="4" t="b">
        <v>0</v>
      </c>
    </row>
    <row r="1823" spans="1:14" ht="13">
      <c r="A1823" s="4" t="s">
        <v>3223</v>
      </c>
      <c r="B1823" s="4" t="s">
        <v>4951</v>
      </c>
      <c r="C1823" s="4" t="s">
        <v>108</v>
      </c>
      <c r="D1823" s="4" t="s">
        <v>4952</v>
      </c>
      <c r="E1823" s="4" t="s">
        <v>22</v>
      </c>
      <c r="F1823" s="4" t="s">
        <v>5008</v>
      </c>
      <c r="G1823" s="4" t="s">
        <v>3119</v>
      </c>
      <c r="H1823" s="4">
        <v>1.95</v>
      </c>
      <c r="I1823" s="4">
        <v>1.08</v>
      </c>
      <c r="J1823" s="4">
        <v>0.30469000000000002</v>
      </c>
      <c r="K1823" s="4" t="b">
        <v>1</v>
      </c>
      <c r="L1823" s="4" t="b">
        <v>1</v>
      </c>
      <c r="M1823" s="41" t="s">
        <v>4929</v>
      </c>
    </row>
    <row r="1824" spans="1:14" ht="13">
      <c r="A1824" s="4" t="s">
        <v>11601</v>
      </c>
      <c r="B1824" s="4" t="s">
        <v>4951</v>
      </c>
      <c r="C1824" s="4" t="s">
        <v>108</v>
      </c>
      <c r="D1824" s="4" t="s">
        <v>4952</v>
      </c>
      <c r="E1824" s="4" t="s">
        <v>22</v>
      </c>
      <c r="F1824" s="4" t="s">
        <v>11602</v>
      </c>
      <c r="G1824" s="4" t="s">
        <v>11603</v>
      </c>
      <c r="H1824" s="4">
        <v>1.96</v>
      </c>
      <c r="I1824" s="4">
        <v>1.0900000000000001</v>
      </c>
      <c r="J1824" s="4">
        <v>0.24929000000000001</v>
      </c>
      <c r="K1824" s="4" t="b">
        <v>1</v>
      </c>
      <c r="L1824" s="4" t="b">
        <v>0</v>
      </c>
    </row>
    <row r="1825" spans="1:12" ht="13">
      <c r="A1825" s="4" t="s">
        <v>11604</v>
      </c>
      <c r="B1825" s="4" t="s">
        <v>4951</v>
      </c>
      <c r="C1825" s="4" t="s">
        <v>108</v>
      </c>
      <c r="D1825" s="4" t="s">
        <v>4952</v>
      </c>
      <c r="E1825" s="4" t="s">
        <v>22</v>
      </c>
      <c r="F1825" s="4" t="s">
        <v>11605</v>
      </c>
      <c r="G1825" s="4" t="s">
        <v>11606</v>
      </c>
      <c r="H1825" s="4">
        <v>1.96</v>
      </c>
      <c r="I1825" s="4">
        <v>1.04</v>
      </c>
      <c r="J1825" s="4">
        <v>0.20726</v>
      </c>
      <c r="K1825" s="4" t="b">
        <v>1</v>
      </c>
      <c r="L1825" s="4" t="b">
        <v>0</v>
      </c>
    </row>
    <row r="1826" spans="1:12" ht="13">
      <c r="A1826" s="4" t="s">
        <v>11607</v>
      </c>
      <c r="B1826" s="4" t="s">
        <v>4951</v>
      </c>
      <c r="C1826" s="4" t="s">
        <v>108</v>
      </c>
      <c r="D1826" s="4" t="s">
        <v>4952</v>
      </c>
      <c r="E1826" s="4" t="s">
        <v>22</v>
      </c>
      <c r="F1826" s="4" t="s">
        <v>11608</v>
      </c>
      <c r="G1826" s="4" t="s">
        <v>11609</v>
      </c>
      <c r="H1826" s="4">
        <v>1.97</v>
      </c>
      <c r="I1826" s="4">
        <v>1.17</v>
      </c>
      <c r="J1826" s="4">
        <v>0.25135000000000002</v>
      </c>
      <c r="K1826" s="4" t="b">
        <v>1</v>
      </c>
      <c r="L1826" s="4" t="b">
        <v>0</v>
      </c>
    </row>
    <row r="1827" spans="1:12" ht="13">
      <c r="A1827" s="4" t="s">
        <v>11610</v>
      </c>
      <c r="B1827" s="4" t="s">
        <v>4951</v>
      </c>
      <c r="C1827" s="4" t="s">
        <v>108</v>
      </c>
      <c r="D1827" s="4" t="s">
        <v>4952</v>
      </c>
      <c r="E1827" s="4" t="s">
        <v>22</v>
      </c>
      <c r="F1827" s="4" t="s">
        <v>11611</v>
      </c>
      <c r="G1827" s="4" t="s">
        <v>11612</v>
      </c>
      <c r="H1827" s="4">
        <v>1.98</v>
      </c>
      <c r="I1827" s="4">
        <v>1.1299999999999999</v>
      </c>
      <c r="J1827" s="4">
        <v>0.22337000000000001</v>
      </c>
      <c r="K1827" s="4" t="b">
        <v>1</v>
      </c>
      <c r="L1827" s="4" t="b">
        <v>0</v>
      </c>
    </row>
    <row r="1828" spans="1:12" ht="13">
      <c r="A1828" s="4" t="s">
        <v>11613</v>
      </c>
      <c r="B1828" s="4" t="s">
        <v>4951</v>
      </c>
      <c r="C1828" s="4" t="s">
        <v>108</v>
      </c>
      <c r="D1828" s="4" t="s">
        <v>4952</v>
      </c>
      <c r="E1828" s="4" t="s">
        <v>22</v>
      </c>
      <c r="F1828" s="4" t="s">
        <v>11614</v>
      </c>
      <c r="G1828" s="4" t="s">
        <v>11615</v>
      </c>
      <c r="H1828" s="4">
        <v>1.98</v>
      </c>
      <c r="I1828" s="4">
        <v>1.1200000000000001</v>
      </c>
      <c r="J1828" s="4">
        <v>0.24424999999999999</v>
      </c>
      <c r="K1828" s="4" t="b">
        <v>1</v>
      </c>
      <c r="L1828" s="4" t="b">
        <v>0</v>
      </c>
    </row>
    <row r="1829" spans="1:12" ht="13">
      <c r="A1829" s="4" t="s">
        <v>11616</v>
      </c>
      <c r="B1829" s="4" t="s">
        <v>4951</v>
      </c>
      <c r="C1829" s="4" t="s">
        <v>108</v>
      </c>
      <c r="D1829" s="4" t="s">
        <v>4952</v>
      </c>
      <c r="E1829" s="4" t="s">
        <v>22</v>
      </c>
      <c r="F1829" s="4" t="s">
        <v>11617</v>
      </c>
      <c r="G1829" s="4" t="s">
        <v>11618</v>
      </c>
      <c r="H1829" s="4">
        <v>1.99</v>
      </c>
      <c r="I1829" s="4">
        <v>1.0900000000000001</v>
      </c>
      <c r="J1829" s="4">
        <v>0.24342</v>
      </c>
      <c r="K1829" s="4" t="b">
        <v>1</v>
      </c>
      <c r="L1829" s="4" t="b">
        <v>0</v>
      </c>
    </row>
    <row r="1830" spans="1:12" ht="13">
      <c r="A1830" s="4" t="s">
        <v>11619</v>
      </c>
      <c r="B1830" s="4" t="s">
        <v>4951</v>
      </c>
      <c r="C1830" s="4" t="s">
        <v>108</v>
      </c>
      <c r="D1830" s="4" t="s">
        <v>4952</v>
      </c>
      <c r="E1830" s="4" t="s">
        <v>22</v>
      </c>
      <c r="F1830" s="4" t="s">
        <v>11620</v>
      </c>
      <c r="G1830" s="4" t="s">
        <v>11621</v>
      </c>
      <c r="H1830" s="4">
        <v>2</v>
      </c>
      <c r="I1830" s="4">
        <v>1.18</v>
      </c>
      <c r="J1830" s="4">
        <v>0.25240000000000001</v>
      </c>
      <c r="K1830" s="4" t="b">
        <v>1</v>
      </c>
      <c r="L1830" s="4" t="b">
        <v>0</v>
      </c>
    </row>
    <row r="1831" spans="1:12" ht="13">
      <c r="A1831" s="4" t="s">
        <v>11622</v>
      </c>
      <c r="B1831" s="4" t="s">
        <v>4951</v>
      </c>
      <c r="C1831" s="4" t="s">
        <v>108</v>
      </c>
      <c r="D1831" s="4" t="s">
        <v>4952</v>
      </c>
      <c r="E1831" s="4" t="s">
        <v>22</v>
      </c>
      <c r="F1831" s="4" t="s">
        <v>11623</v>
      </c>
      <c r="G1831" s="4" t="s">
        <v>11624</v>
      </c>
      <c r="H1831" s="4">
        <v>2</v>
      </c>
      <c r="I1831" s="4">
        <v>1.08</v>
      </c>
      <c r="J1831" s="4">
        <v>0.25462000000000001</v>
      </c>
      <c r="K1831" s="4" t="b">
        <v>1</v>
      </c>
      <c r="L1831" s="4" t="b">
        <v>0</v>
      </c>
    </row>
    <row r="1832" spans="1:12" ht="13">
      <c r="A1832" s="4" t="s">
        <v>11625</v>
      </c>
      <c r="B1832" s="4" t="s">
        <v>4951</v>
      </c>
      <c r="C1832" s="4" t="s">
        <v>108</v>
      </c>
      <c r="D1832" s="4" t="s">
        <v>4952</v>
      </c>
      <c r="E1832" s="4" t="s">
        <v>22</v>
      </c>
      <c r="F1832" s="4" t="s">
        <v>11626</v>
      </c>
      <c r="G1832" s="4" t="s">
        <v>11627</v>
      </c>
      <c r="H1832" s="4">
        <v>2.0099999999999998</v>
      </c>
      <c r="I1832" s="4">
        <v>1.05</v>
      </c>
      <c r="J1832" s="4">
        <v>0.23436000000000001</v>
      </c>
      <c r="K1832" s="4" t="b">
        <v>1</v>
      </c>
      <c r="L1832" s="4" t="b">
        <v>0</v>
      </c>
    </row>
    <row r="1833" spans="1:12" ht="13">
      <c r="A1833" s="4" t="s">
        <v>11628</v>
      </c>
      <c r="B1833" s="4" t="s">
        <v>4951</v>
      </c>
      <c r="C1833" s="4" t="s">
        <v>108</v>
      </c>
      <c r="D1833" s="4" t="s">
        <v>4952</v>
      </c>
      <c r="E1833" s="4" t="s">
        <v>22</v>
      </c>
      <c r="F1833" s="4" t="s">
        <v>11629</v>
      </c>
      <c r="G1833" s="4" t="s">
        <v>11630</v>
      </c>
      <c r="H1833" s="4">
        <v>2.02</v>
      </c>
      <c r="I1833" s="4">
        <v>1.18</v>
      </c>
      <c r="J1833" s="4">
        <v>0.29429</v>
      </c>
      <c r="K1833" s="4" t="b">
        <v>1</v>
      </c>
      <c r="L1833" s="4" t="b">
        <v>0</v>
      </c>
    </row>
    <row r="1834" spans="1:12" ht="13">
      <c r="A1834" s="4" t="s">
        <v>11631</v>
      </c>
      <c r="B1834" s="4" t="s">
        <v>4951</v>
      </c>
      <c r="C1834" s="4" t="s">
        <v>108</v>
      </c>
      <c r="D1834" s="4" t="s">
        <v>4952</v>
      </c>
      <c r="E1834" s="4" t="s">
        <v>22</v>
      </c>
      <c r="F1834" s="4" t="s">
        <v>11632</v>
      </c>
      <c r="G1834" s="4" t="s">
        <v>11633</v>
      </c>
      <c r="H1834" s="4">
        <v>2.02</v>
      </c>
      <c r="I1834" s="4">
        <v>1.0900000000000001</v>
      </c>
      <c r="J1834" s="4">
        <v>0.26173999999999997</v>
      </c>
      <c r="K1834" s="4" t="b">
        <v>1</v>
      </c>
      <c r="L1834" s="4" t="b">
        <v>0</v>
      </c>
    </row>
    <row r="1835" spans="1:12" ht="13">
      <c r="A1835" s="4" t="s">
        <v>11634</v>
      </c>
      <c r="B1835" s="4" t="s">
        <v>4951</v>
      </c>
      <c r="C1835" s="4" t="s">
        <v>108</v>
      </c>
      <c r="D1835" s="4" t="s">
        <v>4952</v>
      </c>
      <c r="E1835" s="4" t="s">
        <v>22</v>
      </c>
      <c r="F1835" s="4" t="s">
        <v>11635</v>
      </c>
      <c r="G1835" s="4" t="s">
        <v>11636</v>
      </c>
      <c r="H1835" s="4">
        <v>2.0299999999999998</v>
      </c>
      <c r="I1835" s="4">
        <v>1.1299999999999999</v>
      </c>
      <c r="J1835" s="4">
        <v>0.25033</v>
      </c>
      <c r="K1835" s="4" t="b">
        <v>1</v>
      </c>
      <c r="L1835" s="4" t="b">
        <v>0</v>
      </c>
    </row>
    <row r="1836" spans="1:12" ht="13">
      <c r="A1836" s="4" t="s">
        <v>11637</v>
      </c>
      <c r="B1836" s="4" t="s">
        <v>4951</v>
      </c>
      <c r="C1836" s="4" t="s">
        <v>108</v>
      </c>
      <c r="D1836" s="4" t="s">
        <v>4952</v>
      </c>
      <c r="E1836" s="4" t="s">
        <v>22</v>
      </c>
      <c r="F1836" s="4" t="s">
        <v>11638</v>
      </c>
      <c r="G1836" s="4" t="s">
        <v>11639</v>
      </c>
      <c r="H1836" s="4">
        <v>2.0299999999999998</v>
      </c>
      <c r="I1836" s="4">
        <v>1.18</v>
      </c>
      <c r="J1836" s="4">
        <v>0.25153999999999999</v>
      </c>
      <c r="K1836" s="4" t="b">
        <v>1</v>
      </c>
      <c r="L1836" s="4" t="b">
        <v>0</v>
      </c>
    </row>
    <row r="1837" spans="1:12" ht="13">
      <c r="A1837" s="4" t="s">
        <v>11640</v>
      </c>
      <c r="B1837" s="4" t="s">
        <v>4951</v>
      </c>
      <c r="C1837" s="4" t="s">
        <v>108</v>
      </c>
      <c r="D1837" s="4" t="s">
        <v>4952</v>
      </c>
      <c r="E1837" s="4" t="s">
        <v>22</v>
      </c>
      <c r="F1837" s="4" t="s">
        <v>11641</v>
      </c>
      <c r="G1837" s="4" t="s">
        <v>11642</v>
      </c>
      <c r="H1837" s="4">
        <v>2.04</v>
      </c>
      <c r="I1837" s="4">
        <v>1.1200000000000001</v>
      </c>
      <c r="J1837" s="4">
        <v>0.24789</v>
      </c>
      <c r="K1837" s="4" t="b">
        <v>1</v>
      </c>
      <c r="L1837" s="4" t="b">
        <v>0</v>
      </c>
    </row>
    <row r="1838" spans="1:12" ht="13">
      <c r="A1838" s="4" t="s">
        <v>11643</v>
      </c>
      <c r="B1838" s="4" t="s">
        <v>4951</v>
      </c>
      <c r="C1838" s="4" t="s">
        <v>108</v>
      </c>
      <c r="D1838" s="4" t="s">
        <v>4952</v>
      </c>
      <c r="E1838" s="4" t="s">
        <v>22</v>
      </c>
      <c r="F1838" s="4" t="s">
        <v>11644</v>
      </c>
      <c r="G1838" s="4" t="s">
        <v>11645</v>
      </c>
      <c r="H1838" s="4">
        <v>2.0499999999999998</v>
      </c>
      <c r="I1838" s="4">
        <v>1.1100000000000001</v>
      </c>
      <c r="J1838" s="4">
        <v>0.25009999999999999</v>
      </c>
      <c r="K1838" s="4" t="b">
        <v>1</v>
      </c>
      <c r="L1838" s="4" t="b">
        <v>0</v>
      </c>
    </row>
    <row r="1839" spans="1:12" ht="13">
      <c r="A1839" s="4" t="s">
        <v>11646</v>
      </c>
      <c r="B1839" s="4" t="s">
        <v>4951</v>
      </c>
      <c r="C1839" s="4" t="s">
        <v>108</v>
      </c>
      <c r="D1839" s="4" t="s">
        <v>4952</v>
      </c>
      <c r="E1839" s="4" t="s">
        <v>22</v>
      </c>
      <c r="F1839" s="4" t="s">
        <v>11647</v>
      </c>
      <c r="G1839" s="4" t="s">
        <v>11648</v>
      </c>
      <c r="H1839" s="4">
        <v>2.0499999999999998</v>
      </c>
      <c r="I1839" s="4">
        <v>1.1599999999999999</v>
      </c>
      <c r="J1839" s="4">
        <v>0.26698</v>
      </c>
      <c r="K1839" s="4" t="b">
        <v>1</v>
      </c>
      <c r="L1839" s="4" t="b">
        <v>0</v>
      </c>
    </row>
    <row r="1840" spans="1:12" ht="13">
      <c r="A1840" s="4" t="s">
        <v>11649</v>
      </c>
      <c r="B1840" s="4" t="s">
        <v>4951</v>
      </c>
      <c r="C1840" s="4" t="s">
        <v>108</v>
      </c>
      <c r="D1840" s="4" t="s">
        <v>4952</v>
      </c>
      <c r="E1840" s="4" t="s">
        <v>22</v>
      </c>
      <c r="F1840" s="4" t="s">
        <v>11650</v>
      </c>
      <c r="G1840" s="4" t="s">
        <v>11651</v>
      </c>
      <c r="H1840" s="4">
        <v>2.06</v>
      </c>
      <c r="I1840" s="4">
        <v>1.1399999999999999</v>
      </c>
      <c r="J1840" s="4">
        <v>0.26671</v>
      </c>
      <c r="K1840" s="4" t="b">
        <v>1</v>
      </c>
      <c r="L1840" s="4" t="b">
        <v>0</v>
      </c>
    </row>
    <row r="1841" spans="1:12" ht="13">
      <c r="A1841" s="4" t="s">
        <v>11652</v>
      </c>
      <c r="B1841" s="4" t="s">
        <v>4951</v>
      </c>
      <c r="C1841" s="4" t="s">
        <v>108</v>
      </c>
      <c r="D1841" s="4" t="s">
        <v>4952</v>
      </c>
      <c r="E1841" s="4" t="s">
        <v>22</v>
      </c>
      <c r="F1841" s="4" t="s">
        <v>11653</v>
      </c>
      <c r="G1841" s="4" t="s">
        <v>11654</v>
      </c>
      <c r="H1841" s="4">
        <v>2.0699999999999998</v>
      </c>
      <c r="I1841" s="4">
        <v>1.1200000000000001</v>
      </c>
      <c r="J1841" s="4">
        <v>0.23882999999999999</v>
      </c>
      <c r="K1841" s="4" t="b">
        <v>1</v>
      </c>
      <c r="L1841" s="4" t="b">
        <v>0</v>
      </c>
    </row>
    <row r="1842" spans="1:12" ht="13">
      <c r="A1842" s="4" t="s">
        <v>11655</v>
      </c>
      <c r="B1842" s="4" t="s">
        <v>4951</v>
      </c>
      <c r="C1842" s="4" t="s">
        <v>108</v>
      </c>
      <c r="D1842" s="4" t="s">
        <v>4952</v>
      </c>
      <c r="E1842" s="4" t="s">
        <v>22</v>
      </c>
      <c r="F1842" s="4" t="s">
        <v>11656</v>
      </c>
      <c r="G1842" s="4" t="s">
        <v>11657</v>
      </c>
      <c r="H1842" s="4">
        <v>2.0699999999999998</v>
      </c>
      <c r="I1842" s="4">
        <v>1.0900000000000001</v>
      </c>
      <c r="J1842" s="4">
        <v>0.24661</v>
      </c>
      <c r="K1842" s="4" t="b">
        <v>1</v>
      </c>
      <c r="L1842" s="4" t="b">
        <v>0</v>
      </c>
    </row>
    <row r="1843" spans="1:12" ht="13">
      <c r="A1843" s="4" t="s">
        <v>11658</v>
      </c>
      <c r="B1843" s="4" t="s">
        <v>4951</v>
      </c>
      <c r="C1843" s="4" t="s">
        <v>108</v>
      </c>
      <c r="D1843" s="4" t="s">
        <v>4952</v>
      </c>
      <c r="E1843" s="4" t="s">
        <v>22</v>
      </c>
      <c r="F1843" s="4" t="s">
        <v>11659</v>
      </c>
      <c r="G1843" s="4" t="s">
        <v>11660</v>
      </c>
      <c r="H1843" s="4">
        <v>2.08</v>
      </c>
      <c r="I1843" s="4">
        <v>0.98</v>
      </c>
      <c r="J1843" s="4">
        <v>0.20415</v>
      </c>
      <c r="K1843" s="4" t="b">
        <v>1</v>
      </c>
      <c r="L1843" s="4" t="b">
        <v>0</v>
      </c>
    </row>
    <row r="1844" spans="1:12" ht="13">
      <c r="A1844" s="4" t="s">
        <v>11661</v>
      </c>
      <c r="B1844" s="4" t="s">
        <v>4951</v>
      </c>
      <c r="C1844" s="4" t="s">
        <v>108</v>
      </c>
      <c r="D1844" s="4" t="s">
        <v>4952</v>
      </c>
      <c r="E1844" s="4" t="s">
        <v>22</v>
      </c>
      <c r="F1844" s="4" t="s">
        <v>11662</v>
      </c>
      <c r="G1844" s="4" t="s">
        <v>11663</v>
      </c>
      <c r="H1844" s="4">
        <v>2.09</v>
      </c>
      <c r="I1844" s="4">
        <v>1.1200000000000001</v>
      </c>
      <c r="J1844" s="4">
        <v>0.23915</v>
      </c>
      <c r="K1844" s="4" t="b">
        <v>1</v>
      </c>
      <c r="L1844" s="4" t="b">
        <v>0</v>
      </c>
    </row>
    <row r="1845" spans="1:12" ht="13">
      <c r="A1845" s="4" t="s">
        <v>11664</v>
      </c>
      <c r="B1845" s="4" t="s">
        <v>4951</v>
      </c>
      <c r="C1845" s="4" t="s">
        <v>108</v>
      </c>
      <c r="D1845" s="4" t="s">
        <v>4952</v>
      </c>
      <c r="E1845" s="4" t="s">
        <v>22</v>
      </c>
      <c r="F1845" s="4" t="s">
        <v>11665</v>
      </c>
      <c r="G1845" s="4" t="s">
        <v>11666</v>
      </c>
      <c r="H1845" s="4">
        <v>2.1</v>
      </c>
      <c r="I1845" s="4">
        <v>1.95</v>
      </c>
      <c r="J1845" s="4">
        <v>0.26606999999999997</v>
      </c>
      <c r="K1845" s="4" t="b">
        <v>1</v>
      </c>
      <c r="L1845" s="4" t="b">
        <v>0</v>
      </c>
    </row>
    <row r="1846" spans="1:12" ht="13">
      <c r="A1846" s="4" t="s">
        <v>11667</v>
      </c>
      <c r="B1846" s="4" t="s">
        <v>4951</v>
      </c>
      <c r="C1846" s="4" t="s">
        <v>108</v>
      </c>
      <c r="D1846" s="4" t="s">
        <v>4952</v>
      </c>
      <c r="E1846" s="4" t="s">
        <v>22</v>
      </c>
      <c r="F1846" s="4" t="s">
        <v>11668</v>
      </c>
      <c r="G1846" s="4" t="s">
        <v>11669</v>
      </c>
      <c r="H1846" s="4">
        <v>2.11</v>
      </c>
      <c r="I1846" s="4">
        <v>1.1200000000000001</v>
      </c>
      <c r="J1846" s="4">
        <v>0.25025999999999998</v>
      </c>
      <c r="K1846" s="4" t="b">
        <v>1</v>
      </c>
      <c r="L1846" s="4" t="b">
        <v>0</v>
      </c>
    </row>
    <row r="1847" spans="1:12" ht="13">
      <c r="A1847" s="4" t="s">
        <v>11670</v>
      </c>
      <c r="B1847" s="4" t="s">
        <v>4951</v>
      </c>
      <c r="C1847" s="4" t="s">
        <v>108</v>
      </c>
      <c r="D1847" s="4" t="s">
        <v>4952</v>
      </c>
      <c r="E1847" s="4" t="s">
        <v>22</v>
      </c>
      <c r="F1847" s="4" t="s">
        <v>11671</v>
      </c>
      <c r="G1847" s="4" t="s">
        <v>11672</v>
      </c>
      <c r="H1847" s="4">
        <v>2.12</v>
      </c>
      <c r="I1847" s="4">
        <v>1.1399999999999999</v>
      </c>
      <c r="J1847" s="4">
        <v>0.24376</v>
      </c>
      <c r="K1847" s="4" t="b">
        <v>1</v>
      </c>
      <c r="L1847" s="4" t="b">
        <v>0</v>
      </c>
    </row>
    <row r="1848" spans="1:12" ht="13">
      <c r="A1848" s="4" t="s">
        <v>11673</v>
      </c>
      <c r="B1848" s="4" t="s">
        <v>4951</v>
      </c>
      <c r="C1848" s="4" t="s">
        <v>108</v>
      </c>
      <c r="D1848" s="4" t="s">
        <v>4952</v>
      </c>
      <c r="E1848" s="4" t="s">
        <v>22</v>
      </c>
      <c r="F1848" s="4" t="s">
        <v>11674</v>
      </c>
      <c r="G1848" s="4" t="s">
        <v>11675</v>
      </c>
      <c r="H1848" s="4">
        <v>2.13</v>
      </c>
      <c r="I1848" s="4">
        <v>1.1100000000000001</v>
      </c>
      <c r="J1848" s="4">
        <v>0.23888000000000001</v>
      </c>
      <c r="K1848" s="4" t="b">
        <v>1</v>
      </c>
      <c r="L1848" s="4" t="b">
        <v>0</v>
      </c>
    </row>
    <row r="1849" spans="1:12" ht="13">
      <c r="A1849" s="4" t="s">
        <v>11676</v>
      </c>
      <c r="B1849" s="4" t="s">
        <v>4951</v>
      </c>
      <c r="C1849" s="4" t="s">
        <v>108</v>
      </c>
      <c r="D1849" s="4" t="s">
        <v>4952</v>
      </c>
      <c r="E1849" s="4" t="s">
        <v>22</v>
      </c>
      <c r="F1849" s="4" t="s">
        <v>11677</v>
      </c>
      <c r="G1849" s="4" t="s">
        <v>11678</v>
      </c>
      <c r="H1849" s="4">
        <v>2.13</v>
      </c>
      <c r="I1849" s="4">
        <v>1.1000000000000001</v>
      </c>
      <c r="J1849" s="4">
        <v>0.24797</v>
      </c>
      <c r="K1849" s="4" t="b">
        <v>1</v>
      </c>
      <c r="L1849" s="4" t="b">
        <v>0</v>
      </c>
    </row>
    <row r="1850" spans="1:12" ht="13">
      <c r="A1850" s="4" t="s">
        <v>11679</v>
      </c>
      <c r="B1850" s="4" t="s">
        <v>4951</v>
      </c>
      <c r="C1850" s="4" t="s">
        <v>108</v>
      </c>
      <c r="D1850" s="4" t="s">
        <v>4952</v>
      </c>
      <c r="E1850" s="4" t="s">
        <v>22</v>
      </c>
      <c r="F1850" s="4" t="s">
        <v>11680</v>
      </c>
      <c r="G1850" s="4" t="s">
        <v>11681</v>
      </c>
      <c r="H1850" s="4">
        <v>2.14</v>
      </c>
      <c r="I1850" s="4">
        <v>1.07</v>
      </c>
      <c r="J1850" s="4">
        <v>0.22181000000000001</v>
      </c>
      <c r="K1850" s="4" t="b">
        <v>1</v>
      </c>
      <c r="L1850" s="4" t="b">
        <v>0</v>
      </c>
    </row>
    <row r="1851" spans="1:12" ht="13">
      <c r="A1851" s="4" t="s">
        <v>11682</v>
      </c>
      <c r="B1851" s="4" t="s">
        <v>4951</v>
      </c>
      <c r="C1851" s="4" t="s">
        <v>108</v>
      </c>
      <c r="D1851" s="4" t="s">
        <v>4952</v>
      </c>
      <c r="E1851" s="4" t="s">
        <v>22</v>
      </c>
      <c r="F1851" s="4" t="s">
        <v>11683</v>
      </c>
      <c r="G1851" s="4" t="s">
        <v>11684</v>
      </c>
      <c r="H1851" s="4">
        <v>2.14</v>
      </c>
      <c r="I1851" s="4">
        <v>1.1299999999999999</v>
      </c>
      <c r="J1851" s="4">
        <v>0.25174000000000002</v>
      </c>
      <c r="K1851" s="4" t="b">
        <v>1</v>
      </c>
      <c r="L1851" s="4" t="b">
        <v>0</v>
      </c>
    </row>
    <row r="1852" spans="1:12" ht="13">
      <c r="A1852" s="4" t="s">
        <v>5177</v>
      </c>
      <c r="B1852" s="4" t="s">
        <v>4951</v>
      </c>
      <c r="C1852" s="4" t="s">
        <v>108</v>
      </c>
      <c r="D1852" s="4" t="s">
        <v>4952</v>
      </c>
      <c r="E1852" s="4" t="s">
        <v>22</v>
      </c>
      <c r="F1852" s="4" t="s">
        <v>5178</v>
      </c>
      <c r="G1852" s="4" t="s">
        <v>5179</v>
      </c>
      <c r="H1852" s="4">
        <v>2.15</v>
      </c>
      <c r="I1852" s="4">
        <v>1.1000000000000001</v>
      </c>
      <c r="J1852" s="4">
        <v>0.21964</v>
      </c>
      <c r="K1852" s="4" t="b">
        <v>1</v>
      </c>
      <c r="L1852" s="4" t="b">
        <v>0</v>
      </c>
    </row>
    <row r="1853" spans="1:12" ht="13">
      <c r="A1853" s="4" t="s">
        <v>11685</v>
      </c>
      <c r="B1853" s="4" t="s">
        <v>4951</v>
      </c>
      <c r="C1853" s="4" t="s">
        <v>108</v>
      </c>
      <c r="D1853" s="4" t="s">
        <v>4952</v>
      </c>
      <c r="E1853" s="4" t="s">
        <v>22</v>
      </c>
      <c r="F1853" s="4" t="s">
        <v>11686</v>
      </c>
      <c r="G1853" s="4" t="s">
        <v>11687</v>
      </c>
      <c r="H1853" s="4">
        <v>2.16</v>
      </c>
      <c r="I1853" s="4">
        <v>1.1200000000000001</v>
      </c>
      <c r="J1853" s="4">
        <v>0.24023</v>
      </c>
      <c r="K1853" s="4" t="b">
        <v>1</v>
      </c>
      <c r="L1853" s="4" t="b">
        <v>0</v>
      </c>
    </row>
    <row r="1854" spans="1:12" ht="13">
      <c r="A1854" s="4" t="s">
        <v>11688</v>
      </c>
      <c r="B1854" s="4" t="s">
        <v>4951</v>
      </c>
      <c r="C1854" s="4" t="s">
        <v>108</v>
      </c>
      <c r="D1854" s="4" t="s">
        <v>4952</v>
      </c>
      <c r="E1854" s="4" t="s">
        <v>22</v>
      </c>
      <c r="F1854" s="4" t="s">
        <v>11689</v>
      </c>
      <c r="G1854" s="4" t="s">
        <v>11690</v>
      </c>
      <c r="H1854" s="4">
        <v>2.16</v>
      </c>
      <c r="I1854" s="4">
        <v>1.1100000000000001</v>
      </c>
      <c r="J1854" s="4">
        <v>0.23365</v>
      </c>
      <c r="K1854" s="4" t="b">
        <v>1</v>
      </c>
      <c r="L1854" s="4" t="b">
        <v>0</v>
      </c>
    </row>
    <row r="1855" spans="1:12" ht="13">
      <c r="A1855" s="4" t="s">
        <v>11691</v>
      </c>
      <c r="B1855" s="4" t="s">
        <v>4951</v>
      </c>
      <c r="C1855" s="4" t="s">
        <v>108</v>
      </c>
      <c r="D1855" s="4" t="s">
        <v>4952</v>
      </c>
      <c r="E1855" s="4" t="s">
        <v>22</v>
      </c>
      <c r="F1855" s="4" t="s">
        <v>11692</v>
      </c>
      <c r="G1855" s="4" t="s">
        <v>11693</v>
      </c>
      <c r="H1855" s="4">
        <v>2.17</v>
      </c>
      <c r="I1855" s="4">
        <v>1.0900000000000001</v>
      </c>
      <c r="J1855" s="4">
        <v>0.24640000000000001</v>
      </c>
      <c r="K1855" s="4" t="b">
        <v>1</v>
      </c>
      <c r="L1855" s="4" t="b">
        <v>0</v>
      </c>
    </row>
    <row r="1856" spans="1:12" ht="13">
      <c r="A1856" s="4" t="s">
        <v>11694</v>
      </c>
      <c r="B1856" s="4" t="s">
        <v>4951</v>
      </c>
      <c r="C1856" s="4" t="s">
        <v>108</v>
      </c>
      <c r="D1856" s="4" t="s">
        <v>4952</v>
      </c>
      <c r="E1856" s="4" t="s">
        <v>22</v>
      </c>
      <c r="F1856" s="4" t="s">
        <v>11695</v>
      </c>
      <c r="G1856" s="4" t="s">
        <v>11696</v>
      </c>
      <c r="H1856" s="4">
        <v>2.1800000000000002</v>
      </c>
      <c r="I1856" s="4">
        <v>1.1100000000000001</v>
      </c>
      <c r="J1856" s="4">
        <v>0.26262000000000002</v>
      </c>
      <c r="K1856" s="4" t="b">
        <v>1</v>
      </c>
      <c r="L1856" s="4" t="b">
        <v>0</v>
      </c>
    </row>
    <row r="1857" spans="1:13" ht="13">
      <c r="A1857" s="4" t="s">
        <v>11697</v>
      </c>
      <c r="B1857" s="4" t="s">
        <v>4951</v>
      </c>
      <c r="C1857" s="4" t="s">
        <v>108</v>
      </c>
      <c r="D1857" s="4" t="s">
        <v>4952</v>
      </c>
      <c r="E1857" s="4" t="s">
        <v>22</v>
      </c>
      <c r="F1857" s="4" t="s">
        <v>11698</v>
      </c>
      <c r="G1857" s="4" t="s">
        <v>11699</v>
      </c>
      <c r="H1857" s="4">
        <v>2.19</v>
      </c>
      <c r="I1857" s="4">
        <v>1.18</v>
      </c>
      <c r="J1857" s="4">
        <v>0.24989</v>
      </c>
      <c r="K1857" s="4" t="b">
        <v>1</v>
      </c>
      <c r="L1857" s="4" t="b">
        <v>0</v>
      </c>
    </row>
    <row r="1858" spans="1:13" ht="13">
      <c r="A1858" s="4" t="s">
        <v>11700</v>
      </c>
      <c r="B1858" s="4" t="s">
        <v>4951</v>
      </c>
      <c r="C1858" s="4" t="s">
        <v>108</v>
      </c>
      <c r="D1858" s="4" t="s">
        <v>4952</v>
      </c>
      <c r="E1858" s="4" t="s">
        <v>22</v>
      </c>
      <c r="F1858" s="4" t="s">
        <v>11701</v>
      </c>
      <c r="G1858" s="4" t="s">
        <v>11702</v>
      </c>
      <c r="H1858" s="4">
        <v>2.23</v>
      </c>
      <c r="I1858" s="4">
        <v>1.1100000000000001</v>
      </c>
      <c r="J1858" s="4">
        <v>0.25044</v>
      </c>
      <c r="K1858" s="4" t="b">
        <v>1</v>
      </c>
      <c r="L1858" s="4" t="b">
        <v>0</v>
      </c>
    </row>
    <row r="1859" spans="1:13" ht="13">
      <c r="A1859" s="4" t="s">
        <v>11703</v>
      </c>
      <c r="B1859" s="4" t="s">
        <v>4951</v>
      </c>
      <c r="C1859" s="4" t="s">
        <v>108</v>
      </c>
      <c r="D1859" s="4" t="s">
        <v>4952</v>
      </c>
      <c r="E1859" s="4" t="s">
        <v>22</v>
      </c>
      <c r="F1859" s="4" t="s">
        <v>11704</v>
      </c>
      <c r="G1859" s="4" t="s">
        <v>11705</v>
      </c>
      <c r="H1859" s="4">
        <v>2.25</v>
      </c>
      <c r="I1859" s="4">
        <v>1.1200000000000001</v>
      </c>
      <c r="J1859" s="4">
        <v>0.24517</v>
      </c>
      <c r="K1859" s="4" t="b">
        <v>1</v>
      </c>
      <c r="L1859" s="4" t="b">
        <v>0</v>
      </c>
    </row>
    <row r="1860" spans="1:13" ht="13">
      <c r="A1860" s="4" t="s">
        <v>11706</v>
      </c>
      <c r="B1860" s="4" t="s">
        <v>4951</v>
      </c>
      <c r="C1860" s="4" t="s">
        <v>108</v>
      </c>
      <c r="D1860" s="4" t="s">
        <v>4952</v>
      </c>
      <c r="E1860" s="4" t="s">
        <v>22</v>
      </c>
      <c r="F1860" s="4" t="s">
        <v>11707</v>
      </c>
      <c r="G1860" s="4" t="s">
        <v>11708</v>
      </c>
      <c r="H1860" s="4">
        <v>2.25</v>
      </c>
      <c r="I1860" s="4">
        <v>1.1100000000000001</v>
      </c>
      <c r="J1860" s="4">
        <v>0.25457999999999997</v>
      </c>
      <c r="K1860" s="4" t="b">
        <v>1</v>
      </c>
      <c r="L1860" s="4" t="b">
        <v>0</v>
      </c>
    </row>
    <row r="1861" spans="1:13" ht="13">
      <c r="A1861" s="4" t="s">
        <v>5437</v>
      </c>
      <c r="B1861" s="4" t="s">
        <v>4951</v>
      </c>
      <c r="C1861" s="4" t="s">
        <v>108</v>
      </c>
      <c r="D1861" s="4" t="s">
        <v>4952</v>
      </c>
      <c r="E1861" s="4" t="s">
        <v>22</v>
      </c>
      <c r="F1861" s="4" t="s">
        <v>5438</v>
      </c>
      <c r="G1861" s="4" t="s">
        <v>5439</v>
      </c>
      <c r="H1861" s="4">
        <v>2.27</v>
      </c>
      <c r="I1861" s="4">
        <v>1.1299999999999999</v>
      </c>
      <c r="J1861" s="4">
        <v>0.25424999999999998</v>
      </c>
      <c r="K1861" s="4" t="b">
        <v>1</v>
      </c>
      <c r="L1861" s="4" t="b">
        <v>0</v>
      </c>
    </row>
    <row r="1862" spans="1:13" ht="13">
      <c r="A1862" s="4" t="s">
        <v>11709</v>
      </c>
      <c r="B1862" s="4" t="s">
        <v>4951</v>
      </c>
      <c r="C1862" s="4" t="s">
        <v>108</v>
      </c>
      <c r="D1862" s="4" t="s">
        <v>4952</v>
      </c>
      <c r="E1862" s="4" t="s">
        <v>22</v>
      </c>
      <c r="F1862" s="4" t="s">
        <v>11710</v>
      </c>
      <c r="G1862" s="4" t="s">
        <v>11711</v>
      </c>
      <c r="H1862" s="4">
        <v>2.2799999999999998</v>
      </c>
      <c r="I1862" s="4">
        <v>1.1000000000000001</v>
      </c>
      <c r="J1862" s="4">
        <v>0.24659</v>
      </c>
      <c r="K1862" s="4" t="b">
        <v>1</v>
      </c>
      <c r="L1862" s="4" t="b">
        <v>0</v>
      </c>
    </row>
    <row r="1863" spans="1:13" ht="13">
      <c r="A1863" s="4" t="s">
        <v>11712</v>
      </c>
      <c r="B1863" s="4" t="s">
        <v>4951</v>
      </c>
      <c r="C1863" s="4" t="s">
        <v>108</v>
      </c>
      <c r="D1863" s="4" t="s">
        <v>4952</v>
      </c>
      <c r="E1863" s="4" t="s">
        <v>22</v>
      </c>
      <c r="F1863" s="4" t="s">
        <v>11713</v>
      </c>
      <c r="G1863" s="4" t="s">
        <v>11714</v>
      </c>
      <c r="H1863" s="4">
        <v>2.2999999999999998</v>
      </c>
      <c r="I1863" s="4">
        <v>1.1100000000000001</v>
      </c>
      <c r="J1863" s="4">
        <v>0.23543</v>
      </c>
      <c r="K1863" s="4" t="b">
        <v>1</v>
      </c>
      <c r="L1863" s="4" t="b">
        <v>0</v>
      </c>
    </row>
    <row r="1864" spans="1:13" ht="13">
      <c r="A1864" s="4" t="s">
        <v>5440</v>
      </c>
      <c r="B1864" s="4" t="s">
        <v>4951</v>
      </c>
      <c r="C1864" s="4" t="s">
        <v>108</v>
      </c>
      <c r="D1864" s="4" t="s">
        <v>4952</v>
      </c>
      <c r="E1864" s="4" t="s">
        <v>22</v>
      </c>
      <c r="F1864" s="4" t="s">
        <v>5441</v>
      </c>
      <c r="G1864" s="4" t="s">
        <v>5442</v>
      </c>
      <c r="H1864" s="4">
        <v>2.31</v>
      </c>
      <c r="I1864" s="4">
        <v>1.0900000000000001</v>
      </c>
      <c r="J1864" s="4">
        <v>0.21443000000000001</v>
      </c>
      <c r="K1864" s="4" t="b">
        <v>1</v>
      </c>
      <c r="L1864" s="4" t="b">
        <v>0</v>
      </c>
    </row>
    <row r="1865" spans="1:13" ht="13">
      <c r="A1865" s="4" t="s">
        <v>11715</v>
      </c>
      <c r="B1865" s="4" t="s">
        <v>4951</v>
      </c>
      <c r="C1865" s="4" t="s">
        <v>108</v>
      </c>
      <c r="D1865" s="4" t="s">
        <v>4952</v>
      </c>
      <c r="E1865" s="4" t="s">
        <v>22</v>
      </c>
      <c r="F1865" s="4" t="s">
        <v>11716</v>
      </c>
      <c r="G1865" s="4" t="s">
        <v>11717</v>
      </c>
      <c r="H1865" s="4">
        <v>2.31</v>
      </c>
      <c r="I1865" s="4">
        <v>0.98</v>
      </c>
      <c r="J1865" s="4">
        <v>0.21415000000000001</v>
      </c>
      <c r="K1865" s="4" t="b">
        <v>1</v>
      </c>
      <c r="L1865" s="4" t="b">
        <v>0</v>
      </c>
    </row>
    <row r="1866" spans="1:13" ht="13">
      <c r="A1866" s="4" t="s">
        <v>3224</v>
      </c>
      <c r="B1866" s="4" t="s">
        <v>4951</v>
      </c>
      <c r="C1866" s="4" t="s">
        <v>108</v>
      </c>
      <c r="D1866" s="4" t="s">
        <v>4952</v>
      </c>
      <c r="E1866" s="4" t="s">
        <v>22</v>
      </c>
      <c r="F1866" s="4" t="s">
        <v>5136</v>
      </c>
      <c r="G1866" s="4" t="s">
        <v>3120</v>
      </c>
      <c r="H1866" s="4">
        <v>2.3199999999999998</v>
      </c>
      <c r="I1866" s="4">
        <v>1.1200000000000001</v>
      </c>
      <c r="J1866" s="4">
        <v>0.24906</v>
      </c>
      <c r="K1866" s="4" t="b">
        <v>1</v>
      </c>
      <c r="L1866" s="4" t="b">
        <v>1</v>
      </c>
      <c r="M1866" s="41" t="s">
        <v>4929</v>
      </c>
    </row>
    <row r="1867" spans="1:13" ht="13">
      <c r="A1867" s="4" t="s">
        <v>11718</v>
      </c>
      <c r="B1867" s="4" t="s">
        <v>4951</v>
      </c>
      <c r="C1867" s="4" t="s">
        <v>108</v>
      </c>
      <c r="D1867" s="4" t="s">
        <v>4952</v>
      </c>
      <c r="E1867" s="4" t="s">
        <v>22</v>
      </c>
      <c r="F1867" s="4" t="s">
        <v>11719</v>
      </c>
      <c r="G1867" s="4" t="s">
        <v>11720</v>
      </c>
      <c r="H1867" s="4">
        <v>2.3199999999999998</v>
      </c>
      <c r="I1867" s="4">
        <v>1.0900000000000001</v>
      </c>
      <c r="J1867" s="4">
        <v>0.25929000000000002</v>
      </c>
      <c r="K1867" s="4" t="b">
        <v>1</v>
      </c>
      <c r="L1867" s="4" t="b">
        <v>0</v>
      </c>
    </row>
    <row r="1868" spans="1:13" ht="13">
      <c r="A1868" s="4" t="s">
        <v>11721</v>
      </c>
      <c r="B1868" s="4" t="s">
        <v>4951</v>
      </c>
      <c r="C1868" s="4" t="s">
        <v>108</v>
      </c>
      <c r="D1868" s="4" t="s">
        <v>4952</v>
      </c>
      <c r="E1868" s="4" t="s">
        <v>22</v>
      </c>
      <c r="F1868" s="4" t="s">
        <v>11722</v>
      </c>
      <c r="G1868" s="4" t="s">
        <v>11723</v>
      </c>
      <c r="H1868" s="4">
        <v>2.33</v>
      </c>
      <c r="I1868" s="4">
        <v>1.1200000000000001</v>
      </c>
      <c r="J1868" s="4">
        <v>0.24701000000000001</v>
      </c>
      <c r="K1868" s="4" t="b">
        <v>1</v>
      </c>
      <c r="L1868" s="4" t="b">
        <v>0</v>
      </c>
    </row>
    <row r="1869" spans="1:13" ht="13">
      <c r="A1869" s="4" t="s">
        <v>3225</v>
      </c>
      <c r="B1869" s="4" t="s">
        <v>4951</v>
      </c>
      <c r="C1869" s="4" t="s">
        <v>108</v>
      </c>
      <c r="D1869" s="4" t="s">
        <v>4952</v>
      </c>
      <c r="E1869" s="4" t="s">
        <v>22</v>
      </c>
      <c r="F1869" s="4" t="s">
        <v>5137</v>
      </c>
      <c r="G1869" s="4" t="s">
        <v>3121</v>
      </c>
      <c r="H1869" s="4">
        <v>2.34</v>
      </c>
      <c r="I1869" s="4">
        <v>1.0900000000000001</v>
      </c>
      <c r="J1869" s="4">
        <v>0.22792999999999999</v>
      </c>
      <c r="K1869" s="4" t="b">
        <v>1</v>
      </c>
      <c r="L1869" s="4" t="b">
        <v>1</v>
      </c>
      <c r="M1869" s="41" t="s">
        <v>4929</v>
      </c>
    </row>
    <row r="1870" spans="1:13" ht="13">
      <c r="A1870" s="4" t="s">
        <v>11724</v>
      </c>
      <c r="B1870" s="4" t="s">
        <v>4951</v>
      </c>
      <c r="C1870" s="4" t="s">
        <v>108</v>
      </c>
      <c r="D1870" s="4" t="s">
        <v>4952</v>
      </c>
      <c r="E1870" s="4" t="s">
        <v>22</v>
      </c>
      <c r="F1870" s="4" t="s">
        <v>11725</v>
      </c>
      <c r="G1870" s="4" t="s">
        <v>11726</v>
      </c>
      <c r="H1870" s="4">
        <v>2.35</v>
      </c>
      <c r="I1870" s="4">
        <v>1.1399999999999999</v>
      </c>
      <c r="J1870" s="4">
        <v>0.24775</v>
      </c>
      <c r="K1870" s="4" t="b">
        <v>1</v>
      </c>
      <c r="L1870" s="4" t="b">
        <v>0</v>
      </c>
    </row>
    <row r="1871" spans="1:13" ht="13">
      <c r="A1871" s="4" t="s">
        <v>11727</v>
      </c>
      <c r="B1871" s="4" t="s">
        <v>4951</v>
      </c>
      <c r="C1871" s="4" t="s">
        <v>108</v>
      </c>
      <c r="D1871" s="4" t="s">
        <v>4952</v>
      </c>
      <c r="E1871" s="4" t="s">
        <v>22</v>
      </c>
      <c r="F1871" s="4" t="s">
        <v>11728</v>
      </c>
      <c r="G1871" s="4" t="s">
        <v>11729</v>
      </c>
      <c r="H1871" s="4">
        <v>2.36</v>
      </c>
      <c r="I1871" s="4">
        <v>1.1000000000000001</v>
      </c>
      <c r="J1871" s="4">
        <v>0.25094</v>
      </c>
      <c r="K1871" s="4" t="b">
        <v>1</v>
      </c>
      <c r="L1871" s="4" t="b">
        <v>0</v>
      </c>
    </row>
    <row r="1872" spans="1:13" ht="13">
      <c r="A1872" s="4" t="s">
        <v>3226</v>
      </c>
      <c r="B1872" s="4" t="s">
        <v>4951</v>
      </c>
      <c r="C1872" s="4" t="s">
        <v>108</v>
      </c>
      <c r="D1872" s="4" t="s">
        <v>4952</v>
      </c>
      <c r="E1872" s="4" t="s">
        <v>22</v>
      </c>
      <c r="F1872" s="4" t="s">
        <v>5009</v>
      </c>
      <c r="G1872" s="4" t="s">
        <v>3122</v>
      </c>
      <c r="H1872" s="4">
        <v>2.37</v>
      </c>
      <c r="I1872" s="4">
        <v>1.06</v>
      </c>
      <c r="J1872" s="4">
        <v>0.23699999999999999</v>
      </c>
      <c r="K1872" s="4" t="b">
        <v>1</v>
      </c>
      <c r="L1872" s="4" t="b">
        <v>1</v>
      </c>
      <c r="M1872" s="41" t="s">
        <v>4929</v>
      </c>
    </row>
    <row r="1873" spans="1:12" ht="13">
      <c r="A1873" s="4" t="s">
        <v>11730</v>
      </c>
      <c r="B1873" s="4" t="s">
        <v>4951</v>
      </c>
      <c r="C1873" s="4" t="s">
        <v>108</v>
      </c>
      <c r="D1873" s="4" t="s">
        <v>4952</v>
      </c>
      <c r="E1873" s="4" t="s">
        <v>22</v>
      </c>
      <c r="F1873" s="4" t="s">
        <v>11731</v>
      </c>
      <c r="G1873" s="4" t="s">
        <v>11732</v>
      </c>
      <c r="H1873" s="4">
        <v>2.38</v>
      </c>
      <c r="I1873" s="4">
        <v>1.21</v>
      </c>
      <c r="J1873" s="4">
        <v>0.22872000000000001</v>
      </c>
      <c r="K1873" s="4" t="b">
        <v>1</v>
      </c>
      <c r="L1873" s="4" t="b">
        <v>0</v>
      </c>
    </row>
    <row r="1874" spans="1:12" ht="13">
      <c r="A1874" s="4" t="s">
        <v>11733</v>
      </c>
      <c r="B1874" s="4" t="s">
        <v>4951</v>
      </c>
      <c r="C1874" s="4" t="s">
        <v>108</v>
      </c>
      <c r="D1874" s="4" t="s">
        <v>4952</v>
      </c>
      <c r="E1874" s="4" t="s">
        <v>22</v>
      </c>
      <c r="F1874" s="4" t="s">
        <v>11734</v>
      </c>
      <c r="G1874" s="4" t="s">
        <v>11735</v>
      </c>
      <c r="H1874" s="4">
        <v>2.38</v>
      </c>
      <c r="I1874" s="4">
        <v>1.19</v>
      </c>
      <c r="J1874" s="4">
        <v>0.23043</v>
      </c>
      <c r="K1874" s="4" t="b">
        <v>1</v>
      </c>
      <c r="L1874" s="4" t="b">
        <v>0</v>
      </c>
    </row>
    <row r="1875" spans="1:12" ht="13">
      <c r="A1875" s="4" t="s">
        <v>11736</v>
      </c>
      <c r="B1875" s="4" t="s">
        <v>4951</v>
      </c>
      <c r="C1875" s="4" t="s">
        <v>108</v>
      </c>
      <c r="D1875" s="4" t="s">
        <v>4952</v>
      </c>
      <c r="E1875" s="4" t="s">
        <v>22</v>
      </c>
      <c r="F1875" s="4" t="s">
        <v>11737</v>
      </c>
      <c r="G1875" s="4" t="s">
        <v>11738</v>
      </c>
      <c r="H1875" s="4">
        <v>2.39</v>
      </c>
      <c r="I1875" s="4">
        <v>1.1599999999999999</v>
      </c>
      <c r="J1875" s="4">
        <v>0.22511</v>
      </c>
      <c r="K1875" s="4" t="b">
        <v>1</v>
      </c>
      <c r="L1875" s="4" t="b">
        <v>0</v>
      </c>
    </row>
    <row r="1876" spans="1:12" ht="13">
      <c r="A1876" s="4" t="s">
        <v>11739</v>
      </c>
      <c r="B1876" s="4" t="s">
        <v>4951</v>
      </c>
      <c r="C1876" s="4" t="s">
        <v>108</v>
      </c>
      <c r="D1876" s="4" t="s">
        <v>4952</v>
      </c>
      <c r="E1876" s="4" t="s">
        <v>22</v>
      </c>
      <c r="F1876" s="4" t="s">
        <v>11740</v>
      </c>
      <c r="G1876" s="4" t="s">
        <v>11741</v>
      </c>
      <c r="H1876" s="4">
        <v>2.4</v>
      </c>
      <c r="I1876" s="4">
        <v>1.08</v>
      </c>
      <c r="J1876" s="4">
        <v>0.23107</v>
      </c>
      <c r="K1876" s="4" t="b">
        <v>1</v>
      </c>
      <c r="L1876" s="4" t="b">
        <v>0</v>
      </c>
    </row>
    <row r="1877" spans="1:12" ht="13">
      <c r="A1877" s="4" t="s">
        <v>11742</v>
      </c>
      <c r="B1877" s="4" t="s">
        <v>4951</v>
      </c>
      <c r="C1877" s="4" t="s">
        <v>108</v>
      </c>
      <c r="D1877" s="4" t="s">
        <v>4952</v>
      </c>
      <c r="E1877" s="4" t="s">
        <v>22</v>
      </c>
      <c r="F1877" s="4" t="s">
        <v>11743</v>
      </c>
      <c r="G1877" s="4" t="s">
        <v>11744</v>
      </c>
      <c r="H1877" s="4">
        <v>2.41</v>
      </c>
      <c r="I1877" s="4">
        <v>1.08</v>
      </c>
      <c r="J1877" s="4">
        <v>0.23258999999999999</v>
      </c>
      <c r="K1877" s="4" t="b">
        <v>1</v>
      </c>
      <c r="L1877" s="4" t="b">
        <v>0</v>
      </c>
    </row>
    <row r="1878" spans="1:12" ht="13">
      <c r="A1878" s="4" t="s">
        <v>11745</v>
      </c>
      <c r="B1878" s="4" t="s">
        <v>4951</v>
      </c>
      <c r="C1878" s="4" t="s">
        <v>108</v>
      </c>
      <c r="D1878" s="4" t="s">
        <v>4952</v>
      </c>
      <c r="E1878" s="4" t="s">
        <v>22</v>
      </c>
      <c r="F1878" s="4" t="s">
        <v>11746</v>
      </c>
      <c r="G1878" s="4" t="s">
        <v>11747</v>
      </c>
      <c r="H1878" s="4">
        <v>2.41</v>
      </c>
      <c r="I1878" s="4">
        <v>1.07</v>
      </c>
      <c r="J1878" s="4">
        <v>0.24598999999999999</v>
      </c>
      <c r="K1878" s="4" t="b">
        <v>1</v>
      </c>
      <c r="L1878" s="4" t="b">
        <v>0</v>
      </c>
    </row>
    <row r="1879" spans="1:12" ht="13">
      <c r="A1879" s="4" t="s">
        <v>11748</v>
      </c>
      <c r="B1879" s="4" t="s">
        <v>4951</v>
      </c>
      <c r="C1879" s="4" t="s">
        <v>108</v>
      </c>
      <c r="D1879" s="4" t="s">
        <v>4952</v>
      </c>
      <c r="E1879" s="4" t="s">
        <v>22</v>
      </c>
      <c r="F1879" s="4" t="s">
        <v>11749</v>
      </c>
      <c r="G1879" s="4" t="s">
        <v>11750</v>
      </c>
      <c r="H1879" s="4">
        <v>2.42</v>
      </c>
      <c r="I1879" s="4">
        <v>1.56</v>
      </c>
      <c r="J1879" s="4">
        <v>0.22975999999999999</v>
      </c>
      <c r="K1879" s="4" t="b">
        <v>1</v>
      </c>
      <c r="L1879" s="4" t="b">
        <v>0</v>
      </c>
    </row>
    <row r="1880" spans="1:12" ht="13">
      <c r="A1880" s="4" t="s">
        <v>11751</v>
      </c>
      <c r="B1880" s="4" t="s">
        <v>4951</v>
      </c>
      <c r="C1880" s="4" t="s">
        <v>108</v>
      </c>
      <c r="D1880" s="4" t="s">
        <v>4952</v>
      </c>
      <c r="E1880" s="4" t="s">
        <v>22</v>
      </c>
      <c r="F1880" s="4" t="s">
        <v>11752</v>
      </c>
      <c r="G1880" s="4" t="s">
        <v>11753</v>
      </c>
      <c r="H1880" s="4">
        <v>2.4300000000000002</v>
      </c>
      <c r="I1880" s="4">
        <v>1.17</v>
      </c>
      <c r="J1880" s="4">
        <v>0.26751000000000003</v>
      </c>
      <c r="K1880" s="4" t="b">
        <v>1</v>
      </c>
      <c r="L1880" s="4" t="b">
        <v>0</v>
      </c>
    </row>
    <row r="1881" spans="1:12" ht="13">
      <c r="A1881" s="4" t="s">
        <v>11754</v>
      </c>
      <c r="B1881" s="4" t="s">
        <v>4951</v>
      </c>
      <c r="C1881" s="4" t="s">
        <v>108</v>
      </c>
      <c r="D1881" s="4" t="s">
        <v>4952</v>
      </c>
      <c r="E1881" s="4" t="s">
        <v>22</v>
      </c>
      <c r="F1881" s="4" t="s">
        <v>11755</v>
      </c>
      <c r="G1881" s="4" t="s">
        <v>11756</v>
      </c>
      <c r="H1881" s="4">
        <v>2.4300000000000002</v>
      </c>
      <c r="I1881" s="4">
        <v>1.1599999999999999</v>
      </c>
      <c r="J1881" s="4">
        <v>0.2571</v>
      </c>
      <c r="K1881" s="4" t="b">
        <v>1</v>
      </c>
      <c r="L1881" s="4" t="b">
        <v>0</v>
      </c>
    </row>
    <row r="1882" spans="1:12" ht="13">
      <c r="A1882" s="4" t="s">
        <v>11757</v>
      </c>
      <c r="B1882" s="4" t="s">
        <v>4951</v>
      </c>
      <c r="C1882" s="4" t="s">
        <v>108</v>
      </c>
      <c r="D1882" s="4" t="s">
        <v>4952</v>
      </c>
      <c r="E1882" s="4" t="s">
        <v>22</v>
      </c>
      <c r="F1882" s="4" t="s">
        <v>11758</v>
      </c>
      <c r="G1882" s="4" t="s">
        <v>11759</v>
      </c>
      <c r="H1882" s="4">
        <v>2.44</v>
      </c>
      <c r="I1882" s="4">
        <v>1.0900000000000001</v>
      </c>
      <c r="J1882" s="4">
        <v>0.24093999999999999</v>
      </c>
      <c r="K1882" s="4" t="b">
        <v>1</v>
      </c>
      <c r="L1882" s="4" t="b">
        <v>0</v>
      </c>
    </row>
    <row r="1883" spans="1:12" ht="13">
      <c r="A1883" s="4" t="s">
        <v>11760</v>
      </c>
      <c r="B1883" s="4" t="s">
        <v>4951</v>
      </c>
      <c r="C1883" s="4" t="s">
        <v>108</v>
      </c>
      <c r="D1883" s="4" t="s">
        <v>4952</v>
      </c>
      <c r="E1883" s="4" t="s">
        <v>22</v>
      </c>
      <c r="F1883" s="4" t="s">
        <v>11761</v>
      </c>
      <c r="G1883" s="4" t="s">
        <v>11762</v>
      </c>
      <c r="H1883" s="4">
        <v>2.44</v>
      </c>
      <c r="I1883" s="4">
        <v>1.17</v>
      </c>
      <c r="J1883" s="4">
        <v>0.26806000000000002</v>
      </c>
      <c r="K1883" s="4" t="b">
        <v>1</v>
      </c>
      <c r="L1883" s="4" t="b">
        <v>0</v>
      </c>
    </row>
    <row r="1884" spans="1:12" ht="13">
      <c r="A1884" s="4" t="s">
        <v>11763</v>
      </c>
      <c r="B1884" s="4" t="s">
        <v>4951</v>
      </c>
      <c r="C1884" s="4" t="s">
        <v>108</v>
      </c>
      <c r="D1884" s="4" t="s">
        <v>4952</v>
      </c>
      <c r="E1884" s="4" t="s">
        <v>22</v>
      </c>
      <c r="F1884" s="4" t="s">
        <v>11764</v>
      </c>
      <c r="G1884" s="4" t="s">
        <v>11765</v>
      </c>
      <c r="H1884" s="4">
        <v>2.4500000000000002</v>
      </c>
      <c r="I1884" s="4">
        <v>1.1100000000000001</v>
      </c>
      <c r="J1884" s="4">
        <v>0.26288</v>
      </c>
      <c r="K1884" s="4" t="b">
        <v>1</v>
      </c>
      <c r="L1884" s="4" t="b">
        <v>0</v>
      </c>
    </row>
    <row r="1885" spans="1:12" ht="13">
      <c r="A1885" s="4" t="s">
        <v>11766</v>
      </c>
      <c r="B1885" s="4" t="s">
        <v>4951</v>
      </c>
      <c r="C1885" s="4" t="s">
        <v>108</v>
      </c>
      <c r="D1885" s="4" t="s">
        <v>4952</v>
      </c>
      <c r="E1885" s="4" t="s">
        <v>22</v>
      </c>
      <c r="F1885" s="4" t="s">
        <v>11767</v>
      </c>
      <c r="G1885" s="4" t="s">
        <v>11768</v>
      </c>
      <c r="H1885" s="4">
        <v>2.4500000000000002</v>
      </c>
      <c r="I1885" s="4">
        <v>1.1200000000000001</v>
      </c>
      <c r="J1885" s="4">
        <v>0.24293999999999999</v>
      </c>
      <c r="K1885" s="4" t="b">
        <v>1</v>
      </c>
      <c r="L1885" s="4" t="b">
        <v>0</v>
      </c>
    </row>
    <row r="1886" spans="1:12" ht="13">
      <c r="A1886" s="4" t="s">
        <v>11769</v>
      </c>
      <c r="B1886" s="4" t="s">
        <v>4951</v>
      </c>
      <c r="C1886" s="4" t="s">
        <v>108</v>
      </c>
      <c r="D1886" s="4" t="s">
        <v>4952</v>
      </c>
      <c r="E1886" s="4" t="s">
        <v>22</v>
      </c>
      <c r="F1886" s="4" t="s">
        <v>11770</v>
      </c>
      <c r="G1886" s="4" t="s">
        <v>11771</v>
      </c>
      <c r="H1886" s="4">
        <v>2.46</v>
      </c>
      <c r="I1886" s="4">
        <v>1.0900000000000001</v>
      </c>
      <c r="J1886" s="4">
        <v>0.23648</v>
      </c>
      <c r="K1886" s="4" t="b">
        <v>1</v>
      </c>
      <c r="L1886" s="4" t="b">
        <v>0</v>
      </c>
    </row>
    <row r="1887" spans="1:12" ht="13">
      <c r="A1887" s="4" t="s">
        <v>11772</v>
      </c>
      <c r="B1887" s="4" t="s">
        <v>4951</v>
      </c>
      <c r="C1887" s="4" t="s">
        <v>108</v>
      </c>
      <c r="D1887" s="4" t="s">
        <v>4952</v>
      </c>
      <c r="E1887" s="4" t="s">
        <v>22</v>
      </c>
      <c r="F1887" s="4" t="s">
        <v>11773</v>
      </c>
      <c r="G1887" s="4" t="s">
        <v>11774</v>
      </c>
      <c r="H1887" s="4">
        <v>2.4700000000000002</v>
      </c>
      <c r="I1887" s="4">
        <v>1.1499999999999999</v>
      </c>
      <c r="J1887" s="4">
        <v>0.26147999999999999</v>
      </c>
      <c r="K1887" s="4" t="b">
        <v>1</v>
      </c>
      <c r="L1887" s="4" t="b">
        <v>0</v>
      </c>
    </row>
    <row r="1888" spans="1:12" ht="13">
      <c r="A1888" s="4" t="s">
        <v>11775</v>
      </c>
      <c r="B1888" s="4" t="s">
        <v>4951</v>
      </c>
      <c r="C1888" s="4" t="s">
        <v>108</v>
      </c>
      <c r="D1888" s="4" t="s">
        <v>4952</v>
      </c>
      <c r="E1888" s="4" t="s">
        <v>22</v>
      </c>
      <c r="F1888" s="4" t="s">
        <v>11776</v>
      </c>
      <c r="G1888" s="4" t="s">
        <v>11777</v>
      </c>
      <c r="H1888" s="4">
        <v>2.4700000000000002</v>
      </c>
      <c r="I1888" s="4">
        <v>1.08</v>
      </c>
      <c r="J1888" s="4">
        <v>0.21818000000000001</v>
      </c>
      <c r="K1888" s="4" t="b">
        <v>1</v>
      </c>
      <c r="L1888" s="4" t="b">
        <v>0</v>
      </c>
    </row>
    <row r="1889" spans="1:12" ht="13">
      <c r="A1889" s="4" t="s">
        <v>11778</v>
      </c>
      <c r="B1889" s="4" t="s">
        <v>4951</v>
      </c>
      <c r="C1889" s="4" t="s">
        <v>108</v>
      </c>
      <c r="D1889" s="4" t="s">
        <v>4952</v>
      </c>
      <c r="E1889" s="4" t="s">
        <v>22</v>
      </c>
      <c r="F1889" s="4" t="s">
        <v>11779</v>
      </c>
      <c r="G1889" s="4" t="s">
        <v>11780</v>
      </c>
      <c r="H1889" s="4">
        <v>2.48</v>
      </c>
      <c r="I1889" s="4">
        <v>1.1100000000000001</v>
      </c>
      <c r="J1889" s="4">
        <v>0.23524999999999999</v>
      </c>
      <c r="K1889" s="4" t="b">
        <v>1</v>
      </c>
      <c r="L1889" s="4" t="b">
        <v>0</v>
      </c>
    </row>
    <row r="1890" spans="1:12" ht="13">
      <c r="A1890" s="4" t="s">
        <v>11781</v>
      </c>
      <c r="B1890" s="4" t="s">
        <v>4951</v>
      </c>
      <c r="C1890" s="4" t="s">
        <v>108</v>
      </c>
      <c r="D1890" s="4" t="s">
        <v>4952</v>
      </c>
      <c r="E1890" s="4" t="s">
        <v>22</v>
      </c>
      <c r="F1890" s="4" t="s">
        <v>11782</v>
      </c>
      <c r="G1890" s="4" t="s">
        <v>11783</v>
      </c>
      <c r="H1890" s="4">
        <v>2.48</v>
      </c>
      <c r="I1890" s="4">
        <v>1.1100000000000001</v>
      </c>
      <c r="J1890" s="4">
        <v>0.24057999999999999</v>
      </c>
      <c r="K1890" s="4" t="b">
        <v>1</v>
      </c>
      <c r="L1890" s="4" t="b">
        <v>0</v>
      </c>
    </row>
    <row r="1891" spans="1:12" ht="13">
      <c r="A1891" s="4" t="s">
        <v>11784</v>
      </c>
      <c r="B1891" s="4" t="s">
        <v>4951</v>
      </c>
      <c r="C1891" s="4" t="s">
        <v>108</v>
      </c>
      <c r="D1891" s="4" t="s">
        <v>4952</v>
      </c>
      <c r="E1891" s="4" t="s">
        <v>22</v>
      </c>
      <c r="F1891" s="4" t="s">
        <v>11785</v>
      </c>
      <c r="G1891" s="4" t="s">
        <v>11786</v>
      </c>
      <c r="H1891" s="4">
        <v>2.4900000000000002</v>
      </c>
      <c r="I1891" s="4">
        <v>1.1200000000000001</v>
      </c>
      <c r="J1891" s="4">
        <v>0.24428</v>
      </c>
      <c r="K1891" s="4" t="b">
        <v>1</v>
      </c>
      <c r="L1891" s="4" t="b">
        <v>0</v>
      </c>
    </row>
    <row r="1892" spans="1:12" ht="13">
      <c r="A1892" s="4" t="s">
        <v>11787</v>
      </c>
      <c r="B1892" s="4" t="s">
        <v>4951</v>
      </c>
      <c r="C1892" s="4" t="s">
        <v>108</v>
      </c>
      <c r="D1892" s="4" t="s">
        <v>4952</v>
      </c>
      <c r="E1892" s="4" t="s">
        <v>22</v>
      </c>
      <c r="F1892" s="4" t="s">
        <v>11788</v>
      </c>
      <c r="G1892" s="4" t="s">
        <v>11789</v>
      </c>
      <c r="H1892" s="4">
        <v>2.5</v>
      </c>
      <c r="I1892" s="4">
        <v>1.0900000000000001</v>
      </c>
      <c r="J1892" s="4">
        <v>0.24662000000000001</v>
      </c>
      <c r="K1892" s="4" t="b">
        <v>1</v>
      </c>
      <c r="L1892" s="4" t="b">
        <v>0</v>
      </c>
    </row>
    <row r="1893" spans="1:12" ht="13">
      <c r="A1893" s="4" t="s">
        <v>11790</v>
      </c>
      <c r="B1893" s="4" t="s">
        <v>4951</v>
      </c>
      <c r="C1893" s="4" t="s">
        <v>108</v>
      </c>
      <c r="D1893" s="4" t="s">
        <v>4952</v>
      </c>
      <c r="E1893" s="4" t="s">
        <v>22</v>
      </c>
      <c r="F1893" s="4" t="s">
        <v>11791</v>
      </c>
      <c r="G1893" s="4" t="s">
        <v>11792</v>
      </c>
      <c r="H1893" s="4">
        <v>2.5</v>
      </c>
      <c r="I1893" s="4">
        <v>1.1200000000000001</v>
      </c>
      <c r="J1893" s="4">
        <v>0.23721</v>
      </c>
      <c r="K1893" s="4" t="b">
        <v>1</v>
      </c>
      <c r="L1893" s="4" t="b">
        <v>0</v>
      </c>
    </row>
    <row r="1894" spans="1:12" ht="13">
      <c r="A1894" s="4" t="s">
        <v>11793</v>
      </c>
      <c r="B1894" s="4" t="s">
        <v>4951</v>
      </c>
      <c r="C1894" s="4" t="s">
        <v>108</v>
      </c>
      <c r="D1894" s="4" t="s">
        <v>4952</v>
      </c>
      <c r="E1894" s="4" t="s">
        <v>22</v>
      </c>
      <c r="F1894" s="4" t="s">
        <v>11794</v>
      </c>
      <c r="G1894" s="4" t="s">
        <v>11795</v>
      </c>
      <c r="H1894" s="4">
        <v>2.5099999999999998</v>
      </c>
      <c r="I1894" s="4">
        <v>1.08</v>
      </c>
      <c r="J1894" s="4">
        <v>0.25183</v>
      </c>
      <c r="K1894" s="4" t="b">
        <v>1</v>
      </c>
      <c r="L1894" s="4" t="b">
        <v>0</v>
      </c>
    </row>
    <row r="1895" spans="1:12" ht="13">
      <c r="A1895" s="4" t="s">
        <v>11796</v>
      </c>
      <c r="B1895" s="4" t="s">
        <v>4951</v>
      </c>
      <c r="C1895" s="4" t="s">
        <v>108</v>
      </c>
      <c r="D1895" s="4" t="s">
        <v>4952</v>
      </c>
      <c r="E1895" s="4" t="s">
        <v>22</v>
      </c>
      <c r="F1895" s="4" t="s">
        <v>11797</v>
      </c>
      <c r="G1895" s="4" t="s">
        <v>11798</v>
      </c>
      <c r="H1895" s="4">
        <v>2.52</v>
      </c>
      <c r="I1895" s="4">
        <v>1.1299999999999999</v>
      </c>
      <c r="J1895" s="4">
        <v>0.25213000000000002</v>
      </c>
      <c r="K1895" s="4" t="b">
        <v>1</v>
      </c>
      <c r="L1895" s="4" t="b">
        <v>0</v>
      </c>
    </row>
    <row r="1896" spans="1:12" ht="13">
      <c r="A1896" s="4" t="s">
        <v>11799</v>
      </c>
      <c r="B1896" s="4" t="s">
        <v>4951</v>
      </c>
      <c r="C1896" s="4" t="s">
        <v>108</v>
      </c>
      <c r="D1896" s="4" t="s">
        <v>4952</v>
      </c>
      <c r="E1896" s="4" t="s">
        <v>22</v>
      </c>
      <c r="F1896" s="4" t="s">
        <v>11800</v>
      </c>
      <c r="G1896" s="4" t="s">
        <v>11801</v>
      </c>
      <c r="H1896" s="4">
        <v>2.5299999999999998</v>
      </c>
      <c r="I1896" s="4">
        <v>1.08</v>
      </c>
      <c r="J1896" s="4">
        <v>0.23698</v>
      </c>
      <c r="K1896" s="4" t="b">
        <v>1</v>
      </c>
      <c r="L1896" s="4" t="b">
        <v>0</v>
      </c>
    </row>
    <row r="1897" spans="1:12" ht="13">
      <c r="A1897" s="4" t="s">
        <v>5180</v>
      </c>
      <c r="B1897" s="4" t="s">
        <v>4951</v>
      </c>
      <c r="C1897" s="4" t="s">
        <v>108</v>
      </c>
      <c r="D1897" s="4" t="s">
        <v>4952</v>
      </c>
      <c r="E1897" s="4" t="s">
        <v>22</v>
      </c>
      <c r="F1897" s="4" t="s">
        <v>5181</v>
      </c>
      <c r="G1897" s="4" t="s">
        <v>5182</v>
      </c>
      <c r="H1897" s="4">
        <v>2.5299999999999998</v>
      </c>
      <c r="I1897" s="4">
        <v>1.0900000000000001</v>
      </c>
      <c r="J1897" s="4">
        <v>0.24077000000000001</v>
      </c>
      <c r="K1897" s="4" t="b">
        <v>1</v>
      </c>
      <c r="L1897" s="4" t="b">
        <v>0</v>
      </c>
    </row>
    <row r="1898" spans="1:12" ht="13">
      <c r="A1898" s="4" t="s">
        <v>5183</v>
      </c>
      <c r="B1898" s="4" t="s">
        <v>4951</v>
      </c>
      <c r="C1898" s="4" t="s">
        <v>108</v>
      </c>
      <c r="D1898" s="4" t="s">
        <v>4952</v>
      </c>
      <c r="E1898" s="4" t="s">
        <v>22</v>
      </c>
      <c r="F1898" s="4" t="s">
        <v>5184</v>
      </c>
      <c r="G1898" s="4" t="s">
        <v>5185</v>
      </c>
      <c r="H1898" s="4">
        <v>2.54</v>
      </c>
      <c r="I1898" s="4">
        <v>1.21</v>
      </c>
      <c r="J1898" s="4">
        <v>0.25625999999999999</v>
      </c>
      <c r="K1898" s="4" t="b">
        <v>1</v>
      </c>
      <c r="L1898" s="4" t="b">
        <v>0</v>
      </c>
    </row>
    <row r="1899" spans="1:12" ht="13">
      <c r="A1899" s="4" t="s">
        <v>11802</v>
      </c>
      <c r="B1899" s="4" t="s">
        <v>4951</v>
      </c>
      <c r="C1899" s="4" t="s">
        <v>108</v>
      </c>
      <c r="D1899" s="4" t="s">
        <v>4952</v>
      </c>
      <c r="E1899" s="4" t="s">
        <v>22</v>
      </c>
      <c r="F1899" s="4" t="s">
        <v>11803</v>
      </c>
      <c r="G1899" s="4" t="s">
        <v>11804</v>
      </c>
      <c r="H1899" s="4">
        <v>2.54</v>
      </c>
      <c r="I1899" s="4">
        <v>1.19</v>
      </c>
      <c r="J1899" s="4">
        <v>0.23896999999999999</v>
      </c>
      <c r="K1899" s="4" t="b">
        <v>1</v>
      </c>
      <c r="L1899" s="4" t="b">
        <v>0</v>
      </c>
    </row>
    <row r="1900" spans="1:12" ht="13">
      <c r="A1900" s="4" t="s">
        <v>11805</v>
      </c>
      <c r="B1900" s="4" t="s">
        <v>4951</v>
      </c>
      <c r="C1900" s="4" t="s">
        <v>108</v>
      </c>
      <c r="D1900" s="4" t="s">
        <v>4952</v>
      </c>
      <c r="E1900" s="4" t="s">
        <v>22</v>
      </c>
      <c r="F1900" s="4" t="s">
        <v>11806</v>
      </c>
      <c r="G1900" s="4" t="s">
        <v>11807</v>
      </c>
      <c r="H1900" s="4">
        <v>2.5499999999999998</v>
      </c>
      <c r="I1900" s="4">
        <v>1.1200000000000001</v>
      </c>
      <c r="J1900" s="4">
        <v>0.22842999999999999</v>
      </c>
      <c r="K1900" s="4" t="b">
        <v>1</v>
      </c>
      <c r="L1900" s="4" t="b">
        <v>0</v>
      </c>
    </row>
    <row r="1901" spans="1:12" ht="13">
      <c r="A1901" s="4" t="s">
        <v>11808</v>
      </c>
      <c r="B1901" s="4" t="s">
        <v>4951</v>
      </c>
      <c r="C1901" s="4" t="s">
        <v>108</v>
      </c>
      <c r="D1901" s="4" t="s">
        <v>4952</v>
      </c>
      <c r="E1901" s="4" t="s">
        <v>22</v>
      </c>
      <c r="F1901" s="4" t="s">
        <v>11809</v>
      </c>
      <c r="G1901" s="4" t="s">
        <v>11810</v>
      </c>
      <c r="H1901" s="4">
        <v>2.5499999999999998</v>
      </c>
      <c r="I1901" s="4">
        <v>1.26</v>
      </c>
      <c r="J1901" s="4">
        <v>0.23566000000000001</v>
      </c>
      <c r="K1901" s="4" t="b">
        <v>1</v>
      </c>
      <c r="L1901" s="4" t="b">
        <v>0</v>
      </c>
    </row>
    <row r="1902" spans="1:12" ht="13">
      <c r="A1902" s="4" t="s">
        <v>11811</v>
      </c>
      <c r="B1902" s="4" t="s">
        <v>4951</v>
      </c>
      <c r="C1902" s="4" t="s">
        <v>108</v>
      </c>
      <c r="D1902" s="4" t="s">
        <v>4952</v>
      </c>
      <c r="E1902" s="4" t="s">
        <v>22</v>
      </c>
      <c r="F1902" s="4" t="s">
        <v>11812</v>
      </c>
      <c r="G1902" s="4" t="s">
        <v>11813</v>
      </c>
      <c r="H1902" s="4">
        <v>2.56</v>
      </c>
      <c r="I1902" s="4">
        <v>1.06</v>
      </c>
      <c r="J1902" s="4">
        <v>0.22539000000000001</v>
      </c>
      <c r="K1902" s="4" t="b">
        <v>1</v>
      </c>
      <c r="L1902" s="4" t="b">
        <v>0</v>
      </c>
    </row>
    <row r="1903" spans="1:12" ht="13">
      <c r="A1903" s="4" t="s">
        <v>11814</v>
      </c>
      <c r="B1903" s="4" t="s">
        <v>4951</v>
      </c>
      <c r="C1903" s="4" t="s">
        <v>108</v>
      </c>
      <c r="D1903" s="4" t="s">
        <v>4952</v>
      </c>
      <c r="E1903" s="4" t="s">
        <v>22</v>
      </c>
      <c r="F1903" s="4" t="s">
        <v>11815</v>
      </c>
      <c r="G1903" s="4" t="s">
        <v>11816</v>
      </c>
      <c r="H1903" s="4">
        <v>2.58</v>
      </c>
      <c r="I1903" s="4">
        <v>1.06</v>
      </c>
      <c r="J1903" s="4">
        <v>0.2432</v>
      </c>
      <c r="K1903" s="4" t="b">
        <v>1</v>
      </c>
      <c r="L1903" s="4" t="b">
        <v>0</v>
      </c>
    </row>
    <row r="1904" spans="1:12" ht="13">
      <c r="A1904" s="4" t="s">
        <v>11817</v>
      </c>
      <c r="B1904" s="4" t="s">
        <v>4951</v>
      </c>
      <c r="C1904" s="4" t="s">
        <v>108</v>
      </c>
      <c r="D1904" s="4" t="s">
        <v>4952</v>
      </c>
      <c r="E1904" s="4" t="s">
        <v>22</v>
      </c>
      <c r="F1904" s="4" t="s">
        <v>11818</v>
      </c>
      <c r="G1904" s="4" t="s">
        <v>11819</v>
      </c>
      <c r="H1904" s="4">
        <v>2.59</v>
      </c>
      <c r="I1904" s="4">
        <v>1.26</v>
      </c>
      <c r="J1904" s="4">
        <v>0.23336999999999999</v>
      </c>
      <c r="K1904" s="4" t="b">
        <v>1</v>
      </c>
      <c r="L1904" s="4" t="b">
        <v>0</v>
      </c>
    </row>
    <row r="1905" spans="1:12" ht="13">
      <c r="A1905" s="4" t="s">
        <v>11820</v>
      </c>
      <c r="B1905" s="4" t="s">
        <v>4951</v>
      </c>
      <c r="C1905" s="4" t="s">
        <v>108</v>
      </c>
      <c r="D1905" s="4" t="s">
        <v>4952</v>
      </c>
      <c r="E1905" s="4" t="s">
        <v>22</v>
      </c>
      <c r="F1905" s="4" t="s">
        <v>11821</v>
      </c>
      <c r="G1905" s="4" t="s">
        <v>11822</v>
      </c>
      <c r="H1905" s="4">
        <v>2.6</v>
      </c>
      <c r="I1905" s="4">
        <v>1.1100000000000001</v>
      </c>
      <c r="J1905" s="4">
        <v>0.25552999999999998</v>
      </c>
      <c r="K1905" s="4" t="b">
        <v>1</v>
      </c>
      <c r="L1905" s="4" t="b">
        <v>0</v>
      </c>
    </row>
    <row r="1906" spans="1:12" ht="13">
      <c r="A1906" s="4" t="s">
        <v>11823</v>
      </c>
      <c r="B1906" s="4" t="s">
        <v>4951</v>
      </c>
      <c r="C1906" s="4" t="s">
        <v>108</v>
      </c>
      <c r="D1906" s="4" t="s">
        <v>4952</v>
      </c>
      <c r="E1906" s="4" t="s">
        <v>22</v>
      </c>
      <c r="F1906" s="4" t="s">
        <v>11824</v>
      </c>
      <c r="G1906" s="4" t="s">
        <v>11825</v>
      </c>
      <c r="H1906" s="4">
        <v>2.62</v>
      </c>
      <c r="I1906" s="4">
        <v>1.1299999999999999</v>
      </c>
      <c r="J1906" s="4">
        <v>0.23224</v>
      </c>
      <c r="K1906" s="4" t="b">
        <v>1</v>
      </c>
      <c r="L1906" s="4" t="b">
        <v>0</v>
      </c>
    </row>
    <row r="1907" spans="1:12" ht="13">
      <c r="A1907" s="4" t="s">
        <v>11829</v>
      </c>
      <c r="B1907" s="4" t="s">
        <v>4951</v>
      </c>
      <c r="C1907" s="4" t="s">
        <v>108</v>
      </c>
      <c r="D1907" s="4" t="s">
        <v>4952</v>
      </c>
      <c r="E1907" s="4" t="s">
        <v>22</v>
      </c>
      <c r="F1907" s="4" t="s">
        <v>11830</v>
      </c>
      <c r="G1907" s="4" t="s">
        <v>11831</v>
      </c>
      <c r="H1907" s="4">
        <v>2.63</v>
      </c>
      <c r="I1907" s="4">
        <v>1.07</v>
      </c>
      <c r="J1907" s="4">
        <v>0.26518000000000003</v>
      </c>
      <c r="K1907" s="4" t="b">
        <v>1</v>
      </c>
      <c r="L1907" s="4" t="b">
        <v>0</v>
      </c>
    </row>
    <row r="1908" spans="1:12" ht="13">
      <c r="A1908" s="4" t="s">
        <v>11832</v>
      </c>
      <c r="B1908" s="4" t="s">
        <v>4951</v>
      </c>
      <c r="C1908" s="4" t="s">
        <v>108</v>
      </c>
      <c r="D1908" s="4" t="s">
        <v>4952</v>
      </c>
      <c r="E1908" s="4" t="s">
        <v>22</v>
      </c>
      <c r="F1908" s="4" t="s">
        <v>11833</v>
      </c>
      <c r="G1908" s="4" t="s">
        <v>11834</v>
      </c>
      <c r="H1908" s="4">
        <v>2.64</v>
      </c>
      <c r="I1908" s="4">
        <v>1.1399999999999999</v>
      </c>
      <c r="J1908" s="4">
        <v>0.26146000000000003</v>
      </c>
      <c r="K1908" s="4" t="b">
        <v>1</v>
      </c>
      <c r="L1908" s="4" t="b">
        <v>0</v>
      </c>
    </row>
    <row r="1909" spans="1:12" ht="13">
      <c r="A1909" s="4" t="s">
        <v>11835</v>
      </c>
      <c r="B1909" s="4" t="s">
        <v>4951</v>
      </c>
      <c r="C1909" s="4" t="s">
        <v>108</v>
      </c>
      <c r="D1909" s="4" t="s">
        <v>4952</v>
      </c>
      <c r="E1909" s="4" t="s">
        <v>22</v>
      </c>
      <c r="F1909" s="4" t="s">
        <v>11836</v>
      </c>
      <c r="G1909" s="4" t="s">
        <v>11837</v>
      </c>
      <c r="H1909" s="4">
        <v>2.64</v>
      </c>
      <c r="I1909" s="4">
        <v>1.1399999999999999</v>
      </c>
      <c r="J1909" s="4">
        <v>0.25128</v>
      </c>
      <c r="K1909" s="4" t="b">
        <v>1</v>
      </c>
      <c r="L1909" s="4" t="b">
        <v>0</v>
      </c>
    </row>
    <row r="1910" spans="1:12" ht="13">
      <c r="A1910" s="4" t="s">
        <v>11838</v>
      </c>
      <c r="B1910" s="4" t="s">
        <v>4951</v>
      </c>
      <c r="C1910" s="4" t="s">
        <v>108</v>
      </c>
      <c r="D1910" s="4" t="s">
        <v>4952</v>
      </c>
      <c r="E1910" s="4" t="s">
        <v>22</v>
      </c>
      <c r="F1910" s="4" t="s">
        <v>11839</v>
      </c>
      <c r="G1910" s="4" t="s">
        <v>11840</v>
      </c>
      <c r="H1910" s="4">
        <v>2.66</v>
      </c>
      <c r="I1910" s="4">
        <v>1.1399999999999999</v>
      </c>
      <c r="J1910" s="4">
        <v>0.23735000000000001</v>
      </c>
      <c r="K1910" s="4" t="b">
        <v>1</v>
      </c>
      <c r="L1910" s="4" t="b">
        <v>0</v>
      </c>
    </row>
    <row r="1911" spans="1:12" ht="13">
      <c r="A1911" s="4" t="s">
        <v>11841</v>
      </c>
      <c r="B1911" s="4" t="s">
        <v>4951</v>
      </c>
      <c r="C1911" s="4" t="s">
        <v>108</v>
      </c>
      <c r="D1911" s="4" t="s">
        <v>4952</v>
      </c>
      <c r="E1911" s="4" t="s">
        <v>22</v>
      </c>
      <c r="F1911" s="4" t="s">
        <v>11842</v>
      </c>
      <c r="G1911" s="4" t="s">
        <v>11843</v>
      </c>
      <c r="H1911" s="4">
        <v>2.66</v>
      </c>
      <c r="I1911" s="4">
        <v>1.1299999999999999</v>
      </c>
      <c r="J1911" s="4">
        <v>0.23346</v>
      </c>
      <c r="K1911" s="4" t="b">
        <v>1</v>
      </c>
      <c r="L1911" s="4" t="b">
        <v>0</v>
      </c>
    </row>
    <row r="1912" spans="1:12" ht="13">
      <c r="A1912" s="4" t="s">
        <v>11844</v>
      </c>
      <c r="B1912" s="4" t="s">
        <v>4951</v>
      </c>
      <c r="C1912" s="4" t="s">
        <v>108</v>
      </c>
      <c r="D1912" s="4" t="s">
        <v>4952</v>
      </c>
      <c r="E1912" s="4" t="s">
        <v>22</v>
      </c>
      <c r="F1912" s="4" t="s">
        <v>11845</v>
      </c>
      <c r="G1912" s="4" t="s">
        <v>11846</v>
      </c>
      <c r="H1912" s="4">
        <v>2.67</v>
      </c>
      <c r="I1912" s="4">
        <v>1.1499999999999999</v>
      </c>
      <c r="J1912" s="4">
        <v>0.25041000000000002</v>
      </c>
      <c r="K1912" s="4" t="b">
        <v>1</v>
      </c>
      <c r="L1912" s="4" t="b">
        <v>0</v>
      </c>
    </row>
    <row r="1913" spans="1:12" ht="13">
      <c r="A1913" s="4" t="s">
        <v>11847</v>
      </c>
      <c r="B1913" s="4" t="s">
        <v>4951</v>
      </c>
      <c r="C1913" s="4" t="s">
        <v>108</v>
      </c>
      <c r="D1913" s="4" t="s">
        <v>4952</v>
      </c>
      <c r="E1913" s="4" t="s">
        <v>22</v>
      </c>
      <c r="F1913" s="4" t="s">
        <v>11848</v>
      </c>
      <c r="G1913" s="4" t="s">
        <v>11849</v>
      </c>
      <c r="H1913" s="4">
        <v>2.68</v>
      </c>
      <c r="I1913" s="4">
        <v>1.1100000000000001</v>
      </c>
      <c r="J1913" s="4">
        <v>0.24246000000000001</v>
      </c>
      <c r="K1913" s="4" t="b">
        <v>1</v>
      </c>
      <c r="L1913" s="4" t="b">
        <v>0</v>
      </c>
    </row>
    <row r="1914" spans="1:12" ht="13">
      <c r="A1914" s="4" t="s">
        <v>11850</v>
      </c>
      <c r="B1914" s="4" t="s">
        <v>4951</v>
      </c>
      <c r="C1914" s="4" t="s">
        <v>108</v>
      </c>
      <c r="D1914" s="4" t="s">
        <v>4952</v>
      </c>
      <c r="E1914" s="4" t="s">
        <v>17</v>
      </c>
      <c r="F1914" s="4" t="s">
        <v>11851</v>
      </c>
      <c r="G1914" s="4" t="s">
        <v>11852</v>
      </c>
      <c r="H1914" s="4">
        <v>1.79</v>
      </c>
      <c r="I1914" s="4">
        <v>1.1200000000000001</v>
      </c>
      <c r="J1914" s="4">
        <v>0.24132000000000001</v>
      </c>
      <c r="K1914" s="4" t="b">
        <v>1</v>
      </c>
      <c r="L1914" s="4" t="b">
        <v>0</v>
      </c>
    </row>
    <row r="1915" spans="1:12" ht="13">
      <c r="A1915" s="4" t="s">
        <v>11853</v>
      </c>
      <c r="B1915" s="4" t="s">
        <v>4951</v>
      </c>
      <c r="C1915" s="4" t="s">
        <v>108</v>
      </c>
      <c r="D1915" s="4" t="s">
        <v>4952</v>
      </c>
      <c r="E1915" s="4" t="s">
        <v>17</v>
      </c>
      <c r="F1915" s="4" t="s">
        <v>11854</v>
      </c>
      <c r="G1915" s="4" t="s">
        <v>11855</v>
      </c>
      <c r="H1915" s="4">
        <v>1.81</v>
      </c>
      <c r="I1915" s="4">
        <v>1.06</v>
      </c>
      <c r="J1915" s="4">
        <v>0.22538</v>
      </c>
      <c r="K1915" s="4" t="b">
        <v>1</v>
      </c>
      <c r="L1915" s="4" t="b">
        <v>0</v>
      </c>
    </row>
    <row r="1916" spans="1:12" ht="13">
      <c r="A1916" s="4" t="s">
        <v>11856</v>
      </c>
      <c r="B1916" s="4" t="s">
        <v>4951</v>
      </c>
      <c r="C1916" s="4" t="s">
        <v>108</v>
      </c>
      <c r="D1916" s="4" t="s">
        <v>4952</v>
      </c>
      <c r="E1916" s="4" t="s">
        <v>17</v>
      </c>
      <c r="F1916" s="4" t="s">
        <v>11857</v>
      </c>
      <c r="G1916" s="4" t="s">
        <v>11858</v>
      </c>
      <c r="H1916" s="4">
        <v>1.82</v>
      </c>
      <c r="I1916" s="4">
        <v>1.1100000000000001</v>
      </c>
      <c r="J1916" s="4">
        <v>0.23132</v>
      </c>
      <c r="K1916" s="4" t="b">
        <v>1</v>
      </c>
      <c r="L1916" s="4" t="b">
        <v>0</v>
      </c>
    </row>
    <row r="1917" spans="1:12" ht="13">
      <c r="A1917" s="4" t="s">
        <v>11859</v>
      </c>
      <c r="B1917" s="4" t="s">
        <v>4951</v>
      </c>
      <c r="C1917" s="4" t="s">
        <v>108</v>
      </c>
      <c r="D1917" s="4" t="s">
        <v>4952</v>
      </c>
      <c r="E1917" s="4" t="s">
        <v>17</v>
      </c>
      <c r="F1917" s="4" t="s">
        <v>11860</v>
      </c>
      <c r="G1917" s="4" t="s">
        <v>11861</v>
      </c>
      <c r="H1917" s="4">
        <v>1.82</v>
      </c>
      <c r="I1917" s="4">
        <v>1.1299999999999999</v>
      </c>
      <c r="J1917" s="4">
        <v>0.26277</v>
      </c>
      <c r="K1917" s="4" t="b">
        <v>1</v>
      </c>
      <c r="L1917" s="4" t="b">
        <v>0</v>
      </c>
    </row>
    <row r="1918" spans="1:12" ht="13">
      <c r="A1918" s="4" t="s">
        <v>11862</v>
      </c>
      <c r="B1918" s="4" t="s">
        <v>4951</v>
      </c>
      <c r="C1918" s="4" t="s">
        <v>108</v>
      </c>
      <c r="D1918" s="4" t="s">
        <v>4952</v>
      </c>
      <c r="E1918" s="4" t="s">
        <v>17</v>
      </c>
      <c r="F1918" s="4" t="s">
        <v>11863</v>
      </c>
      <c r="G1918" s="4" t="s">
        <v>11864</v>
      </c>
      <c r="H1918" s="4">
        <v>1.83</v>
      </c>
      <c r="I1918" s="4">
        <v>1.1399999999999999</v>
      </c>
      <c r="J1918" s="4">
        <v>0.23355000000000001</v>
      </c>
      <c r="K1918" s="4" t="b">
        <v>1</v>
      </c>
      <c r="L1918" s="4" t="b">
        <v>0</v>
      </c>
    </row>
    <row r="1919" spans="1:12" ht="13">
      <c r="A1919" s="4" t="s">
        <v>11865</v>
      </c>
      <c r="B1919" s="4" t="s">
        <v>4951</v>
      </c>
      <c r="C1919" s="4" t="s">
        <v>108</v>
      </c>
      <c r="D1919" s="4" t="s">
        <v>4952</v>
      </c>
      <c r="E1919" s="4" t="s">
        <v>17</v>
      </c>
      <c r="F1919" s="4" t="s">
        <v>11866</v>
      </c>
      <c r="G1919" s="4" t="s">
        <v>11867</v>
      </c>
      <c r="H1919" s="4">
        <v>1.84</v>
      </c>
      <c r="I1919" s="4">
        <v>1.1000000000000001</v>
      </c>
      <c r="J1919" s="4">
        <v>0.24648999999999999</v>
      </c>
      <c r="K1919" s="4" t="b">
        <v>1</v>
      </c>
      <c r="L1919" s="4" t="b">
        <v>0</v>
      </c>
    </row>
    <row r="1920" spans="1:12" ht="13">
      <c r="A1920" s="4" t="s">
        <v>11868</v>
      </c>
      <c r="B1920" s="4" t="s">
        <v>4951</v>
      </c>
      <c r="C1920" s="4" t="s">
        <v>108</v>
      </c>
      <c r="D1920" s="4" t="s">
        <v>4952</v>
      </c>
      <c r="E1920" s="4" t="s">
        <v>17</v>
      </c>
      <c r="F1920" s="4" t="s">
        <v>11869</v>
      </c>
      <c r="G1920" s="4" t="s">
        <v>11870</v>
      </c>
      <c r="H1920" s="4">
        <v>1.85</v>
      </c>
      <c r="I1920" s="4">
        <v>1.1000000000000001</v>
      </c>
      <c r="J1920" s="4">
        <v>0.24861</v>
      </c>
      <c r="K1920" s="4" t="b">
        <v>1</v>
      </c>
      <c r="L1920" s="4" t="b">
        <v>0</v>
      </c>
    </row>
    <row r="1921" spans="1:12" ht="13">
      <c r="A1921" s="4" t="s">
        <v>11871</v>
      </c>
      <c r="B1921" s="4" t="s">
        <v>4951</v>
      </c>
      <c r="C1921" s="4" t="s">
        <v>108</v>
      </c>
      <c r="D1921" s="4" t="s">
        <v>4952</v>
      </c>
      <c r="E1921" s="4" t="s">
        <v>17</v>
      </c>
      <c r="F1921" s="4" t="s">
        <v>11872</v>
      </c>
      <c r="G1921" s="4" t="s">
        <v>11873</v>
      </c>
      <c r="H1921" s="4">
        <v>1.86</v>
      </c>
      <c r="I1921" s="4">
        <v>1.49</v>
      </c>
      <c r="J1921" s="4">
        <v>0.28858</v>
      </c>
      <c r="K1921" s="4" t="b">
        <v>1</v>
      </c>
      <c r="L1921" s="4" t="b">
        <v>0</v>
      </c>
    </row>
    <row r="1922" spans="1:12" ht="13">
      <c r="A1922" s="4" t="s">
        <v>11874</v>
      </c>
      <c r="B1922" s="4" t="s">
        <v>4951</v>
      </c>
      <c r="C1922" s="4" t="s">
        <v>108</v>
      </c>
      <c r="D1922" s="4" t="s">
        <v>4952</v>
      </c>
      <c r="E1922" s="4" t="s">
        <v>17</v>
      </c>
      <c r="F1922" s="4" t="s">
        <v>11875</v>
      </c>
      <c r="G1922" s="4" t="s">
        <v>11876</v>
      </c>
      <c r="H1922" s="4">
        <v>1.87</v>
      </c>
      <c r="I1922" s="4">
        <v>1.08</v>
      </c>
      <c r="J1922" s="4">
        <v>0.23133999999999999</v>
      </c>
      <c r="K1922" s="4" t="b">
        <v>1</v>
      </c>
      <c r="L1922" s="4" t="b">
        <v>0</v>
      </c>
    </row>
    <row r="1923" spans="1:12" ht="13">
      <c r="A1923" s="4" t="s">
        <v>11877</v>
      </c>
      <c r="B1923" s="4" t="s">
        <v>4951</v>
      </c>
      <c r="C1923" s="4" t="s">
        <v>108</v>
      </c>
      <c r="D1923" s="4" t="s">
        <v>4952</v>
      </c>
      <c r="E1923" s="4" t="s">
        <v>17</v>
      </c>
      <c r="F1923" s="4" t="s">
        <v>11878</v>
      </c>
      <c r="G1923" s="4" t="s">
        <v>11879</v>
      </c>
      <c r="H1923" s="4">
        <v>1.87</v>
      </c>
      <c r="I1923" s="4">
        <v>1.1599999999999999</v>
      </c>
      <c r="J1923" s="4">
        <v>0.29354000000000002</v>
      </c>
      <c r="K1923" s="4" t="b">
        <v>1</v>
      </c>
      <c r="L1923" s="4" t="b">
        <v>0</v>
      </c>
    </row>
    <row r="1924" spans="1:12" ht="13">
      <c r="A1924" s="4" t="s">
        <v>11880</v>
      </c>
      <c r="B1924" s="4" t="s">
        <v>4951</v>
      </c>
      <c r="C1924" s="4" t="s">
        <v>108</v>
      </c>
      <c r="D1924" s="4" t="s">
        <v>4952</v>
      </c>
      <c r="E1924" s="4" t="s">
        <v>17</v>
      </c>
      <c r="F1924" s="4" t="s">
        <v>11881</v>
      </c>
      <c r="G1924" s="4" t="s">
        <v>11882</v>
      </c>
      <c r="H1924" s="4">
        <v>1.88</v>
      </c>
      <c r="I1924" s="4">
        <v>1.01</v>
      </c>
      <c r="J1924" s="4">
        <v>0.22009999999999999</v>
      </c>
      <c r="K1924" s="4" t="b">
        <v>1</v>
      </c>
      <c r="L1924" s="4" t="b">
        <v>0</v>
      </c>
    </row>
    <row r="1925" spans="1:12" ht="13">
      <c r="A1925" s="4" t="s">
        <v>11883</v>
      </c>
      <c r="B1925" s="4" t="s">
        <v>4951</v>
      </c>
      <c r="C1925" s="4" t="s">
        <v>108</v>
      </c>
      <c r="D1925" s="4" t="s">
        <v>4952</v>
      </c>
      <c r="E1925" s="4" t="s">
        <v>17</v>
      </c>
      <c r="F1925" s="4" t="s">
        <v>11884</v>
      </c>
      <c r="G1925" s="4" t="s">
        <v>11885</v>
      </c>
      <c r="H1925" s="4">
        <v>1.89</v>
      </c>
      <c r="I1925" s="4">
        <v>1.08</v>
      </c>
      <c r="J1925" s="4">
        <v>0.22761999999999999</v>
      </c>
      <c r="K1925" s="4" t="b">
        <v>1</v>
      </c>
      <c r="L1925" s="4" t="b">
        <v>0</v>
      </c>
    </row>
    <row r="1926" spans="1:12" ht="13">
      <c r="A1926" s="4" t="s">
        <v>11886</v>
      </c>
      <c r="B1926" s="4" t="s">
        <v>4951</v>
      </c>
      <c r="C1926" s="4" t="s">
        <v>108</v>
      </c>
      <c r="D1926" s="4" t="s">
        <v>4952</v>
      </c>
      <c r="E1926" s="4" t="s">
        <v>17</v>
      </c>
      <c r="F1926" s="4" t="s">
        <v>11887</v>
      </c>
      <c r="G1926" s="4" t="s">
        <v>11888</v>
      </c>
      <c r="H1926" s="4">
        <v>1.9</v>
      </c>
      <c r="I1926" s="4">
        <v>1.1000000000000001</v>
      </c>
      <c r="J1926" s="4">
        <v>0.23716000000000001</v>
      </c>
      <c r="K1926" s="4" t="b">
        <v>1</v>
      </c>
      <c r="L1926" s="4" t="b">
        <v>0</v>
      </c>
    </row>
    <row r="1927" spans="1:12" ht="13">
      <c r="A1927" s="4" t="s">
        <v>11889</v>
      </c>
      <c r="B1927" s="4" t="s">
        <v>4951</v>
      </c>
      <c r="C1927" s="4" t="s">
        <v>108</v>
      </c>
      <c r="D1927" s="4" t="s">
        <v>4952</v>
      </c>
      <c r="E1927" s="4" t="s">
        <v>17</v>
      </c>
      <c r="F1927" s="4" t="s">
        <v>11890</v>
      </c>
      <c r="G1927" s="4" t="s">
        <v>11891</v>
      </c>
      <c r="H1927" s="4">
        <v>1.9</v>
      </c>
      <c r="I1927" s="4">
        <v>1.2</v>
      </c>
      <c r="J1927" s="4">
        <v>0.25259999999999999</v>
      </c>
      <c r="K1927" s="4" t="b">
        <v>1</v>
      </c>
      <c r="L1927" s="4" t="b">
        <v>0</v>
      </c>
    </row>
    <row r="1928" spans="1:12" ht="13">
      <c r="A1928" s="4" t="s">
        <v>11892</v>
      </c>
      <c r="B1928" s="4" t="s">
        <v>4951</v>
      </c>
      <c r="C1928" s="4" t="s">
        <v>108</v>
      </c>
      <c r="D1928" s="4" t="s">
        <v>4952</v>
      </c>
      <c r="E1928" s="4" t="s">
        <v>17</v>
      </c>
      <c r="F1928" s="4" t="s">
        <v>11893</v>
      </c>
      <c r="G1928" s="4" t="s">
        <v>11894</v>
      </c>
      <c r="H1928" s="4">
        <v>1.91</v>
      </c>
      <c r="I1928" s="4">
        <v>1.1200000000000001</v>
      </c>
      <c r="J1928" s="4">
        <v>0.23815</v>
      </c>
      <c r="K1928" s="4" t="b">
        <v>1</v>
      </c>
      <c r="L1928" s="4" t="b">
        <v>0</v>
      </c>
    </row>
    <row r="1929" spans="1:12" ht="13">
      <c r="A1929" s="4" t="s">
        <v>11895</v>
      </c>
      <c r="B1929" s="4" t="s">
        <v>4951</v>
      </c>
      <c r="C1929" s="4" t="s">
        <v>108</v>
      </c>
      <c r="D1929" s="4" t="s">
        <v>4952</v>
      </c>
      <c r="E1929" s="4" t="s">
        <v>17</v>
      </c>
      <c r="F1929" s="4" t="s">
        <v>11896</v>
      </c>
      <c r="G1929" s="4" t="s">
        <v>11897</v>
      </c>
      <c r="H1929" s="4">
        <v>1.91</v>
      </c>
      <c r="I1929" s="4">
        <v>1.2</v>
      </c>
      <c r="J1929" s="4">
        <v>0.23449999999999999</v>
      </c>
      <c r="K1929" s="4" t="b">
        <v>1</v>
      </c>
      <c r="L1929" s="4" t="b">
        <v>0</v>
      </c>
    </row>
    <row r="1930" spans="1:12" ht="13">
      <c r="A1930" s="4" t="s">
        <v>11898</v>
      </c>
      <c r="B1930" s="4" t="s">
        <v>4951</v>
      </c>
      <c r="C1930" s="4" t="s">
        <v>108</v>
      </c>
      <c r="D1930" s="4" t="s">
        <v>4952</v>
      </c>
      <c r="E1930" s="4" t="s">
        <v>17</v>
      </c>
      <c r="F1930" s="4" t="s">
        <v>11899</v>
      </c>
      <c r="G1930" s="4" t="s">
        <v>11900</v>
      </c>
      <c r="H1930" s="4">
        <v>1.92</v>
      </c>
      <c r="I1930" s="4">
        <v>1.1000000000000001</v>
      </c>
      <c r="J1930" s="4">
        <v>0.24468000000000001</v>
      </c>
      <c r="K1930" s="4" t="b">
        <v>1</v>
      </c>
      <c r="L1930" s="4" t="b">
        <v>0</v>
      </c>
    </row>
    <row r="1931" spans="1:12" ht="13">
      <c r="A1931" s="4" t="s">
        <v>11901</v>
      </c>
      <c r="B1931" s="4" t="s">
        <v>4951</v>
      </c>
      <c r="C1931" s="4" t="s">
        <v>108</v>
      </c>
      <c r="D1931" s="4" t="s">
        <v>4952</v>
      </c>
      <c r="E1931" s="4" t="s">
        <v>17</v>
      </c>
      <c r="F1931" s="4" t="s">
        <v>11902</v>
      </c>
      <c r="G1931" s="4" t="s">
        <v>11903</v>
      </c>
      <c r="H1931" s="4">
        <v>1.93</v>
      </c>
      <c r="I1931" s="4">
        <v>1.0900000000000001</v>
      </c>
      <c r="J1931" s="4">
        <v>0.24118999999999999</v>
      </c>
      <c r="K1931" s="4" t="b">
        <v>1</v>
      </c>
      <c r="L1931" s="4" t="b">
        <v>0</v>
      </c>
    </row>
    <row r="1932" spans="1:12" ht="13">
      <c r="A1932" s="4" t="s">
        <v>11904</v>
      </c>
      <c r="B1932" s="4" t="s">
        <v>4951</v>
      </c>
      <c r="C1932" s="4" t="s">
        <v>108</v>
      </c>
      <c r="D1932" s="4" t="s">
        <v>4952</v>
      </c>
      <c r="E1932" s="4" t="s">
        <v>17</v>
      </c>
      <c r="F1932" s="4" t="s">
        <v>11905</v>
      </c>
      <c r="G1932" s="4" t="s">
        <v>11906</v>
      </c>
      <c r="H1932" s="4">
        <v>1.93</v>
      </c>
      <c r="I1932" s="4">
        <v>1.17</v>
      </c>
      <c r="J1932" s="4">
        <v>0.25786999999999999</v>
      </c>
      <c r="K1932" s="4" t="b">
        <v>1</v>
      </c>
      <c r="L1932" s="4" t="b">
        <v>0</v>
      </c>
    </row>
    <row r="1933" spans="1:12" ht="13">
      <c r="A1933" s="4" t="s">
        <v>11907</v>
      </c>
      <c r="B1933" s="4" t="s">
        <v>4951</v>
      </c>
      <c r="C1933" s="4" t="s">
        <v>108</v>
      </c>
      <c r="D1933" s="4" t="s">
        <v>4952</v>
      </c>
      <c r="E1933" s="4" t="s">
        <v>17</v>
      </c>
      <c r="F1933" s="4" t="s">
        <v>11908</v>
      </c>
      <c r="G1933" s="4" t="s">
        <v>11909</v>
      </c>
      <c r="H1933" s="4">
        <v>1.94</v>
      </c>
      <c r="I1933" s="4">
        <v>1.1000000000000001</v>
      </c>
      <c r="J1933" s="4">
        <v>0.24049999999999999</v>
      </c>
      <c r="K1933" s="4" t="b">
        <v>1</v>
      </c>
      <c r="L1933" s="4" t="b">
        <v>0</v>
      </c>
    </row>
    <row r="1934" spans="1:12" ht="13">
      <c r="A1934" s="4" t="s">
        <v>11910</v>
      </c>
      <c r="B1934" s="4" t="s">
        <v>4951</v>
      </c>
      <c r="C1934" s="4" t="s">
        <v>108</v>
      </c>
      <c r="D1934" s="4" t="s">
        <v>4952</v>
      </c>
      <c r="E1934" s="4" t="s">
        <v>17</v>
      </c>
      <c r="F1934" s="4" t="s">
        <v>11911</v>
      </c>
      <c r="G1934" s="4" t="s">
        <v>11912</v>
      </c>
      <c r="H1934" s="4">
        <v>1.94</v>
      </c>
      <c r="I1934" s="4">
        <v>1.04</v>
      </c>
      <c r="J1934" s="4">
        <v>0.22139</v>
      </c>
      <c r="K1934" s="4" t="b">
        <v>1</v>
      </c>
      <c r="L1934" s="4" t="b">
        <v>0</v>
      </c>
    </row>
    <row r="1935" spans="1:12" ht="13">
      <c r="A1935" s="4" t="s">
        <v>11913</v>
      </c>
      <c r="B1935" s="4" t="s">
        <v>4951</v>
      </c>
      <c r="C1935" s="4" t="s">
        <v>108</v>
      </c>
      <c r="D1935" s="4" t="s">
        <v>4952</v>
      </c>
      <c r="E1935" s="4" t="s">
        <v>17</v>
      </c>
      <c r="F1935" s="4" t="s">
        <v>11914</v>
      </c>
      <c r="G1935" s="4" t="s">
        <v>11915</v>
      </c>
      <c r="H1935" s="4">
        <v>1.95</v>
      </c>
      <c r="I1935" s="4">
        <v>1.07</v>
      </c>
      <c r="J1935" s="4">
        <v>0.24368000000000001</v>
      </c>
      <c r="K1935" s="4" t="b">
        <v>1</v>
      </c>
      <c r="L1935" s="4" t="b">
        <v>0</v>
      </c>
    </row>
    <row r="1936" spans="1:12" ht="13">
      <c r="A1936" s="4" t="s">
        <v>11916</v>
      </c>
      <c r="B1936" s="4" t="s">
        <v>4951</v>
      </c>
      <c r="C1936" s="4" t="s">
        <v>108</v>
      </c>
      <c r="D1936" s="4" t="s">
        <v>4952</v>
      </c>
      <c r="E1936" s="4" t="s">
        <v>17</v>
      </c>
      <c r="F1936" s="4" t="s">
        <v>11917</v>
      </c>
      <c r="G1936" s="4" t="s">
        <v>11918</v>
      </c>
      <c r="H1936" s="4">
        <v>1.96</v>
      </c>
      <c r="I1936" s="4">
        <v>1</v>
      </c>
      <c r="J1936" s="4">
        <v>0.21601999999999999</v>
      </c>
      <c r="K1936" s="4" t="b">
        <v>1</v>
      </c>
      <c r="L1936" s="4" t="b">
        <v>0</v>
      </c>
    </row>
    <row r="1937" spans="1:13" ht="13">
      <c r="A1937" s="4" t="s">
        <v>11919</v>
      </c>
      <c r="B1937" s="4" t="s">
        <v>4951</v>
      </c>
      <c r="C1937" s="4" t="s">
        <v>108</v>
      </c>
      <c r="D1937" s="4" t="s">
        <v>4952</v>
      </c>
      <c r="E1937" s="4" t="s">
        <v>17</v>
      </c>
      <c r="F1937" s="4" t="s">
        <v>11920</v>
      </c>
      <c r="G1937" s="4" t="s">
        <v>11921</v>
      </c>
      <c r="H1937" s="4">
        <v>1.96</v>
      </c>
      <c r="I1937" s="4">
        <v>1.03</v>
      </c>
      <c r="J1937" s="4">
        <v>0.25164999999999998</v>
      </c>
      <c r="K1937" s="4" t="b">
        <v>1</v>
      </c>
      <c r="L1937" s="4" t="b">
        <v>0</v>
      </c>
    </row>
    <row r="1938" spans="1:13" ht="13">
      <c r="A1938" s="4" t="s">
        <v>11922</v>
      </c>
      <c r="B1938" s="4" t="s">
        <v>4951</v>
      </c>
      <c r="C1938" s="4" t="s">
        <v>108</v>
      </c>
      <c r="D1938" s="4" t="s">
        <v>4952</v>
      </c>
      <c r="E1938" s="4" t="s">
        <v>17</v>
      </c>
      <c r="F1938" s="4" t="s">
        <v>11923</v>
      </c>
      <c r="G1938" s="4" t="s">
        <v>11924</v>
      </c>
      <c r="H1938" s="4">
        <v>1.97</v>
      </c>
      <c r="I1938" s="4">
        <v>1.08</v>
      </c>
      <c r="J1938" s="4">
        <v>0.24990999999999999</v>
      </c>
      <c r="K1938" s="4" t="b">
        <v>1</v>
      </c>
      <c r="L1938" s="4" t="b">
        <v>0</v>
      </c>
    </row>
    <row r="1939" spans="1:13" ht="13">
      <c r="A1939" s="4" t="s">
        <v>11925</v>
      </c>
      <c r="B1939" s="4" t="s">
        <v>4951</v>
      </c>
      <c r="C1939" s="4" t="s">
        <v>108</v>
      </c>
      <c r="D1939" s="4" t="s">
        <v>4952</v>
      </c>
      <c r="E1939" s="4" t="s">
        <v>17</v>
      </c>
      <c r="F1939" s="4" t="s">
        <v>11926</v>
      </c>
      <c r="G1939" s="4" t="s">
        <v>11927</v>
      </c>
      <c r="H1939" s="4">
        <v>1.98</v>
      </c>
      <c r="I1939" s="4">
        <v>1.04</v>
      </c>
      <c r="J1939" s="4">
        <v>0.23757</v>
      </c>
      <c r="K1939" s="4" t="b">
        <v>1</v>
      </c>
      <c r="L1939" s="4" t="b">
        <v>0</v>
      </c>
    </row>
    <row r="1940" spans="1:13" ht="13">
      <c r="A1940" s="4" t="s">
        <v>11928</v>
      </c>
      <c r="B1940" s="4" t="s">
        <v>4951</v>
      </c>
      <c r="C1940" s="4" t="s">
        <v>108</v>
      </c>
      <c r="D1940" s="4" t="s">
        <v>4952</v>
      </c>
      <c r="E1940" s="4" t="s">
        <v>17</v>
      </c>
      <c r="F1940" s="4" t="s">
        <v>11929</v>
      </c>
      <c r="G1940" s="4" t="s">
        <v>11930</v>
      </c>
      <c r="H1940" s="4">
        <v>1.99</v>
      </c>
      <c r="I1940" s="4">
        <v>1.07</v>
      </c>
      <c r="J1940" s="4">
        <v>0.23502999999999999</v>
      </c>
      <c r="K1940" s="4" t="b">
        <v>1</v>
      </c>
      <c r="L1940" s="4" t="b">
        <v>0</v>
      </c>
    </row>
    <row r="1941" spans="1:13" ht="13">
      <c r="A1941" s="4" t="s">
        <v>11931</v>
      </c>
      <c r="B1941" s="4" t="s">
        <v>4951</v>
      </c>
      <c r="C1941" s="4" t="s">
        <v>108</v>
      </c>
      <c r="D1941" s="4" t="s">
        <v>4952</v>
      </c>
      <c r="E1941" s="4" t="s">
        <v>17</v>
      </c>
      <c r="F1941" s="4" t="s">
        <v>11932</v>
      </c>
      <c r="G1941" s="4" t="s">
        <v>11933</v>
      </c>
      <c r="H1941" s="4">
        <v>1.99</v>
      </c>
      <c r="I1941" s="4">
        <v>2.21</v>
      </c>
      <c r="J1941" s="4">
        <v>0.21970999999999999</v>
      </c>
      <c r="K1941" s="4" t="b">
        <v>1</v>
      </c>
      <c r="L1941" s="4" t="b">
        <v>0</v>
      </c>
    </row>
    <row r="1942" spans="1:13" ht="13">
      <c r="A1942" s="4" t="s">
        <v>11934</v>
      </c>
      <c r="B1942" s="4" t="s">
        <v>4951</v>
      </c>
      <c r="C1942" s="4" t="s">
        <v>108</v>
      </c>
      <c r="D1942" s="4" t="s">
        <v>4952</v>
      </c>
      <c r="E1942" s="4" t="s">
        <v>17</v>
      </c>
      <c r="F1942" s="4" t="s">
        <v>11935</v>
      </c>
      <c r="G1942" s="4" t="s">
        <v>11936</v>
      </c>
      <c r="H1942" s="4">
        <v>2</v>
      </c>
      <c r="I1942" s="4">
        <v>1.3</v>
      </c>
      <c r="J1942" s="4">
        <v>0.26332</v>
      </c>
      <c r="K1942" s="4" t="b">
        <v>1</v>
      </c>
      <c r="L1942" s="4" t="b">
        <v>0</v>
      </c>
    </row>
    <row r="1943" spans="1:13" ht="13">
      <c r="A1943" s="4" t="s">
        <v>11937</v>
      </c>
      <c r="B1943" s="4" t="s">
        <v>4951</v>
      </c>
      <c r="C1943" s="4" t="s">
        <v>108</v>
      </c>
      <c r="D1943" s="4" t="s">
        <v>4952</v>
      </c>
      <c r="E1943" s="4" t="s">
        <v>17</v>
      </c>
      <c r="F1943" s="4" t="s">
        <v>11938</v>
      </c>
      <c r="G1943" s="4" t="s">
        <v>11939</v>
      </c>
      <c r="H1943" s="4">
        <v>2.0099999999999998</v>
      </c>
      <c r="I1943" s="4">
        <v>1.08</v>
      </c>
      <c r="J1943" s="4">
        <v>0.24918999999999999</v>
      </c>
      <c r="K1943" s="4" t="b">
        <v>1</v>
      </c>
      <c r="L1943" s="4" t="b">
        <v>0</v>
      </c>
    </row>
    <row r="1944" spans="1:13" ht="13">
      <c r="A1944" s="4" t="s">
        <v>11940</v>
      </c>
      <c r="B1944" s="4" t="s">
        <v>4951</v>
      </c>
      <c r="C1944" s="4" t="s">
        <v>108</v>
      </c>
      <c r="D1944" s="4" t="s">
        <v>4952</v>
      </c>
      <c r="E1944" s="4" t="s">
        <v>17</v>
      </c>
      <c r="F1944" s="4" t="s">
        <v>11941</v>
      </c>
      <c r="G1944" s="4" t="s">
        <v>11942</v>
      </c>
      <c r="H1944" s="4">
        <v>2.02</v>
      </c>
      <c r="I1944" s="4">
        <v>0.95</v>
      </c>
      <c r="J1944" s="4">
        <v>0.21919</v>
      </c>
      <c r="K1944" s="4" t="b">
        <v>1</v>
      </c>
      <c r="L1944" s="4" t="b">
        <v>0</v>
      </c>
    </row>
    <row r="1945" spans="1:13" ht="13">
      <c r="A1945" s="4" t="s">
        <v>3227</v>
      </c>
      <c r="B1945" s="4" t="s">
        <v>4951</v>
      </c>
      <c r="C1945" s="4" t="s">
        <v>108</v>
      </c>
      <c r="D1945" s="4" t="s">
        <v>4952</v>
      </c>
      <c r="E1945" s="4" t="s">
        <v>17</v>
      </c>
      <c r="F1945" s="4" t="s">
        <v>5162</v>
      </c>
      <c r="G1945" s="4" t="s">
        <v>3123</v>
      </c>
      <c r="H1945" s="4">
        <v>2.0299999999999998</v>
      </c>
      <c r="I1945" s="4">
        <v>1.06</v>
      </c>
      <c r="J1945" s="4">
        <v>0.23846999999999999</v>
      </c>
      <c r="K1945" s="4" t="b">
        <v>1</v>
      </c>
      <c r="L1945" s="4" t="b">
        <v>1</v>
      </c>
      <c r="M1945" s="41" t="s">
        <v>4955</v>
      </c>
    </row>
    <row r="1946" spans="1:13" ht="13">
      <c r="A1946" s="4" t="s">
        <v>11943</v>
      </c>
      <c r="B1946" s="4" t="s">
        <v>4951</v>
      </c>
      <c r="C1946" s="4" t="s">
        <v>108</v>
      </c>
      <c r="D1946" s="4" t="s">
        <v>4952</v>
      </c>
      <c r="E1946" s="4" t="s">
        <v>17</v>
      </c>
      <c r="F1946" s="4" t="s">
        <v>11944</v>
      </c>
      <c r="G1946" s="4" t="s">
        <v>11945</v>
      </c>
      <c r="H1946" s="4">
        <v>2.0299999999999998</v>
      </c>
      <c r="I1946" s="4">
        <v>1.1000000000000001</v>
      </c>
      <c r="J1946" s="4">
        <v>0.23719000000000001</v>
      </c>
      <c r="K1946" s="4" t="b">
        <v>1</v>
      </c>
      <c r="L1946" s="4" t="b">
        <v>0</v>
      </c>
    </row>
    <row r="1947" spans="1:13" ht="13">
      <c r="A1947" s="4" t="s">
        <v>11946</v>
      </c>
      <c r="B1947" s="4" t="s">
        <v>4951</v>
      </c>
      <c r="C1947" s="4" t="s">
        <v>108</v>
      </c>
      <c r="D1947" s="4" t="s">
        <v>4952</v>
      </c>
      <c r="E1947" s="4" t="s">
        <v>17</v>
      </c>
      <c r="F1947" s="4" t="s">
        <v>11947</v>
      </c>
      <c r="G1947" s="4" t="s">
        <v>11948</v>
      </c>
      <c r="H1947" s="4">
        <v>2.04</v>
      </c>
      <c r="I1947" s="4">
        <v>1.1100000000000001</v>
      </c>
      <c r="J1947" s="4">
        <v>0.26689000000000002</v>
      </c>
      <c r="K1947" s="4" t="b">
        <v>1</v>
      </c>
      <c r="L1947" s="4" t="b">
        <v>0</v>
      </c>
    </row>
    <row r="1948" spans="1:13" ht="13">
      <c r="A1948" s="4" t="s">
        <v>11949</v>
      </c>
      <c r="B1948" s="4" t="s">
        <v>4951</v>
      </c>
      <c r="C1948" s="4" t="s">
        <v>108</v>
      </c>
      <c r="D1948" s="4" t="s">
        <v>4952</v>
      </c>
      <c r="E1948" s="4" t="s">
        <v>17</v>
      </c>
      <c r="F1948" s="4" t="s">
        <v>11950</v>
      </c>
      <c r="G1948" s="4" t="s">
        <v>11951</v>
      </c>
      <c r="H1948" s="4">
        <v>2.0499999999999998</v>
      </c>
      <c r="I1948" s="4">
        <v>1.06</v>
      </c>
      <c r="J1948" s="4">
        <v>0.25405</v>
      </c>
      <c r="K1948" s="4" t="b">
        <v>1</v>
      </c>
      <c r="L1948" s="4" t="b">
        <v>0</v>
      </c>
    </row>
    <row r="1949" spans="1:13" ht="13">
      <c r="A1949" s="4" t="s">
        <v>11952</v>
      </c>
      <c r="B1949" s="4" t="s">
        <v>4951</v>
      </c>
      <c r="C1949" s="4" t="s">
        <v>108</v>
      </c>
      <c r="D1949" s="4" t="s">
        <v>4952</v>
      </c>
      <c r="E1949" s="4" t="s">
        <v>17</v>
      </c>
      <c r="F1949" s="4" t="s">
        <v>11953</v>
      </c>
      <c r="G1949" s="4" t="s">
        <v>11954</v>
      </c>
      <c r="H1949" s="4">
        <v>2.0499999999999998</v>
      </c>
      <c r="I1949" s="4">
        <v>1.08</v>
      </c>
      <c r="J1949" s="4">
        <v>0.24035000000000001</v>
      </c>
      <c r="K1949" s="4" t="b">
        <v>1</v>
      </c>
      <c r="L1949" s="4" t="b">
        <v>0</v>
      </c>
    </row>
    <row r="1950" spans="1:13" ht="13">
      <c r="A1950" s="4" t="s">
        <v>11955</v>
      </c>
      <c r="B1950" s="4" t="s">
        <v>4951</v>
      </c>
      <c r="C1950" s="4" t="s">
        <v>108</v>
      </c>
      <c r="D1950" s="4" t="s">
        <v>4952</v>
      </c>
      <c r="E1950" s="4" t="s">
        <v>17</v>
      </c>
      <c r="F1950" s="4" t="s">
        <v>11956</v>
      </c>
      <c r="G1950" s="4" t="s">
        <v>11957</v>
      </c>
      <c r="H1950" s="4">
        <v>2.0699999999999998</v>
      </c>
      <c r="I1950" s="4">
        <v>1.0900000000000001</v>
      </c>
      <c r="J1950" s="4">
        <v>0.21332999999999999</v>
      </c>
      <c r="K1950" s="4" t="b">
        <v>1</v>
      </c>
      <c r="L1950" s="4" t="b">
        <v>0</v>
      </c>
    </row>
    <row r="1951" spans="1:13" ht="13">
      <c r="A1951" s="4" t="s">
        <v>11958</v>
      </c>
      <c r="B1951" s="4" t="s">
        <v>4951</v>
      </c>
      <c r="C1951" s="4" t="s">
        <v>108</v>
      </c>
      <c r="D1951" s="4" t="s">
        <v>4952</v>
      </c>
      <c r="E1951" s="4" t="s">
        <v>17</v>
      </c>
      <c r="F1951" s="4" t="s">
        <v>11959</v>
      </c>
      <c r="G1951" s="4" t="s">
        <v>11960</v>
      </c>
      <c r="H1951" s="4">
        <v>2.0699999999999998</v>
      </c>
      <c r="I1951" s="4">
        <v>1.0900000000000001</v>
      </c>
      <c r="J1951" s="4">
        <v>0.25868999999999998</v>
      </c>
      <c r="K1951" s="4" t="b">
        <v>1</v>
      </c>
      <c r="L1951" s="4" t="b">
        <v>0</v>
      </c>
    </row>
    <row r="1952" spans="1:13" ht="13">
      <c r="A1952" s="4" t="s">
        <v>11961</v>
      </c>
      <c r="B1952" s="4" t="s">
        <v>4951</v>
      </c>
      <c r="C1952" s="4" t="s">
        <v>108</v>
      </c>
      <c r="D1952" s="4" t="s">
        <v>4952</v>
      </c>
      <c r="E1952" s="4" t="s">
        <v>17</v>
      </c>
      <c r="F1952" s="4" t="s">
        <v>11962</v>
      </c>
      <c r="G1952" s="4" t="s">
        <v>11963</v>
      </c>
      <c r="H1952" s="4">
        <v>2.08</v>
      </c>
      <c r="I1952" s="4">
        <v>1.04</v>
      </c>
      <c r="J1952" s="4">
        <v>0.24784</v>
      </c>
      <c r="K1952" s="4" t="b">
        <v>1</v>
      </c>
      <c r="L1952" s="4" t="b">
        <v>0</v>
      </c>
    </row>
    <row r="1953" spans="1:12" ht="13">
      <c r="A1953" s="4" t="s">
        <v>11964</v>
      </c>
      <c r="B1953" s="4" t="s">
        <v>4951</v>
      </c>
      <c r="C1953" s="4" t="s">
        <v>108</v>
      </c>
      <c r="D1953" s="4" t="s">
        <v>4952</v>
      </c>
      <c r="E1953" s="4" t="s">
        <v>17</v>
      </c>
      <c r="F1953" s="4" t="s">
        <v>11965</v>
      </c>
      <c r="G1953" s="4" t="s">
        <v>11966</v>
      </c>
      <c r="H1953" s="4">
        <v>2.09</v>
      </c>
      <c r="I1953" s="4">
        <v>1.0900000000000001</v>
      </c>
      <c r="J1953" s="4">
        <v>0.24382999999999999</v>
      </c>
      <c r="K1953" s="4" t="b">
        <v>1</v>
      </c>
      <c r="L1953" s="4" t="b">
        <v>0</v>
      </c>
    </row>
    <row r="1954" spans="1:12" ht="13">
      <c r="A1954" s="4" t="s">
        <v>11967</v>
      </c>
      <c r="B1954" s="4" t="s">
        <v>4951</v>
      </c>
      <c r="C1954" s="4" t="s">
        <v>108</v>
      </c>
      <c r="D1954" s="4" t="s">
        <v>4952</v>
      </c>
      <c r="E1954" s="4" t="s">
        <v>17</v>
      </c>
      <c r="F1954" s="4" t="s">
        <v>11968</v>
      </c>
      <c r="G1954" s="4" t="s">
        <v>11969</v>
      </c>
      <c r="H1954" s="4">
        <v>2.09</v>
      </c>
      <c r="I1954" s="4">
        <v>1.06</v>
      </c>
      <c r="J1954" s="4">
        <v>0.23080999999999999</v>
      </c>
      <c r="K1954" s="4" t="b">
        <v>1</v>
      </c>
      <c r="L1954" s="4" t="b">
        <v>0</v>
      </c>
    </row>
    <row r="1955" spans="1:12" ht="13">
      <c r="A1955" s="4" t="s">
        <v>11970</v>
      </c>
      <c r="B1955" s="4" t="s">
        <v>4951</v>
      </c>
      <c r="C1955" s="4" t="s">
        <v>108</v>
      </c>
      <c r="D1955" s="4" t="s">
        <v>4952</v>
      </c>
      <c r="E1955" s="4" t="s">
        <v>17</v>
      </c>
      <c r="F1955" s="4" t="s">
        <v>11971</v>
      </c>
      <c r="G1955" s="4" t="s">
        <v>11972</v>
      </c>
      <c r="H1955" s="4">
        <v>2.1</v>
      </c>
      <c r="I1955" s="4">
        <v>1.05</v>
      </c>
      <c r="J1955" s="4">
        <v>0.25185000000000002</v>
      </c>
      <c r="K1955" s="4" t="b">
        <v>1</v>
      </c>
      <c r="L1955" s="4" t="b">
        <v>0</v>
      </c>
    </row>
    <row r="1956" spans="1:12" ht="13">
      <c r="A1956" s="4" t="s">
        <v>11973</v>
      </c>
      <c r="B1956" s="4" t="s">
        <v>4951</v>
      </c>
      <c r="C1956" s="4" t="s">
        <v>108</v>
      </c>
      <c r="D1956" s="4" t="s">
        <v>4952</v>
      </c>
      <c r="E1956" s="4" t="s">
        <v>17</v>
      </c>
      <c r="F1956" s="4" t="s">
        <v>11974</v>
      </c>
      <c r="G1956" s="4" t="s">
        <v>11975</v>
      </c>
      <c r="H1956" s="4">
        <v>2.11</v>
      </c>
      <c r="I1956" s="4">
        <v>1.06</v>
      </c>
      <c r="J1956" s="4">
        <v>0.23111000000000001</v>
      </c>
      <c r="K1956" s="4" t="b">
        <v>1</v>
      </c>
      <c r="L1956" s="4" t="b">
        <v>0</v>
      </c>
    </row>
    <row r="1957" spans="1:12" ht="13">
      <c r="A1957" s="4" t="s">
        <v>11976</v>
      </c>
      <c r="B1957" s="4" t="s">
        <v>4951</v>
      </c>
      <c r="C1957" s="4" t="s">
        <v>108</v>
      </c>
      <c r="D1957" s="4" t="s">
        <v>4952</v>
      </c>
      <c r="E1957" s="4" t="s">
        <v>17</v>
      </c>
      <c r="F1957" s="4" t="s">
        <v>11977</v>
      </c>
      <c r="G1957" s="4" t="s">
        <v>11978</v>
      </c>
      <c r="H1957" s="4">
        <v>2.12</v>
      </c>
      <c r="I1957" s="4">
        <v>1.08</v>
      </c>
      <c r="J1957" s="4">
        <v>0.24052999999999999</v>
      </c>
      <c r="K1957" s="4" t="b">
        <v>1</v>
      </c>
      <c r="L1957" s="4" t="b">
        <v>0</v>
      </c>
    </row>
    <row r="1958" spans="1:12" ht="13">
      <c r="A1958" s="4" t="s">
        <v>11979</v>
      </c>
      <c r="B1958" s="4" t="s">
        <v>4951</v>
      </c>
      <c r="C1958" s="4" t="s">
        <v>108</v>
      </c>
      <c r="D1958" s="4" t="s">
        <v>4952</v>
      </c>
      <c r="E1958" s="4" t="s">
        <v>17</v>
      </c>
      <c r="F1958" s="4" t="s">
        <v>11980</v>
      </c>
      <c r="G1958" s="4" t="s">
        <v>11981</v>
      </c>
      <c r="H1958" s="4">
        <v>2.13</v>
      </c>
      <c r="I1958" s="4">
        <v>1.08</v>
      </c>
      <c r="J1958" s="4">
        <v>0.24076</v>
      </c>
      <c r="K1958" s="4" t="b">
        <v>1</v>
      </c>
      <c r="L1958" s="4" t="b">
        <v>0</v>
      </c>
    </row>
    <row r="1959" spans="1:12" ht="13">
      <c r="A1959" s="4" t="s">
        <v>11982</v>
      </c>
      <c r="B1959" s="4" t="s">
        <v>4951</v>
      </c>
      <c r="C1959" s="4" t="s">
        <v>108</v>
      </c>
      <c r="D1959" s="4" t="s">
        <v>4952</v>
      </c>
      <c r="E1959" s="4" t="s">
        <v>17</v>
      </c>
      <c r="F1959" s="4" t="s">
        <v>11983</v>
      </c>
      <c r="G1959" s="4" t="s">
        <v>11984</v>
      </c>
      <c r="H1959" s="4">
        <v>2.14</v>
      </c>
      <c r="I1959" s="4">
        <v>1.05</v>
      </c>
      <c r="J1959" s="4">
        <v>0.23361000000000001</v>
      </c>
      <c r="K1959" s="4" t="b">
        <v>1</v>
      </c>
      <c r="L1959" s="4" t="b">
        <v>0</v>
      </c>
    </row>
    <row r="1960" spans="1:12" ht="13">
      <c r="A1960" s="4" t="s">
        <v>11985</v>
      </c>
      <c r="B1960" s="4" t="s">
        <v>4951</v>
      </c>
      <c r="C1960" s="4" t="s">
        <v>108</v>
      </c>
      <c r="D1960" s="4" t="s">
        <v>4952</v>
      </c>
      <c r="E1960" s="4" t="s">
        <v>17</v>
      </c>
      <c r="F1960" s="4" t="s">
        <v>11986</v>
      </c>
      <c r="G1960" s="4" t="s">
        <v>11987</v>
      </c>
      <c r="H1960" s="4">
        <v>2.14</v>
      </c>
      <c r="I1960" s="4">
        <v>1.1299999999999999</v>
      </c>
      <c r="J1960" s="4">
        <v>0.25346000000000002</v>
      </c>
      <c r="K1960" s="4" t="b">
        <v>1</v>
      </c>
      <c r="L1960" s="4" t="b">
        <v>0</v>
      </c>
    </row>
    <row r="1961" spans="1:12" ht="13">
      <c r="A1961" s="4" t="s">
        <v>11988</v>
      </c>
      <c r="B1961" s="4" t="s">
        <v>4951</v>
      </c>
      <c r="C1961" s="4" t="s">
        <v>108</v>
      </c>
      <c r="D1961" s="4" t="s">
        <v>4952</v>
      </c>
      <c r="E1961" s="4" t="s">
        <v>17</v>
      </c>
      <c r="F1961" s="4" t="s">
        <v>11989</v>
      </c>
      <c r="G1961" s="4" t="s">
        <v>11990</v>
      </c>
      <c r="H1961" s="4">
        <v>2.15</v>
      </c>
      <c r="I1961" s="4">
        <v>1.1000000000000001</v>
      </c>
      <c r="J1961" s="4">
        <v>0.25669999999999998</v>
      </c>
      <c r="K1961" s="4" t="b">
        <v>1</v>
      </c>
      <c r="L1961" s="4" t="b">
        <v>0</v>
      </c>
    </row>
    <row r="1962" spans="1:12" ht="13">
      <c r="A1962" s="4" t="s">
        <v>11991</v>
      </c>
      <c r="B1962" s="4" t="s">
        <v>4951</v>
      </c>
      <c r="C1962" s="4" t="s">
        <v>108</v>
      </c>
      <c r="D1962" s="4" t="s">
        <v>4952</v>
      </c>
      <c r="E1962" s="4" t="s">
        <v>17</v>
      </c>
      <c r="F1962" s="4" t="s">
        <v>11992</v>
      </c>
      <c r="G1962" s="4" t="s">
        <v>11993</v>
      </c>
      <c r="H1962" s="4">
        <v>2.16</v>
      </c>
      <c r="I1962" s="4">
        <v>1.1100000000000001</v>
      </c>
      <c r="J1962" s="4">
        <v>0.23318</v>
      </c>
      <c r="K1962" s="4" t="b">
        <v>1</v>
      </c>
      <c r="L1962" s="4" t="b">
        <v>0</v>
      </c>
    </row>
    <row r="1963" spans="1:12" ht="13">
      <c r="A1963" s="4" t="s">
        <v>11994</v>
      </c>
      <c r="B1963" s="4" t="s">
        <v>4951</v>
      </c>
      <c r="C1963" s="4" t="s">
        <v>108</v>
      </c>
      <c r="D1963" s="4" t="s">
        <v>4952</v>
      </c>
      <c r="E1963" s="4" t="s">
        <v>17</v>
      </c>
      <c r="F1963" s="4" t="s">
        <v>11995</v>
      </c>
      <c r="G1963" s="4" t="s">
        <v>11996</v>
      </c>
      <c r="H1963" s="4">
        <v>2.17</v>
      </c>
      <c r="I1963" s="4">
        <v>1.07</v>
      </c>
      <c r="J1963" s="4">
        <v>0.23547000000000001</v>
      </c>
      <c r="K1963" s="4" t="b">
        <v>1</v>
      </c>
      <c r="L1963" s="4" t="b">
        <v>0</v>
      </c>
    </row>
    <row r="1964" spans="1:12" ht="13">
      <c r="A1964" s="4" t="s">
        <v>11997</v>
      </c>
      <c r="B1964" s="4" t="s">
        <v>4951</v>
      </c>
      <c r="C1964" s="4" t="s">
        <v>108</v>
      </c>
      <c r="D1964" s="4" t="s">
        <v>4952</v>
      </c>
      <c r="E1964" s="4" t="s">
        <v>17</v>
      </c>
      <c r="F1964" s="4" t="s">
        <v>11998</v>
      </c>
      <c r="G1964" s="4" t="s">
        <v>11999</v>
      </c>
      <c r="H1964" s="4">
        <v>2.17</v>
      </c>
      <c r="I1964" s="4">
        <v>1.01</v>
      </c>
      <c r="J1964" s="4">
        <v>0.22639000000000001</v>
      </c>
      <c r="K1964" s="4" t="b">
        <v>1</v>
      </c>
      <c r="L1964" s="4" t="b">
        <v>0</v>
      </c>
    </row>
    <row r="1965" spans="1:12" ht="13">
      <c r="A1965" s="4" t="s">
        <v>12000</v>
      </c>
      <c r="B1965" s="4" t="s">
        <v>4951</v>
      </c>
      <c r="C1965" s="4" t="s">
        <v>108</v>
      </c>
      <c r="D1965" s="4" t="s">
        <v>4952</v>
      </c>
      <c r="E1965" s="4" t="s">
        <v>17</v>
      </c>
      <c r="F1965" s="4" t="s">
        <v>12001</v>
      </c>
      <c r="G1965" s="4" t="s">
        <v>12002</v>
      </c>
      <c r="H1965" s="4">
        <v>2.1800000000000002</v>
      </c>
      <c r="I1965" s="4">
        <v>1.07</v>
      </c>
      <c r="J1965" s="4">
        <v>0.23835000000000001</v>
      </c>
      <c r="K1965" s="4" t="b">
        <v>1</v>
      </c>
      <c r="L1965" s="4" t="b">
        <v>0</v>
      </c>
    </row>
    <row r="1966" spans="1:12" ht="13">
      <c r="A1966" s="4" t="s">
        <v>12003</v>
      </c>
      <c r="B1966" s="4" t="s">
        <v>4951</v>
      </c>
      <c r="C1966" s="4" t="s">
        <v>108</v>
      </c>
      <c r="D1966" s="4" t="s">
        <v>4952</v>
      </c>
      <c r="E1966" s="4" t="s">
        <v>17</v>
      </c>
      <c r="F1966" s="4" t="s">
        <v>12004</v>
      </c>
      <c r="G1966" s="4" t="s">
        <v>12005</v>
      </c>
      <c r="H1966" s="4">
        <v>2.19</v>
      </c>
      <c r="I1966" s="4">
        <v>1.0900000000000001</v>
      </c>
      <c r="J1966" s="4">
        <v>0.25445000000000001</v>
      </c>
      <c r="K1966" s="4" t="b">
        <v>1</v>
      </c>
      <c r="L1966" s="4" t="b">
        <v>0</v>
      </c>
    </row>
    <row r="1967" spans="1:12" ht="13">
      <c r="A1967" s="4" t="s">
        <v>12006</v>
      </c>
      <c r="B1967" s="4" t="s">
        <v>4951</v>
      </c>
      <c r="C1967" s="4" t="s">
        <v>108</v>
      </c>
      <c r="D1967" s="4" t="s">
        <v>4952</v>
      </c>
      <c r="E1967" s="4" t="s">
        <v>17</v>
      </c>
      <c r="F1967" s="4" t="s">
        <v>12007</v>
      </c>
      <c r="G1967" s="4" t="s">
        <v>12008</v>
      </c>
      <c r="H1967" s="4">
        <v>2.2000000000000002</v>
      </c>
      <c r="I1967" s="4">
        <v>1.05</v>
      </c>
      <c r="J1967" s="4">
        <v>0.22619</v>
      </c>
      <c r="K1967" s="4" t="b">
        <v>1</v>
      </c>
      <c r="L1967" s="4" t="b">
        <v>0</v>
      </c>
    </row>
    <row r="1968" spans="1:12" ht="13">
      <c r="A1968" s="4" t="s">
        <v>12009</v>
      </c>
      <c r="B1968" s="4" t="s">
        <v>4951</v>
      </c>
      <c r="C1968" s="4" t="s">
        <v>108</v>
      </c>
      <c r="D1968" s="4" t="s">
        <v>4952</v>
      </c>
      <c r="E1968" s="4" t="s">
        <v>17</v>
      </c>
      <c r="F1968" s="4" t="s">
        <v>12010</v>
      </c>
      <c r="G1968" s="4" t="s">
        <v>12011</v>
      </c>
      <c r="H1968" s="4">
        <v>2.2000000000000002</v>
      </c>
      <c r="I1968" s="4">
        <v>1.04</v>
      </c>
      <c r="J1968" s="4">
        <v>0.23863000000000001</v>
      </c>
      <c r="K1968" s="4" t="b">
        <v>1</v>
      </c>
      <c r="L1968" s="4" t="b">
        <v>0</v>
      </c>
    </row>
    <row r="1969" spans="1:12" ht="13">
      <c r="A1969" s="4" t="s">
        <v>12012</v>
      </c>
      <c r="B1969" s="4" t="s">
        <v>4951</v>
      </c>
      <c r="C1969" s="4" t="s">
        <v>108</v>
      </c>
      <c r="D1969" s="4" t="s">
        <v>4952</v>
      </c>
      <c r="E1969" s="4" t="s">
        <v>17</v>
      </c>
      <c r="F1969" s="4" t="s">
        <v>12013</v>
      </c>
      <c r="G1969" s="4" t="s">
        <v>12014</v>
      </c>
      <c r="H1969" s="4">
        <v>2.21</v>
      </c>
      <c r="I1969" s="4">
        <v>1.0900000000000001</v>
      </c>
      <c r="J1969" s="4">
        <v>0.23846000000000001</v>
      </c>
      <c r="K1969" s="4" t="b">
        <v>1</v>
      </c>
      <c r="L1969" s="4" t="b">
        <v>0</v>
      </c>
    </row>
    <row r="1970" spans="1:12" ht="13">
      <c r="A1970" s="4" t="s">
        <v>12015</v>
      </c>
      <c r="B1970" s="4" t="s">
        <v>4951</v>
      </c>
      <c r="C1970" s="4" t="s">
        <v>108</v>
      </c>
      <c r="D1970" s="4" t="s">
        <v>4952</v>
      </c>
      <c r="E1970" s="4" t="s">
        <v>17</v>
      </c>
      <c r="F1970" s="4" t="s">
        <v>12016</v>
      </c>
      <c r="G1970" s="4" t="s">
        <v>12017</v>
      </c>
      <c r="H1970" s="4">
        <v>2.21</v>
      </c>
      <c r="I1970" s="4">
        <v>1.1399999999999999</v>
      </c>
      <c r="J1970" s="4">
        <v>0.26474999999999999</v>
      </c>
      <c r="K1970" s="4" t="b">
        <v>1</v>
      </c>
      <c r="L1970" s="4" t="b">
        <v>0</v>
      </c>
    </row>
    <row r="1971" spans="1:12" ht="13">
      <c r="A1971" s="4" t="s">
        <v>12018</v>
      </c>
      <c r="B1971" s="4" t="s">
        <v>4951</v>
      </c>
      <c r="C1971" s="4" t="s">
        <v>108</v>
      </c>
      <c r="D1971" s="4" t="s">
        <v>4952</v>
      </c>
      <c r="E1971" s="4" t="s">
        <v>17</v>
      </c>
      <c r="F1971" s="4" t="s">
        <v>12019</v>
      </c>
      <c r="G1971" s="4" t="s">
        <v>12020</v>
      </c>
      <c r="H1971" s="4">
        <v>2.2200000000000002</v>
      </c>
      <c r="I1971" s="4">
        <v>1.1299999999999999</v>
      </c>
      <c r="J1971" s="4">
        <v>0.23768</v>
      </c>
      <c r="K1971" s="4" t="b">
        <v>1</v>
      </c>
      <c r="L1971" s="4" t="b">
        <v>0</v>
      </c>
    </row>
    <row r="1972" spans="1:12" ht="13">
      <c r="A1972" s="4" t="s">
        <v>12021</v>
      </c>
      <c r="B1972" s="4" t="s">
        <v>4951</v>
      </c>
      <c r="C1972" s="4" t="s">
        <v>108</v>
      </c>
      <c r="D1972" s="4" t="s">
        <v>4952</v>
      </c>
      <c r="E1972" s="4" t="s">
        <v>17</v>
      </c>
      <c r="F1972" s="4" t="s">
        <v>12022</v>
      </c>
      <c r="G1972" s="4" t="s">
        <v>12023</v>
      </c>
      <c r="H1972" s="4">
        <v>2.23</v>
      </c>
      <c r="I1972" s="4">
        <v>1.1100000000000001</v>
      </c>
      <c r="J1972" s="4">
        <v>0.25013000000000002</v>
      </c>
      <c r="K1972" s="4" t="b">
        <v>1</v>
      </c>
      <c r="L1972" s="4" t="b">
        <v>0</v>
      </c>
    </row>
    <row r="1973" spans="1:12" ht="13">
      <c r="A1973" s="4" t="s">
        <v>12024</v>
      </c>
      <c r="B1973" s="4" t="s">
        <v>4951</v>
      </c>
      <c r="C1973" s="4" t="s">
        <v>108</v>
      </c>
      <c r="D1973" s="4" t="s">
        <v>4952</v>
      </c>
      <c r="E1973" s="4" t="s">
        <v>17</v>
      </c>
      <c r="F1973" s="4" t="s">
        <v>12025</v>
      </c>
      <c r="G1973" s="4" t="s">
        <v>12026</v>
      </c>
      <c r="H1973" s="4">
        <v>2.2400000000000002</v>
      </c>
      <c r="I1973" s="4">
        <v>1.08</v>
      </c>
      <c r="J1973" s="4">
        <v>0.27067000000000002</v>
      </c>
      <c r="K1973" s="4" t="b">
        <v>1</v>
      </c>
      <c r="L1973" s="4" t="b">
        <v>0</v>
      </c>
    </row>
    <row r="1974" spans="1:12" ht="13">
      <c r="A1974" s="4" t="s">
        <v>12027</v>
      </c>
      <c r="B1974" s="4" t="s">
        <v>4951</v>
      </c>
      <c r="C1974" s="4" t="s">
        <v>108</v>
      </c>
      <c r="D1974" s="4" t="s">
        <v>4952</v>
      </c>
      <c r="E1974" s="4" t="s">
        <v>17</v>
      </c>
      <c r="F1974" s="4" t="s">
        <v>12028</v>
      </c>
      <c r="G1974" s="4" t="s">
        <v>12029</v>
      </c>
      <c r="H1974" s="4">
        <v>2.2400000000000002</v>
      </c>
      <c r="I1974" s="4">
        <v>1.06</v>
      </c>
      <c r="J1974" s="4">
        <v>0.24859000000000001</v>
      </c>
      <c r="K1974" s="4" t="b">
        <v>1</v>
      </c>
      <c r="L1974" s="4" t="b">
        <v>0</v>
      </c>
    </row>
    <row r="1975" spans="1:12" ht="13">
      <c r="A1975" s="4" t="s">
        <v>12030</v>
      </c>
      <c r="B1975" s="4" t="s">
        <v>4951</v>
      </c>
      <c r="C1975" s="4" t="s">
        <v>108</v>
      </c>
      <c r="D1975" s="4" t="s">
        <v>4952</v>
      </c>
      <c r="E1975" s="4" t="s">
        <v>17</v>
      </c>
      <c r="F1975" s="4" t="s">
        <v>12031</v>
      </c>
      <c r="G1975" s="4" t="s">
        <v>12032</v>
      </c>
      <c r="H1975" s="4">
        <v>2.25</v>
      </c>
      <c r="I1975" s="4">
        <v>1.08</v>
      </c>
      <c r="J1975" s="4">
        <v>0.23694999999999999</v>
      </c>
      <c r="K1975" s="4" t="b">
        <v>1</v>
      </c>
      <c r="L1975" s="4" t="b">
        <v>0</v>
      </c>
    </row>
    <row r="1976" spans="1:12" ht="13">
      <c r="A1976" s="4" t="s">
        <v>12033</v>
      </c>
      <c r="B1976" s="4" t="s">
        <v>4951</v>
      </c>
      <c r="C1976" s="4" t="s">
        <v>108</v>
      </c>
      <c r="D1976" s="4" t="s">
        <v>4952</v>
      </c>
      <c r="E1976" s="4" t="s">
        <v>17</v>
      </c>
      <c r="F1976" s="4" t="s">
        <v>12034</v>
      </c>
      <c r="G1976" s="4" t="s">
        <v>12035</v>
      </c>
      <c r="H1976" s="4">
        <v>2.2599999999999998</v>
      </c>
      <c r="I1976" s="4">
        <v>1.08</v>
      </c>
      <c r="J1976" s="4">
        <v>0.24523</v>
      </c>
      <c r="K1976" s="4" t="b">
        <v>1</v>
      </c>
      <c r="L1976" s="4" t="b">
        <v>0</v>
      </c>
    </row>
    <row r="1977" spans="1:12" ht="13">
      <c r="A1977" s="4" t="s">
        <v>12036</v>
      </c>
      <c r="B1977" s="4" t="s">
        <v>4951</v>
      </c>
      <c r="C1977" s="4" t="s">
        <v>108</v>
      </c>
      <c r="D1977" s="4" t="s">
        <v>4952</v>
      </c>
      <c r="E1977" s="4" t="s">
        <v>17</v>
      </c>
      <c r="F1977" s="4" t="s">
        <v>12037</v>
      </c>
      <c r="G1977" s="4" t="s">
        <v>12038</v>
      </c>
      <c r="H1977" s="4">
        <v>2.27</v>
      </c>
      <c r="I1977" s="4">
        <v>1.08</v>
      </c>
      <c r="J1977" s="4">
        <v>0.23738000000000001</v>
      </c>
      <c r="K1977" s="4" t="b">
        <v>1</v>
      </c>
      <c r="L1977" s="4" t="b">
        <v>0</v>
      </c>
    </row>
    <row r="1978" spans="1:12" ht="13">
      <c r="A1978" s="4" t="s">
        <v>12039</v>
      </c>
      <c r="B1978" s="4" t="s">
        <v>4951</v>
      </c>
      <c r="C1978" s="4" t="s">
        <v>108</v>
      </c>
      <c r="D1978" s="4" t="s">
        <v>4952</v>
      </c>
      <c r="E1978" s="4" t="s">
        <v>17</v>
      </c>
      <c r="F1978" s="4" t="s">
        <v>12040</v>
      </c>
      <c r="G1978" s="4" t="s">
        <v>12041</v>
      </c>
      <c r="H1978" s="4">
        <v>2.27</v>
      </c>
      <c r="I1978" s="4">
        <v>1.1200000000000001</v>
      </c>
      <c r="J1978" s="4">
        <v>0.24046000000000001</v>
      </c>
      <c r="K1978" s="4" t="b">
        <v>1</v>
      </c>
      <c r="L1978" s="4" t="b">
        <v>0</v>
      </c>
    </row>
    <row r="1979" spans="1:12" ht="13">
      <c r="A1979" s="4" t="s">
        <v>12042</v>
      </c>
      <c r="B1979" s="4" t="s">
        <v>4951</v>
      </c>
      <c r="C1979" s="4" t="s">
        <v>108</v>
      </c>
      <c r="D1979" s="4" t="s">
        <v>4952</v>
      </c>
      <c r="E1979" s="4" t="s">
        <v>17</v>
      </c>
      <c r="F1979" s="4" t="s">
        <v>12043</v>
      </c>
      <c r="G1979" s="4" t="s">
        <v>12044</v>
      </c>
      <c r="H1979" s="4">
        <v>2.2799999999999998</v>
      </c>
      <c r="I1979" s="4">
        <v>1.04</v>
      </c>
      <c r="J1979" s="4">
        <v>0.22492000000000001</v>
      </c>
      <c r="K1979" s="4" t="b">
        <v>1</v>
      </c>
      <c r="L1979" s="4" t="b">
        <v>0</v>
      </c>
    </row>
    <row r="1980" spans="1:12" ht="13">
      <c r="A1980" s="4" t="s">
        <v>12045</v>
      </c>
      <c r="B1980" s="4" t="s">
        <v>4951</v>
      </c>
      <c r="C1980" s="4" t="s">
        <v>108</v>
      </c>
      <c r="D1980" s="4" t="s">
        <v>4952</v>
      </c>
      <c r="E1980" s="4" t="s">
        <v>17</v>
      </c>
      <c r="F1980" s="4" t="s">
        <v>12046</v>
      </c>
      <c r="G1980" s="4" t="s">
        <v>12047</v>
      </c>
      <c r="H1980" s="4">
        <v>2.2799999999999998</v>
      </c>
      <c r="I1980" s="4">
        <v>1.08</v>
      </c>
      <c r="J1980" s="4">
        <v>0.25115999999999999</v>
      </c>
      <c r="K1980" s="4" t="b">
        <v>1</v>
      </c>
      <c r="L1980" s="4" t="b">
        <v>0</v>
      </c>
    </row>
    <row r="1981" spans="1:12" ht="13">
      <c r="A1981" s="4" t="s">
        <v>12048</v>
      </c>
      <c r="B1981" s="4" t="s">
        <v>4951</v>
      </c>
      <c r="C1981" s="4" t="s">
        <v>108</v>
      </c>
      <c r="D1981" s="4" t="s">
        <v>4952</v>
      </c>
      <c r="E1981" s="4" t="s">
        <v>17</v>
      </c>
      <c r="F1981" s="4" t="s">
        <v>12049</v>
      </c>
      <c r="G1981" s="4" t="s">
        <v>12050</v>
      </c>
      <c r="H1981" s="4">
        <v>2.29</v>
      </c>
      <c r="I1981" s="4">
        <v>1.03</v>
      </c>
      <c r="J1981" s="4">
        <v>0.23549999999999999</v>
      </c>
      <c r="K1981" s="4" t="b">
        <v>1</v>
      </c>
      <c r="L1981" s="4" t="b">
        <v>0</v>
      </c>
    </row>
    <row r="1982" spans="1:12" ht="13">
      <c r="A1982" s="4" t="s">
        <v>12051</v>
      </c>
      <c r="B1982" s="4" t="s">
        <v>4951</v>
      </c>
      <c r="C1982" s="4" t="s">
        <v>108</v>
      </c>
      <c r="D1982" s="4" t="s">
        <v>4952</v>
      </c>
      <c r="E1982" s="4" t="s">
        <v>17</v>
      </c>
      <c r="F1982" s="4" t="s">
        <v>12052</v>
      </c>
      <c r="G1982" s="4" t="s">
        <v>12053</v>
      </c>
      <c r="H1982" s="4">
        <v>2.29</v>
      </c>
      <c r="I1982" s="4">
        <v>1.01</v>
      </c>
      <c r="J1982" s="4">
        <v>0.22997999999999999</v>
      </c>
      <c r="K1982" s="4" t="b">
        <v>1</v>
      </c>
      <c r="L1982" s="4" t="b">
        <v>0</v>
      </c>
    </row>
    <row r="1983" spans="1:12" ht="13">
      <c r="A1983" s="4" t="s">
        <v>12054</v>
      </c>
      <c r="B1983" s="4" t="s">
        <v>4951</v>
      </c>
      <c r="C1983" s="4" t="s">
        <v>108</v>
      </c>
      <c r="D1983" s="4" t="s">
        <v>4952</v>
      </c>
      <c r="E1983" s="4" t="s">
        <v>17</v>
      </c>
      <c r="F1983" s="4" t="s">
        <v>12055</v>
      </c>
      <c r="G1983" s="4" t="s">
        <v>12056</v>
      </c>
      <c r="H1983" s="4">
        <v>2.2999999999999998</v>
      </c>
      <c r="I1983" s="4">
        <v>1.04</v>
      </c>
      <c r="J1983" s="4">
        <v>0.23963999999999999</v>
      </c>
      <c r="K1983" s="4" t="b">
        <v>1</v>
      </c>
      <c r="L1983" s="4" t="b">
        <v>0</v>
      </c>
    </row>
    <row r="1984" spans="1:12" ht="13">
      <c r="A1984" s="4" t="s">
        <v>12057</v>
      </c>
      <c r="B1984" s="4" t="s">
        <v>4951</v>
      </c>
      <c r="C1984" s="4" t="s">
        <v>108</v>
      </c>
      <c r="D1984" s="4" t="s">
        <v>4952</v>
      </c>
      <c r="E1984" s="4" t="s">
        <v>17</v>
      </c>
      <c r="F1984" s="4" t="s">
        <v>12058</v>
      </c>
      <c r="G1984" s="4" t="s">
        <v>12059</v>
      </c>
      <c r="H1984" s="4">
        <v>2.31</v>
      </c>
      <c r="I1984" s="4">
        <v>1.1100000000000001</v>
      </c>
      <c r="J1984" s="4">
        <v>0.25425999999999999</v>
      </c>
      <c r="K1984" s="4" t="b">
        <v>1</v>
      </c>
      <c r="L1984" s="4" t="b">
        <v>0</v>
      </c>
    </row>
    <row r="1985" spans="1:12" ht="13">
      <c r="A1985" s="4" t="s">
        <v>12060</v>
      </c>
      <c r="B1985" s="4" t="s">
        <v>4951</v>
      </c>
      <c r="C1985" s="4" t="s">
        <v>108</v>
      </c>
      <c r="D1985" s="4" t="s">
        <v>4952</v>
      </c>
      <c r="E1985" s="4" t="s">
        <v>17</v>
      </c>
      <c r="F1985" s="4" t="s">
        <v>12061</v>
      </c>
      <c r="G1985" s="4" t="s">
        <v>12062</v>
      </c>
      <c r="H1985" s="4">
        <v>2.3199999999999998</v>
      </c>
      <c r="I1985" s="4">
        <v>1.1299999999999999</v>
      </c>
      <c r="J1985" s="4">
        <v>0.24942</v>
      </c>
      <c r="K1985" s="4" t="b">
        <v>1</v>
      </c>
      <c r="L1985" s="4" t="b">
        <v>0</v>
      </c>
    </row>
    <row r="1986" spans="1:12" ht="13">
      <c r="A1986" s="4" t="s">
        <v>12063</v>
      </c>
      <c r="B1986" s="4" t="s">
        <v>4951</v>
      </c>
      <c r="C1986" s="4" t="s">
        <v>108</v>
      </c>
      <c r="D1986" s="4" t="s">
        <v>4952</v>
      </c>
      <c r="E1986" s="4" t="s">
        <v>17</v>
      </c>
      <c r="F1986" s="4" t="s">
        <v>12064</v>
      </c>
      <c r="G1986" s="4" t="s">
        <v>12065</v>
      </c>
      <c r="H1986" s="4">
        <v>2.33</v>
      </c>
      <c r="I1986" s="4">
        <v>1.04</v>
      </c>
      <c r="J1986" s="4">
        <v>0.22791</v>
      </c>
      <c r="K1986" s="4" t="b">
        <v>1</v>
      </c>
      <c r="L1986" s="4" t="b">
        <v>0</v>
      </c>
    </row>
    <row r="1987" spans="1:12" ht="13">
      <c r="A1987" s="4" t="s">
        <v>12066</v>
      </c>
      <c r="B1987" s="4" t="s">
        <v>4951</v>
      </c>
      <c r="C1987" s="4" t="s">
        <v>108</v>
      </c>
      <c r="D1987" s="4" t="s">
        <v>4952</v>
      </c>
      <c r="E1987" s="4" t="s">
        <v>17</v>
      </c>
      <c r="F1987" s="4" t="s">
        <v>12067</v>
      </c>
      <c r="G1987" s="4" t="s">
        <v>12068</v>
      </c>
      <c r="H1987" s="4">
        <v>2.34</v>
      </c>
      <c r="I1987" s="4">
        <v>1.25</v>
      </c>
      <c r="J1987" s="4">
        <v>0.24349000000000001</v>
      </c>
      <c r="K1987" s="4" t="b">
        <v>1</v>
      </c>
      <c r="L1987" s="4" t="b">
        <v>0</v>
      </c>
    </row>
    <row r="1988" spans="1:12" ht="13">
      <c r="A1988" s="4" t="s">
        <v>12069</v>
      </c>
      <c r="B1988" s="4" t="s">
        <v>4951</v>
      </c>
      <c r="C1988" s="4" t="s">
        <v>108</v>
      </c>
      <c r="D1988" s="4" t="s">
        <v>4952</v>
      </c>
      <c r="E1988" s="4" t="s">
        <v>17</v>
      </c>
      <c r="F1988" s="4" t="s">
        <v>12070</v>
      </c>
      <c r="G1988" s="4" t="s">
        <v>12071</v>
      </c>
      <c r="H1988" s="4">
        <v>2.36</v>
      </c>
      <c r="I1988" s="4">
        <v>1.1399999999999999</v>
      </c>
      <c r="J1988" s="4">
        <v>0.26244000000000001</v>
      </c>
      <c r="K1988" s="4" t="b">
        <v>1</v>
      </c>
      <c r="L1988" s="4" t="b">
        <v>0</v>
      </c>
    </row>
    <row r="1989" spans="1:12" ht="13">
      <c r="A1989" s="4" t="s">
        <v>12072</v>
      </c>
      <c r="B1989" s="4" t="s">
        <v>4951</v>
      </c>
      <c r="C1989" s="4" t="s">
        <v>108</v>
      </c>
      <c r="D1989" s="4" t="s">
        <v>4952</v>
      </c>
      <c r="E1989" s="4" t="s">
        <v>17</v>
      </c>
      <c r="F1989" s="4" t="s">
        <v>12073</v>
      </c>
      <c r="G1989" s="4" t="s">
        <v>12074</v>
      </c>
      <c r="H1989" s="4">
        <v>2.36</v>
      </c>
      <c r="I1989" s="4">
        <v>1.1599999999999999</v>
      </c>
      <c r="J1989" s="4">
        <v>0.25620999999999999</v>
      </c>
      <c r="K1989" s="4" t="b">
        <v>1</v>
      </c>
      <c r="L1989" s="4" t="b">
        <v>0</v>
      </c>
    </row>
    <row r="1990" spans="1:12" ht="13">
      <c r="A1990" s="4" t="s">
        <v>12075</v>
      </c>
      <c r="B1990" s="4" t="s">
        <v>4951</v>
      </c>
      <c r="C1990" s="4" t="s">
        <v>108</v>
      </c>
      <c r="D1990" s="4" t="s">
        <v>4952</v>
      </c>
      <c r="E1990" s="4" t="s">
        <v>17</v>
      </c>
      <c r="F1990" s="4" t="s">
        <v>12076</v>
      </c>
      <c r="G1990" s="4" t="s">
        <v>12077</v>
      </c>
      <c r="H1990" s="4">
        <v>2.37</v>
      </c>
      <c r="I1990" s="4">
        <v>1.03</v>
      </c>
      <c r="J1990" s="4">
        <v>0.25011</v>
      </c>
      <c r="K1990" s="4" t="b">
        <v>1</v>
      </c>
      <c r="L1990" s="4" t="b">
        <v>0</v>
      </c>
    </row>
    <row r="1991" spans="1:12" ht="13">
      <c r="A1991" s="4" t="s">
        <v>12078</v>
      </c>
      <c r="B1991" s="4" t="s">
        <v>4951</v>
      </c>
      <c r="C1991" s="4" t="s">
        <v>108</v>
      </c>
      <c r="D1991" s="4" t="s">
        <v>4952</v>
      </c>
      <c r="E1991" s="4" t="s">
        <v>17</v>
      </c>
      <c r="F1991" s="4" t="s">
        <v>12079</v>
      </c>
      <c r="G1991" s="4" t="s">
        <v>12080</v>
      </c>
      <c r="H1991" s="4">
        <v>2.38</v>
      </c>
      <c r="I1991" s="4">
        <v>1.19</v>
      </c>
      <c r="J1991" s="4">
        <v>0.24209</v>
      </c>
      <c r="K1991" s="4" t="b">
        <v>1</v>
      </c>
      <c r="L1991" s="4" t="b">
        <v>0</v>
      </c>
    </row>
    <row r="1992" spans="1:12" ht="13">
      <c r="A1992" s="4" t="s">
        <v>12081</v>
      </c>
      <c r="B1992" s="4" t="s">
        <v>4951</v>
      </c>
      <c r="C1992" s="4" t="s">
        <v>108</v>
      </c>
      <c r="D1992" s="4" t="s">
        <v>4952</v>
      </c>
      <c r="E1992" s="4" t="s">
        <v>17</v>
      </c>
      <c r="F1992" s="4" t="s">
        <v>12082</v>
      </c>
      <c r="G1992" s="4" t="s">
        <v>12083</v>
      </c>
      <c r="H1992" s="4">
        <v>2.39</v>
      </c>
      <c r="I1992" s="4">
        <v>1.06</v>
      </c>
      <c r="J1992" s="4">
        <v>0.22822999999999999</v>
      </c>
      <c r="K1992" s="4" t="b">
        <v>1</v>
      </c>
      <c r="L1992" s="4" t="b">
        <v>0</v>
      </c>
    </row>
    <row r="1993" spans="1:12" ht="13">
      <c r="A1993" s="4" t="s">
        <v>12084</v>
      </c>
      <c r="B1993" s="4" t="s">
        <v>4951</v>
      </c>
      <c r="C1993" s="4" t="s">
        <v>108</v>
      </c>
      <c r="D1993" s="4" t="s">
        <v>4952</v>
      </c>
      <c r="E1993" s="4" t="s">
        <v>17</v>
      </c>
      <c r="F1993" s="4" t="s">
        <v>12085</v>
      </c>
      <c r="G1993" s="4" t="s">
        <v>12086</v>
      </c>
      <c r="H1993" s="4">
        <v>2.39</v>
      </c>
      <c r="I1993" s="4">
        <v>1.07</v>
      </c>
      <c r="J1993" s="4">
        <v>0.24016999999999999</v>
      </c>
      <c r="K1993" s="4" t="b">
        <v>1</v>
      </c>
      <c r="L1993" s="4" t="b">
        <v>0</v>
      </c>
    </row>
    <row r="1994" spans="1:12" ht="13">
      <c r="A1994" s="4" t="s">
        <v>12087</v>
      </c>
      <c r="B1994" s="4" t="s">
        <v>4951</v>
      </c>
      <c r="C1994" s="4" t="s">
        <v>108</v>
      </c>
      <c r="D1994" s="4" t="s">
        <v>4952</v>
      </c>
      <c r="E1994" s="4" t="s">
        <v>17</v>
      </c>
      <c r="F1994" s="4" t="s">
        <v>12088</v>
      </c>
      <c r="G1994" s="4" t="s">
        <v>12089</v>
      </c>
      <c r="H1994" s="4">
        <v>2.4</v>
      </c>
      <c r="I1994" s="4">
        <v>1.06</v>
      </c>
      <c r="J1994" s="4">
        <v>0.24551999999999999</v>
      </c>
      <c r="K1994" s="4" t="b">
        <v>1</v>
      </c>
      <c r="L1994" s="4" t="b">
        <v>0</v>
      </c>
    </row>
    <row r="1995" spans="1:12" ht="13">
      <c r="A1995" s="4" t="s">
        <v>12090</v>
      </c>
      <c r="B1995" s="4" t="s">
        <v>4951</v>
      </c>
      <c r="C1995" s="4" t="s">
        <v>108</v>
      </c>
      <c r="D1995" s="4" t="s">
        <v>4952</v>
      </c>
      <c r="E1995" s="4" t="s">
        <v>17</v>
      </c>
      <c r="F1995" s="4" t="s">
        <v>12091</v>
      </c>
      <c r="G1995" s="4" t="s">
        <v>12092</v>
      </c>
      <c r="H1995" s="4">
        <v>2.4</v>
      </c>
      <c r="I1995" s="4">
        <v>1.2</v>
      </c>
      <c r="J1995" s="4">
        <v>0.25778000000000001</v>
      </c>
      <c r="K1995" s="4" t="b">
        <v>1</v>
      </c>
      <c r="L1995" s="4" t="b">
        <v>0</v>
      </c>
    </row>
    <row r="1996" spans="1:12" ht="13">
      <c r="A1996" s="4" t="s">
        <v>12093</v>
      </c>
      <c r="B1996" s="4" t="s">
        <v>4951</v>
      </c>
      <c r="C1996" s="4" t="s">
        <v>108</v>
      </c>
      <c r="D1996" s="4" t="s">
        <v>4952</v>
      </c>
      <c r="E1996" s="4" t="s">
        <v>17</v>
      </c>
      <c r="F1996" s="4" t="s">
        <v>12094</v>
      </c>
      <c r="G1996" s="4" t="s">
        <v>12095</v>
      </c>
      <c r="H1996" s="4">
        <v>2.41</v>
      </c>
      <c r="I1996" s="4">
        <v>1.08</v>
      </c>
      <c r="J1996" s="4">
        <v>0.23738000000000001</v>
      </c>
      <c r="K1996" s="4" t="b">
        <v>1</v>
      </c>
      <c r="L1996" s="4" t="b">
        <v>0</v>
      </c>
    </row>
    <row r="1997" spans="1:12" ht="13">
      <c r="A1997" s="4" t="s">
        <v>12096</v>
      </c>
      <c r="B1997" s="4" t="s">
        <v>4951</v>
      </c>
      <c r="C1997" s="4" t="s">
        <v>108</v>
      </c>
      <c r="D1997" s="4" t="s">
        <v>4952</v>
      </c>
      <c r="E1997" s="4" t="s">
        <v>17</v>
      </c>
      <c r="F1997" s="4" t="s">
        <v>12097</v>
      </c>
      <c r="G1997" s="4" t="s">
        <v>12098</v>
      </c>
      <c r="H1997" s="4">
        <v>2.42</v>
      </c>
      <c r="I1997" s="4">
        <v>1.17</v>
      </c>
      <c r="J1997" s="4">
        <v>0.27252999999999999</v>
      </c>
      <c r="K1997" s="4" t="b">
        <v>1</v>
      </c>
      <c r="L1997" s="4" t="b">
        <v>0</v>
      </c>
    </row>
    <row r="1998" spans="1:12" ht="13">
      <c r="A1998" s="4" t="s">
        <v>12099</v>
      </c>
      <c r="B1998" s="4" t="s">
        <v>4951</v>
      </c>
      <c r="C1998" s="4" t="s">
        <v>108</v>
      </c>
      <c r="D1998" s="4" t="s">
        <v>4952</v>
      </c>
      <c r="E1998" s="4" t="s">
        <v>17</v>
      </c>
      <c r="F1998" s="4" t="s">
        <v>12100</v>
      </c>
      <c r="G1998" s="4" t="s">
        <v>12101</v>
      </c>
      <c r="H1998" s="4">
        <v>2.4300000000000002</v>
      </c>
      <c r="I1998" s="4">
        <v>1.1000000000000001</v>
      </c>
      <c r="J1998" s="4">
        <v>0.23361999999999999</v>
      </c>
      <c r="K1998" s="4" t="b">
        <v>1</v>
      </c>
      <c r="L1998" s="4" t="b">
        <v>0</v>
      </c>
    </row>
    <row r="1999" spans="1:12" ht="13">
      <c r="A1999" s="4" t="s">
        <v>12102</v>
      </c>
      <c r="B1999" s="4" t="s">
        <v>4951</v>
      </c>
      <c r="C1999" s="4" t="s">
        <v>108</v>
      </c>
      <c r="D1999" s="4" t="s">
        <v>4952</v>
      </c>
      <c r="E1999" s="4" t="s">
        <v>17</v>
      </c>
      <c r="F1999" s="4" t="s">
        <v>12103</v>
      </c>
      <c r="G1999" s="4" t="s">
        <v>12104</v>
      </c>
      <c r="H1999" s="4">
        <v>2.4300000000000002</v>
      </c>
      <c r="I1999" s="4">
        <v>1.19</v>
      </c>
      <c r="J1999" s="4">
        <v>0.25806000000000001</v>
      </c>
      <c r="K1999" s="4" t="b">
        <v>1</v>
      </c>
      <c r="L1999" s="4" t="b">
        <v>0</v>
      </c>
    </row>
    <row r="2000" spans="1:12" ht="13">
      <c r="A2000" s="4" t="s">
        <v>12105</v>
      </c>
      <c r="B2000" s="4" t="s">
        <v>4951</v>
      </c>
      <c r="C2000" s="4" t="s">
        <v>108</v>
      </c>
      <c r="D2000" s="4" t="s">
        <v>4952</v>
      </c>
      <c r="E2000" s="4" t="s">
        <v>17</v>
      </c>
      <c r="F2000" s="4" t="s">
        <v>12106</v>
      </c>
      <c r="G2000" s="4" t="s">
        <v>12107</v>
      </c>
      <c r="H2000" s="4">
        <v>2.44</v>
      </c>
      <c r="I2000" s="4">
        <v>1.1100000000000001</v>
      </c>
      <c r="J2000" s="4">
        <v>0.25330000000000003</v>
      </c>
      <c r="K2000" s="4" t="b">
        <v>1</v>
      </c>
      <c r="L2000" s="4" t="b">
        <v>0</v>
      </c>
    </row>
    <row r="2001" spans="1:12" ht="13">
      <c r="A2001" s="4" t="s">
        <v>12108</v>
      </c>
      <c r="B2001" s="4" t="s">
        <v>4951</v>
      </c>
      <c r="C2001" s="4" t="s">
        <v>108</v>
      </c>
      <c r="D2001" s="4" t="s">
        <v>4952</v>
      </c>
      <c r="E2001" s="4" t="s">
        <v>17</v>
      </c>
      <c r="F2001" s="4" t="s">
        <v>12109</v>
      </c>
      <c r="G2001" s="4" t="s">
        <v>12110</v>
      </c>
      <c r="H2001" s="4">
        <v>2.4500000000000002</v>
      </c>
      <c r="I2001" s="4">
        <v>1.1200000000000001</v>
      </c>
      <c r="J2001" s="4">
        <v>0.24215999999999999</v>
      </c>
      <c r="K2001" s="4" t="b">
        <v>1</v>
      </c>
      <c r="L2001" s="4" t="b">
        <v>0</v>
      </c>
    </row>
    <row r="2002" spans="1:12" ht="13">
      <c r="A2002" s="4" t="s">
        <v>12111</v>
      </c>
      <c r="B2002" s="4" t="s">
        <v>4951</v>
      </c>
      <c r="C2002" s="4" t="s">
        <v>108</v>
      </c>
      <c r="D2002" s="4" t="s">
        <v>4952</v>
      </c>
      <c r="E2002" s="4" t="s">
        <v>17</v>
      </c>
      <c r="F2002" s="4" t="s">
        <v>12112</v>
      </c>
      <c r="G2002" s="4" t="s">
        <v>12113</v>
      </c>
      <c r="H2002" s="4">
        <v>2.4500000000000002</v>
      </c>
      <c r="I2002" s="4">
        <v>1.18</v>
      </c>
      <c r="J2002" s="4">
        <v>0.23744999999999999</v>
      </c>
      <c r="K2002" s="4" t="b">
        <v>1</v>
      </c>
      <c r="L2002" s="4" t="b">
        <v>0</v>
      </c>
    </row>
    <row r="2003" spans="1:12" ht="13">
      <c r="A2003" s="4" t="s">
        <v>12114</v>
      </c>
      <c r="B2003" s="4" t="s">
        <v>4951</v>
      </c>
      <c r="C2003" s="4" t="s">
        <v>108</v>
      </c>
      <c r="D2003" s="4" t="s">
        <v>4952</v>
      </c>
      <c r="E2003" s="4" t="s">
        <v>17</v>
      </c>
      <c r="F2003" s="4" t="s">
        <v>12115</v>
      </c>
      <c r="G2003" s="4" t="s">
        <v>12116</v>
      </c>
      <c r="H2003" s="4">
        <v>2.46</v>
      </c>
      <c r="I2003" s="4">
        <v>1.07</v>
      </c>
      <c r="J2003" s="4">
        <v>0.24102999999999999</v>
      </c>
      <c r="K2003" s="4" t="b">
        <v>1</v>
      </c>
      <c r="L2003" s="4" t="b">
        <v>0</v>
      </c>
    </row>
    <row r="2004" spans="1:12" ht="13">
      <c r="A2004" s="4" t="s">
        <v>12117</v>
      </c>
      <c r="B2004" s="4" t="s">
        <v>4951</v>
      </c>
      <c r="C2004" s="4" t="s">
        <v>108</v>
      </c>
      <c r="D2004" s="4" t="s">
        <v>4952</v>
      </c>
      <c r="E2004" s="4" t="s">
        <v>17</v>
      </c>
      <c r="F2004" s="4" t="s">
        <v>12118</v>
      </c>
      <c r="G2004" s="4" t="s">
        <v>12119</v>
      </c>
      <c r="H2004" s="4">
        <v>2.46</v>
      </c>
      <c r="I2004" s="4">
        <v>1.08</v>
      </c>
      <c r="J2004" s="4">
        <v>0.24681</v>
      </c>
      <c r="K2004" s="4" t="b">
        <v>1</v>
      </c>
      <c r="L2004" s="4" t="b">
        <v>0</v>
      </c>
    </row>
    <row r="2005" spans="1:12" ht="13">
      <c r="A2005" s="4" t="s">
        <v>12120</v>
      </c>
      <c r="B2005" s="4" t="s">
        <v>4951</v>
      </c>
      <c r="C2005" s="4" t="s">
        <v>108</v>
      </c>
      <c r="D2005" s="4" t="s">
        <v>4952</v>
      </c>
      <c r="E2005" s="4" t="s">
        <v>17</v>
      </c>
      <c r="F2005" s="4" t="s">
        <v>12121</v>
      </c>
      <c r="G2005" s="4" t="s">
        <v>12122</v>
      </c>
      <c r="H2005" s="4">
        <v>2.4700000000000002</v>
      </c>
      <c r="I2005" s="4">
        <v>1.07</v>
      </c>
      <c r="J2005" s="4">
        <v>0.24673999999999999</v>
      </c>
      <c r="K2005" s="4" t="b">
        <v>1</v>
      </c>
      <c r="L2005" s="4" t="b">
        <v>0</v>
      </c>
    </row>
    <row r="2006" spans="1:12" ht="13">
      <c r="A2006" s="4" t="s">
        <v>12123</v>
      </c>
      <c r="B2006" s="4" t="s">
        <v>4951</v>
      </c>
      <c r="C2006" s="4" t="s">
        <v>108</v>
      </c>
      <c r="D2006" s="4" t="s">
        <v>4952</v>
      </c>
      <c r="E2006" s="4" t="s">
        <v>17</v>
      </c>
      <c r="F2006" s="4" t="s">
        <v>12124</v>
      </c>
      <c r="G2006" s="4" t="s">
        <v>12125</v>
      </c>
      <c r="H2006" s="4">
        <v>2.48</v>
      </c>
      <c r="I2006" s="4">
        <v>1.08</v>
      </c>
      <c r="J2006" s="4">
        <v>0.24521000000000001</v>
      </c>
      <c r="K2006" s="4" t="b">
        <v>1</v>
      </c>
      <c r="L2006" s="4" t="b">
        <v>0</v>
      </c>
    </row>
    <row r="2007" spans="1:12" ht="13">
      <c r="A2007" s="4" t="s">
        <v>12126</v>
      </c>
      <c r="B2007" s="4" t="s">
        <v>4951</v>
      </c>
      <c r="C2007" s="4" t="s">
        <v>108</v>
      </c>
      <c r="D2007" s="4" t="s">
        <v>4952</v>
      </c>
      <c r="E2007" s="4" t="s">
        <v>17</v>
      </c>
      <c r="F2007" s="4" t="s">
        <v>12127</v>
      </c>
      <c r="G2007" s="4" t="s">
        <v>12128</v>
      </c>
      <c r="H2007" s="4">
        <v>2.48</v>
      </c>
      <c r="I2007" s="4">
        <v>1.1200000000000001</v>
      </c>
      <c r="J2007" s="4">
        <v>0.25459999999999999</v>
      </c>
      <c r="K2007" s="4" t="b">
        <v>1</v>
      </c>
      <c r="L2007" s="4" t="b">
        <v>0</v>
      </c>
    </row>
    <row r="2008" spans="1:12" ht="13">
      <c r="A2008" s="4" t="s">
        <v>12129</v>
      </c>
      <c r="B2008" s="4" t="s">
        <v>4951</v>
      </c>
      <c r="C2008" s="4" t="s">
        <v>108</v>
      </c>
      <c r="D2008" s="4" t="s">
        <v>4952</v>
      </c>
      <c r="E2008" s="4" t="s">
        <v>17</v>
      </c>
      <c r="F2008" s="4" t="s">
        <v>12130</v>
      </c>
      <c r="G2008" s="4" t="s">
        <v>12131</v>
      </c>
      <c r="H2008" s="4">
        <v>2.4900000000000002</v>
      </c>
      <c r="I2008" s="4">
        <v>1.08</v>
      </c>
      <c r="J2008" s="4">
        <v>0.25488</v>
      </c>
      <c r="K2008" s="4" t="b">
        <v>1</v>
      </c>
      <c r="L2008" s="4" t="b">
        <v>0</v>
      </c>
    </row>
    <row r="2009" spans="1:12" ht="13">
      <c r="A2009" s="4" t="s">
        <v>12132</v>
      </c>
      <c r="B2009" s="4" t="s">
        <v>4951</v>
      </c>
      <c r="C2009" s="4" t="s">
        <v>108</v>
      </c>
      <c r="D2009" s="4" t="s">
        <v>4952</v>
      </c>
      <c r="E2009" s="4" t="s">
        <v>17</v>
      </c>
      <c r="F2009" s="4" t="s">
        <v>12133</v>
      </c>
      <c r="G2009" s="4" t="s">
        <v>12134</v>
      </c>
      <c r="H2009" s="4">
        <v>2.5299999999999998</v>
      </c>
      <c r="I2009" s="4">
        <v>1.0900000000000001</v>
      </c>
      <c r="J2009" s="4">
        <v>0.24256</v>
      </c>
      <c r="K2009" s="4" t="b">
        <v>1</v>
      </c>
      <c r="L2009" s="4" t="b">
        <v>0</v>
      </c>
    </row>
    <row r="2010" spans="1:12" ht="13">
      <c r="A2010" s="4" t="s">
        <v>12135</v>
      </c>
      <c r="B2010" s="4" t="s">
        <v>4951</v>
      </c>
      <c r="C2010" s="4" t="s">
        <v>108</v>
      </c>
      <c r="D2010" s="4" t="s">
        <v>4952</v>
      </c>
      <c r="E2010" s="4" t="s">
        <v>17</v>
      </c>
      <c r="F2010" s="4" t="s">
        <v>12136</v>
      </c>
      <c r="G2010" s="4" t="s">
        <v>12137</v>
      </c>
      <c r="H2010" s="4">
        <v>2.54</v>
      </c>
      <c r="I2010" s="4">
        <v>1.1299999999999999</v>
      </c>
      <c r="J2010" s="4">
        <v>0.25278</v>
      </c>
      <c r="K2010" s="4" t="b">
        <v>1</v>
      </c>
      <c r="L2010" s="4" t="b">
        <v>0</v>
      </c>
    </row>
    <row r="2011" spans="1:12" ht="13">
      <c r="A2011" s="4" t="s">
        <v>12138</v>
      </c>
      <c r="B2011" s="4" t="s">
        <v>4951</v>
      </c>
      <c r="C2011" s="4" t="s">
        <v>108</v>
      </c>
      <c r="D2011" s="4" t="s">
        <v>4952</v>
      </c>
      <c r="E2011" s="4" t="s">
        <v>17</v>
      </c>
      <c r="F2011" s="4" t="s">
        <v>12139</v>
      </c>
      <c r="G2011" s="4" t="s">
        <v>12140</v>
      </c>
      <c r="H2011" s="4">
        <v>2.54</v>
      </c>
      <c r="I2011" s="4">
        <v>1.02</v>
      </c>
      <c r="J2011" s="4">
        <v>0.22327</v>
      </c>
      <c r="K2011" s="4" t="b">
        <v>1</v>
      </c>
      <c r="L2011" s="4" t="b">
        <v>0</v>
      </c>
    </row>
    <row r="2012" spans="1:12" ht="13">
      <c r="A2012" s="4" t="s">
        <v>12141</v>
      </c>
      <c r="B2012" s="4" t="s">
        <v>4951</v>
      </c>
      <c r="C2012" s="4" t="s">
        <v>108</v>
      </c>
      <c r="D2012" s="4" t="s">
        <v>4952</v>
      </c>
      <c r="E2012" s="4" t="s">
        <v>17</v>
      </c>
      <c r="F2012" s="4" t="s">
        <v>12142</v>
      </c>
      <c r="G2012" s="4" t="s">
        <v>12143</v>
      </c>
      <c r="H2012" s="4">
        <v>2.5499999999999998</v>
      </c>
      <c r="I2012" s="4">
        <v>1.05</v>
      </c>
      <c r="J2012" s="4">
        <v>0.22328999999999999</v>
      </c>
      <c r="K2012" s="4" t="b">
        <v>1</v>
      </c>
      <c r="L2012" s="4" t="b">
        <v>0</v>
      </c>
    </row>
    <row r="2013" spans="1:12" ht="13">
      <c r="A2013" s="4" t="s">
        <v>12144</v>
      </c>
      <c r="B2013" s="4" t="s">
        <v>4951</v>
      </c>
      <c r="C2013" s="4" t="s">
        <v>108</v>
      </c>
      <c r="D2013" s="4" t="s">
        <v>4952</v>
      </c>
      <c r="E2013" s="4" t="s">
        <v>17</v>
      </c>
      <c r="F2013" s="4" t="s">
        <v>12145</v>
      </c>
      <c r="G2013" s="4" t="s">
        <v>12146</v>
      </c>
      <c r="H2013" s="4">
        <v>2.56</v>
      </c>
      <c r="I2013" s="4">
        <v>1.07</v>
      </c>
      <c r="J2013" s="4">
        <v>0.24340999999999999</v>
      </c>
      <c r="K2013" s="4" t="b">
        <v>1</v>
      </c>
      <c r="L2013" s="4" t="b">
        <v>0</v>
      </c>
    </row>
    <row r="2014" spans="1:12" ht="13">
      <c r="A2014" s="4" t="s">
        <v>12147</v>
      </c>
      <c r="B2014" s="4" t="s">
        <v>4951</v>
      </c>
      <c r="C2014" s="4" t="s">
        <v>108</v>
      </c>
      <c r="D2014" s="4" t="s">
        <v>4952</v>
      </c>
      <c r="E2014" s="4" t="s">
        <v>17</v>
      </c>
      <c r="F2014" s="4" t="s">
        <v>12148</v>
      </c>
      <c r="G2014" s="4" t="s">
        <v>12149</v>
      </c>
      <c r="H2014" s="4">
        <v>2.57</v>
      </c>
      <c r="I2014" s="4">
        <v>0.98</v>
      </c>
      <c r="J2014" s="4">
        <v>0.22536999999999999</v>
      </c>
      <c r="K2014" s="4" t="b">
        <v>1</v>
      </c>
      <c r="L2014" s="4" t="b">
        <v>0</v>
      </c>
    </row>
    <row r="2015" spans="1:12" ht="13">
      <c r="A2015" s="4" t="s">
        <v>12150</v>
      </c>
      <c r="B2015" s="4" t="s">
        <v>4951</v>
      </c>
      <c r="C2015" s="4" t="s">
        <v>108</v>
      </c>
      <c r="D2015" s="4" t="s">
        <v>4952</v>
      </c>
      <c r="E2015" s="4" t="s">
        <v>17</v>
      </c>
      <c r="F2015" s="4" t="s">
        <v>12151</v>
      </c>
      <c r="G2015" s="4" t="s">
        <v>12152</v>
      </c>
      <c r="H2015" s="4">
        <v>2.58</v>
      </c>
      <c r="I2015" s="4">
        <v>1.0900000000000001</v>
      </c>
      <c r="J2015" s="4">
        <v>0.23202999999999999</v>
      </c>
      <c r="K2015" s="4" t="b">
        <v>1</v>
      </c>
      <c r="L2015" s="4" t="b">
        <v>0</v>
      </c>
    </row>
    <row r="2016" spans="1:12" ht="13">
      <c r="A2016" s="4" t="s">
        <v>12153</v>
      </c>
      <c r="B2016" s="4" t="s">
        <v>4951</v>
      </c>
      <c r="C2016" s="4" t="s">
        <v>108</v>
      </c>
      <c r="D2016" s="4" t="s">
        <v>4952</v>
      </c>
      <c r="E2016" s="4" t="s">
        <v>17</v>
      </c>
      <c r="F2016" s="4" t="s">
        <v>12154</v>
      </c>
      <c r="G2016" s="4" t="s">
        <v>12155</v>
      </c>
      <c r="H2016" s="4">
        <v>2.58</v>
      </c>
      <c r="I2016" s="4">
        <v>1.1000000000000001</v>
      </c>
      <c r="J2016" s="4">
        <v>0.24546999999999999</v>
      </c>
      <c r="K2016" s="4" t="b">
        <v>1</v>
      </c>
      <c r="L2016" s="4" t="b">
        <v>0</v>
      </c>
    </row>
    <row r="2017" spans="1:12" ht="13">
      <c r="A2017" s="4" t="s">
        <v>12156</v>
      </c>
      <c r="B2017" s="4" t="s">
        <v>4951</v>
      </c>
      <c r="C2017" s="4" t="s">
        <v>108</v>
      </c>
      <c r="D2017" s="4" t="s">
        <v>4952</v>
      </c>
      <c r="E2017" s="4" t="s">
        <v>17</v>
      </c>
      <c r="F2017" s="4" t="s">
        <v>12157</v>
      </c>
      <c r="G2017" s="4" t="s">
        <v>12158</v>
      </c>
      <c r="H2017" s="4">
        <v>2.59</v>
      </c>
      <c r="I2017" s="4">
        <v>1.1100000000000001</v>
      </c>
      <c r="J2017" s="4">
        <v>0.23386000000000001</v>
      </c>
      <c r="K2017" s="4" t="b">
        <v>1</v>
      </c>
      <c r="L2017" s="4" t="b">
        <v>0</v>
      </c>
    </row>
    <row r="2018" spans="1:12" ht="13">
      <c r="A2018" s="4" t="s">
        <v>12159</v>
      </c>
      <c r="B2018" s="4" t="s">
        <v>4951</v>
      </c>
      <c r="C2018" s="4" t="s">
        <v>108</v>
      </c>
      <c r="D2018" s="4" t="s">
        <v>4952</v>
      </c>
      <c r="E2018" s="4" t="s">
        <v>17</v>
      </c>
      <c r="F2018" s="4" t="s">
        <v>12160</v>
      </c>
      <c r="G2018" s="4" t="s">
        <v>12161</v>
      </c>
      <c r="H2018" s="4">
        <v>2.6</v>
      </c>
      <c r="I2018" s="4">
        <v>1.0900000000000001</v>
      </c>
      <c r="J2018" s="4">
        <v>0.24549000000000001</v>
      </c>
      <c r="K2018" s="4" t="b">
        <v>1</v>
      </c>
      <c r="L2018" s="4" t="b">
        <v>0</v>
      </c>
    </row>
    <row r="2019" spans="1:12" ht="13">
      <c r="A2019" s="4" t="s">
        <v>12162</v>
      </c>
      <c r="B2019" s="4" t="s">
        <v>4951</v>
      </c>
      <c r="C2019" s="4" t="s">
        <v>108</v>
      </c>
      <c r="D2019" s="4" t="s">
        <v>4952</v>
      </c>
      <c r="E2019" s="4" t="s">
        <v>17</v>
      </c>
      <c r="F2019" s="4" t="s">
        <v>12163</v>
      </c>
      <c r="G2019" s="4" t="s">
        <v>12164</v>
      </c>
      <c r="H2019" s="4">
        <v>2.6</v>
      </c>
      <c r="I2019" s="4">
        <v>1.1599999999999999</v>
      </c>
      <c r="J2019" s="4">
        <v>0.26053999999999999</v>
      </c>
      <c r="K2019" s="4" t="b">
        <v>1</v>
      </c>
      <c r="L2019" s="4" t="b">
        <v>0</v>
      </c>
    </row>
    <row r="2020" spans="1:12" ht="13">
      <c r="A2020" s="4" t="s">
        <v>12165</v>
      </c>
      <c r="B2020" s="4" t="s">
        <v>4951</v>
      </c>
      <c r="C2020" s="4" t="s">
        <v>108</v>
      </c>
      <c r="D2020" s="4" t="s">
        <v>4952</v>
      </c>
      <c r="E2020" s="4" t="s">
        <v>17</v>
      </c>
      <c r="F2020" s="4" t="s">
        <v>12166</v>
      </c>
      <c r="G2020" s="4" t="s">
        <v>12167</v>
      </c>
      <c r="H2020" s="4">
        <v>2.61</v>
      </c>
      <c r="I2020" s="4">
        <v>1.32</v>
      </c>
      <c r="J2020" s="4">
        <v>0.20358000000000001</v>
      </c>
      <c r="K2020" s="4" t="b">
        <v>1</v>
      </c>
      <c r="L2020" s="4" t="b">
        <v>0</v>
      </c>
    </row>
    <row r="2021" spans="1:12" ht="13">
      <c r="A2021" s="4" t="s">
        <v>12168</v>
      </c>
      <c r="B2021" s="4" t="s">
        <v>4951</v>
      </c>
      <c r="C2021" s="4" t="s">
        <v>108</v>
      </c>
      <c r="D2021" s="4" t="s">
        <v>4952</v>
      </c>
      <c r="E2021" s="4" t="s">
        <v>17</v>
      </c>
      <c r="F2021" s="4" t="s">
        <v>12169</v>
      </c>
      <c r="G2021" s="4" t="s">
        <v>12170</v>
      </c>
      <c r="H2021" s="4">
        <v>2.62</v>
      </c>
      <c r="I2021" s="4">
        <v>1.05</v>
      </c>
      <c r="J2021" s="4">
        <v>0.22178</v>
      </c>
      <c r="K2021" s="4" t="b">
        <v>1</v>
      </c>
      <c r="L2021" s="4" t="b">
        <v>0</v>
      </c>
    </row>
    <row r="2022" spans="1:12" ht="13">
      <c r="A2022" s="4" t="s">
        <v>12171</v>
      </c>
      <c r="B2022" s="4" t="s">
        <v>4951</v>
      </c>
      <c r="C2022" s="4" t="s">
        <v>108</v>
      </c>
      <c r="D2022" s="4" t="s">
        <v>4952</v>
      </c>
      <c r="E2022" s="4" t="s">
        <v>17</v>
      </c>
      <c r="F2022" s="4" t="s">
        <v>12172</v>
      </c>
      <c r="G2022" s="4" t="s">
        <v>12173</v>
      </c>
      <c r="H2022" s="4">
        <v>2.63</v>
      </c>
      <c r="I2022" s="4">
        <v>1.17</v>
      </c>
      <c r="J2022" s="4">
        <v>0.24492</v>
      </c>
      <c r="K2022" s="4" t="b">
        <v>1</v>
      </c>
      <c r="L2022" s="4" t="b">
        <v>0</v>
      </c>
    </row>
    <row r="2023" spans="1:12" ht="13">
      <c r="A2023" s="4" t="s">
        <v>12174</v>
      </c>
      <c r="B2023" s="4" t="s">
        <v>4951</v>
      </c>
      <c r="C2023" s="4" t="s">
        <v>108</v>
      </c>
      <c r="D2023" s="4" t="s">
        <v>4952</v>
      </c>
      <c r="E2023" s="4" t="s">
        <v>17</v>
      </c>
      <c r="F2023" s="4" t="s">
        <v>12175</v>
      </c>
      <c r="G2023" s="4" t="s">
        <v>12176</v>
      </c>
      <c r="H2023" s="4">
        <v>2.63</v>
      </c>
      <c r="I2023" s="4">
        <v>1.24</v>
      </c>
      <c r="J2023" s="4">
        <v>0.21565000000000001</v>
      </c>
      <c r="K2023" s="4" t="b">
        <v>1</v>
      </c>
      <c r="L2023" s="4" t="b">
        <v>0</v>
      </c>
    </row>
    <row r="2024" spans="1:12" ht="13">
      <c r="A2024" s="4" t="s">
        <v>12177</v>
      </c>
      <c r="B2024" s="4" t="s">
        <v>4951</v>
      </c>
      <c r="C2024" s="4" t="s">
        <v>108</v>
      </c>
      <c r="D2024" s="4" t="s">
        <v>4952</v>
      </c>
      <c r="E2024" s="4" t="s">
        <v>17</v>
      </c>
      <c r="F2024" s="4" t="s">
        <v>12178</v>
      </c>
      <c r="G2024" s="4" t="s">
        <v>12179</v>
      </c>
      <c r="H2024" s="4">
        <v>2.64</v>
      </c>
      <c r="I2024" s="4">
        <v>1.72</v>
      </c>
      <c r="J2024" s="4">
        <v>0.23746</v>
      </c>
      <c r="K2024" s="4" t="b">
        <v>1</v>
      </c>
      <c r="L2024" s="4" t="b">
        <v>0</v>
      </c>
    </row>
    <row r="2025" spans="1:12" ht="13">
      <c r="A2025" s="4" t="s">
        <v>12180</v>
      </c>
      <c r="B2025" s="4" t="s">
        <v>4951</v>
      </c>
      <c r="C2025" s="4" t="s">
        <v>108</v>
      </c>
      <c r="D2025" s="4" t="s">
        <v>4952</v>
      </c>
      <c r="E2025" s="4" t="s">
        <v>17</v>
      </c>
      <c r="F2025" s="4" t="s">
        <v>12181</v>
      </c>
      <c r="G2025" s="4" t="s">
        <v>12182</v>
      </c>
      <c r="H2025" s="4">
        <v>2.65</v>
      </c>
      <c r="I2025" s="4">
        <v>1.1000000000000001</v>
      </c>
      <c r="J2025" s="4">
        <v>0.23496</v>
      </c>
      <c r="K2025" s="4" t="b">
        <v>1</v>
      </c>
      <c r="L2025" s="4" t="b">
        <v>0</v>
      </c>
    </row>
    <row r="2026" spans="1:12" ht="13">
      <c r="A2026" s="4" t="s">
        <v>12183</v>
      </c>
      <c r="B2026" s="4" t="s">
        <v>4951</v>
      </c>
      <c r="C2026" s="4" t="s">
        <v>108</v>
      </c>
      <c r="D2026" s="4" t="s">
        <v>4952</v>
      </c>
      <c r="E2026" s="4" t="s">
        <v>17</v>
      </c>
      <c r="F2026" s="4" t="s">
        <v>12184</v>
      </c>
      <c r="G2026" s="4" t="s">
        <v>12185</v>
      </c>
      <c r="H2026" s="4">
        <v>2.65</v>
      </c>
      <c r="I2026" s="4">
        <v>1.07</v>
      </c>
      <c r="J2026" s="4">
        <v>0.23402000000000001</v>
      </c>
      <c r="K2026" s="4" t="b">
        <v>1</v>
      </c>
      <c r="L2026" s="4" t="b">
        <v>0</v>
      </c>
    </row>
    <row r="2027" spans="1:12" ht="13">
      <c r="A2027" s="4" t="s">
        <v>12186</v>
      </c>
      <c r="B2027" s="4" t="s">
        <v>4951</v>
      </c>
      <c r="C2027" s="4" t="s">
        <v>108</v>
      </c>
      <c r="D2027" s="4" t="s">
        <v>4952</v>
      </c>
      <c r="E2027" s="4" t="s">
        <v>17</v>
      </c>
      <c r="F2027" s="4" t="s">
        <v>12187</v>
      </c>
      <c r="G2027" s="4" t="s">
        <v>12188</v>
      </c>
      <c r="H2027" s="4">
        <v>2.68</v>
      </c>
      <c r="I2027" s="4">
        <v>1.1000000000000001</v>
      </c>
      <c r="J2027" s="4">
        <v>0.24067</v>
      </c>
      <c r="K2027" s="4" t="b">
        <v>1</v>
      </c>
      <c r="L2027" s="4" t="b">
        <v>0</v>
      </c>
    </row>
    <row r="2028" spans="1:12" ht="13">
      <c r="A2028" s="4" t="s">
        <v>12192</v>
      </c>
      <c r="B2028" s="4" t="s">
        <v>4951</v>
      </c>
      <c r="C2028" s="4" t="s">
        <v>108</v>
      </c>
      <c r="D2028" s="4" t="s">
        <v>4952</v>
      </c>
      <c r="E2028" s="4" t="s">
        <v>17</v>
      </c>
      <c r="F2028" s="4" t="s">
        <v>12193</v>
      </c>
      <c r="G2028" s="4" t="s">
        <v>12194</v>
      </c>
      <c r="H2028" s="4">
        <v>2.69</v>
      </c>
      <c r="I2028" s="4">
        <v>1.1000000000000001</v>
      </c>
      <c r="J2028" s="4">
        <v>0.24589</v>
      </c>
      <c r="K2028" s="4" t="b">
        <v>1</v>
      </c>
      <c r="L2028" s="4" t="b">
        <v>0</v>
      </c>
    </row>
    <row r="2029" spans="1:12" ht="13">
      <c r="A2029" s="4" t="s">
        <v>12195</v>
      </c>
      <c r="B2029" s="4" t="s">
        <v>4951</v>
      </c>
      <c r="C2029" s="4" t="s">
        <v>108</v>
      </c>
      <c r="D2029" s="4" t="s">
        <v>4952</v>
      </c>
      <c r="E2029" s="4" t="s">
        <v>17</v>
      </c>
      <c r="F2029" s="4" t="s">
        <v>12196</v>
      </c>
      <c r="G2029" s="4" t="s">
        <v>12197</v>
      </c>
      <c r="H2029" s="4">
        <v>2.69</v>
      </c>
      <c r="I2029" s="4">
        <v>1.1299999999999999</v>
      </c>
      <c r="J2029" s="4">
        <v>0.22942000000000001</v>
      </c>
      <c r="K2029" s="4" t="b">
        <v>1</v>
      </c>
      <c r="L2029" s="4" t="b">
        <v>0</v>
      </c>
    </row>
    <row r="2030" spans="1:12" ht="13">
      <c r="A2030" s="4" t="s">
        <v>12198</v>
      </c>
      <c r="B2030" s="4" t="s">
        <v>4951</v>
      </c>
      <c r="C2030" s="4" t="s">
        <v>108</v>
      </c>
      <c r="D2030" s="4" t="s">
        <v>4952</v>
      </c>
      <c r="E2030" s="4" t="s">
        <v>17</v>
      </c>
      <c r="F2030" s="4" t="s">
        <v>12199</v>
      </c>
      <c r="G2030" s="4" t="s">
        <v>12200</v>
      </c>
      <c r="H2030" s="4">
        <v>2.7</v>
      </c>
      <c r="I2030" s="4">
        <v>1.25</v>
      </c>
      <c r="J2030" s="4">
        <v>0.24765000000000001</v>
      </c>
      <c r="K2030" s="4" t="b">
        <v>1</v>
      </c>
      <c r="L2030" s="4" t="b">
        <v>0</v>
      </c>
    </row>
    <row r="2031" spans="1:12" ht="13">
      <c r="A2031" s="4" t="s">
        <v>12201</v>
      </c>
      <c r="B2031" s="4" t="s">
        <v>4951</v>
      </c>
      <c r="C2031" s="4" t="s">
        <v>108</v>
      </c>
      <c r="D2031" s="4" t="s">
        <v>4952</v>
      </c>
      <c r="E2031" s="4" t="s">
        <v>17</v>
      </c>
      <c r="F2031" s="4" t="s">
        <v>12202</v>
      </c>
      <c r="G2031" s="4" t="s">
        <v>12203</v>
      </c>
      <c r="H2031" s="4">
        <v>2.7</v>
      </c>
      <c r="I2031" s="4">
        <v>1.1200000000000001</v>
      </c>
      <c r="J2031" s="4">
        <v>0.23794000000000001</v>
      </c>
      <c r="K2031" s="4" t="b">
        <v>1</v>
      </c>
      <c r="L2031" s="4" t="b">
        <v>0</v>
      </c>
    </row>
    <row r="2032" spans="1:12" ht="13">
      <c r="A2032" s="4" t="s">
        <v>12204</v>
      </c>
      <c r="B2032" s="4" t="s">
        <v>4951</v>
      </c>
      <c r="C2032" s="4" t="s">
        <v>108</v>
      </c>
      <c r="D2032" s="4" t="s">
        <v>4952</v>
      </c>
      <c r="E2032" s="4" t="s">
        <v>17</v>
      </c>
      <c r="F2032" s="4" t="s">
        <v>12205</v>
      </c>
      <c r="G2032" s="4" t="s">
        <v>12206</v>
      </c>
      <c r="H2032" s="4">
        <v>2.71</v>
      </c>
      <c r="I2032" s="4">
        <v>1.08</v>
      </c>
      <c r="J2032" s="4">
        <v>0.24932000000000001</v>
      </c>
      <c r="K2032" s="4" t="b">
        <v>1</v>
      </c>
      <c r="L2032" s="4" t="b">
        <v>0</v>
      </c>
    </row>
    <row r="2033" spans="1:13" ht="13">
      <c r="A2033" s="4" t="s">
        <v>12207</v>
      </c>
      <c r="B2033" s="4" t="s">
        <v>4951</v>
      </c>
      <c r="C2033" s="4" t="s">
        <v>108</v>
      </c>
      <c r="D2033" s="4" t="s">
        <v>4952</v>
      </c>
      <c r="E2033" s="4" t="s">
        <v>17</v>
      </c>
      <c r="F2033" s="4" t="s">
        <v>12208</v>
      </c>
      <c r="G2033" s="4" t="s">
        <v>12209</v>
      </c>
      <c r="H2033" s="4">
        <v>2.72</v>
      </c>
      <c r="I2033" s="4">
        <v>1.1100000000000001</v>
      </c>
      <c r="J2033" s="4">
        <v>0.251</v>
      </c>
      <c r="K2033" s="4" t="b">
        <v>1</v>
      </c>
      <c r="L2033" s="4" t="b">
        <v>0</v>
      </c>
    </row>
    <row r="2034" spans="1:13" ht="13">
      <c r="A2034" s="4" t="s">
        <v>12210</v>
      </c>
      <c r="B2034" s="4" t="s">
        <v>4951</v>
      </c>
      <c r="C2034" s="4" t="s">
        <v>108</v>
      </c>
      <c r="D2034" s="4" t="s">
        <v>4952</v>
      </c>
      <c r="E2034" s="4" t="s">
        <v>17</v>
      </c>
      <c r="F2034" s="4" t="s">
        <v>12211</v>
      </c>
      <c r="G2034" s="4" t="s">
        <v>12212</v>
      </c>
      <c r="H2034" s="4">
        <v>2.73</v>
      </c>
      <c r="I2034" s="4">
        <v>1.0900000000000001</v>
      </c>
      <c r="J2034" s="4">
        <v>0.20741000000000001</v>
      </c>
      <c r="K2034" s="4" t="b">
        <v>1</v>
      </c>
      <c r="L2034" s="4" t="b">
        <v>0</v>
      </c>
    </row>
    <row r="2035" spans="1:13" ht="13">
      <c r="A2035" s="4" t="s">
        <v>12213</v>
      </c>
      <c r="B2035" s="4" t="s">
        <v>4951</v>
      </c>
      <c r="C2035" s="4" t="s">
        <v>108</v>
      </c>
      <c r="D2035" s="4" t="s">
        <v>4952</v>
      </c>
      <c r="E2035" s="4" t="s">
        <v>17</v>
      </c>
      <c r="F2035" s="4" t="s">
        <v>12214</v>
      </c>
      <c r="G2035" s="4" t="s">
        <v>12215</v>
      </c>
      <c r="H2035" s="4">
        <v>2.73</v>
      </c>
      <c r="I2035" s="4">
        <v>1.27</v>
      </c>
      <c r="J2035" s="4">
        <v>0.25069000000000002</v>
      </c>
      <c r="K2035" s="4" t="b">
        <v>1</v>
      </c>
      <c r="L2035" s="4" t="b">
        <v>0</v>
      </c>
    </row>
    <row r="2036" spans="1:13" ht="13">
      <c r="A2036" s="4" t="s">
        <v>12216</v>
      </c>
      <c r="B2036" s="4" t="s">
        <v>4951</v>
      </c>
      <c r="C2036" s="4" t="s">
        <v>108</v>
      </c>
      <c r="D2036" s="4" t="s">
        <v>4952</v>
      </c>
      <c r="E2036" s="4" t="s">
        <v>17</v>
      </c>
      <c r="F2036" s="4" t="s">
        <v>12217</v>
      </c>
      <c r="G2036" s="4" t="s">
        <v>12218</v>
      </c>
      <c r="H2036" s="4">
        <v>2.74</v>
      </c>
      <c r="I2036" s="4">
        <v>1.1100000000000001</v>
      </c>
      <c r="J2036" s="4">
        <v>0.23399</v>
      </c>
      <c r="K2036" s="4" t="b">
        <v>1</v>
      </c>
      <c r="L2036" s="4" t="b">
        <v>0</v>
      </c>
    </row>
    <row r="2037" spans="1:13" ht="13">
      <c r="A2037" s="4" t="s">
        <v>12219</v>
      </c>
      <c r="B2037" s="4" t="s">
        <v>4951</v>
      </c>
      <c r="C2037" s="4" t="s">
        <v>108</v>
      </c>
      <c r="D2037" s="4" t="s">
        <v>4952</v>
      </c>
      <c r="E2037" s="4" t="s">
        <v>17</v>
      </c>
      <c r="F2037" s="4" t="s">
        <v>12220</v>
      </c>
      <c r="G2037" s="4" t="s">
        <v>12221</v>
      </c>
      <c r="H2037" s="4">
        <v>2.74</v>
      </c>
      <c r="I2037" s="4">
        <v>1.17</v>
      </c>
      <c r="J2037" s="4">
        <v>0.30739</v>
      </c>
      <c r="K2037" s="4" t="b">
        <v>1</v>
      </c>
      <c r="L2037" s="4" t="b">
        <v>0</v>
      </c>
    </row>
    <row r="2038" spans="1:13" ht="13">
      <c r="A2038" s="4" t="s">
        <v>12222</v>
      </c>
      <c r="B2038" s="4" t="s">
        <v>4951</v>
      </c>
      <c r="C2038" s="4" t="s">
        <v>108</v>
      </c>
      <c r="D2038" s="4" t="s">
        <v>4952</v>
      </c>
      <c r="E2038" s="4" t="s">
        <v>17</v>
      </c>
      <c r="F2038" s="4" t="s">
        <v>12223</v>
      </c>
      <c r="G2038" s="4" t="s">
        <v>12224</v>
      </c>
      <c r="H2038" s="4">
        <v>2.76</v>
      </c>
      <c r="I2038" s="4">
        <v>1.17</v>
      </c>
      <c r="J2038" s="4">
        <v>0.23685999999999999</v>
      </c>
      <c r="K2038" s="4" t="b">
        <v>1</v>
      </c>
      <c r="L2038" s="4" t="b">
        <v>0</v>
      </c>
    </row>
    <row r="2039" spans="1:13" ht="13">
      <c r="A2039" s="4" t="s">
        <v>12225</v>
      </c>
      <c r="B2039" s="4" t="s">
        <v>4951</v>
      </c>
      <c r="C2039" s="4" t="s">
        <v>108</v>
      </c>
      <c r="D2039" s="4" t="s">
        <v>4952</v>
      </c>
      <c r="E2039" s="4" t="s">
        <v>17</v>
      </c>
      <c r="F2039" s="4" t="s">
        <v>12226</v>
      </c>
      <c r="G2039" s="4" t="s">
        <v>12227</v>
      </c>
      <c r="H2039" s="4">
        <v>2.77</v>
      </c>
      <c r="I2039" s="4">
        <v>1.1100000000000001</v>
      </c>
      <c r="J2039" s="4">
        <v>0.24353</v>
      </c>
      <c r="K2039" s="4" t="b">
        <v>1</v>
      </c>
      <c r="L2039" s="4" t="b">
        <v>0</v>
      </c>
    </row>
    <row r="2040" spans="1:13" ht="13">
      <c r="A2040" s="4" t="s">
        <v>12231</v>
      </c>
      <c r="B2040" s="4" t="s">
        <v>4951</v>
      </c>
      <c r="C2040" s="4" t="s">
        <v>108</v>
      </c>
      <c r="D2040" s="4" t="s">
        <v>4952</v>
      </c>
      <c r="E2040" s="4" t="s">
        <v>17</v>
      </c>
      <c r="F2040" s="4" t="s">
        <v>12232</v>
      </c>
      <c r="G2040" s="4" t="s">
        <v>12233</v>
      </c>
      <c r="H2040" s="4">
        <v>2.78</v>
      </c>
      <c r="I2040" s="4">
        <v>1.3</v>
      </c>
      <c r="J2040" s="4">
        <v>0.22389000000000001</v>
      </c>
      <c r="K2040" s="4" t="b">
        <v>1</v>
      </c>
      <c r="L2040" s="4" t="b">
        <v>0</v>
      </c>
    </row>
    <row r="2041" spans="1:13" ht="13">
      <c r="A2041" s="4" t="s">
        <v>12234</v>
      </c>
      <c r="B2041" s="4" t="s">
        <v>4951</v>
      </c>
      <c r="C2041" s="4" t="s">
        <v>108</v>
      </c>
      <c r="D2041" s="4" t="s">
        <v>4952</v>
      </c>
      <c r="E2041" s="4" t="s">
        <v>17</v>
      </c>
      <c r="F2041" s="4" t="s">
        <v>12235</v>
      </c>
      <c r="G2041" s="4" t="s">
        <v>12236</v>
      </c>
      <c r="H2041" s="4">
        <v>2.79</v>
      </c>
      <c r="I2041" s="4">
        <v>1.07</v>
      </c>
      <c r="J2041" s="4">
        <v>0.24306</v>
      </c>
      <c r="K2041" s="4" t="b">
        <v>1</v>
      </c>
      <c r="L2041" s="4" t="b">
        <v>0</v>
      </c>
    </row>
    <row r="2042" spans="1:13" ht="13">
      <c r="A2042" s="4" t="s">
        <v>12237</v>
      </c>
      <c r="B2042" s="4" t="s">
        <v>4951</v>
      </c>
      <c r="C2042" s="4" t="s">
        <v>108</v>
      </c>
      <c r="D2042" s="4" t="s">
        <v>4952</v>
      </c>
      <c r="E2042" s="4" t="s">
        <v>17</v>
      </c>
      <c r="F2042" s="4" t="s">
        <v>12238</v>
      </c>
      <c r="G2042" s="4" t="s">
        <v>12239</v>
      </c>
      <c r="H2042" s="4">
        <v>2.79</v>
      </c>
      <c r="I2042" s="4">
        <v>1.05</v>
      </c>
      <c r="J2042" s="4">
        <v>0.21457000000000001</v>
      </c>
      <c r="K2042" s="4" t="b">
        <v>1</v>
      </c>
      <c r="L2042" s="4" t="b">
        <v>0</v>
      </c>
    </row>
    <row r="2043" spans="1:13" ht="13">
      <c r="A2043" s="4" t="s">
        <v>12240</v>
      </c>
      <c r="B2043" s="4" t="s">
        <v>4951</v>
      </c>
      <c r="C2043" s="4" t="s">
        <v>108</v>
      </c>
      <c r="D2043" s="4" t="s">
        <v>4952</v>
      </c>
      <c r="E2043" s="4" t="s">
        <v>17</v>
      </c>
      <c r="F2043" s="4" t="s">
        <v>12241</v>
      </c>
      <c r="G2043" s="4" t="s">
        <v>12242</v>
      </c>
      <c r="H2043" s="4">
        <v>2.8</v>
      </c>
      <c r="I2043" s="4">
        <v>1.19</v>
      </c>
      <c r="J2043" s="4">
        <v>0.22599</v>
      </c>
      <c r="K2043" s="4" t="b">
        <v>1</v>
      </c>
      <c r="L2043" s="4" t="b">
        <v>0</v>
      </c>
    </row>
    <row r="2044" spans="1:13" ht="13">
      <c r="A2044" s="4" t="s">
        <v>5207</v>
      </c>
      <c r="B2044" s="4" t="s">
        <v>4926</v>
      </c>
      <c r="C2044" s="4" t="s">
        <v>108</v>
      </c>
      <c r="D2044" s="4" t="s">
        <v>4927</v>
      </c>
      <c r="E2044" s="4" t="s">
        <v>13122</v>
      </c>
      <c r="F2044" s="4" t="s">
        <v>5208</v>
      </c>
      <c r="G2044" s="4" t="s">
        <v>5209</v>
      </c>
      <c r="H2044" s="4">
        <v>3.85</v>
      </c>
      <c r="I2044" s="4">
        <v>1.05</v>
      </c>
      <c r="J2044" s="4">
        <v>0.27331</v>
      </c>
      <c r="K2044" s="4" t="b">
        <v>1</v>
      </c>
      <c r="L2044" s="4" t="b">
        <v>0</v>
      </c>
    </row>
    <row r="2045" spans="1:13" ht="13">
      <c r="A2045" s="4" t="s">
        <v>801</v>
      </c>
      <c r="B2045" s="4" t="s">
        <v>4926</v>
      </c>
      <c r="C2045" s="4" t="s">
        <v>108</v>
      </c>
      <c r="D2045" s="4" t="s">
        <v>4927</v>
      </c>
      <c r="E2045" s="4" t="s">
        <v>13122</v>
      </c>
      <c r="F2045" s="4" t="s">
        <v>4930</v>
      </c>
      <c r="G2045" s="4" t="s">
        <v>687</v>
      </c>
      <c r="H2045" s="4">
        <v>3.87</v>
      </c>
      <c r="I2045" s="4">
        <v>0.99</v>
      </c>
      <c r="J2045" s="4">
        <v>0.191</v>
      </c>
      <c r="K2045" s="4" t="b">
        <v>1</v>
      </c>
      <c r="L2045" s="4" t="b">
        <v>1</v>
      </c>
      <c r="M2045" s="41" t="s">
        <v>4929</v>
      </c>
    </row>
    <row r="2046" spans="1:13" ht="13">
      <c r="A2046" s="4" t="s">
        <v>802</v>
      </c>
      <c r="B2046" s="4" t="s">
        <v>4926</v>
      </c>
      <c r="C2046" s="4" t="s">
        <v>108</v>
      </c>
      <c r="D2046" s="4" t="s">
        <v>4927</v>
      </c>
      <c r="E2046" s="4" t="s">
        <v>13122</v>
      </c>
      <c r="F2046" s="4" t="s">
        <v>4931</v>
      </c>
      <c r="G2046" s="4" t="s">
        <v>688</v>
      </c>
      <c r="H2046" s="4">
        <v>3.9</v>
      </c>
      <c r="I2046" s="4">
        <v>1.01</v>
      </c>
      <c r="J2046" s="4">
        <v>0.19619</v>
      </c>
      <c r="K2046" s="4" t="b">
        <v>1</v>
      </c>
      <c r="L2046" s="4" t="b">
        <v>1</v>
      </c>
      <c r="M2046" s="41" t="s">
        <v>4929</v>
      </c>
    </row>
    <row r="2047" spans="1:13" ht="13">
      <c r="A2047" s="4" t="s">
        <v>5210</v>
      </c>
      <c r="B2047" s="4" t="s">
        <v>4926</v>
      </c>
      <c r="C2047" s="4" t="s">
        <v>108</v>
      </c>
      <c r="D2047" s="4" t="s">
        <v>4927</v>
      </c>
      <c r="E2047" s="4" t="s">
        <v>13122</v>
      </c>
      <c r="F2047" s="4" t="s">
        <v>5211</v>
      </c>
      <c r="G2047" s="4" t="s">
        <v>5212</v>
      </c>
      <c r="H2047" s="4">
        <v>3.92</v>
      </c>
      <c r="I2047" s="4">
        <v>1.04</v>
      </c>
      <c r="J2047" s="4">
        <v>0.19258</v>
      </c>
      <c r="K2047" s="4" t="b">
        <v>1</v>
      </c>
      <c r="L2047" s="4" t="b">
        <v>0</v>
      </c>
    </row>
    <row r="2048" spans="1:13" ht="13">
      <c r="A2048" s="4" t="s">
        <v>5213</v>
      </c>
      <c r="B2048" s="4" t="s">
        <v>4926</v>
      </c>
      <c r="C2048" s="4" t="s">
        <v>108</v>
      </c>
      <c r="D2048" s="4" t="s">
        <v>4927</v>
      </c>
      <c r="E2048" s="4" t="s">
        <v>13122</v>
      </c>
      <c r="F2048" s="4" t="s">
        <v>5214</v>
      </c>
      <c r="G2048" s="4" t="s">
        <v>5215</v>
      </c>
      <c r="H2048" s="4">
        <v>3.93</v>
      </c>
      <c r="I2048" s="4">
        <v>0.99</v>
      </c>
      <c r="J2048" s="4">
        <v>0.19975999999999999</v>
      </c>
      <c r="K2048" s="4" t="b">
        <v>1</v>
      </c>
      <c r="L2048" s="4" t="b">
        <v>0</v>
      </c>
    </row>
    <row r="2049" spans="1:13" ht="13">
      <c r="A2049" s="4" t="s">
        <v>5216</v>
      </c>
      <c r="B2049" s="4" t="s">
        <v>4926</v>
      </c>
      <c r="C2049" s="4" t="s">
        <v>108</v>
      </c>
      <c r="D2049" s="4" t="s">
        <v>4927</v>
      </c>
      <c r="E2049" s="4" t="s">
        <v>13122</v>
      </c>
      <c r="F2049" s="4" t="s">
        <v>5217</v>
      </c>
      <c r="G2049" s="4" t="s">
        <v>5218</v>
      </c>
      <c r="H2049" s="4">
        <v>3.95</v>
      </c>
      <c r="I2049" s="4">
        <v>1.07</v>
      </c>
      <c r="J2049" s="4">
        <v>0.27306000000000002</v>
      </c>
      <c r="K2049" s="4" t="b">
        <v>1</v>
      </c>
      <c r="L2049" s="4" t="b">
        <v>0</v>
      </c>
    </row>
    <row r="2050" spans="1:13" ht="13">
      <c r="A2050" s="4" t="s">
        <v>5219</v>
      </c>
      <c r="B2050" s="4" t="s">
        <v>4926</v>
      </c>
      <c r="C2050" s="4" t="s">
        <v>108</v>
      </c>
      <c r="D2050" s="4" t="s">
        <v>4927</v>
      </c>
      <c r="E2050" s="4" t="s">
        <v>13122</v>
      </c>
      <c r="F2050" s="4" t="s">
        <v>5220</v>
      </c>
      <c r="G2050" s="4" t="s">
        <v>5221</v>
      </c>
      <c r="H2050" s="4">
        <v>4.0199999999999996</v>
      </c>
      <c r="I2050" s="4">
        <v>1.0900000000000001</v>
      </c>
      <c r="J2050" s="4">
        <v>0.23089999999999999</v>
      </c>
      <c r="K2050" s="4" t="b">
        <v>1</v>
      </c>
      <c r="L2050" s="4" t="b">
        <v>0</v>
      </c>
    </row>
    <row r="2051" spans="1:13" ht="13">
      <c r="A2051" s="4" t="s">
        <v>803</v>
      </c>
      <c r="B2051" s="4" t="s">
        <v>4926</v>
      </c>
      <c r="C2051" s="4" t="s">
        <v>108</v>
      </c>
      <c r="D2051" s="4" t="s">
        <v>4927</v>
      </c>
      <c r="E2051" s="4" t="s">
        <v>13</v>
      </c>
      <c r="F2051" s="4" t="s">
        <v>4932</v>
      </c>
      <c r="G2051" s="4" t="s">
        <v>689</v>
      </c>
      <c r="H2051" s="4">
        <v>4.08</v>
      </c>
      <c r="I2051" s="4">
        <v>0.97</v>
      </c>
      <c r="J2051" s="4">
        <v>0.19442999999999999</v>
      </c>
      <c r="K2051" s="4" t="b">
        <v>1</v>
      </c>
      <c r="L2051" s="4" t="b">
        <v>1</v>
      </c>
      <c r="M2051" s="41" t="s">
        <v>4929</v>
      </c>
    </row>
    <row r="2052" spans="1:13" ht="13">
      <c r="A2052" s="4" t="s">
        <v>804</v>
      </c>
      <c r="B2052" s="4" t="s">
        <v>4926</v>
      </c>
      <c r="C2052" s="4" t="s">
        <v>108</v>
      </c>
      <c r="D2052" s="4" t="s">
        <v>4927</v>
      </c>
      <c r="E2052" s="4" t="s">
        <v>13</v>
      </c>
      <c r="F2052" s="4" t="s">
        <v>4933</v>
      </c>
      <c r="G2052" s="4" t="s">
        <v>690</v>
      </c>
      <c r="H2052" s="4">
        <v>4.0999999999999996</v>
      </c>
      <c r="I2052" s="4">
        <v>0.98</v>
      </c>
      <c r="J2052" s="4">
        <v>0.19864999999999999</v>
      </c>
      <c r="K2052" s="4" t="b">
        <v>1</v>
      </c>
      <c r="L2052" s="4" t="b">
        <v>1</v>
      </c>
      <c r="M2052" s="41" t="s">
        <v>4929</v>
      </c>
    </row>
    <row r="2053" spans="1:13" ht="13">
      <c r="A2053" s="4" t="s">
        <v>5222</v>
      </c>
      <c r="B2053" s="4" t="s">
        <v>4926</v>
      </c>
      <c r="C2053" s="4" t="s">
        <v>108</v>
      </c>
      <c r="D2053" s="4" t="s">
        <v>4927</v>
      </c>
      <c r="E2053" s="4" t="s">
        <v>13</v>
      </c>
      <c r="F2053" s="4" t="s">
        <v>5223</v>
      </c>
      <c r="G2053" s="4" t="s">
        <v>5224</v>
      </c>
      <c r="H2053" s="4">
        <v>4.12</v>
      </c>
      <c r="I2053" s="4">
        <v>0.99</v>
      </c>
      <c r="J2053" s="4">
        <v>0.19788</v>
      </c>
      <c r="K2053" s="4" t="b">
        <v>1</v>
      </c>
      <c r="L2053" s="4" t="b">
        <v>0</v>
      </c>
    </row>
    <row r="2054" spans="1:13" ht="13">
      <c r="A2054" s="4" t="s">
        <v>5225</v>
      </c>
      <c r="B2054" s="4" t="s">
        <v>4926</v>
      </c>
      <c r="C2054" s="4" t="s">
        <v>108</v>
      </c>
      <c r="D2054" s="4" t="s">
        <v>4927</v>
      </c>
      <c r="E2054" s="4" t="s">
        <v>13</v>
      </c>
      <c r="F2054" s="4" t="s">
        <v>5226</v>
      </c>
      <c r="G2054" s="4" t="s">
        <v>5227</v>
      </c>
      <c r="H2054" s="4">
        <v>4.28</v>
      </c>
      <c r="I2054" s="4">
        <v>0.97</v>
      </c>
      <c r="J2054" s="4">
        <v>0.19475999999999999</v>
      </c>
      <c r="K2054" s="4" t="b">
        <v>1</v>
      </c>
      <c r="L2054" s="4" t="b">
        <v>0</v>
      </c>
    </row>
    <row r="2055" spans="1:13" ht="13">
      <c r="A2055" s="4" t="s">
        <v>5228</v>
      </c>
      <c r="B2055" s="4" t="s">
        <v>4926</v>
      </c>
      <c r="C2055" s="4" t="s">
        <v>108</v>
      </c>
      <c r="D2055" s="4" t="s">
        <v>4927</v>
      </c>
      <c r="E2055" s="4" t="s">
        <v>13</v>
      </c>
      <c r="F2055" s="4" t="s">
        <v>5229</v>
      </c>
      <c r="G2055" s="4" t="s">
        <v>5230</v>
      </c>
      <c r="H2055" s="4">
        <v>4.33</v>
      </c>
      <c r="I2055" s="4">
        <v>1.02</v>
      </c>
      <c r="J2055" s="4">
        <v>0.22766</v>
      </c>
      <c r="K2055" s="4" t="b">
        <v>1</v>
      </c>
      <c r="L2055" s="4" t="b">
        <v>0</v>
      </c>
    </row>
    <row r="2056" spans="1:13" ht="13">
      <c r="A2056" s="4" t="s">
        <v>5231</v>
      </c>
      <c r="B2056" s="4" t="s">
        <v>4926</v>
      </c>
      <c r="C2056" s="4" t="s">
        <v>108</v>
      </c>
      <c r="D2056" s="4" t="s">
        <v>4927</v>
      </c>
      <c r="E2056" s="4" t="s">
        <v>13</v>
      </c>
      <c r="F2056" s="4" t="s">
        <v>5232</v>
      </c>
      <c r="G2056" s="4" t="s">
        <v>5233</v>
      </c>
      <c r="H2056" s="4">
        <v>4.38</v>
      </c>
      <c r="I2056" s="4">
        <v>1.02</v>
      </c>
      <c r="J2056" s="4">
        <v>0.20374</v>
      </c>
      <c r="K2056" s="4" t="b">
        <v>1</v>
      </c>
      <c r="L2056" s="4" t="b">
        <v>0</v>
      </c>
    </row>
    <row r="2057" spans="1:13" ht="13">
      <c r="A2057" s="4" t="s">
        <v>805</v>
      </c>
      <c r="B2057" s="4" t="s">
        <v>4926</v>
      </c>
      <c r="C2057" s="4" t="s">
        <v>108</v>
      </c>
      <c r="D2057" s="4" t="s">
        <v>4927</v>
      </c>
      <c r="E2057" s="4" t="s">
        <v>13</v>
      </c>
      <c r="F2057" s="4" t="s">
        <v>4934</v>
      </c>
      <c r="G2057" s="4" t="s">
        <v>691</v>
      </c>
      <c r="H2057" s="4">
        <v>4.43</v>
      </c>
      <c r="I2057" s="4">
        <v>1.01</v>
      </c>
      <c r="J2057" s="4">
        <v>0.21059</v>
      </c>
      <c r="K2057" s="4" t="b">
        <v>1</v>
      </c>
      <c r="L2057" s="4" t="b">
        <v>1</v>
      </c>
      <c r="M2057" s="41" t="s">
        <v>4929</v>
      </c>
    </row>
    <row r="2058" spans="1:13" ht="13">
      <c r="A2058" s="4" t="s">
        <v>806</v>
      </c>
      <c r="B2058" s="4" t="s">
        <v>4926</v>
      </c>
      <c r="C2058" s="4" t="s">
        <v>108</v>
      </c>
      <c r="D2058" s="4" t="s">
        <v>4927</v>
      </c>
      <c r="E2058" s="4" t="s">
        <v>13</v>
      </c>
      <c r="F2058" s="4" t="s">
        <v>4935</v>
      </c>
      <c r="G2058" s="4" t="s">
        <v>692</v>
      </c>
      <c r="H2058" s="4">
        <v>4.4800000000000004</v>
      </c>
      <c r="I2058" s="4">
        <v>1</v>
      </c>
      <c r="J2058" s="4">
        <v>0.19938</v>
      </c>
      <c r="K2058" s="4" t="b">
        <v>1</v>
      </c>
      <c r="L2058" s="4" t="b">
        <v>1</v>
      </c>
      <c r="M2058" s="41" t="s">
        <v>4929</v>
      </c>
    </row>
    <row r="2059" spans="1:13" ht="13">
      <c r="A2059" s="4" t="s">
        <v>5234</v>
      </c>
      <c r="B2059" s="4" t="s">
        <v>4926</v>
      </c>
      <c r="C2059" s="4" t="s">
        <v>108</v>
      </c>
      <c r="D2059" s="4" t="s">
        <v>4927</v>
      </c>
      <c r="E2059" s="4" t="s">
        <v>13</v>
      </c>
      <c r="F2059" s="4" t="s">
        <v>5235</v>
      </c>
      <c r="G2059" s="4" t="s">
        <v>5236</v>
      </c>
      <c r="H2059" s="4">
        <v>4.53</v>
      </c>
      <c r="I2059" s="4">
        <v>0.96</v>
      </c>
      <c r="J2059" s="4">
        <v>0.18479000000000001</v>
      </c>
      <c r="K2059" s="4" t="b">
        <v>1</v>
      </c>
      <c r="L2059" s="4" t="b">
        <v>0</v>
      </c>
    </row>
    <row r="2060" spans="1:13" ht="13">
      <c r="A2060" s="4" t="s">
        <v>5237</v>
      </c>
      <c r="B2060" s="4" t="s">
        <v>4926</v>
      </c>
      <c r="C2060" s="4" t="s">
        <v>108</v>
      </c>
      <c r="D2060" s="4" t="s">
        <v>4927</v>
      </c>
      <c r="E2060" s="4" t="s">
        <v>13</v>
      </c>
      <c r="F2060" s="4" t="s">
        <v>5238</v>
      </c>
      <c r="G2060" s="4" t="s">
        <v>5239</v>
      </c>
      <c r="H2060" s="4">
        <v>4.58</v>
      </c>
      <c r="I2060" s="4">
        <v>1.01</v>
      </c>
      <c r="J2060" s="4">
        <v>0.19811999999999999</v>
      </c>
      <c r="K2060" s="4" t="b">
        <v>1</v>
      </c>
      <c r="L2060" s="4" t="b">
        <v>0</v>
      </c>
    </row>
    <row r="2061" spans="1:13" ht="13">
      <c r="A2061" s="4" t="s">
        <v>5240</v>
      </c>
      <c r="B2061" s="4" t="s">
        <v>4926</v>
      </c>
      <c r="C2061" s="4" t="s">
        <v>108</v>
      </c>
      <c r="D2061" s="4" t="s">
        <v>4927</v>
      </c>
      <c r="E2061" s="4" t="s">
        <v>13</v>
      </c>
      <c r="F2061" s="4" t="s">
        <v>5241</v>
      </c>
      <c r="G2061" s="4" t="s">
        <v>5242</v>
      </c>
      <c r="H2061" s="4">
        <v>4.63</v>
      </c>
      <c r="I2061" s="4">
        <v>0.97</v>
      </c>
      <c r="J2061" s="4">
        <v>0.19233</v>
      </c>
      <c r="K2061" s="4" t="b">
        <v>1</v>
      </c>
      <c r="L2061" s="4" t="b">
        <v>0</v>
      </c>
    </row>
    <row r="2062" spans="1:13" ht="13">
      <c r="A2062" s="4" t="s">
        <v>5243</v>
      </c>
      <c r="B2062" s="4" t="s">
        <v>4926</v>
      </c>
      <c r="C2062" s="4" t="s">
        <v>108</v>
      </c>
      <c r="D2062" s="4" t="s">
        <v>4927</v>
      </c>
      <c r="E2062" s="4" t="s">
        <v>13</v>
      </c>
      <c r="F2062" s="4" t="s">
        <v>5244</v>
      </c>
      <c r="G2062" s="4" t="s">
        <v>5245</v>
      </c>
      <c r="H2062" s="4">
        <v>4.68</v>
      </c>
      <c r="I2062" s="4">
        <v>0.97</v>
      </c>
      <c r="J2062" s="4">
        <v>0.18765999999999999</v>
      </c>
      <c r="K2062" s="4" t="b">
        <v>1</v>
      </c>
      <c r="L2062" s="4" t="b">
        <v>0</v>
      </c>
    </row>
    <row r="2063" spans="1:13" ht="13">
      <c r="A2063" s="4" t="s">
        <v>807</v>
      </c>
      <c r="B2063" s="4" t="s">
        <v>4926</v>
      </c>
      <c r="C2063" s="4" t="s">
        <v>108</v>
      </c>
      <c r="D2063" s="4" t="s">
        <v>4927</v>
      </c>
      <c r="E2063" s="4" t="s">
        <v>13</v>
      </c>
      <c r="F2063" s="4" t="s">
        <v>4936</v>
      </c>
      <c r="G2063" s="4" t="s">
        <v>693</v>
      </c>
      <c r="H2063" s="4">
        <v>4.7300000000000004</v>
      </c>
      <c r="I2063" s="4">
        <v>0.99</v>
      </c>
      <c r="J2063" s="4">
        <v>0.20985000000000001</v>
      </c>
      <c r="K2063" s="4" t="b">
        <v>1</v>
      </c>
      <c r="L2063" s="4" t="b">
        <v>1</v>
      </c>
      <c r="M2063" s="41" t="s">
        <v>4929</v>
      </c>
    </row>
    <row r="2064" spans="1:13" ht="13">
      <c r="A2064" s="4" t="s">
        <v>808</v>
      </c>
      <c r="B2064" s="4" t="s">
        <v>4926</v>
      </c>
      <c r="C2064" s="4" t="s">
        <v>108</v>
      </c>
      <c r="D2064" s="4" t="s">
        <v>4927</v>
      </c>
      <c r="E2064" s="4" t="s">
        <v>13</v>
      </c>
      <c r="F2064" s="4" t="s">
        <v>4937</v>
      </c>
      <c r="G2064" s="4" t="s">
        <v>694</v>
      </c>
      <c r="H2064" s="4">
        <v>4.78</v>
      </c>
      <c r="I2064" s="4">
        <v>0.98</v>
      </c>
      <c r="J2064" s="4">
        <v>0.186</v>
      </c>
      <c r="K2064" s="4" t="b">
        <v>1</v>
      </c>
      <c r="L2064" s="4" t="b">
        <v>1</v>
      </c>
      <c r="M2064" s="41" t="s">
        <v>4929</v>
      </c>
    </row>
    <row r="2065" spans="1:13" ht="13">
      <c r="A2065" s="4" t="s">
        <v>809</v>
      </c>
      <c r="B2065" s="4" t="s">
        <v>4926</v>
      </c>
      <c r="C2065" s="4" t="s">
        <v>108</v>
      </c>
      <c r="D2065" s="4" t="s">
        <v>4927</v>
      </c>
      <c r="E2065" s="4" t="s">
        <v>13</v>
      </c>
      <c r="F2065" s="4" t="s">
        <v>4938</v>
      </c>
      <c r="G2065" s="4" t="s">
        <v>695</v>
      </c>
      <c r="H2065" s="4">
        <v>4.83</v>
      </c>
      <c r="I2065" s="4">
        <v>0.99</v>
      </c>
      <c r="J2065" s="4">
        <v>0.19775999999999999</v>
      </c>
      <c r="K2065" s="4" t="b">
        <v>1</v>
      </c>
      <c r="L2065" s="4" t="b">
        <v>1</v>
      </c>
      <c r="M2065" s="41" t="s">
        <v>4929</v>
      </c>
    </row>
    <row r="2066" spans="1:13" ht="13">
      <c r="A2066" s="4" t="s">
        <v>5246</v>
      </c>
      <c r="B2066" s="4" t="s">
        <v>4926</v>
      </c>
      <c r="C2066" s="4" t="s">
        <v>108</v>
      </c>
      <c r="D2066" s="4" t="s">
        <v>4927</v>
      </c>
      <c r="E2066" s="4" t="s">
        <v>13</v>
      </c>
      <c r="F2066" s="4" t="s">
        <v>5247</v>
      </c>
      <c r="G2066" s="4" t="s">
        <v>5248</v>
      </c>
      <c r="H2066" s="4">
        <v>4.88</v>
      </c>
      <c r="I2066" s="4">
        <v>1.03</v>
      </c>
      <c r="J2066" s="4">
        <v>0.20727999999999999</v>
      </c>
      <c r="K2066" s="4" t="b">
        <v>1</v>
      </c>
      <c r="L2066" s="4" t="b">
        <v>0</v>
      </c>
    </row>
    <row r="2067" spans="1:13" ht="13">
      <c r="A2067" s="4" t="s">
        <v>5249</v>
      </c>
      <c r="B2067" s="4" t="s">
        <v>4926</v>
      </c>
      <c r="C2067" s="4" t="s">
        <v>108</v>
      </c>
      <c r="D2067" s="4" t="s">
        <v>4927</v>
      </c>
      <c r="E2067" s="4" t="s">
        <v>13</v>
      </c>
      <c r="F2067" s="4" t="s">
        <v>5250</v>
      </c>
      <c r="G2067" s="4" t="s">
        <v>5251</v>
      </c>
      <c r="H2067" s="4">
        <v>4.93</v>
      </c>
      <c r="I2067" s="4">
        <v>0.97</v>
      </c>
      <c r="J2067" s="4">
        <v>0.19635</v>
      </c>
      <c r="K2067" s="4" t="b">
        <v>1</v>
      </c>
      <c r="L2067" s="4" t="b">
        <v>0</v>
      </c>
    </row>
    <row r="2068" spans="1:13" ht="13">
      <c r="A2068" s="4" t="s">
        <v>810</v>
      </c>
      <c r="B2068" s="4" t="s">
        <v>4926</v>
      </c>
      <c r="C2068" s="4" t="s">
        <v>108</v>
      </c>
      <c r="D2068" s="4" t="s">
        <v>4927</v>
      </c>
      <c r="E2068" s="4" t="s">
        <v>13</v>
      </c>
      <c r="F2068" s="4" t="s">
        <v>4939</v>
      </c>
      <c r="G2068" s="4" t="s">
        <v>696</v>
      </c>
      <c r="H2068" s="4">
        <v>4.95</v>
      </c>
      <c r="I2068" s="4">
        <v>0.96</v>
      </c>
      <c r="J2068" s="4">
        <v>0.18783</v>
      </c>
      <c r="K2068" s="4" t="b">
        <v>1</v>
      </c>
      <c r="L2068" s="4" t="b">
        <v>1</v>
      </c>
      <c r="M2068" s="41" t="s">
        <v>4929</v>
      </c>
    </row>
    <row r="2069" spans="1:13" ht="13">
      <c r="A2069" s="4" t="s">
        <v>5252</v>
      </c>
      <c r="B2069" s="4" t="s">
        <v>4926</v>
      </c>
      <c r="C2069" s="4" t="s">
        <v>108</v>
      </c>
      <c r="D2069" s="4" t="s">
        <v>4927</v>
      </c>
      <c r="E2069" s="4" t="s">
        <v>13</v>
      </c>
      <c r="F2069" s="4" t="s">
        <v>5253</v>
      </c>
      <c r="G2069" s="4" t="s">
        <v>5254</v>
      </c>
      <c r="H2069" s="4">
        <v>5.07</v>
      </c>
      <c r="I2069" s="4">
        <v>0.98</v>
      </c>
      <c r="J2069" s="4">
        <v>0.20191000000000001</v>
      </c>
      <c r="K2069" s="4" t="b">
        <v>1</v>
      </c>
      <c r="L2069" s="4" t="b">
        <v>0</v>
      </c>
    </row>
    <row r="2070" spans="1:13" ht="13">
      <c r="A2070" s="4" t="s">
        <v>5255</v>
      </c>
      <c r="B2070" s="4" t="s">
        <v>4926</v>
      </c>
      <c r="C2070" s="4" t="s">
        <v>108</v>
      </c>
      <c r="D2070" s="4" t="s">
        <v>4927</v>
      </c>
      <c r="E2070" s="4" t="s">
        <v>13</v>
      </c>
      <c r="F2070" s="4" t="s">
        <v>5256</v>
      </c>
      <c r="G2070" s="4" t="s">
        <v>5257</v>
      </c>
      <c r="H2070" s="4">
        <v>5.08</v>
      </c>
      <c r="I2070" s="4">
        <v>0.94</v>
      </c>
      <c r="J2070" s="4">
        <v>0.18251000000000001</v>
      </c>
      <c r="K2070" s="4" t="b">
        <v>1</v>
      </c>
      <c r="L2070" s="4" t="b">
        <v>0</v>
      </c>
    </row>
    <row r="2071" spans="1:13" ht="13">
      <c r="A2071" s="4" t="s">
        <v>811</v>
      </c>
      <c r="B2071" s="4" t="s">
        <v>4926</v>
      </c>
      <c r="C2071" s="4" t="s">
        <v>108</v>
      </c>
      <c r="D2071" s="4" t="s">
        <v>4927</v>
      </c>
      <c r="E2071" s="4" t="s">
        <v>13</v>
      </c>
      <c r="F2071" s="4" t="s">
        <v>4940</v>
      </c>
      <c r="G2071" s="4" t="s">
        <v>697</v>
      </c>
      <c r="H2071" s="4">
        <v>5.12</v>
      </c>
      <c r="I2071" s="4">
        <v>1.01</v>
      </c>
      <c r="J2071" s="4">
        <v>0.21435000000000001</v>
      </c>
      <c r="K2071" s="4" t="b">
        <v>1</v>
      </c>
      <c r="L2071" s="4" t="b">
        <v>1</v>
      </c>
      <c r="M2071" s="41" t="s">
        <v>4929</v>
      </c>
    </row>
    <row r="2072" spans="1:13" ht="13">
      <c r="A2072" s="4" t="s">
        <v>5258</v>
      </c>
      <c r="B2072" s="4" t="s">
        <v>4926</v>
      </c>
      <c r="C2072" s="4" t="s">
        <v>108</v>
      </c>
      <c r="D2072" s="4" t="s">
        <v>4927</v>
      </c>
      <c r="E2072" s="4" t="s">
        <v>13</v>
      </c>
      <c r="F2072" s="4" t="s">
        <v>5259</v>
      </c>
      <c r="G2072" s="4" t="s">
        <v>5260</v>
      </c>
      <c r="H2072" s="4">
        <v>5.2</v>
      </c>
      <c r="I2072" s="4">
        <v>1.03</v>
      </c>
      <c r="J2072" s="4">
        <v>0.20657</v>
      </c>
      <c r="K2072" s="4" t="b">
        <v>1</v>
      </c>
      <c r="L2072" s="4" t="b">
        <v>0</v>
      </c>
    </row>
    <row r="2073" spans="1:13" ht="13">
      <c r="A2073" s="4" t="s">
        <v>5261</v>
      </c>
      <c r="B2073" s="4" t="s">
        <v>4926</v>
      </c>
      <c r="C2073" s="4" t="s">
        <v>108</v>
      </c>
      <c r="D2073" s="4" t="s">
        <v>4927</v>
      </c>
      <c r="E2073" s="4" t="s">
        <v>13</v>
      </c>
      <c r="F2073" s="4" t="s">
        <v>5262</v>
      </c>
      <c r="G2073" s="4" t="s">
        <v>5263</v>
      </c>
      <c r="H2073" s="4">
        <v>5.22</v>
      </c>
      <c r="I2073" s="4">
        <v>0.98</v>
      </c>
      <c r="J2073" s="4">
        <v>0.19827</v>
      </c>
      <c r="K2073" s="4" t="b">
        <v>1</v>
      </c>
      <c r="L2073" s="4" t="b">
        <v>0</v>
      </c>
    </row>
    <row r="2074" spans="1:13" ht="13">
      <c r="A2074" s="4" t="s">
        <v>5264</v>
      </c>
      <c r="B2074" s="4" t="s">
        <v>4926</v>
      </c>
      <c r="C2074" s="4" t="s">
        <v>108</v>
      </c>
      <c r="D2074" s="4" t="s">
        <v>4927</v>
      </c>
      <c r="E2074" s="4" t="s">
        <v>13</v>
      </c>
      <c r="F2074" s="4" t="s">
        <v>5265</v>
      </c>
      <c r="G2074" s="4" t="s">
        <v>5266</v>
      </c>
      <c r="H2074" s="4">
        <v>5.25</v>
      </c>
      <c r="I2074" s="4">
        <v>0.99</v>
      </c>
      <c r="J2074" s="4">
        <v>0.18937000000000001</v>
      </c>
      <c r="K2074" s="4" t="b">
        <v>1</v>
      </c>
      <c r="L2074" s="4" t="b">
        <v>0</v>
      </c>
    </row>
    <row r="2075" spans="1:13" ht="13">
      <c r="A2075" s="4" t="s">
        <v>5267</v>
      </c>
      <c r="B2075" s="4" t="s">
        <v>4926</v>
      </c>
      <c r="C2075" s="4" t="s">
        <v>108</v>
      </c>
      <c r="D2075" s="4" t="s">
        <v>4927</v>
      </c>
      <c r="E2075" s="4" t="s">
        <v>13</v>
      </c>
      <c r="F2075" s="4" t="s">
        <v>5268</v>
      </c>
      <c r="G2075" s="4" t="s">
        <v>5269</v>
      </c>
      <c r="H2075" s="4">
        <v>5.27</v>
      </c>
      <c r="I2075" s="4">
        <v>0.94</v>
      </c>
      <c r="J2075" s="4">
        <v>0.1822</v>
      </c>
      <c r="K2075" s="4" t="b">
        <v>1</v>
      </c>
      <c r="L2075" s="4" t="b">
        <v>0</v>
      </c>
    </row>
    <row r="2076" spans="1:13" ht="13">
      <c r="A2076" s="4" t="s">
        <v>5270</v>
      </c>
      <c r="B2076" s="4" t="s">
        <v>4926</v>
      </c>
      <c r="C2076" s="4" t="s">
        <v>108</v>
      </c>
      <c r="D2076" s="4" t="s">
        <v>4927</v>
      </c>
      <c r="E2076" s="4" t="s">
        <v>13</v>
      </c>
      <c r="F2076" s="4" t="s">
        <v>5271</v>
      </c>
      <c r="G2076" s="4" t="s">
        <v>5272</v>
      </c>
      <c r="H2076" s="4">
        <v>5.3</v>
      </c>
      <c r="I2076" s="4">
        <v>0.94</v>
      </c>
      <c r="J2076" s="4">
        <v>0.19031999999999999</v>
      </c>
      <c r="K2076" s="4" t="b">
        <v>1</v>
      </c>
      <c r="L2076" s="4" t="b">
        <v>0</v>
      </c>
    </row>
    <row r="2077" spans="1:13" ht="13">
      <c r="A2077" s="4" t="s">
        <v>5273</v>
      </c>
      <c r="B2077" s="4" t="s">
        <v>4926</v>
      </c>
      <c r="C2077" s="4" t="s">
        <v>108</v>
      </c>
      <c r="D2077" s="4" t="s">
        <v>4927</v>
      </c>
      <c r="E2077" s="4" t="s">
        <v>13</v>
      </c>
      <c r="F2077" s="4" t="s">
        <v>5274</v>
      </c>
      <c r="G2077" s="4" t="s">
        <v>5275</v>
      </c>
      <c r="H2077" s="4">
        <v>5.32</v>
      </c>
      <c r="I2077" s="4">
        <v>0.99</v>
      </c>
      <c r="J2077" s="4">
        <v>0.21018000000000001</v>
      </c>
      <c r="K2077" s="4" t="b">
        <v>1</v>
      </c>
      <c r="L2077" s="4" t="b">
        <v>0</v>
      </c>
    </row>
    <row r="2078" spans="1:13" ht="13">
      <c r="A2078" s="4" t="s">
        <v>5276</v>
      </c>
      <c r="B2078" s="4" t="s">
        <v>4926</v>
      </c>
      <c r="C2078" s="4" t="s">
        <v>108</v>
      </c>
      <c r="D2078" s="4" t="s">
        <v>4927</v>
      </c>
      <c r="E2078" s="4" t="s">
        <v>13</v>
      </c>
      <c r="F2078" s="4" t="s">
        <v>5277</v>
      </c>
      <c r="G2078" s="4" t="s">
        <v>5278</v>
      </c>
      <c r="H2078" s="4">
        <v>5.37</v>
      </c>
      <c r="I2078" s="4">
        <v>0.96</v>
      </c>
      <c r="J2078" s="4">
        <v>0.19270999999999999</v>
      </c>
      <c r="K2078" s="4" t="b">
        <v>1</v>
      </c>
      <c r="L2078" s="4" t="b">
        <v>0</v>
      </c>
    </row>
    <row r="2079" spans="1:13" ht="13">
      <c r="A2079" s="4" t="s">
        <v>5279</v>
      </c>
      <c r="B2079" s="4" t="s">
        <v>4926</v>
      </c>
      <c r="C2079" s="4" t="s">
        <v>108</v>
      </c>
      <c r="D2079" s="4" t="s">
        <v>4927</v>
      </c>
      <c r="E2079" s="4" t="s">
        <v>13</v>
      </c>
      <c r="F2079" s="4" t="s">
        <v>5280</v>
      </c>
      <c r="G2079" s="4" t="s">
        <v>5281</v>
      </c>
      <c r="H2079" s="4">
        <v>5.4</v>
      </c>
      <c r="I2079" s="4">
        <v>0.94</v>
      </c>
      <c r="J2079" s="4">
        <v>0.18321000000000001</v>
      </c>
      <c r="K2079" s="4" t="b">
        <v>1</v>
      </c>
      <c r="L2079" s="4" t="b">
        <v>0</v>
      </c>
    </row>
    <row r="2080" spans="1:13" ht="13">
      <c r="A2080" s="4" t="s">
        <v>5282</v>
      </c>
      <c r="B2080" s="4" t="s">
        <v>4926</v>
      </c>
      <c r="C2080" s="4" t="s">
        <v>108</v>
      </c>
      <c r="D2080" s="4" t="s">
        <v>4927</v>
      </c>
      <c r="E2080" s="4" t="s">
        <v>13</v>
      </c>
      <c r="F2080" s="4" t="s">
        <v>5283</v>
      </c>
      <c r="G2080" s="4" t="s">
        <v>5284</v>
      </c>
      <c r="H2080" s="4">
        <v>5.42</v>
      </c>
      <c r="I2080" s="4">
        <v>1.01</v>
      </c>
      <c r="J2080" s="4">
        <v>0.19216</v>
      </c>
      <c r="K2080" s="4" t="b">
        <v>1</v>
      </c>
      <c r="L2080" s="4" t="b">
        <v>0</v>
      </c>
    </row>
    <row r="2081" spans="1:13" ht="13">
      <c r="A2081" s="4" t="s">
        <v>812</v>
      </c>
      <c r="B2081" s="4" t="s">
        <v>4926</v>
      </c>
      <c r="C2081" s="4" t="s">
        <v>108</v>
      </c>
      <c r="D2081" s="4" t="s">
        <v>4927</v>
      </c>
      <c r="E2081" s="4" t="s">
        <v>13</v>
      </c>
      <c r="F2081" s="40" t="s">
        <v>4941</v>
      </c>
      <c r="G2081" s="4" t="s">
        <v>698</v>
      </c>
      <c r="H2081" s="4">
        <v>5.45</v>
      </c>
      <c r="I2081" s="4">
        <v>1</v>
      </c>
      <c r="J2081" s="4">
        <v>0.21215999999999999</v>
      </c>
      <c r="K2081" s="4" t="b">
        <v>1</v>
      </c>
      <c r="L2081" s="4" t="b">
        <v>1</v>
      </c>
      <c r="M2081" s="41" t="s">
        <v>4929</v>
      </c>
    </row>
    <row r="2082" spans="1:13" ht="13">
      <c r="A2082" s="4" t="s">
        <v>5285</v>
      </c>
      <c r="B2082" s="4" t="s">
        <v>4926</v>
      </c>
      <c r="C2082" s="4" t="s">
        <v>108</v>
      </c>
      <c r="D2082" s="4" t="s">
        <v>4927</v>
      </c>
      <c r="E2082" s="4" t="s">
        <v>13</v>
      </c>
      <c r="F2082" s="4" t="s">
        <v>5286</v>
      </c>
      <c r="G2082" s="4" t="s">
        <v>5287</v>
      </c>
      <c r="H2082" s="4">
        <v>5.48</v>
      </c>
      <c r="I2082" s="4">
        <v>0.99</v>
      </c>
      <c r="J2082" s="4">
        <v>0.20354</v>
      </c>
      <c r="K2082" s="4" t="b">
        <v>1</v>
      </c>
      <c r="L2082" s="4" t="b">
        <v>0</v>
      </c>
    </row>
    <row r="2083" spans="1:13" ht="13">
      <c r="A2083" s="4" t="s">
        <v>813</v>
      </c>
      <c r="B2083" s="4" t="s">
        <v>4926</v>
      </c>
      <c r="C2083" s="4" t="s">
        <v>108</v>
      </c>
      <c r="D2083" s="4" t="s">
        <v>4927</v>
      </c>
      <c r="E2083" s="4" t="s">
        <v>13</v>
      </c>
      <c r="F2083" s="40" t="s">
        <v>4942</v>
      </c>
      <c r="G2083" s="4" t="s">
        <v>699</v>
      </c>
      <c r="H2083" s="4">
        <v>5.53</v>
      </c>
      <c r="I2083" s="4">
        <v>0.94</v>
      </c>
      <c r="J2083" s="4">
        <v>0.18637000000000001</v>
      </c>
      <c r="K2083" s="4" t="b">
        <v>1</v>
      </c>
      <c r="L2083" s="4" t="b">
        <v>1</v>
      </c>
      <c r="M2083" s="41" t="s">
        <v>4929</v>
      </c>
    </row>
    <row r="2084" spans="1:13" ht="13">
      <c r="A2084" s="4" t="s">
        <v>5288</v>
      </c>
      <c r="B2084" s="4" t="s">
        <v>4926</v>
      </c>
      <c r="C2084" s="4" t="s">
        <v>108</v>
      </c>
      <c r="D2084" s="4" t="s">
        <v>4927</v>
      </c>
      <c r="E2084" s="4" t="s">
        <v>13</v>
      </c>
      <c r="F2084" s="4" t="s">
        <v>5289</v>
      </c>
      <c r="G2084" s="4" t="s">
        <v>5290</v>
      </c>
      <c r="H2084" s="4">
        <v>5.55</v>
      </c>
      <c r="I2084" s="4">
        <v>1</v>
      </c>
      <c r="J2084" s="4">
        <v>0.19236</v>
      </c>
      <c r="K2084" s="4" t="b">
        <v>1</v>
      </c>
      <c r="L2084" s="4" t="b">
        <v>0</v>
      </c>
    </row>
    <row r="2085" spans="1:13" ht="13">
      <c r="A2085" s="4" t="s">
        <v>814</v>
      </c>
      <c r="B2085" s="4" t="s">
        <v>4926</v>
      </c>
      <c r="C2085" s="4" t="s">
        <v>108</v>
      </c>
      <c r="D2085" s="4" t="s">
        <v>4927</v>
      </c>
      <c r="E2085" s="4" t="s">
        <v>13</v>
      </c>
      <c r="F2085" s="4" t="s">
        <v>4943</v>
      </c>
      <c r="G2085" s="4" t="s">
        <v>700</v>
      </c>
      <c r="H2085" s="4">
        <v>5.58</v>
      </c>
      <c r="I2085" s="4">
        <v>0.96</v>
      </c>
      <c r="J2085" s="4">
        <v>0.18762000000000001</v>
      </c>
      <c r="K2085" s="4" t="b">
        <v>1</v>
      </c>
      <c r="L2085" s="4" t="b">
        <v>1</v>
      </c>
      <c r="M2085" s="41" t="s">
        <v>4929</v>
      </c>
    </row>
    <row r="2086" spans="1:13" ht="13">
      <c r="A2086" s="4" t="s">
        <v>5291</v>
      </c>
      <c r="B2086" s="4" t="s">
        <v>4926</v>
      </c>
      <c r="C2086" s="4" t="s">
        <v>108</v>
      </c>
      <c r="D2086" s="4" t="s">
        <v>4927</v>
      </c>
      <c r="E2086" s="4" t="s">
        <v>13</v>
      </c>
      <c r="F2086" s="4" t="s">
        <v>5292</v>
      </c>
      <c r="G2086" s="4" t="s">
        <v>5293</v>
      </c>
      <c r="H2086" s="4">
        <v>5.63</v>
      </c>
      <c r="I2086" s="4">
        <v>0.99</v>
      </c>
      <c r="J2086" s="4">
        <v>0.20652999999999999</v>
      </c>
      <c r="K2086" s="4" t="b">
        <v>1</v>
      </c>
      <c r="L2086" s="4" t="b">
        <v>0</v>
      </c>
    </row>
    <row r="2087" spans="1:13" ht="13">
      <c r="A2087" s="4" t="s">
        <v>5294</v>
      </c>
      <c r="B2087" s="4" t="s">
        <v>4926</v>
      </c>
      <c r="C2087" s="4" t="s">
        <v>108</v>
      </c>
      <c r="D2087" s="4" t="s">
        <v>4944</v>
      </c>
      <c r="E2087" s="4" t="s">
        <v>9</v>
      </c>
      <c r="F2087" s="4" t="s">
        <v>5295</v>
      </c>
      <c r="G2087" s="4" t="s">
        <v>5296</v>
      </c>
      <c r="H2087" s="4">
        <v>2.3199999999999998</v>
      </c>
      <c r="I2087" s="4">
        <v>0.99</v>
      </c>
      <c r="J2087" s="4">
        <v>0.19012000000000001</v>
      </c>
      <c r="K2087" s="4" t="b">
        <v>1</v>
      </c>
      <c r="L2087" s="4" t="b">
        <v>0</v>
      </c>
    </row>
    <row r="2088" spans="1:13" ht="13">
      <c r="A2088" s="4" t="s">
        <v>5297</v>
      </c>
      <c r="B2088" s="4" t="s">
        <v>4926</v>
      </c>
      <c r="C2088" s="4" t="s">
        <v>108</v>
      </c>
      <c r="D2088" s="4" t="s">
        <v>4944</v>
      </c>
      <c r="E2088" s="4" t="s">
        <v>9</v>
      </c>
      <c r="F2088" s="4" t="s">
        <v>5298</v>
      </c>
      <c r="G2088" s="4" t="s">
        <v>5299</v>
      </c>
      <c r="H2088" s="4">
        <v>2.33</v>
      </c>
      <c r="I2088" s="4">
        <v>0.99</v>
      </c>
      <c r="J2088" s="4">
        <v>0.20085</v>
      </c>
      <c r="K2088" s="4" t="b">
        <v>1</v>
      </c>
      <c r="L2088" s="4" t="b">
        <v>0</v>
      </c>
    </row>
    <row r="2089" spans="1:13" ht="13">
      <c r="A2089" s="4" t="s">
        <v>5300</v>
      </c>
      <c r="B2089" s="4" t="s">
        <v>4926</v>
      </c>
      <c r="C2089" s="4" t="s">
        <v>108</v>
      </c>
      <c r="D2089" s="4" t="s">
        <v>4944</v>
      </c>
      <c r="E2089" s="4" t="s">
        <v>9</v>
      </c>
      <c r="F2089" s="4" t="s">
        <v>5301</v>
      </c>
      <c r="G2089" s="4" t="s">
        <v>5302</v>
      </c>
      <c r="H2089" s="4">
        <v>2.35</v>
      </c>
      <c r="I2089" s="4">
        <v>0.96</v>
      </c>
      <c r="J2089" s="4">
        <v>0.19284999999999999</v>
      </c>
      <c r="K2089" s="4" t="b">
        <v>1</v>
      </c>
      <c r="L2089" s="4" t="b">
        <v>0</v>
      </c>
    </row>
    <row r="2090" spans="1:13" ht="13">
      <c r="A2090" s="4" t="s">
        <v>5303</v>
      </c>
      <c r="B2090" s="4" t="s">
        <v>4926</v>
      </c>
      <c r="C2090" s="4" t="s">
        <v>108</v>
      </c>
      <c r="D2090" s="4" t="s">
        <v>4944</v>
      </c>
      <c r="E2090" s="4" t="s">
        <v>9</v>
      </c>
      <c r="F2090" s="4" t="s">
        <v>5304</v>
      </c>
      <c r="G2090" s="4" t="s">
        <v>5305</v>
      </c>
      <c r="H2090" s="4">
        <v>2.38</v>
      </c>
      <c r="I2090" s="4">
        <v>0.99</v>
      </c>
      <c r="J2090" s="4">
        <v>0.21414</v>
      </c>
      <c r="K2090" s="4" t="b">
        <v>1</v>
      </c>
      <c r="L2090" s="4" t="b">
        <v>0</v>
      </c>
    </row>
    <row r="2091" spans="1:13" ht="13">
      <c r="A2091" s="4" t="s">
        <v>5306</v>
      </c>
      <c r="B2091" s="4" t="s">
        <v>4926</v>
      </c>
      <c r="C2091" s="4" t="s">
        <v>108</v>
      </c>
      <c r="D2091" s="4" t="s">
        <v>4944</v>
      </c>
      <c r="E2091" s="4" t="s">
        <v>9</v>
      </c>
      <c r="F2091" s="4" t="s">
        <v>5307</v>
      </c>
      <c r="G2091" s="4" t="s">
        <v>5308</v>
      </c>
      <c r="H2091" s="4">
        <v>2.42</v>
      </c>
      <c r="I2091" s="4">
        <v>1.05</v>
      </c>
      <c r="J2091" s="4">
        <v>0.21448</v>
      </c>
      <c r="K2091" s="4" t="b">
        <v>1</v>
      </c>
      <c r="L2091" s="4" t="b">
        <v>0</v>
      </c>
    </row>
    <row r="2092" spans="1:13" ht="13">
      <c r="A2092" s="4" t="s">
        <v>5309</v>
      </c>
      <c r="B2092" s="4" t="s">
        <v>4926</v>
      </c>
      <c r="C2092" s="4" t="s">
        <v>108</v>
      </c>
      <c r="D2092" s="4" t="s">
        <v>4944</v>
      </c>
      <c r="E2092" s="4" t="s">
        <v>9</v>
      </c>
      <c r="F2092" s="4" t="s">
        <v>5310</v>
      </c>
      <c r="G2092" s="4" t="s">
        <v>5311</v>
      </c>
      <c r="H2092" s="4">
        <v>2.4500000000000002</v>
      </c>
      <c r="I2092" s="4">
        <v>1</v>
      </c>
      <c r="J2092" s="4">
        <v>0.19234000000000001</v>
      </c>
      <c r="K2092" s="4" t="b">
        <v>1</v>
      </c>
      <c r="L2092" s="4" t="b">
        <v>0</v>
      </c>
    </row>
    <row r="2093" spans="1:13" ht="13">
      <c r="A2093" s="4" t="s">
        <v>5312</v>
      </c>
      <c r="B2093" s="4" t="s">
        <v>4926</v>
      </c>
      <c r="C2093" s="4" t="s">
        <v>108</v>
      </c>
      <c r="D2093" s="4" t="s">
        <v>4944</v>
      </c>
      <c r="E2093" s="4" t="s">
        <v>9</v>
      </c>
      <c r="F2093" s="4" t="s">
        <v>5313</v>
      </c>
      <c r="G2093" s="4" t="s">
        <v>5314</v>
      </c>
      <c r="H2093" s="4">
        <v>2.4700000000000002</v>
      </c>
      <c r="I2093" s="4">
        <v>1.02</v>
      </c>
      <c r="J2093" s="4">
        <v>0.20588999999999999</v>
      </c>
      <c r="K2093" s="4" t="b">
        <v>1</v>
      </c>
      <c r="L2093" s="4" t="b">
        <v>0</v>
      </c>
    </row>
    <row r="2094" spans="1:13" ht="13">
      <c r="A2094" s="4" t="s">
        <v>5315</v>
      </c>
      <c r="B2094" s="4" t="s">
        <v>4926</v>
      </c>
      <c r="C2094" s="4" t="s">
        <v>108</v>
      </c>
      <c r="D2094" s="4" t="s">
        <v>4944</v>
      </c>
      <c r="E2094" s="4" t="s">
        <v>9</v>
      </c>
      <c r="F2094" s="4" t="s">
        <v>5316</v>
      </c>
      <c r="G2094" s="4" t="s">
        <v>5317</v>
      </c>
      <c r="H2094" s="4">
        <v>2.48</v>
      </c>
      <c r="I2094" s="4">
        <v>1</v>
      </c>
      <c r="J2094" s="4">
        <v>0.1928</v>
      </c>
      <c r="K2094" s="4" t="b">
        <v>1</v>
      </c>
      <c r="L2094" s="4" t="b">
        <v>0</v>
      </c>
    </row>
    <row r="2095" spans="1:13" ht="13">
      <c r="A2095" s="4" t="s">
        <v>5318</v>
      </c>
      <c r="B2095" s="4" t="s">
        <v>4926</v>
      </c>
      <c r="C2095" s="4" t="s">
        <v>108</v>
      </c>
      <c r="D2095" s="4" t="s">
        <v>4944</v>
      </c>
      <c r="E2095" s="4" t="s">
        <v>9</v>
      </c>
      <c r="F2095" s="4" t="s">
        <v>5319</v>
      </c>
      <c r="G2095" s="4" t="s">
        <v>5320</v>
      </c>
      <c r="H2095" s="4">
        <v>2.52</v>
      </c>
      <c r="I2095" s="4">
        <v>0.99</v>
      </c>
      <c r="J2095" s="4">
        <v>0.20318</v>
      </c>
      <c r="K2095" s="4" t="b">
        <v>1</v>
      </c>
      <c r="L2095" s="4" t="b">
        <v>0</v>
      </c>
    </row>
    <row r="2096" spans="1:13" ht="13">
      <c r="A2096" s="4" t="s">
        <v>5321</v>
      </c>
      <c r="B2096" s="4" t="s">
        <v>4926</v>
      </c>
      <c r="C2096" s="4" t="s">
        <v>108</v>
      </c>
      <c r="D2096" s="4" t="s">
        <v>4944</v>
      </c>
      <c r="E2096" s="4" t="s">
        <v>9</v>
      </c>
      <c r="F2096" s="4" t="s">
        <v>5322</v>
      </c>
      <c r="G2096" s="4" t="s">
        <v>5323</v>
      </c>
      <c r="H2096" s="4">
        <v>2.5299999999999998</v>
      </c>
      <c r="I2096" s="4">
        <v>1.01</v>
      </c>
      <c r="J2096" s="4">
        <v>0.19128999999999999</v>
      </c>
      <c r="K2096" s="4" t="b">
        <v>1</v>
      </c>
      <c r="L2096" s="4" t="b">
        <v>0</v>
      </c>
    </row>
    <row r="2097" spans="1:13" ht="13">
      <c r="A2097" s="4" t="s">
        <v>815</v>
      </c>
      <c r="B2097" s="4" t="s">
        <v>4926</v>
      </c>
      <c r="C2097" s="4" t="s">
        <v>108</v>
      </c>
      <c r="D2097" s="4" t="s">
        <v>4944</v>
      </c>
      <c r="E2097" s="4" t="s">
        <v>9</v>
      </c>
      <c r="F2097" s="4" t="s">
        <v>5094</v>
      </c>
      <c r="G2097" s="4" t="s">
        <v>701</v>
      </c>
      <c r="H2097" s="4">
        <v>2.5499999999999998</v>
      </c>
      <c r="I2097" s="4">
        <v>1.02</v>
      </c>
      <c r="J2097" s="4">
        <v>0.19803000000000001</v>
      </c>
      <c r="K2097" s="4" t="b">
        <v>1</v>
      </c>
      <c r="L2097" s="4" t="b">
        <v>1</v>
      </c>
      <c r="M2097" s="41" t="s">
        <v>4929</v>
      </c>
    </row>
    <row r="2098" spans="1:13" ht="13">
      <c r="A2098" s="4" t="s">
        <v>816</v>
      </c>
      <c r="B2098" s="4" t="s">
        <v>4926</v>
      </c>
      <c r="C2098" s="4" t="s">
        <v>108</v>
      </c>
      <c r="D2098" s="4" t="s">
        <v>4944</v>
      </c>
      <c r="E2098" s="4" t="s">
        <v>9</v>
      </c>
      <c r="F2098" s="4" t="s">
        <v>5095</v>
      </c>
      <c r="G2098" s="4" t="s">
        <v>702</v>
      </c>
      <c r="H2098" s="4">
        <v>2.58</v>
      </c>
      <c r="I2098" s="4">
        <v>1</v>
      </c>
      <c r="J2098" s="4">
        <v>0.20438000000000001</v>
      </c>
      <c r="K2098" s="4" t="b">
        <v>1</v>
      </c>
      <c r="L2098" s="4" t="b">
        <v>1</v>
      </c>
      <c r="M2098" s="41" t="s">
        <v>4929</v>
      </c>
    </row>
    <row r="2099" spans="1:13" ht="13">
      <c r="A2099" s="4" t="s">
        <v>817</v>
      </c>
      <c r="B2099" s="4" t="s">
        <v>4926</v>
      </c>
      <c r="C2099" s="4" t="s">
        <v>108</v>
      </c>
      <c r="D2099" s="4" t="s">
        <v>4944</v>
      </c>
      <c r="E2099" s="4" t="s">
        <v>9</v>
      </c>
      <c r="F2099" s="4" t="s">
        <v>4945</v>
      </c>
      <c r="G2099" s="4" t="s">
        <v>703</v>
      </c>
      <c r="H2099" s="4">
        <v>2.6</v>
      </c>
      <c r="I2099" s="4">
        <v>1.03</v>
      </c>
      <c r="J2099" s="4">
        <v>0.20524000000000001</v>
      </c>
      <c r="K2099" s="4" t="b">
        <v>1</v>
      </c>
      <c r="L2099" s="4" t="b">
        <v>1</v>
      </c>
      <c r="M2099" s="41" t="s">
        <v>4929</v>
      </c>
    </row>
    <row r="2100" spans="1:13" ht="13">
      <c r="A2100" s="4" t="s">
        <v>5324</v>
      </c>
      <c r="B2100" s="4" t="s">
        <v>4926</v>
      </c>
      <c r="C2100" s="4" t="s">
        <v>108</v>
      </c>
      <c r="D2100" s="4" t="s">
        <v>4944</v>
      </c>
      <c r="E2100" s="4" t="s">
        <v>9</v>
      </c>
      <c r="F2100" s="4" t="s">
        <v>5325</v>
      </c>
      <c r="G2100" s="4" t="s">
        <v>5326</v>
      </c>
      <c r="H2100" s="4">
        <v>2.65</v>
      </c>
      <c r="I2100" s="4">
        <v>0.99</v>
      </c>
      <c r="J2100" s="4">
        <v>0.19247</v>
      </c>
      <c r="K2100" s="4" t="b">
        <v>1</v>
      </c>
      <c r="L2100" s="4" t="b">
        <v>0</v>
      </c>
    </row>
    <row r="2101" spans="1:13" ht="13">
      <c r="A2101" s="4" t="s">
        <v>818</v>
      </c>
      <c r="B2101" s="4" t="s">
        <v>4926</v>
      </c>
      <c r="C2101" s="4" t="s">
        <v>108</v>
      </c>
      <c r="D2101" s="4" t="s">
        <v>4944</v>
      </c>
      <c r="E2101" s="4" t="s">
        <v>9</v>
      </c>
      <c r="F2101" s="4" t="s">
        <v>5096</v>
      </c>
      <c r="G2101" s="4" t="s">
        <v>704</v>
      </c>
      <c r="H2101" s="4">
        <v>2.67</v>
      </c>
      <c r="I2101" s="4">
        <v>1.02</v>
      </c>
      <c r="J2101" s="4">
        <v>0.19886000000000001</v>
      </c>
      <c r="K2101" s="4" t="b">
        <v>1</v>
      </c>
      <c r="L2101" s="4" t="b">
        <v>1</v>
      </c>
      <c r="M2101" s="41" t="s">
        <v>4929</v>
      </c>
    </row>
    <row r="2102" spans="1:13" ht="13">
      <c r="A2102" s="4" t="s">
        <v>5327</v>
      </c>
      <c r="B2102" s="4" t="s">
        <v>4926</v>
      </c>
      <c r="C2102" s="4" t="s">
        <v>108</v>
      </c>
      <c r="D2102" s="4" t="s">
        <v>4944</v>
      </c>
      <c r="E2102" s="4" t="s">
        <v>9</v>
      </c>
      <c r="F2102" s="4" t="s">
        <v>5328</v>
      </c>
      <c r="G2102" s="4" t="s">
        <v>5329</v>
      </c>
      <c r="H2102" s="4">
        <v>2.68</v>
      </c>
      <c r="I2102" s="4">
        <v>1.04</v>
      </c>
      <c r="J2102" s="4">
        <v>0.22386</v>
      </c>
      <c r="K2102" s="4" t="b">
        <v>1</v>
      </c>
      <c r="L2102" s="4" t="b">
        <v>0</v>
      </c>
    </row>
    <row r="2103" spans="1:13" ht="13">
      <c r="A2103" s="4" t="s">
        <v>5330</v>
      </c>
      <c r="B2103" s="4" t="s">
        <v>4926</v>
      </c>
      <c r="C2103" s="4" t="s">
        <v>108</v>
      </c>
      <c r="D2103" s="4" t="s">
        <v>4944</v>
      </c>
      <c r="E2103" s="4" t="s">
        <v>9</v>
      </c>
      <c r="F2103" s="4" t="s">
        <v>5331</v>
      </c>
      <c r="G2103" s="4" t="s">
        <v>5332</v>
      </c>
      <c r="H2103" s="4">
        <v>2.72</v>
      </c>
      <c r="I2103" s="4">
        <v>1</v>
      </c>
      <c r="J2103" s="4">
        <v>0.19289000000000001</v>
      </c>
      <c r="K2103" s="4" t="b">
        <v>1</v>
      </c>
      <c r="L2103" s="4" t="b">
        <v>0</v>
      </c>
    </row>
    <row r="2104" spans="1:13" ht="13">
      <c r="A2104" s="4" t="s">
        <v>5333</v>
      </c>
      <c r="B2104" s="4" t="s">
        <v>4926</v>
      </c>
      <c r="C2104" s="4" t="s">
        <v>108</v>
      </c>
      <c r="D2104" s="4" t="s">
        <v>4944</v>
      </c>
      <c r="E2104" s="4" t="s">
        <v>9</v>
      </c>
      <c r="F2104" s="4" t="s">
        <v>5334</v>
      </c>
      <c r="G2104" s="4" t="s">
        <v>5335</v>
      </c>
      <c r="H2104" s="4">
        <v>2.73</v>
      </c>
      <c r="I2104" s="4">
        <v>0.99</v>
      </c>
      <c r="J2104" s="4">
        <v>0.18709000000000001</v>
      </c>
      <c r="K2104" s="4" t="b">
        <v>1</v>
      </c>
      <c r="L2104" s="4" t="b">
        <v>0</v>
      </c>
    </row>
    <row r="2105" spans="1:13" ht="13">
      <c r="A2105" s="4" t="s">
        <v>5336</v>
      </c>
      <c r="B2105" s="4" t="s">
        <v>4926</v>
      </c>
      <c r="C2105" s="4" t="s">
        <v>108</v>
      </c>
      <c r="D2105" s="4" t="s">
        <v>4944</v>
      </c>
      <c r="E2105" s="4" t="s">
        <v>9</v>
      </c>
      <c r="F2105" s="4" t="s">
        <v>5337</v>
      </c>
      <c r="G2105" s="4" t="s">
        <v>5338</v>
      </c>
      <c r="H2105" s="4">
        <v>2.78</v>
      </c>
      <c r="I2105" s="4">
        <v>0.99</v>
      </c>
      <c r="J2105" s="4">
        <v>0.18987999999999999</v>
      </c>
      <c r="K2105" s="4" t="b">
        <v>1</v>
      </c>
      <c r="L2105" s="4" t="b">
        <v>0</v>
      </c>
    </row>
    <row r="2106" spans="1:13" ht="13">
      <c r="A2106" s="4" t="s">
        <v>819</v>
      </c>
      <c r="B2106" s="4" t="s">
        <v>4926</v>
      </c>
      <c r="C2106" s="4" t="s">
        <v>108</v>
      </c>
      <c r="D2106" s="4" t="s">
        <v>4944</v>
      </c>
      <c r="E2106" s="4" t="s">
        <v>9</v>
      </c>
      <c r="F2106" s="4" t="s">
        <v>5097</v>
      </c>
      <c r="G2106" s="4" t="s">
        <v>705</v>
      </c>
      <c r="H2106" s="4">
        <v>2.82</v>
      </c>
      <c r="I2106" s="4">
        <v>1</v>
      </c>
      <c r="J2106" s="4">
        <v>0.19295000000000001</v>
      </c>
      <c r="K2106" s="4" t="b">
        <v>1</v>
      </c>
      <c r="L2106" s="4" t="b">
        <v>1</v>
      </c>
      <c r="M2106" s="41" t="s">
        <v>4929</v>
      </c>
    </row>
    <row r="2107" spans="1:13" ht="13">
      <c r="A2107" s="4" t="s">
        <v>5339</v>
      </c>
      <c r="B2107" s="4" t="s">
        <v>4926</v>
      </c>
      <c r="C2107" s="4" t="s">
        <v>108</v>
      </c>
      <c r="D2107" s="4" t="s">
        <v>4944</v>
      </c>
      <c r="E2107" s="4" t="s">
        <v>9</v>
      </c>
      <c r="F2107" s="4" t="s">
        <v>5340</v>
      </c>
      <c r="G2107" s="4" t="s">
        <v>5341</v>
      </c>
      <c r="H2107" s="4">
        <v>2.83</v>
      </c>
      <c r="I2107" s="4">
        <v>1</v>
      </c>
      <c r="J2107" s="4">
        <v>0.19453000000000001</v>
      </c>
      <c r="K2107" s="4" t="b">
        <v>1</v>
      </c>
      <c r="L2107" s="4" t="b">
        <v>0</v>
      </c>
    </row>
    <row r="2108" spans="1:13" ht="13">
      <c r="A2108" s="4" t="s">
        <v>820</v>
      </c>
      <c r="B2108" s="4" t="s">
        <v>4926</v>
      </c>
      <c r="C2108" s="4" t="s">
        <v>108</v>
      </c>
      <c r="D2108" s="4" t="s">
        <v>4944</v>
      </c>
      <c r="E2108" s="4" t="s">
        <v>9</v>
      </c>
      <c r="F2108" s="4" t="s">
        <v>4946</v>
      </c>
      <c r="G2108" s="4" t="s">
        <v>706</v>
      </c>
      <c r="H2108" s="4">
        <v>2.85</v>
      </c>
      <c r="I2108" s="4">
        <v>1</v>
      </c>
      <c r="J2108" s="4">
        <v>0.20472000000000001</v>
      </c>
      <c r="K2108" s="4" t="b">
        <v>1</v>
      </c>
      <c r="L2108" s="4" t="b">
        <v>1</v>
      </c>
      <c r="M2108" s="41" t="s">
        <v>4929</v>
      </c>
    </row>
    <row r="2109" spans="1:13" ht="13">
      <c r="A2109" s="4" t="s">
        <v>5342</v>
      </c>
      <c r="B2109" s="4" t="s">
        <v>4926</v>
      </c>
      <c r="C2109" s="4" t="s">
        <v>108</v>
      </c>
      <c r="D2109" s="4" t="s">
        <v>4944</v>
      </c>
      <c r="E2109" s="4" t="s">
        <v>9</v>
      </c>
      <c r="F2109" s="4" t="s">
        <v>5343</v>
      </c>
      <c r="G2109" s="4" t="s">
        <v>5344</v>
      </c>
      <c r="H2109" s="4">
        <v>2.88</v>
      </c>
      <c r="I2109" s="4">
        <v>0.99</v>
      </c>
      <c r="J2109" s="4">
        <v>0.19109999999999999</v>
      </c>
      <c r="K2109" s="4" t="b">
        <v>1</v>
      </c>
      <c r="L2109" s="4" t="b">
        <v>0</v>
      </c>
    </row>
    <row r="2110" spans="1:13" ht="13">
      <c r="A2110" s="4" t="s">
        <v>5345</v>
      </c>
      <c r="B2110" s="4" t="s">
        <v>4926</v>
      </c>
      <c r="C2110" s="4" t="s">
        <v>108</v>
      </c>
      <c r="D2110" s="4" t="s">
        <v>4944</v>
      </c>
      <c r="E2110" s="4" t="s">
        <v>9</v>
      </c>
      <c r="F2110" s="4" t="s">
        <v>5346</v>
      </c>
      <c r="G2110" s="4" t="s">
        <v>5347</v>
      </c>
      <c r="H2110" s="4">
        <v>2.9</v>
      </c>
      <c r="I2110" s="4">
        <v>1.01</v>
      </c>
      <c r="J2110" s="4">
        <v>0.19395999999999999</v>
      </c>
      <c r="K2110" s="4" t="b">
        <v>1</v>
      </c>
      <c r="L2110" s="4" t="b">
        <v>0</v>
      </c>
    </row>
    <row r="2111" spans="1:13" ht="13">
      <c r="A2111" s="4" t="s">
        <v>821</v>
      </c>
      <c r="B2111" s="4" t="s">
        <v>4926</v>
      </c>
      <c r="C2111" s="4" t="s">
        <v>108</v>
      </c>
      <c r="D2111" s="4" t="s">
        <v>4944</v>
      </c>
      <c r="E2111" s="4" t="s">
        <v>9</v>
      </c>
      <c r="F2111" s="4" t="s">
        <v>5098</v>
      </c>
      <c r="G2111" s="4" t="s">
        <v>707</v>
      </c>
      <c r="H2111" s="4">
        <v>2.95</v>
      </c>
      <c r="I2111" s="4">
        <v>0.99</v>
      </c>
      <c r="J2111" s="4">
        <v>0.18715999999999999</v>
      </c>
      <c r="K2111" s="4" t="b">
        <v>1</v>
      </c>
      <c r="L2111" s="4" t="b">
        <v>1</v>
      </c>
      <c r="M2111" s="41" t="s">
        <v>4929</v>
      </c>
    </row>
    <row r="2112" spans="1:13" ht="13">
      <c r="A2112" s="4" t="s">
        <v>5348</v>
      </c>
      <c r="B2112" s="4" t="s">
        <v>4926</v>
      </c>
      <c r="C2112" s="4" t="s">
        <v>108</v>
      </c>
      <c r="D2112" s="4" t="s">
        <v>4944</v>
      </c>
      <c r="E2112" s="4" t="s">
        <v>9</v>
      </c>
      <c r="F2112" s="4" t="s">
        <v>5349</v>
      </c>
      <c r="G2112" s="4" t="s">
        <v>5350</v>
      </c>
      <c r="H2112" s="4">
        <v>2.98</v>
      </c>
      <c r="I2112" s="4">
        <v>1</v>
      </c>
      <c r="J2112" s="4">
        <v>0.19153999999999999</v>
      </c>
      <c r="K2112" s="4" t="b">
        <v>1</v>
      </c>
      <c r="L2112" s="4" t="b">
        <v>0</v>
      </c>
    </row>
    <row r="2113" spans="1:13" ht="13">
      <c r="A2113" s="4" t="s">
        <v>5351</v>
      </c>
      <c r="B2113" s="4" t="s">
        <v>4926</v>
      </c>
      <c r="C2113" s="4" t="s">
        <v>108</v>
      </c>
      <c r="D2113" s="4" t="s">
        <v>4944</v>
      </c>
      <c r="E2113" s="4" t="s">
        <v>9</v>
      </c>
      <c r="F2113" s="4" t="s">
        <v>5352</v>
      </c>
      <c r="G2113" s="4" t="s">
        <v>5353</v>
      </c>
      <c r="H2113" s="4">
        <v>3</v>
      </c>
      <c r="I2113" s="4">
        <v>1.04</v>
      </c>
      <c r="J2113" s="4">
        <v>0.20760999999999999</v>
      </c>
      <c r="K2113" s="4" t="b">
        <v>1</v>
      </c>
      <c r="L2113" s="4" t="b">
        <v>0</v>
      </c>
    </row>
    <row r="2114" spans="1:13" ht="13">
      <c r="A2114" s="4" t="s">
        <v>5354</v>
      </c>
      <c r="B2114" s="4" t="s">
        <v>4926</v>
      </c>
      <c r="C2114" s="4" t="s">
        <v>108</v>
      </c>
      <c r="D2114" s="4" t="s">
        <v>4944</v>
      </c>
      <c r="E2114" s="4" t="s">
        <v>9</v>
      </c>
      <c r="F2114" s="4" t="s">
        <v>5355</v>
      </c>
      <c r="G2114" s="4" t="s">
        <v>5356</v>
      </c>
      <c r="H2114" s="4">
        <v>3.03</v>
      </c>
      <c r="I2114" s="4">
        <v>0.98</v>
      </c>
      <c r="J2114" s="4">
        <v>0.18715999999999999</v>
      </c>
      <c r="K2114" s="4" t="b">
        <v>1</v>
      </c>
      <c r="L2114" s="4" t="b">
        <v>0</v>
      </c>
    </row>
    <row r="2115" spans="1:13" ht="13">
      <c r="A2115" s="4" t="s">
        <v>5357</v>
      </c>
      <c r="B2115" s="4" t="s">
        <v>4926</v>
      </c>
      <c r="C2115" s="4" t="s">
        <v>108</v>
      </c>
      <c r="D2115" s="4" t="s">
        <v>4944</v>
      </c>
      <c r="E2115" s="4" t="s">
        <v>9</v>
      </c>
      <c r="F2115" s="4" t="s">
        <v>5358</v>
      </c>
      <c r="G2115" s="4" t="s">
        <v>5359</v>
      </c>
      <c r="H2115" s="4">
        <v>3.05</v>
      </c>
      <c r="I2115" s="4">
        <v>1.02</v>
      </c>
      <c r="J2115" s="4">
        <v>0.1973</v>
      </c>
      <c r="K2115" s="4" t="b">
        <v>1</v>
      </c>
      <c r="L2115" s="4" t="b">
        <v>0</v>
      </c>
    </row>
    <row r="2116" spans="1:13" ht="13">
      <c r="A2116" s="4" t="s">
        <v>5360</v>
      </c>
      <c r="B2116" s="4" t="s">
        <v>4926</v>
      </c>
      <c r="C2116" s="4" t="s">
        <v>108</v>
      </c>
      <c r="D2116" s="4" t="s">
        <v>4944</v>
      </c>
      <c r="E2116" s="4" t="s">
        <v>9</v>
      </c>
      <c r="F2116" s="4" t="s">
        <v>5361</v>
      </c>
      <c r="G2116" s="4" t="s">
        <v>5362</v>
      </c>
      <c r="H2116" s="4">
        <v>3.07</v>
      </c>
      <c r="I2116" s="4">
        <v>1</v>
      </c>
      <c r="J2116" s="4">
        <v>0.21201999999999999</v>
      </c>
      <c r="K2116" s="4" t="b">
        <v>1</v>
      </c>
      <c r="L2116" s="4" t="b">
        <v>0</v>
      </c>
    </row>
    <row r="2117" spans="1:13" ht="13">
      <c r="A2117" s="4" t="s">
        <v>5363</v>
      </c>
      <c r="B2117" s="4" t="s">
        <v>4926</v>
      </c>
      <c r="C2117" s="4" t="s">
        <v>108</v>
      </c>
      <c r="D2117" s="4" t="s">
        <v>4944</v>
      </c>
      <c r="E2117" s="4" t="s">
        <v>9</v>
      </c>
      <c r="F2117" s="4" t="s">
        <v>5364</v>
      </c>
      <c r="G2117" s="4" t="s">
        <v>5365</v>
      </c>
      <c r="H2117" s="4">
        <v>3.12</v>
      </c>
      <c r="I2117" s="4">
        <v>0.96</v>
      </c>
      <c r="J2117" s="4">
        <v>0.19125</v>
      </c>
      <c r="K2117" s="4" t="b">
        <v>1</v>
      </c>
      <c r="L2117" s="4" t="b">
        <v>0</v>
      </c>
    </row>
    <row r="2118" spans="1:13" ht="13">
      <c r="A2118" s="4" t="s">
        <v>5366</v>
      </c>
      <c r="B2118" s="4" t="s">
        <v>4926</v>
      </c>
      <c r="C2118" s="4" t="s">
        <v>108</v>
      </c>
      <c r="D2118" s="4" t="s">
        <v>4944</v>
      </c>
      <c r="E2118" s="4" t="s">
        <v>9</v>
      </c>
      <c r="F2118" s="4" t="s">
        <v>5367</v>
      </c>
      <c r="G2118" s="4" t="s">
        <v>5368</v>
      </c>
      <c r="H2118" s="4">
        <v>3.15</v>
      </c>
      <c r="I2118" s="4">
        <v>1.03</v>
      </c>
      <c r="J2118" s="4">
        <v>0.24267</v>
      </c>
      <c r="K2118" s="4" t="b">
        <v>1</v>
      </c>
      <c r="L2118" s="4" t="b">
        <v>0</v>
      </c>
    </row>
    <row r="2119" spans="1:13" ht="13">
      <c r="A2119" s="4" t="s">
        <v>5369</v>
      </c>
      <c r="B2119" s="4" t="s">
        <v>4926</v>
      </c>
      <c r="C2119" s="4" t="s">
        <v>108</v>
      </c>
      <c r="D2119" s="4" t="s">
        <v>4944</v>
      </c>
      <c r="E2119" s="4" t="s">
        <v>9</v>
      </c>
      <c r="F2119" s="4" t="s">
        <v>5370</v>
      </c>
      <c r="G2119" s="4" t="s">
        <v>5371</v>
      </c>
      <c r="H2119" s="4">
        <v>3.17</v>
      </c>
      <c r="I2119" s="4">
        <v>1.07</v>
      </c>
      <c r="J2119" s="4">
        <v>0.22342000000000001</v>
      </c>
      <c r="K2119" s="4" t="b">
        <v>1</v>
      </c>
      <c r="L2119" s="4" t="b">
        <v>0</v>
      </c>
    </row>
    <row r="2120" spans="1:13" ht="13">
      <c r="A2120" s="4" t="s">
        <v>5372</v>
      </c>
      <c r="B2120" s="4" t="s">
        <v>4926</v>
      </c>
      <c r="C2120" s="4" t="s">
        <v>108</v>
      </c>
      <c r="D2120" s="4" t="s">
        <v>4944</v>
      </c>
      <c r="E2120" s="4" t="s">
        <v>9</v>
      </c>
      <c r="F2120" s="4" t="s">
        <v>5373</v>
      </c>
      <c r="G2120" s="4" t="s">
        <v>5374</v>
      </c>
      <c r="H2120" s="4">
        <v>3.2</v>
      </c>
      <c r="I2120" s="4">
        <v>0.99</v>
      </c>
      <c r="J2120" s="4">
        <v>0.19273000000000001</v>
      </c>
      <c r="K2120" s="4" t="b">
        <v>1</v>
      </c>
      <c r="L2120" s="4" t="b">
        <v>0</v>
      </c>
    </row>
    <row r="2121" spans="1:13" ht="13">
      <c r="A2121" s="4" t="s">
        <v>5375</v>
      </c>
      <c r="B2121" s="4" t="s">
        <v>4926</v>
      </c>
      <c r="C2121" s="4" t="s">
        <v>108</v>
      </c>
      <c r="D2121" s="4" t="s">
        <v>4944</v>
      </c>
      <c r="E2121" s="4" t="s">
        <v>9</v>
      </c>
      <c r="F2121" s="4" t="s">
        <v>5376</v>
      </c>
      <c r="G2121" s="4" t="s">
        <v>5377</v>
      </c>
      <c r="H2121" s="4">
        <v>3.23</v>
      </c>
      <c r="I2121" s="4">
        <v>1</v>
      </c>
      <c r="J2121" s="4">
        <v>0.18862999999999999</v>
      </c>
      <c r="K2121" s="4" t="b">
        <v>1</v>
      </c>
      <c r="L2121" s="4" t="b">
        <v>0</v>
      </c>
    </row>
    <row r="2122" spans="1:13" ht="13">
      <c r="A2122" s="4" t="s">
        <v>822</v>
      </c>
      <c r="B2122" s="4" t="s">
        <v>4926</v>
      </c>
      <c r="C2122" s="4" t="s">
        <v>108</v>
      </c>
      <c r="D2122" s="41" t="s">
        <v>4944</v>
      </c>
      <c r="E2122" s="4" t="s">
        <v>9</v>
      </c>
      <c r="F2122" s="4" t="s">
        <v>5099</v>
      </c>
      <c r="G2122" s="4" t="s">
        <v>708</v>
      </c>
      <c r="H2122" s="4">
        <v>3.27</v>
      </c>
      <c r="I2122" s="4">
        <v>0.99</v>
      </c>
      <c r="J2122" s="4">
        <v>0.19386</v>
      </c>
      <c r="K2122" s="4" t="b">
        <v>1</v>
      </c>
      <c r="L2122" s="4" t="b">
        <v>1</v>
      </c>
      <c r="M2122" s="41" t="s">
        <v>4929</v>
      </c>
    </row>
    <row r="2123" spans="1:13" ht="13">
      <c r="A2123" s="4" t="s">
        <v>5378</v>
      </c>
      <c r="B2123" s="4" t="s">
        <v>4926</v>
      </c>
      <c r="C2123" s="4" t="s">
        <v>108</v>
      </c>
      <c r="D2123" s="41" t="s">
        <v>4944</v>
      </c>
      <c r="E2123" s="4" t="s">
        <v>9</v>
      </c>
      <c r="F2123" s="4" t="s">
        <v>5379</v>
      </c>
      <c r="G2123" s="4" t="s">
        <v>5380</v>
      </c>
      <c r="H2123" s="4">
        <v>3.28</v>
      </c>
      <c r="I2123" s="4">
        <v>1</v>
      </c>
      <c r="J2123" s="4">
        <v>0.19581999999999999</v>
      </c>
      <c r="K2123" s="4" t="b">
        <v>1</v>
      </c>
      <c r="L2123" s="4" t="b">
        <v>0</v>
      </c>
    </row>
    <row r="2124" spans="1:13" ht="13">
      <c r="A2124" s="4" t="s">
        <v>823</v>
      </c>
      <c r="B2124" s="4" t="s">
        <v>4926</v>
      </c>
      <c r="C2124" s="4" t="s">
        <v>108</v>
      </c>
      <c r="D2124" s="41" t="s">
        <v>4944</v>
      </c>
      <c r="E2124" s="4" t="s">
        <v>9</v>
      </c>
      <c r="F2124" s="4" t="s">
        <v>4947</v>
      </c>
      <c r="G2124" s="4" t="s">
        <v>709</v>
      </c>
      <c r="H2124" s="4">
        <v>3.32</v>
      </c>
      <c r="I2124" s="4">
        <v>0.99</v>
      </c>
      <c r="J2124" s="4">
        <v>0.19092000000000001</v>
      </c>
      <c r="K2124" s="4" t="b">
        <v>1</v>
      </c>
      <c r="L2124" s="4" t="b">
        <v>1</v>
      </c>
      <c r="M2124" s="41" t="s">
        <v>4929</v>
      </c>
    </row>
    <row r="2125" spans="1:13" ht="13">
      <c r="A2125" s="4" t="s">
        <v>5381</v>
      </c>
      <c r="B2125" s="4" t="s">
        <v>4926</v>
      </c>
      <c r="C2125" s="4" t="s">
        <v>108</v>
      </c>
      <c r="D2125" s="41" t="s">
        <v>4944</v>
      </c>
      <c r="E2125" s="4" t="s">
        <v>9</v>
      </c>
      <c r="F2125" s="4" t="s">
        <v>5382</v>
      </c>
      <c r="G2125" s="4" t="s">
        <v>5383</v>
      </c>
      <c r="H2125" s="4">
        <v>3.33</v>
      </c>
      <c r="I2125" s="4">
        <v>0.99</v>
      </c>
      <c r="J2125" s="4">
        <v>0.20563999999999999</v>
      </c>
      <c r="K2125" s="4" t="b">
        <v>1</v>
      </c>
      <c r="L2125" s="4" t="b">
        <v>0</v>
      </c>
    </row>
    <row r="2126" spans="1:13" ht="13">
      <c r="A2126" s="4" t="s">
        <v>5384</v>
      </c>
      <c r="B2126" s="4" t="s">
        <v>4926</v>
      </c>
      <c r="C2126" s="4" t="s">
        <v>108</v>
      </c>
      <c r="D2126" s="41" t="s">
        <v>4944</v>
      </c>
      <c r="E2126" s="4" t="s">
        <v>9</v>
      </c>
      <c r="F2126" s="4" t="s">
        <v>5385</v>
      </c>
      <c r="G2126" s="4" t="s">
        <v>5386</v>
      </c>
      <c r="H2126" s="4">
        <v>3.37</v>
      </c>
      <c r="I2126" s="4">
        <v>1.02</v>
      </c>
      <c r="J2126" s="4">
        <v>0.18812000000000001</v>
      </c>
      <c r="K2126" s="4" t="b">
        <v>1</v>
      </c>
      <c r="L2126" s="4" t="b">
        <v>0</v>
      </c>
    </row>
    <row r="2127" spans="1:13" ht="13">
      <c r="A2127" s="4" t="s">
        <v>5387</v>
      </c>
      <c r="B2127" s="4" t="s">
        <v>4926</v>
      </c>
      <c r="C2127" s="4" t="s">
        <v>108</v>
      </c>
      <c r="D2127" s="41" t="s">
        <v>4944</v>
      </c>
      <c r="E2127" s="4" t="s">
        <v>9</v>
      </c>
      <c r="F2127" s="4" t="s">
        <v>5388</v>
      </c>
      <c r="G2127" s="4" t="s">
        <v>5389</v>
      </c>
      <c r="H2127" s="4">
        <v>3.38</v>
      </c>
      <c r="I2127" s="4">
        <v>1</v>
      </c>
      <c r="J2127" s="4">
        <v>0.19550999999999999</v>
      </c>
      <c r="K2127" s="4" t="b">
        <v>1</v>
      </c>
      <c r="L2127" s="4" t="b">
        <v>0</v>
      </c>
    </row>
    <row r="2128" spans="1:13" ht="13">
      <c r="A2128" s="4" t="s">
        <v>5390</v>
      </c>
      <c r="B2128" s="4" t="s">
        <v>4926</v>
      </c>
      <c r="C2128" s="4" t="s">
        <v>108</v>
      </c>
      <c r="D2128" s="4" t="s">
        <v>4944</v>
      </c>
      <c r="E2128" s="4" t="s">
        <v>9</v>
      </c>
      <c r="F2128" s="4" t="s">
        <v>5391</v>
      </c>
      <c r="G2128" s="4" t="s">
        <v>5392</v>
      </c>
      <c r="H2128" s="4">
        <v>3.42</v>
      </c>
      <c r="I2128" s="4">
        <v>1.06</v>
      </c>
      <c r="J2128" s="4">
        <v>0.20498</v>
      </c>
      <c r="K2128" s="4" t="b">
        <v>1</v>
      </c>
      <c r="L2128" s="4" t="b">
        <v>0</v>
      </c>
    </row>
    <row r="2129" spans="1:13" ht="13">
      <c r="A2129" s="4" t="s">
        <v>5393</v>
      </c>
      <c r="B2129" s="4" t="s">
        <v>4926</v>
      </c>
      <c r="C2129" s="4" t="s">
        <v>108</v>
      </c>
      <c r="D2129" s="4" t="s">
        <v>4944</v>
      </c>
      <c r="E2129" s="4" t="s">
        <v>9</v>
      </c>
      <c r="F2129" s="4" t="s">
        <v>5394</v>
      </c>
      <c r="G2129" s="4" t="s">
        <v>5395</v>
      </c>
      <c r="H2129" s="4">
        <v>3.43</v>
      </c>
      <c r="I2129" s="4">
        <v>1.01</v>
      </c>
      <c r="J2129" s="4">
        <v>0.20132</v>
      </c>
      <c r="K2129" s="4" t="b">
        <v>1</v>
      </c>
      <c r="L2129" s="4" t="b">
        <v>0</v>
      </c>
    </row>
    <row r="2130" spans="1:13" ht="13">
      <c r="A2130" s="4" t="s">
        <v>824</v>
      </c>
      <c r="B2130" s="4" t="s">
        <v>4926</v>
      </c>
      <c r="C2130" s="4" t="s">
        <v>108</v>
      </c>
      <c r="D2130" s="4" t="s">
        <v>4944</v>
      </c>
      <c r="E2130" s="4" t="s">
        <v>9</v>
      </c>
      <c r="F2130" s="4" t="s">
        <v>4948</v>
      </c>
      <c r="G2130" s="4" t="s">
        <v>710</v>
      </c>
      <c r="H2130" s="4">
        <v>3.45</v>
      </c>
      <c r="I2130" s="4">
        <v>1.03</v>
      </c>
      <c r="J2130" s="4">
        <v>0.19972000000000001</v>
      </c>
      <c r="K2130" s="4" t="b">
        <v>1</v>
      </c>
      <c r="L2130" s="4" t="b">
        <v>1</v>
      </c>
      <c r="M2130" s="41" t="s">
        <v>4929</v>
      </c>
    </row>
    <row r="2131" spans="1:13" ht="13">
      <c r="A2131" s="4" t="s">
        <v>825</v>
      </c>
      <c r="B2131" s="4" t="s">
        <v>4926</v>
      </c>
      <c r="C2131" s="4" t="s">
        <v>108</v>
      </c>
      <c r="D2131" s="4" t="s">
        <v>4944</v>
      </c>
      <c r="E2131" s="4" t="s">
        <v>9</v>
      </c>
      <c r="F2131" s="4" t="s">
        <v>5100</v>
      </c>
      <c r="G2131" s="4" t="s">
        <v>711</v>
      </c>
      <c r="H2131" s="4">
        <v>3.47</v>
      </c>
      <c r="I2131" s="4">
        <v>1</v>
      </c>
      <c r="J2131" s="4">
        <v>0.20102</v>
      </c>
      <c r="K2131" s="4" t="b">
        <v>1</v>
      </c>
      <c r="L2131" s="4" t="b">
        <v>1</v>
      </c>
      <c r="M2131" s="41" t="s">
        <v>4929</v>
      </c>
    </row>
    <row r="2132" spans="1:13" ht="13">
      <c r="A2132" s="4" t="s">
        <v>5396</v>
      </c>
      <c r="B2132" s="4" t="s">
        <v>4926</v>
      </c>
      <c r="C2132" s="4" t="s">
        <v>108</v>
      </c>
      <c r="D2132" s="4" t="s">
        <v>4944</v>
      </c>
      <c r="E2132" s="4" t="s">
        <v>9</v>
      </c>
      <c r="F2132" s="4" t="s">
        <v>5397</v>
      </c>
      <c r="G2132" s="4" t="s">
        <v>5398</v>
      </c>
      <c r="H2132" s="4">
        <v>3.48</v>
      </c>
      <c r="I2132" s="4">
        <v>0.97</v>
      </c>
      <c r="J2132" s="4">
        <v>0.20130999999999999</v>
      </c>
      <c r="K2132" s="4" t="b">
        <v>1</v>
      </c>
      <c r="L2132" s="4" t="b">
        <v>0</v>
      </c>
    </row>
    <row r="2133" spans="1:13" ht="13">
      <c r="A2133" s="4" t="s">
        <v>5399</v>
      </c>
      <c r="B2133" s="4" t="s">
        <v>4926</v>
      </c>
      <c r="C2133" s="4" t="s">
        <v>108</v>
      </c>
      <c r="D2133" s="4" t="s">
        <v>4944</v>
      </c>
      <c r="E2133" s="4" t="s">
        <v>9</v>
      </c>
      <c r="F2133" s="4" t="s">
        <v>5400</v>
      </c>
      <c r="G2133" s="4" t="s">
        <v>5401</v>
      </c>
      <c r="H2133" s="4">
        <v>3.5</v>
      </c>
      <c r="I2133" s="4">
        <v>1.02</v>
      </c>
      <c r="J2133" s="4">
        <v>0.19535</v>
      </c>
      <c r="K2133" s="4" t="b">
        <v>1</v>
      </c>
      <c r="L2133" s="4" t="b">
        <v>0</v>
      </c>
    </row>
    <row r="2134" spans="1:13" ht="13">
      <c r="A2134" s="4" t="s">
        <v>5402</v>
      </c>
      <c r="B2134" s="4" t="s">
        <v>4926</v>
      </c>
      <c r="C2134" s="4" t="s">
        <v>108</v>
      </c>
      <c r="D2134" s="4" t="s">
        <v>4944</v>
      </c>
      <c r="E2134" s="4" t="s">
        <v>9</v>
      </c>
      <c r="F2134" s="4" t="s">
        <v>5403</v>
      </c>
      <c r="G2134" s="4" t="s">
        <v>5404</v>
      </c>
      <c r="H2134" s="4">
        <v>3.53</v>
      </c>
      <c r="I2134" s="4">
        <v>0.99</v>
      </c>
      <c r="J2134" s="4">
        <v>0.18951000000000001</v>
      </c>
      <c r="K2134" s="4" t="b">
        <v>1</v>
      </c>
      <c r="L2134" s="4" t="b">
        <v>0</v>
      </c>
    </row>
    <row r="2135" spans="1:13" ht="13">
      <c r="A2135" s="4" t="s">
        <v>5405</v>
      </c>
      <c r="B2135" s="4" t="s">
        <v>4926</v>
      </c>
      <c r="C2135" s="4" t="s">
        <v>108</v>
      </c>
      <c r="D2135" s="4" t="s">
        <v>4944</v>
      </c>
      <c r="E2135" s="4" t="s">
        <v>9</v>
      </c>
      <c r="F2135" s="4" t="s">
        <v>5406</v>
      </c>
      <c r="G2135" s="4" t="s">
        <v>5407</v>
      </c>
      <c r="H2135" s="4">
        <v>3.55</v>
      </c>
      <c r="I2135" s="4">
        <v>1.02</v>
      </c>
      <c r="J2135" s="4">
        <v>0.20141999999999999</v>
      </c>
      <c r="K2135" s="4" t="b">
        <v>1</v>
      </c>
      <c r="L2135" s="4" t="b">
        <v>0</v>
      </c>
    </row>
    <row r="2136" spans="1:13" ht="13">
      <c r="A2136" s="4" t="s">
        <v>5408</v>
      </c>
      <c r="B2136" s="4" t="s">
        <v>4926</v>
      </c>
      <c r="C2136" s="4" t="s">
        <v>108</v>
      </c>
      <c r="D2136" s="4" t="s">
        <v>4944</v>
      </c>
      <c r="E2136" s="4" t="s">
        <v>9</v>
      </c>
      <c r="F2136" s="4" t="s">
        <v>5409</v>
      </c>
      <c r="G2136" s="4" t="s">
        <v>309</v>
      </c>
      <c r="H2136" s="4">
        <v>3.57</v>
      </c>
      <c r="I2136" s="4">
        <v>0.96</v>
      </c>
      <c r="J2136" s="4">
        <v>0.19370999999999999</v>
      </c>
      <c r="K2136" s="4" t="b">
        <v>1</v>
      </c>
      <c r="L2136" s="4" t="b">
        <v>0</v>
      </c>
    </row>
    <row r="2137" spans="1:13" ht="13">
      <c r="A2137" s="4" t="s">
        <v>5410</v>
      </c>
      <c r="B2137" s="4" t="s">
        <v>4926</v>
      </c>
      <c r="C2137" s="4" t="s">
        <v>108</v>
      </c>
      <c r="D2137" s="4" t="s">
        <v>4944</v>
      </c>
      <c r="E2137" s="4" t="s">
        <v>9</v>
      </c>
      <c r="F2137" s="4" t="s">
        <v>5411</v>
      </c>
      <c r="G2137" s="4" t="s">
        <v>5412</v>
      </c>
      <c r="H2137" s="4">
        <v>3.6</v>
      </c>
      <c r="I2137" s="4">
        <v>0.98</v>
      </c>
      <c r="J2137" s="4">
        <v>0.18787000000000001</v>
      </c>
      <c r="K2137" s="4" t="b">
        <v>1</v>
      </c>
      <c r="L2137" s="4" t="b">
        <v>0</v>
      </c>
    </row>
    <row r="2138" spans="1:13" ht="13">
      <c r="A2138" s="4" t="s">
        <v>5413</v>
      </c>
      <c r="B2138" s="4" t="s">
        <v>4926</v>
      </c>
      <c r="C2138" s="4" t="s">
        <v>108</v>
      </c>
      <c r="D2138" s="4" t="s">
        <v>4944</v>
      </c>
      <c r="E2138" s="4" t="s">
        <v>9</v>
      </c>
      <c r="F2138" s="4" t="s">
        <v>5414</v>
      </c>
      <c r="G2138" s="4" t="s">
        <v>5415</v>
      </c>
      <c r="H2138" s="4">
        <v>3.63</v>
      </c>
      <c r="I2138" s="4">
        <v>0.96</v>
      </c>
      <c r="J2138" s="4">
        <v>0.19234000000000001</v>
      </c>
      <c r="K2138" s="4" t="b">
        <v>1</v>
      </c>
      <c r="L2138" s="4" t="b">
        <v>0</v>
      </c>
    </row>
    <row r="2139" spans="1:13" ht="13">
      <c r="A2139" s="4" t="s">
        <v>5416</v>
      </c>
      <c r="B2139" s="4" t="s">
        <v>4926</v>
      </c>
      <c r="C2139" s="4" t="s">
        <v>108</v>
      </c>
      <c r="D2139" s="4" t="s">
        <v>4944</v>
      </c>
      <c r="E2139" s="4" t="s">
        <v>9</v>
      </c>
      <c r="F2139" s="4" t="s">
        <v>5417</v>
      </c>
      <c r="G2139" s="4" t="s">
        <v>5418</v>
      </c>
      <c r="H2139" s="4">
        <v>3.65</v>
      </c>
      <c r="I2139" s="4">
        <v>0.96</v>
      </c>
      <c r="J2139" s="4">
        <v>0.18701000000000001</v>
      </c>
      <c r="K2139" s="4" t="b">
        <v>1</v>
      </c>
      <c r="L2139" s="4" t="b">
        <v>0</v>
      </c>
    </row>
    <row r="2140" spans="1:13" ht="13">
      <c r="A2140" s="4" t="s">
        <v>5419</v>
      </c>
      <c r="B2140" s="4" t="s">
        <v>4926</v>
      </c>
      <c r="C2140" s="4" t="s">
        <v>108</v>
      </c>
      <c r="D2140" s="4" t="s">
        <v>4944</v>
      </c>
      <c r="E2140" s="4" t="s">
        <v>9</v>
      </c>
      <c r="F2140" s="4" t="s">
        <v>5420</v>
      </c>
      <c r="G2140" s="4" t="s">
        <v>5421</v>
      </c>
      <c r="H2140" s="4">
        <v>3.67</v>
      </c>
      <c r="I2140" s="4">
        <v>1.01</v>
      </c>
      <c r="J2140" s="4">
        <v>0.19742000000000001</v>
      </c>
      <c r="K2140" s="4" t="b">
        <v>1</v>
      </c>
      <c r="L2140" s="4" t="b">
        <v>0</v>
      </c>
    </row>
    <row r="2141" spans="1:13" ht="13">
      <c r="A2141" s="4" t="s">
        <v>826</v>
      </c>
      <c r="B2141" s="4" t="s">
        <v>4926</v>
      </c>
      <c r="C2141" s="4" t="s">
        <v>108</v>
      </c>
      <c r="D2141" s="4" t="s">
        <v>4944</v>
      </c>
      <c r="E2141" s="4" t="s">
        <v>9</v>
      </c>
      <c r="F2141" s="4" t="s">
        <v>5101</v>
      </c>
      <c r="G2141" s="4" t="s">
        <v>712</v>
      </c>
      <c r="H2141" s="4">
        <v>3.68</v>
      </c>
      <c r="I2141" s="4">
        <v>0.98</v>
      </c>
      <c r="J2141" s="4">
        <v>0.19441</v>
      </c>
      <c r="K2141" s="4" t="b">
        <v>1</v>
      </c>
      <c r="L2141" s="4" t="b">
        <v>1</v>
      </c>
      <c r="M2141" s="41" t="s">
        <v>4929</v>
      </c>
    </row>
    <row r="2142" spans="1:13" ht="13">
      <c r="A2142" s="4" t="s">
        <v>827</v>
      </c>
      <c r="B2142" s="4" t="s">
        <v>4926</v>
      </c>
      <c r="C2142" s="4" t="s">
        <v>108</v>
      </c>
      <c r="D2142" s="4" t="s">
        <v>4944</v>
      </c>
      <c r="E2142" s="4" t="s">
        <v>9</v>
      </c>
      <c r="F2142" s="4" t="s">
        <v>4949</v>
      </c>
      <c r="G2142" s="4" t="s">
        <v>713</v>
      </c>
      <c r="H2142" s="4">
        <v>3.7</v>
      </c>
      <c r="I2142" s="4">
        <v>1.04</v>
      </c>
      <c r="J2142" s="4">
        <v>0.21026</v>
      </c>
      <c r="K2142" s="4" t="b">
        <v>1</v>
      </c>
      <c r="L2142" s="4" t="b">
        <v>1</v>
      </c>
      <c r="M2142" s="41" t="s">
        <v>4929</v>
      </c>
    </row>
    <row r="2143" spans="1:13" ht="13">
      <c r="A2143" s="4" t="s">
        <v>5422</v>
      </c>
      <c r="B2143" s="4" t="s">
        <v>4926</v>
      </c>
      <c r="C2143" s="4" t="s">
        <v>108</v>
      </c>
      <c r="D2143" s="4" t="s">
        <v>4944</v>
      </c>
      <c r="E2143" s="4" t="s">
        <v>9</v>
      </c>
      <c r="F2143" s="4" t="s">
        <v>5423</v>
      </c>
      <c r="G2143" s="4" t="s">
        <v>5424</v>
      </c>
      <c r="H2143" s="4">
        <v>3.73</v>
      </c>
      <c r="I2143" s="4">
        <v>0.97</v>
      </c>
      <c r="J2143" s="4">
        <v>0.18604000000000001</v>
      </c>
      <c r="K2143" s="4" t="b">
        <v>1</v>
      </c>
      <c r="L2143" s="4" t="b">
        <v>0</v>
      </c>
    </row>
    <row r="2144" spans="1:13" ht="13">
      <c r="A2144" s="4" t="s">
        <v>828</v>
      </c>
      <c r="B2144" s="4" t="s">
        <v>4926</v>
      </c>
      <c r="C2144" s="4" t="s">
        <v>108</v>
      </c>
      <c r="D2144" s="4" t="s">
        <v>4944</v>
      </c>
      <c r="E2144" s="4" t="s">
        <v>9</v>
      </c>
      <c r="F2144" s="4" t="s">
        <v>5102</v>
      </c>
      <c r="G2144" s="4" t="s">
        <v>714</v>
      </c>
      <c r="H2144" s="4">
        <v>4.2699999999999996</v>
      </c>
      <c r="I2144" s="4">
        <v>1.02</v>
      </c>
      <c r="J2144" s="4">
        <v>0.20588999999999999</v>
      </c>
      <c r="K2144" s="4" t="b">
        <v>1</v>
      </c>
      <c r="L2144" s="4" t="b">
        <v>1</v>
      </c>
      <c r="M2144" s="41" t="s">
        <v>4929</v>
      </c>
    </row>
    <row r="2145" spans="1:13" ht="13">
      <c r="A2145" s="4" t="s">
        <v>829</v>
      </c>
      <c r="B2145" s="4" t="s">
        <v>4926</v>
      </c>
      <c r="C2145" s="4" t="s">
        <v>108</v>
      </c>
      <c r="D2145" s="4" t="s">
        <v>4944</v>
      </c>
      <c r="E2145" s="4" t="s">
        <v>9</v>
      </c>
      <c r="F2145" s="4" t="s">
        <v>5146</v>
      </c>
      <c r="G2145" s="4" t="s">
        <v>315</v>
      </c>
      <c r="H2145" s="4">
        <v>4.28</v>
      </c>
      <c r="I2145" s="4">
        <v>0.96</v>
      </c>
      <c r="J2145" s="4">
        <v>0.18587000000000001</v>
      </c>
      <c r="K2145" s="4" t="b">
        <v>1</v>
      </c>
      <c r="L2145" s="4" t="b">
        <v>1</v>
      </c>
      <c r="M2145" s="41" t="s">
        <v>4955</v>
      </c>
    </row>
    <row r="2146" spans="1:13" ht="13">
      <c r="A2146" s="4" t="s">
        <v>830</v>
      </c>
      <c r="B2146" s="4" t="s">
        <v>4926</v>
      </c>
      <c r="C2146" s="4" t="s">
        <v>108</v>
      </c>
      <c r="D2146" s="4" t="s">
        <v>4944</v>
      </c>
      <c r="E2146" s="4" t="s">
        <v>9</v>
      </c>
      <c r="F2146" s="4" t="s">
        <v>4950</v>
      </c>
      <c r="G2146" s="4" t="s">
        <v>715</v>
      </c>
      <c r="H2146" s="4">
        <v>4.3</v>
      </c>
      <c r="I2146" s="4">
        <v>1</v>
      </c>
      <c r="J2146" s="4">
        <v>0.18848999999999999</v>
      </c>
      <c r="K2146" s="4" t="b">
        <v>1</v>
      </c>
      <c r="L2146" s="4" t="b">
        <v>1</v>
      </c>
      <c r="M2146" s="41" t="s">
        <v>4929</v>
      </c>
    </row>
    <row r="2147" spans="1:13" ht="13">
      <c r="A2147" s="4" t="s">
        <v>5425</v>
      </c>
      <c r="B2147" s="4" t="s">
        <v>4926</v>
      </c>
      <c r="C2147" s="4" t="s">
        <v>108</v>
      </c>
      <c r="D2147" s="4" t="s">
        <v>4944</v>
      </c>
      <c r="E2147" s="4" t="s">
        <v>9</v>
      </c>
      <c r="F2147" s="4" t="s">
        <v>5426</v>
      </c>
      <c r="G2147" s="4" t="s">
        <v>5427</v>
      </c>
      <c r="H2147" s="4">
        <v>4.32</v>
      </c>
      <c r="I2147" s="4">
        <v>1.02</v>
      </c>
      <c r="J2147" s="4">
        <v>0.19288</v>
      </c>
      <c r="K2147" s="4" t="b">
        <v>1</v>
      </c>
      <c r="L2147" s="4" t="b">
        <v>0</v>
      </c>
    </row>
    <row r="2148" spans="1:13" ht="13">
      <c r="A2148" s="4" t="s">
        <v>5428</v>
      </c>
      <c r="B2148" s="4" t="s">
        <v>4926</v>
      </c>
      <c r="C2148" s="4" t="s">
        <v>108</v>
      </c>
      <c r="D2148" s="4" t="s">
        <v>4944</v>
      </c>
      <c r="E2148" s="4" t="s">
        <v>9</v>
      </c>
      <c r="F2148" s="4" t="s">
        <v>5429</v>
      </c>
      <c r="G2148" s="4" t="s">
        <v>5430</v>
      </c>
      <c r="H2148" s="4">
        <v>4.33</v>
      </c>
      <c r="I2148" s="4">
        <v>0.96</v>
      </c>
      <c r="J2148" s="4">
        <v>0.19062000000000001</v>
      </c>
      <c r="K2148" s="4" t="b">
        <v>1</v>
      </c>
      <c r="L2148" s="4" t="b">
        <v>0</v>
      </c>
    </row>
    <row r="2149" spans="1:13" ht="13">
      <c r="A2149" s="4" t="s">
        <v>831</v>
      </c>
      <c r="B2149" s="4" t="s">
        <v>4926</v>
      </c>
      <c r="C2149" s="4" t="s">
        <v>108</v>
      </c>
      <c r="D2149" s="4" t="s">
        <v>4944</v>
      </c>
      <c r="E2149" s="4" t="s">
        <v>9</v>
      </c>
      <c r="F2149" s="4" t="s">
        <v>5103</v>
      </c>
      <c r="G2149" s="4" t="s">
        <v>716</v>
      </c>
      <c r="H2149" s="4">
        <v>4.3499999999999996</v>
      </c>
      <c r="I2149" s="4">
        <v>1</v>
      </c>
      <c r="J2149" s="4">
        <v>0.19092999999999999</v>
      </c>
      <c r="K2149" s="4" t="b">
        <v>1</v>
      </c>
      <c r="L2149" s="4" t="b">
        <v>1</v>
      </c>
      <c r="M2149" s="41" t="s">
        <v>4929</v>
      </c>
    </row>
    <row r="2150" spans="1:13" ht="13">
      <c r="A2150" s="4" t="s">
        <v>5431</v>
      </c>
      <c r="B2150" s="4" t="s">
        <v>4926</v>
      </c>
      <c r="C2150" s="4" t="s">
        <v>108</v>
      </c>
      <c r="D2150" s="4" t="s">
        <v>4944</v>
      </c>
      <c r="E2150" s="4" t="s">
        <v>9</v>
      </c>
      <c r="F2150" s="4" t="s">
        <v>5432</v>
      </c>
      <c r="G2150" s="4" t="s">
        <v>5433</v>
      </c>
      <c r="H2150" s="4">
        <v>4.37</v>
      </c>
      <c r="I2150" s="4">
        <v>1</v>
      </c>
      <c r="J2150" s="4">
        <v>0.18864</v>
      </c>
      <c r="K2150" s="4" t="b">
        <v>1</v>
      </c>
      <c r="L2150" s="4" t="b">
        <v>0</v>
      </c>
    </row>
    <row r="2151" spans="1:13" ht="13">
      <c r="A2151" s="4" t="s">
        <v>5443</v>
      </c>
      <c r="B2151" s="4" t="s">
        <v>4926</v>
      </c>
      <c r="C2151" s="4" t="s">
        <v>108</v>
      </c>
      <c r="D2151" s="4" t="s">
        <v>4944</v>
      </c>
      <c r="E2151" s="4" t="s">
        <v>9</v>
      </c>
      <c r="F2151" s="4" t="s">
        <v>5444</v>
      </c>
      <c r="G2151" s="4" t="s">
        <v>5445</v>
      </c>
      <c r="H2151" s="4">
        <v>4.5999999999999996</v>
      </c>
      <c r="I2151" s="4">
        <v>0.99</v>
      </c>
      <c r="J2151" s="4">
        <v>0.19800999999999999</v>
      </c>
      <c r="K2151" s="4" t="b">
        <v>1</v>
      </c>
      <c r="L2151" s="4" t="b">
        <v>0</v>
      </c>
    </row>
    <row r="2152" spans="1:13" ht="13">
      <c r="A2152" s="4" t="s">
        <v>5446</v>
      </c>
      <c r="B2152" s="4" t="s">
        <v>4926</v>
      </c>
      <c r="C2152" s="4" t="s">
        <v>108</v>
      </c>
      <c r="D2152" s="4" t="s">
        <v>4944</v>
      </c>
      <c r="E2152" s="4" t="s">
        <v>9</v>
      </c>
      <c r="F2152" s="4" t="s">
        <v>5447</v>
      </c>
      <c r="G2152" s="4" t="s">
        <v>5448</v>
      </c>
      <c r="H2152" s="4">
        <v>4.62</v>
      </c>
      <c r="I2152" s="4">
        <v>1.03</v>
      </c>
      <c r="J2152" s="4">
        <v>0.23512</v>
      </c>
      <c r="K2152" s="4" t="b">
        <v>1</v>
      </c>
      <c r="L2152" s="4" t="b">
        <v>0</v>
      </c>
    </row>
    <row r="2153" spans="1:13" ht="13">
      <c r="A2153" s="4" t="s">
        <v>5449</v>
      </c>
      <c r="B2153" s="4" t="s">
        <v>4926</v>
      </c>
      <c r="C2153" s="4" t="s">
        <v>108</v>
      </c>
      <c r="D2153" s="4" t="s">
        <v>4944</v>
      </c>
      <c r="E2153" s="4" t="s">
        <v>9</v>
      </c>
      <c r="F2153" s="4" t="s">
        <v>5450</v>
      </c>
      <c r="G2153" s="4" t="s">
        <v>5451</v>
      </c>
      <c r="H2153" s="4">
        <v>4.63</v>
      </c>
      <c r="I2153" s="4">
        <v>0.99</v>
      </c>
      <c r="J2153" s="4">
        <v>0.18701999999999999</v>
      </c>
      <c r="K2153" s="4" t="b">
        <v>1</v>
      </c>
      <c r="L2153" s="4" t="b">
        <v>0</v>
      </c>
    </row>
    <row r="2154" spans="1:13" ht="13">
      <c r="A2154" s="4" t="s">
        <v>5452</v>
      </c>
      <c r="B2154" s="4" t="s">
        <v>4926</v>
      </c>
      <c r="C2154" s="4" t="s">
        <v>108</v>
      </c>
      <c r="D2154" s="4" t="s">
        <v>4944</v>
      </c>
      <c r="E2154" s="4" t="s">
        <v>9</v>
      </c>
      <c r="F2154" s="4" t="s">
        <v>5453</v>
      </c>
      <c r="G2154" s="4" t="s">
        <v>5454</v>
      </c>
      <c r="H2154" s="4">
        <v>4.6500000000000004</v>
      </c>
      <c r="I2154" s="4">
        <v>0.99</v>
      </c>
      <c r="J2154" s="4">
        <v>0.19245999999999999</v>
      </c>
      <c r="K2154" s="4" t="b">
        <v>1</v>
      </c>
      <c r="L2154" s="4" t="b">
        <v>0</v>
      </c>
    </row>
    <row r="2155" spans="1:13" ht="13">
      <c r="A2155" s="4" t="s">
        <v>5455</v>
      </c>
      <c r="B2155" s="4" t="s">
        <v>4926</v>
      </c>
      <c r="C2155" s="4" t="s">
        <v>108</v>
      </c>
      <c r="D2155" s="4" t="s">
        <v>4944</v>
      </c>
      <c r="E2155" s="4" t="s">
        <v>9</v>
      </c>
      <c r="F2155" s="4" t="s">
        <v>5456</v>
      </c>
      <c r="G2155" s="4" t="s">
        <v>5457</v>
      </c>
      <c r="H2155" s="4">
        <v>4.67</v>
      </c>
      <c r="I2155" s="4">
        <v>1.05</v>
      </c>
      <c r="J2155" s="4">
        <v>0.22298999999999999</v>
      </c>
      <c r="K2155" s="4" t="b">
        <v>1</v>
      </c>
      <c r="L2155" s="4" t="b">
        <v>0</v>
      </c>
    </row>
    <row r="2156" spans="1:13" ht="13">
      <c r="A2156" s="4" t="s">
        <v>5458</v>
      </c>
      <c r="B2156" s="4" t="s">
        <v>4926</v>
      </c>
      <c r="C2156" s="4" t="s">
        <v>108</v>
      </c>
      <c r="D2156" s="4" t="s">
        <v>4944</v>
      </c>
      <c r="E2156" s="4" t="s">
        <v>9</v>
      </c>
      <c r="F2156" s="4" t="s">
        <v>5459</v>
      </c>
      <c r="G2156" s="4" t="s">
        <v>5460</v>
      </c>
      <c r="H2156" s="4">
        <v>4.7</v>
      </c>
      <c r="I2156" s="4">
        <v>1.02</v>
      </c>
      <c r="J2156" s="4">
        <v>0.19259999999999999</v>
      </c>
      <c r="K2156" s="4" t="b">
        <v>1</v>
      </c>
      <c r="L2156" s="4" t="b">
        <v>0</v>
      </c>
    </row>
    <row r="2157" spans="1:13" ht="13">
      <c r="A2157" s="4" t="s">
        <v>5461</v>
      </c>
      <c r="B2157" s="4" t="s">
        <v>4926</v>
      </c>
      <c r="C2157" s="4" t="s">
        <v>108</v>
      </c>
      <c r="D2157" s="4" t="s">
        <v>4944</v>
      </c>
      <c r="E2157" s="4" t="s">
        <v>9</v>
      </c>
      <c r="F2157" s="4" t="s">
        <v>5462</v>
      </c>
      <c r="G2157" s="4" t="s">
        <v>5463</v>
      </c>
      <c r="H2157" s="4">
        <v>4.72</v>
      </c>
      <c r="I2157" s="4">
        <v>0.98</v>
      </c>
      <c r="J2157" s="4">
        <v>0.18598999999999999</v>
      </c>
      <c r="K2157" s="4" t="b">
        <v>1</v>
      </c>
      <c r="L2157" s="4" t="b">
        <v>0</v>
      </c>
    </row>
    <row r="2158" spans="1:13" ht="13">
      <c r="A2158" s="4" t="s">
        <v>5464</v>
      </c>
      <c r="B2158" s="4" t="s">
        <v>4926</v>
      </c>
      <c r="C2158" s="4" t="s">
        <v>108</v>
      </c>
      <c r="D2158" s="4" t="s">
        <v>4944</v>
      </c>
      <c r="E2158" s="4" t="s">
        <v>9</v>
      </c>
      <c r="F2158" s="4" t="s">
        <v>5465</v>
      </c>
      <c r="G2158" s="4" t="s">
        <v>5466</v>
      </c>
      <c r="H2158" s="4">
        <v>4.7300000000000004</v>
      </c>
      <c r="I2158" s="4">
        <v>1.03</v>
      </c>
      <c r="J2158" s="4">
        <v>0.20669000000000001</v>
      </c>
      <c r="K2158" s="4" t="b">
        <v>1</v>
      </c>
      <c r="L2158" s="4" t="b">
        <v>0</v>
      </c>
    </row>
    <row r="2159" spans="1:13" ht="13">
      <c r="A2159" s="4" t="s">
        <v>5467</v>
      </c>
      <c r="B2159" s="4" t="s">
        <v>4926</v>
      </c>
      <c r="C2159" s="4" t="s">
        <v>108</v>
      </c>
      <c r="D2159" s="4" t="s">
        <v>4944</v>
      </c>
      <c r="E2159" s="4" t="s">
        <v>9</v>
      </c>
      <c r="F2159" s="4" t="s">
        <v>5468</v>
      </c>
      <c r="G2159" s="4" t="s">
        <v>5469</v>
      </c>
      <c r="H2159" s="4">
        <v>2.12</v>
      </c>
      <c r="I2159" s="4">
        <v>0.98</v>
      </c>
      <c r="J2159" s="4">
        <v>0.19545999999999999</v>
      </c>
      <c r="K2159" s="4" t="b">
        <v>1</v>
      </c>
      <c r="L2159" s="4" t="b">
        <v>0</v>
      </c>
    </row>
    <row r="2160" spans="1:13" ht="13">
      <c r="A2160" s="4" t="s">
        <v>5470</v>
      </c>
      <c r="B2160" s="4" t="s">
        <v>4926</v>
      </c>
      <c r="C2160" s="4" t="s">
        <v>108</v>
      </c>
      <c r="D2160" s="4" t="s">
        <v>4944</v>
      </c>
      <c r="E2160" s="4" t="s">
        <v>9</v>
      </c>
      <c r="F2160" s="4" t="s">
        <v>5471</v>
      </c>
      <c r="G2160" s="4" t="s">
        <v>5472</v>
      </c>
      <c r="H2160" s="4">
        <v>2.13</v>
      </c>
      <c r="I2160" s="4">
        <v>1.07</v>
      </c>
      <c r="J2160" s="4">
        <v>0.20147000000000001</v>
      </c>
      <c r="K2160" s="4" t="b">
        <v>1</v>
      </c>
      <c r="L2160" s="4" t="b">
        <v>0</v>
      </c>
    </row>
    <row r="2161" spans="1:13" ht="13">
      <c r="A2161" s="4" t="s">
        <v>5473</v>
      </c>
      <c r="B2161" s="4" t="s">
        <v>4926</v>
      </c>
      <c r="C2161" s="4" t="s">
        <v>108</v>
      </c>
      <c r="D2161" s="4" t="s">
        <v>4944</v>
      </c>
      <c r="E2161" s="4" t="s">
        <v>9</v>
      </c>
      <c r="F2161" s="4" t="s">
        <v>5474</v>
      </c>
      <c r="G2161" s="4" t="s">
        <v>5475</v>
      </c>
      <c r="H2161" s="4">
        <v>2.15</v>
      </c>
      <c r="I2161" s="4">
        <v>1</v>
      </c>
      <c r="J2161" s="4">
        <v>0.20057</v>
      </c>
      <c r="K2161" s="4" t="b">
        <v>1</v>
      </c>
      <c r="L2161" s="4" t="b">
        <v>0</v>
      </c>
    </row>
    <row r="2162" spans="1:13" ht="13">
      <c r="A2162" s="4" t="s">
        <v>5476</v>
      </c>
      <c r="B2162" s="4" t="s">
        <v>4926</v>
      </c>
      <c r="C2162" s="4" t="s">
        <v>108</v>
      </c>
      <c r="D2162" s="4" t="s">
        <v>4944</v>
      </c>
      <c r="E2162" s="4" t="s">
        <v>9</v>
      </c>
      <c r="F2162" s="4" t="s">
        <v>5477</v>
      </c>
      <c r="G2162" s="4" t="s">
        <v>5478</v>
      </c>
      <c r="H2162" s="4">
        <v>2.1800000000000002</v>
      </c>
      <c r="I2162" s="4">
        <v>1</v>
      </c>
      <c r="J2162" s="4">
        <v>0.19539999999999999</v>
      </c>
      <c r="K2162" s="4" t="b">
        <v>1</v>
      </c>
      <c r="L2162" s="4" t="b">
        <v>0</v>
      </c>
    </row>
    <row r="2163" spans="1:13" ht="13">
      <c r="A2163" s="4" t="s">
        <v>5479</v>
      </c>
      <c r="B2163" s="4" t="s">
        <v>4926</v>
      </c>
      <c r="C2163" s="4" t="s">
        <v>108</v>
      </c>
      <c r="D2163" s="4" t="s">
        <v>4944</v>
      </c>
      <c r="E2163" s="4" t="s">
        <v>9</v>
      </c>
      <c r="F2163" s="4" t="s">
        <v>5480</v>
      </c>
      <c r="G2163" s="4" t="s">
        <v>5481</v>
      </c>
      <c r="H2163" s="4">
        <v>2.25</v>
      </c>
      <c r="I2163" s="4">
        <v>0.99</v>
      </c>
      <c r="J2163" s="4">
        <v>0.19289999999999999</v>
      </c>
      <c r="K2163" s="4" t="b">
        <v>1</v>
      </c>
      <c r="L2163" s="4" t="b">
        <v>0</v>
      </c>
    </row>
    <row r="2164" spans="1:13" ht="13">
      <c r="A2164" s="4" t="s">
        <v>5482</v>
      </c>
      <c r="B2164" s="4" t="s">
        <v>4926</v>
      </c>
      <c r="C2164" s="4" t="s">
        <v>108</v>
      </c>
      <c r="D2164" s="4" t="s">
        <v>4944</v>
      </c>
      <c r="E2164" s="4" t="s">
        <v>9</v>
      </c>
      <c r="F2164" s="4" t="s">
        <v>5483</v>
      </c>
      <c r="G2164" s="4" t="s">
        <v>5484</v>
      </c>
      <c r="H2164" s="4">
        <v>2.27</v>
      </c>
      <c r="I2164" s="4">
        <v>1.03</v>
      </c>
      <c r="J2164" s="4">
        <v>0.20335</v>
      </c>
      <c r="K2164" s="4" t="b">
        <v>1</v>
      </c>
      <c r="L2164" s="4" t="b">
        <v>0</v>
      </c>
    </row>
    <row r="2165" spans="1:13" ht="13">
      <c r="A2165" s="4" t="s">
        <v>5485</v>
      </c>
      <c r="B2165" s="4" t="s">
        <v>4926</v>
      </c>
      <c r="C2165" s="4" t="s">
        <v>108</v>
      </c>
      <c r="D2165" s="4" t="s">
        <v>4944</v>
      </c>
      <c r="E2165" s="4" t="s">
        <v>9</v>
      </c>
      <c r="F2165" s="41" t="s">
        <v>5486</v>
      </c>
      <c r="G2165" s="4" t="s">
        <v>5487</v>
      </c>
      <c r="H2165" s="4">
        <v>2.2799999999999998</v>
      </c>
      <c r="I2165" s="4">
        <v>0.99</v>
      </c>
      <c r="J2165" s="4">
        <v>0.18661</v>
      </c>
      <c r="K2165" s="4" t="b">
        <v>1</v>
      </c>
      <c r="L2165" s="4" t="b">
        <v>0</v>
      </c>
    </row>
    <row r="2166" spans="1:13" ht="13">
      <c r="A2166" s="4" t="s">
        <v>5488</v>
      </c>
      <c r="B2166" s="4" t="s">
        <v>4926</v>
      </c>
      <c r="C2166" s="4" t="s">
        <v>108</v>
      </c>
      <c r="D2166" s="4" t="s">
        <v>4944</v>
      </c>
      <c r="E2166" s="4" t="s">
        <v>9</v>
      </c>
      <c r="F2166" s="4" t="s">
        <v>5489</v>
      </c>
      <c r="G2166" s="4" t="s">
        <v>5490</v>
      </c>
      <c r="H2166" s="4">
        <v>2.2999999999999998</v>
      </c>
      <c r="I2166" s="4">
        <v>1.02</v>
      </c>
      <c r="J2166" s="4">
        <v>0.19852</v>
      </c>
      <c r="K2166" s="4" t="b">
        <v>1</v>
      </c>
      <c r="L2166" s="4" t="b">
        <v>0</v>
      </c>
    </row>
    <row r="2167" spans="1:13" ht="13">
      <c r="A2167" s="4" t="s">
        <v>5491</v>
      </c>
      <c r="B2167" s="4" t="s">
        <v>4926</v>
      </c>
      <c r="C2167" s="4" t="s">
        <v>108</v>
      </c>
      <c r="D2167" s="4" t="s">
        <v>4944</v>
      </c>
      <c r="E2167" s="4" t="s">
        <v>9</v>
      </c>
      <c r="F2167" s="41" t="s">
        <v>5492</v>
      </c>
      <c r="G2167" s="4" t="s">
        <v>5493</v>
      </c>
      <c r="H2167" s="4">
        <v>2.33</v>
      </c>
      <c r="I2167" s="4">
        <v>1.05</v>
      </c>
      <c r="J2167" s="4">
        <v>0.21342</v>
      </c>
      <c r="K2167" s="4" t="b">
        <v>1</v>
      </c>
      <c r="L2167" s="4" t="b">
        <v>0</v>
      </c>
    </row>
    <row r="2168" spans="1:13" ht="13">
      <c r="A2168" s="4" t="s">
        <v>5494</v>
      </c>
      <c r="B2168" s="4" t="s">
        <v>4926</v>
      </c>
      <c r="C2168" s="4" t="s">
        <v>108</v>
      </c>
      <c r="D2168" s="4" t="s">
        <v>4944</v>
      </c>
      <c r="E2168" s="4" t="s">
        <v>9</v>
      </c>
      <c r="F2168" s="4" t="s">
        <v>5495</v>
      </c>
      <c r="G2168" s="4" t="s">
        <v>5496</v>
      </c>
      <c r="H2168" s="4">
        <v>2.35</v>
      </c>
      <c r="I2168" s="4">
        <v>1.01</v>
      </c>
      <c r="J2168" s="4">
        <v>0.19807</v>
      </c>
      <c r="K2168" s="4" t="b">
        <v>1</v>
      </c>
      <c r="L2168" s="4" t="b">
        <v>0</v>
      </c>
    </row>
    <row r="2169" spans="1:13" ht="13">
      <c r="A2169" s="4" t="s">
        <v>5497</v>
      </c>
      <c r="B2169" s="4" t="s">
        <v>4926</v>
      </c>
      <c r="C2169" s="4" t="s">
        <v>108</v>
      </c>
      <c r="D2169" s="4" t="s">
        <v>4944</v>
      </c>
      <c r="E2169" s="4" t="s">
        <v>9</v>
      </c>
      <c r="F2169" s="4" t="s">
        <v>5498</v>
      </c>
      <c r="G2169" s="4" t="s">
        <v>5499</v>
      </c>
      <c r="H2169" s="4">
        <v>2.4</v>
      </c>
      <c r="I2169" s="4">
        <v>0.98</v>
      </c>
      <c r="J2169" s="4">
        <v>0.19127</v>
      </c>
      <c r="K2169" s="4" t="b">
        <v>1</v>
      </c>
      <c r="L2169" s="4" t="b">
        <v>0</v>
      </c>
    </row>
    <row r="2170" spans="1:13" ht="13">
      <c r="A2170" s="4" t="s">
        <v>5500</v>
      </c>
      <c r="B2170" s="4" t="s">
        <v>4926</v>
      </c>
      <c r="C2170" s="4" t="s">
        <v>108</v>
      </c>
      <c r="D2170" s="4" t="s">
        <v>4944</v>
      </c>
      <c r="E2170" s="4" t="s">
        <v>9</v>
      </c>
      <c r="F2170" s="4" t="s">
        <v>5501</v>
      </c>
      <c r="G2170" s="4" t="s">
        <v>5502</v>
      </c>
      <c r="H2170" s="4">
        <v>2.42</v>
      </c>
      <c r="I2170" s="4">
        <v>1.07</v>
      </c>
      <c r="J2170" s="4">
        <v>0.21267</v>
      </c>
      <c r="K2170" s="4" t="b">
        <v>1</v>
      </c>
      <c r="L2170" s="4" t="b">
        <v>0</v>
      </c>
    </row>
    <row r="2171" spans="1:13" ht="13">
      <c r="A2171" s="4" t="s">
        <v>5503</v>
      </c>
      <c r="B2171" s="4" t="s">
        <v>4926</v>
      </c>
      <c r="C2171" s="4" t="s">
        <v>108</v>
      </c>
      <c r="D2171" s="4" t="s">
        <v>4944</v>
      </c>
      <c r="E2171" s="4" t="s">
        <v>9</v>
      </c>
      <c r="F2171" s="4" t="s">
        <v>5504</v>
      </c>
      <c r="G2171" s="4" t="s">
        <v>5505</v>
      </c>
      <c r="H2171" s="4">
        <v>2.4500000000000002</v>
      </c>
      <c r="I2171" s="4">
        <v>1.05</v>
      </c>
      <c r="J2171" s="4">
        <v>0.19484000000000001</v>
      </c>
      <c r="K2171" s="4" t="b">
        <v>1</v>
      </c>
      <c r="L2171" s="4" t="b">
        <v>0</v>
      </c>
    </row>
    <row r="2172" spans="1:13" ht="13">
      <c r="A2172" s="4" t="s">
        <v>5506</v>
      </c>
      <c r="B2172" s="4" t="s">
        <v>4926</v>
      </c>
      <c r="C2172" s="4" t="s">
        <v>108</v>
      </c>
      <c r="D2172" s="4" t="s">
        <v>4944</v>
      </c>
      <c r="E2172" s="4" t="s">
        <v>9</v>
      </c>
      <c r="F2172" s="4" t="s">
        <v>5507</v>
      </c>
      <c r="G2172" s="4" t="s">
        <v>5508</v>
      </c>
      <c r="H2172" s="4">
        <v>2.4700000000000002</v>
      </c>
      <c r="I2172" s="4">
        <v>0.99</v>
      </c>
      <c r="J2172" s="4">
        <v>0.20401</v>
      </c>
      <c r="K2172" s="4" t="b">
        <v>1</v>
      </c>
      <c r="L2172" s="4" t="b">
        <v>0</v>
      </c>
    </row>
    <row r="2173" spans="1:13" ht="13">
      <c r="A2173" s="4" t="s">
        <v>832</v>
      </c>
      <c r="B2173" s="4" t="s">
        <v>4926</v>
      </c>
      <c r="C2173" s="4" t="s">
        <v>108</v>
      </c>
      <c r="D2173" s="4" t="s">
        <v>4944</v>
      </c>
      <c r="E2173" s="4" t="s">
        <v>9</v>
      </c>
      <c r="F2173" s="4" t="s">
        <v>5104</v>
      </c>
      <c r="G2173" s="4" t="s">
        <v>717</v>
      </c>
      <c r="H2173" s="4">
        <v>2.5</v>
      </c>
      <c r="I2173" s="4">
        <v>1.05</v>
      </c>
      <c r="J2173" s="4">
        <v>0.23299</v>
      </c>
      <c r="K2173" s="4" t="b">
        <v>1</v>
      </c>
      <c r="L2173" s="4" t="b">
        <v>1</v>
      </c>
      <c r="M2173" s="41" t="s">
        <v>4929</v>
      </c>
    </row>
    <row r="2174" spans="1:13" ht="13">
      <c r="A2174" s="4" t="s">
        <v>5509</v>
      </c>
      <c r="B2174" s="4" t="s">
        <v>4926</v>
      </c>
      <c r="C2174" s="4" t="s">
        <v>108</v>
      </c>
      <c r="D2174" s="4" t="s">
        <v>4944</v>
      </c>
      <c r="E2174" s="4" t="s">
        <v>9</v>
      </c>
      <c r="F2174" s="4" t="s">
        <v>5510</v>
      </c>
      <c r="G2174" s="4" t="s">
        <v>5511</v>
      </c>
      <c r="H2174" s="4">
        <v>2.52</v>
      </c>
      <c r="I2174" s="4">
        <v>1.01</v>
      </c>
      <c r="J2174" s="4">
        <v>0.18851999999999999</v>
      </c>
      <c r="K2174" s="4" t="b">
        <v>1</v>
      </c>
      <c r="L2174" s="4" t="b">
        <v>0</v>
      </c>
    </row>
    <row r="2175" spans="1:13" ht="13">
      <c r="A2175" s="4" t="s">
        <v>5512</v>
      </c>
      <c r="B2175" s="4" t="s">
        <v>4926</v>
      </c>
      <c r="C2175" s="4" t="s">
        <v>108</v>
      </c>
      <c r="D2175" s="4" t="s">
        <v>4944</v>
      </c>
      <c r="E2175" s="4" t="s">
        <v>9</v>
      </c>
      <c r="F2175" s="4" t="s">
        <v>5513</v>
      </c>
      <c r="G2175" s="4" t="s">
        <v>5514</v>
      </c>
      <c r="H2175" s="4">
        <v>2.5499999999999998</v>
      </c>
      <c r="I2175" s="4">
        <v>1.01</v>
      </c>
      <c r="J2175" s="4">
        <v>0.19647000000000001</v>
      </c>
      <c r="K2175" s="4" t="b">
        <v>1</v>
      </c>
      <c r="L2175" s="4" t="b">
        <v>0</v>
      </c>
    </row>
    <row r="2176" spans="1:13" ht="13">
      <c r="A2176" s="4" t="s">
        <v>5515</v>
      </c>
      <c r="B2176" s="4" t="s">
        <v>4926</v>
      </c>
      <c r="C2176" s="4" t="s">
        <v>108</v>
      </c>
      <c r="D2176" s="4" t="s">
        <v>4944</v>
      </c>
      <c r="E2176" s="4" t="s">
        <v>9</v>
      </c>
      <c r="F2176" s="4" t="s">
        <v>5516</v>
      </c>
      <c r="G2176" s="4" t="s">
        <v>306</v>
      </c>
      <c r="H2176" s="4">
        <v>2.57</v>
      </c>
      <c r="I2176" s="4">
        <v>1.01</v>
      </c>
      <c r="J2176" s="4">
        <v>0.18953999999999999</v>
      </c>
      <c r="K2176" s="4" t="b">
        <v>1</v>
      </c>
      <c r="L2176" s="4" t="b">
        <v>0</v>
      </c>
    </row>
    <row r="2177" spans="1:13" ht="13">
      <c r="A2177" s="4" t="s">
        <v>5517</v>
      </c>
      <c r="B2177" s="4" t="s">
        <v>4926</v>
      </c>
      <c r="C2177" s="4" t="s">
        <v>108</v>
      </c>
      <c r="D2177" s="4" t="s">
        <v>4944</v>
      </c>
      <c r="E2177" s="4" t="s">
        <v>9</v>
      </c>
      <c r="F2177" s="4" t="s">
        <v>5518</v>
      </c>
      <c r="G2177" s="4" t="s">
        <v>5519</v>
      </c>
      <c r="H2177" s="4">
        <v>2.62</v>
      </c>
      <c r="I2177" s="4">
        <v>1.05</v>
      </c>
      <c r="J2177" s="4">
        <v>0.21582000000000001</v>
      </c>
      <c r="K2177" s="4" t="b">
        <v>1</v>
      </c>
      <c r="L2177" s="4" t="b">
        <v>0</v>
      </c>
    </row>
    <row r="2178" spans="1:13" ht="13">
      <c r="A2178" s="4" t="s">
        <v>5520</v>
      </c>
      <c r="B2178" s="4" t="s">
        <v>4926</v>
      </c>
      <c r="C2178" s="4" t="s">
        <v>108</v>
      </c>
      <c r="D2178" s="4" t="s">
        <v>4944</v>
      </c>
      <c r="E2178" s="4" t="s">
        <v>9</v>
      </c>
      <c r="F2178" s="4" t="s">
        <v>5521</v>
      </c>
      <c r="G2178" s="4" t="s">
        <v>5522</v>
      </c>
      <c r="H2178" s="4">
        <v>2.63</v>
      </c>
      <c r="I2178" s="4">
        <v>1.06</v>
      </c>
      <c r="J2178" s="4">
        <v>0.21781</v>
      </c>
      <c r="K2178" s="4" t="b">
        <v>1</v>
      </c>
      <c r="L2178" s="4" t="b">
        <v>0</v>
      </c>
    </row>
    <row r="2179" spans="1:13" ht="13">
      <c r="A2179" s="4" t="s">
        <v>5523</v>
      </c>
      <c r="B2179" s="4" t="s">
        <v>4926</v>
      </c>
      <c r="C2179" s="4" t="s">
        <v>108</v>
      </c>
      <c r="D2179" s="4" t="s">
        <v>4944</v>
      </c>
      <c r="E2179" s="4" t="s">
        <v>9</v>
      </c>
      <c r="F2179" s="4" t="s">
        <v>5524</v>
      </c>
      <c r="G2179" s="4" t="s">
        <v>5525</v>
      </c>
      <c r="H2179" s="4">
        <v>2.67</v>
      </c>
      <c r="I2179" s="4">
        <v>1</v>
      </c>
      <c r="J2179" s="4">
        <v>0.19308</v>
      </c>
      <c r="K2179" s="4" t="b">
        <v>1</v>
      </c>
      <c r="L2179" s="4" t="b">
        <v>0</v>
      </c>
    </row>
    <row r="2180" spans="1:13" ht="13">
      <c r="A2180" s="4" t="s">
        <v>5526</v>
      </c>
      <c r="B2180" s="4" t="s">
        <v>4926</v>
      </c>
      <c r="C2180" s="4" t="s">
        <v>108</v>
      </c>
      <c r="D2180" s="4" t="s">
        <v>4944</v>
      </c>
      <c r="E2180" s="4" t="s">
        <v>9</v>
      </c>
      <c r="F2180" s="4" t="s">
        <v>5527</v>
      </c>
      <c r="G2180" s="4" t="s">
        <v>5528</v>
      </c>
      <c r="H2180" s="4">
        <v>2.68</v>
      </c>
      <c r="I2180" s="4">
        <v>0.98</v>
      </c>
      <c r="J2180" s="4">
        <v>0.18873000000000001</v>
      </c>
      <c r="K2180" s="4" t="b">
        <v>1</v>
      </c>
      <c r="L2180" s="4" t="b">
        <v>0</v>
      </c>
    </row>
    <row r="2181" spans="1:13" ht="13">
      <c r="A2181" s="4" t="s">
        <v>833</v>
      </c>
      <c r="B2181" s="4" t="s">
        <v>4926</v>
      </c>
      <c r="C2181" s="4" t="s">
        <v>108</v>
      </c>
      <c r="D2181" s="4" t="s">
        <v>4944</v>
      </c>
      <c r="E2181" s="4" t="s">
        <v>9</v>
      </c>
      <c r="F2181" s="4" t="s">
        <v>5011</v>
      </c>
      <c r="G2181" s="4" t="s">
        <v>718</v>
      </c>
      <c r="H2181" s="4">
        <v>2.73</v>
      </c>
      <c r="I2181" s="4">
        <v>1.02</v>
      </c>
      <c r="J2181" s="4">
        <v>0.20763000000000001</v>
      </c>
      <c r="K2181" s="4" t="b">
        <v>1</v>
      </c>
      <c r="L2181" s="4" t="b">
        <v>1</v>
      </c>
      <c r="M2181" s="41" t="s">
        <v>4929</v>
      </c>
    </row>
    <row r="2182" spans="1:13" ht="13">
      <c r="A2182" s="4" t="s">
        <v>5529</v>
      </c>
      <c r="B2182" s="4" t="s">
        <v>4926</v>
      </c>
      <c r="C2182" s="4" t="s">
        <v>108</v>
      </c>
      <c r="D2182" s="4" t="s">
        <v>4944</v>
      </c>
      <c r="E2182" s="4" t="s">
        <v>9</v>
      </c>
      <c r="F2182" s="4" t="s">
        <v>5530</v>
      </c>
      <c r="G2182" s="4" t="s">
        <v>5531</v>
      </c>
      <c r="H2182" s="4">
        <v>2.78</v>
      </c>
      <c r="I2182" s="4">
        <v>0.98</v>
      </c>
      <c r="J2182" s="4">
        <v>0.19003999999999999</v>
      </c>
      <c r="K2182" s="4" t="b">
        <v>1</v>
      </c>
      <c r="L2182" s="4" t="b">
        <v>0</v>
      </c>
    </row>
    <row r="2183" spans="1:13" ht="13">
      <c r="A2183" s="4" t="s">
        <v>5532</v>
      </c>
      <c r="B2183" s="4" t="s">
        <v>4926</v>
      </c>
      <c r="C2183" s="4" t="s">
        <v>108</v>
      </c>
      <c r="D2183" s="4" t="s">
        <v>4944</v>
      </c>
      <c r="E2183" s="4" t="s">
        <v>9</v>
      </c>
      <c r="F2183" s="4" t="s">
        <v>5533</v>
      </c>
      <c r="G2183" s="4" t="s">
        <v>5534</v>
      </c>
      <c r="H2183" s="4">
        <v>2.82</v>
      </c>
      <c r="I2183" s="4">
        <v>1</v>
      </c>
      <c r="J2183" s="4">
        <v>0.19397</v>
      </c>
      <c r="K2183" s="4" t="b">
        <v>1</v>
      </c>
      <c r="L2183" s="4" t="b">
        <v>0</v>
      </c>
    </row>
    <row r="2184" spans="1:13" ht="13">
      <c r="A2184" s="4" t="s">
        <v>5535</v>
      </c>
      <c r="B2184" s="4" t="s">
        <v>4926</v>
      </c>
      <c r="C2184" s="4" t="s">
        <v>108</v>
      </c>
      <c r="D2184" s="4" t="s">
        <v>4944</v>
      </c>
      <c r="E2184" s="4" t="s">
        <v>9</v>
      </c>
      <c r="F2184" s="4" t="s">
        <v>5536</v>
      </c>
      <c r="G2184" s="4" t="s">
        <v>5537</v>
      </c>
      <c r="H2184" s="4">
        <v>2.83</v>
      </c>
      <c r="I2184" s="4">
        <v>0.99</v>
      </c>
      <c r="J2184" s="4">
        <v>0.19137999999999999</v>
      </c>
      <c r="K2184" s="4" t="b">
        <v>1</v>
      </c>
      <c r="L2184" s="4" t="b">
        <v>0</v>
      </c>
    </row>
    <row r="2185" spans="1:13" ht="13">
      <c r="A2185" s="4" t="s">
        <v>5538</v>
      </c>
      <c r="B2185" s="4" t="s">
        <v>4926</v>
      </c>
      <c r="C2185" s="4" t="s">
        <v>108</v>
      </c>
      <c r="D2185" s="4" t="s">
        <v>4944</v>
      </c>
      <c r="E2185" s="4" t="s">
        <v>9</v>
      </c>
      <c r="F2185" s="4" t="s">
        <v>5539</v>
      </c>
      <c r="G2185" s="4" t="s">
        <v>5540</v>
      </c>
      <c r="H2185" s="4">
        <v>2.85</v>
      </c>
      <c r="I2185" s="4">
        <v>1.01</v>
      </c>
      <c r="J2185" s="4">
        <v>0.19411999999999999</v>
      </c>
      <c r="K2185" s="4" t="b">
        <v>1</v>
      </c>
      <c r="L2185" s="4" t="b">
        <v>0</v>
      </c>
    </row>
    <row r="2186" spans="1:13" ht="13">
      <c r="A2186" s="4" t="s">
        <v>5541</v>
      </c>
      <c r="B2186" s="4" t="s">
        <v>4926</v>
      </c>
      <c r="C2186" s="4" t="s">
        <v>108</v>
      </c>
      <c r="D2186" s="4" t="s">
        <v>4944</v>
      </c>
      <c r="E2186" s="4" t="s">
        <v>9</v>
      </c>
      <c r="F2186" s="4" t="s">
        <v>5542</v>
      </c>
      <c r="G2186" s="4" t="s">
        <v>5543</v>
      </c>
      <c r="H2186" s="4">
        <v>2.92</v>
      </c>
      <c r="I2186" s="4">
        <v>1.02</v>
      </c>
      <c r="J2186" s="4">
        <v>0.20130000000000001</v>
      </c>
      <c r="K2186" s="4" t="b">
        <v>1</v>
      </c>
      <c r="L2186" s="4" t="b">
        <v>0</v>
      </c>
    </row>
    <row r="2187" spans="1:13" ht="13">
      <c r="A2187" s="4" t="s">
        <v>5544</v>
      </c>
      <c r="B2187" s="4" t="s">
        <v>4926</v>
      </c>
      <c r="C2187" s="4" t="s">
        <v>108</v>
      </c>
      <c r="D2187" s="4" t="s">
        <v>4944</v>
      </c>
      <c r="E2187" s="4" t="s">
        <v>9</v>
      </c>
      <c r="F2187" s="4" t="s">
        <v>5545</v>
      </c>
      <c r="G2187" s="4" t="s">
        <v>5546</v>
      </c>
      <c r="H2187" s="4">
        <v>2.93</v>
      </c>
      <c r="I2187" s="4">
        <v>1.08</v>
      </c>
      <c r="J2187" s="4">
        <v>0.20593</v>
      </c>
      <c r="K2187" s="4" t="b">
        <v>1</v>
      </c>
      <c r="L2187" s="4" t="b">
        <v>0</v>
      </c>
    </row>
    <row r="2188" spans="1:13" ht="13">
      <c r="A2188" s="4" t="s">
        <v>834</v>
      </c>
      <c r="B2188" s="4" t="s">
        <v>4926</v>
      </c>
      <c r="C2188" s="4" t="s">
        <v>108</v>
      </c>
      <c r="D2188" s="4" t="s">
        <v>4944</v>
      </c>
      <c r="E2188" s="4" t="s">
        <v>9</v>
      </c>
      <c r="F2188" s="4" t="s">
        <v>5012</v>
      </c>
      <c r="G2188" s="4" t="s">
        <v>719</v>
      </c>
      <c r="H2188" s="4">
        <v>2.95</v>
      </c>
      <c r="I2188" s="4">
        <v>0.99</v>
      </c>
      <c r="J2188" s="4">
        <v>0.19356999999999999</v>
      </c>
      <c r="K2188" s="4" t="b">
        <v>1</v>
      </c>
      <c r="L2188" s="4" t="b">
        <v>1</v>
      </c>
      <c r="M2188" s="41" t="s">
        <v>4929</v>
      </c>
    </row>
    <row r="2189" spans="1:13" ht="13">
      <c r="A2189" s="4" t="s">
        <v>5547</v>
      </c>
      <c r="B2189" s="4" t="s">
        <v>4926</v>
      </c>
      <c r="C2189" s="4" t="s">
        <v>108</v>
      </c>
      <c r="D2189" s="4" t="s">
        <v>4944</v>
      </c>
      <c r="E2189" s="4" t="s">
        <v>9</v>
      </c>
      <c r="F2189" s="4" t="s">
        <v>5548</v>
      </c>
      <c r="G2189" s="4" t="s">
        <v>5549</v>
      </c>
      <c r="H2189" s="4">
        <v>2.97</v>
      </c>
      <c r="I2189" s="4">
        <v>0.98</v>
      </c>
      <c r="J2189" s="4">
        <v>0.20566999999999999</v>
      </c>
      <c r="K2189" s="4" t="b">
        <v>1</v>
      </c>
      <c r="L2189" s="4" t="b">
        <v>0</v>
      </c>
    </row>
    <row r="2190" spans="1:13" ht="13">
      <c r="A2190" s="4" t="s">
        <v>5550</v>
      </c>
      <c r="B2190" s="4" t="s">
        <v>4926</v>
      </c>
      <c r="C2190" s="4" t="s">
        <v>108</v>
      </c>
      <c r="D2190" s="4" t="s">
        <v>4944</v>
      </c>
      <c r="E2190" s="4" t="s">
        <v>9</v>
      </c>
      <c r="F2190" s="4" t="s">
        <v>5551</v>
      </c>
      <c r="G2190" s="4" t="s">
        <v>5552</v>
      </c>
      <c r="H2190" s="4">
        <v>2.98</v>
      </c>
      <c r="I2190" s="4">
        <v>1.08</v>
      </c>
      <c r="J2190" s="4">
        <v>0.23436999999999999</v>
      </c>
      <c r="K2190" s="4" t="b">
        <v>1</v>
      </c>
      <c r="L2190" s="4" t="b">
        <v>0</v>
      </c>
    </row>
    <row r="2191" spans="1:13" ht="13">
      <c r="A2191" s="4" t="s">
        <v>5553</v>
      </c>
      <c r="B2191" s="4" t="s">
        <v>4926</v>
      </c>
      <c r="C2191" s="4" t="s">
        <v>108</v>
      </c>
      <c r="D2191" s="4" t="s">
        <v>4944</v>
      </c>
      <c r="E2191" s="4" t="s">
        <v>9</v>
      </c>
      <c r="F2191" s="4" t="s">
        <v>5554</v>
      </c>
      <c r="G2191" s="4" t="s">
        <v>5555</v>
      </c>
      <c r="H2191" s="4">
        <v>3</v>
      </c>
      <c r="I2191" s="4">
        <v>0.99</v>
      </c>
      <c r="J2191" s="4">
        <v>0.19596</v>
      </c>
      <c r="K2191" s="4" t="b">
        <v>1</v>
      </c>
      <c r="L2191" s="4" t="b">
        <v>0</v>
      </c>
    </row>
    <row r="2192" spans="1:13" ht="13">
      <c r="A2192" s="4" t="s">
        <v>5556</v>
      </c>
      <c r="B2192" s="4" t="s">
        <v>4926</v>
      </c>
      <c r="C2192" s="4" t="s">
        <v>108</v>
      </c>
      <c r="D2192" s="4" t="s">
        <v>4944</v>
      </c>
      <c r="E2192" s="4" t="s">
        <v>9</v>
      </c>
      <c r="F2192" s="4" t="s">
        <v>5557</v>
      </c>
      <c r="G2192" s="4" t="s">
        <v>5558</v>
      </c>
      <c r="H2192" s="4">
        <v>3.02</v>
      </c>
      <c r="I2192" s="4">
        <v>1</v>
      </c>
      <c r="J2192" s="4">
        <v>0.20677999999999999</v>
      </c>
      <c r="K2192" s="4" t="b">
        <v>1</v>
      </c>
      <c r="L2192" s="4" t="b">
        <v>0</v>
      </c>
    </row>
    <row r="2193" spans="1:13" ht="13">
      <c r="A2193" s="4" t="s">
        <v>5559</v>
      </c>
      <c r="B2193" s="4" t="s">
        <v>4926</v>
      </c>
      <c r="C2193" s="4" t="s">
        <v>108</v>
      </c>
      <c r="D2193" s="4" t="s">
        <v>4944</v>
      </c>
      <c r="E2193" s="4" t="s">
        <v>9</v>
      </c>
      <c r="F2193" s="4" t="s">
        <v>5560</v>
      </c>
      <c r="G2193" s="4" t="s">
        <v>5561</v>
      </c>
      <c r="H2193" s="4">
        <v>3.03</v>
      </c>
      <c r="I2193" s="4">
        <v>0.99</v>
      </c>
      <c r="J2193" s="4">
        <v>0.18894</v>
      </c>
      <c r="K2193" s="4" t="b">
        <v>1</v>
      </c>
      <c r="L2193" s="4" t="b">
        <v>0</v>
      </c>
    </row>
    <row r="2194" spans="1:13" ht="13">
      <c r="A2194" s="4" t="s">
        <v>835</v>
      </c>
      <c r="B2194" s="4" t="s">
        <v>4926</v>
      </c>
      <c r="C2194" s="4" t="s">
        <v>108</v>
      </c>
      <c r="D2194" s="4" t="s">
        <v>4944</v>
      </c>
      <c r="E2194" s="4" t="s">
        <v>9</v>
      </c>
      <c r="F2194" s="4" t="s">
        <v>5105</v>
      </c>
      <c r="G2194" s="4" t="s">
        <v>720</v>
      </c>
      <c r="H2194" s="4">
        <v>3.07</v>
      </c>
      <c r="I2194" s="4">
        <v>0.96</v>
      </c>
      <c r="J2194" s="4">
        <v>0.20455999999999999</v>
      </c>
      <c r="K2194" s="4" t="b">
        <v>1</v>
      </c>
      <c r="L2194" s="4" t="b">
        <v>1</v>
      </c>
      <c r="M2194" s="41" t="s">
        <v>4929</v>
      </c>
    </row>
    <row r="2195" spans="1:13" ht="13">
      <c r="A2195" s="4" t="s">
        <v>5562</v>
      </c>
      <c r="B2195" s="4" t="s">
        <v>4926</v>
      </c>
      <c r="C2195" s="4" t="s">
        <v>108</v>
      </c>
      <c r="D2195" s="4" t="s">
        <v>4944</v>
      </c>
      <c r="E2195" s="4" t="s">
        <v>9</v>
      </c>
      <c r="F2195" s="4" t="s">
        <v>5563</v>
      </c>
      <c r="G2195" s="4" t="s">
        <v>5564</v>
      </c>
      <c r="H2195" s="4">
        <v>3.52</v>
      </c>
      <c r="I2195" s="4">
        <v>0.97</v>
      </c>
      <c r="J2195" s="4">
        <v>0.18184</v>
      </c>
      <c r="K2195" s="4" t="b">
        <v>1</v>
      </c>
      <c r="L2195" s="4" t="b">
        <v>0</v>
      </c>
    </row>
    <row r="2196" spans="1:13" ht="13">
      <c r="A2196" s="4" t="s">
        <v>5565</v>
      </c>
      <c r="B2196" s="4" t="s">
        <v>4926</v>
      </c>
      <c r="C2196" s="4" t="s">
        <v>108</v>
      </c>
      <c r="D2196" s="4" t="s">
        <v>4944</v>
      </c>
      <c r="E2196" s="4" t="s">
        <v>9</v>
      </c>
      <c r="F2196" s="4" t="s">
        <v>5566</v>
      </c>
      <c r="G2196" s="4" t="s">
        <v>5567</v>
      </c>
      <c r="H2196" s="4">
        <v>3.55</v>
      </c>
      <c r="I2196" s="4">
        <v>0.97</v>
      </c>
      <c r="J2196" s="4">
        <v>0.18776000000000001</v>
      </c>
      <c r="K2196" s="4" t="b">
        <v>1</v>
      </c>
      <c r="L2196" s="4" t="b">
        <v>0</v>
      </c>
    </row>
    <row r="2197" spans="1:13" ht="13">
      <c r="A2197" s="4" t="s">
        <v>5568</v>
      </c>
      <c r="B2197" s="4" t="s">
        <v>4926</v>
      </c>
      <c r="C2197" s="4" t="s">
        <v>108</v>
      </c>
      <c r="D2197" s="4" t="s">
        <v>4944</v>
      </c>
      <c r="E2197" s="4" t="s">
        <v>9</v>
      </c>
      <c r="F2197" s="4" t="s">
        <v>5569</v>
      </c>
      <c r="G2197" s="4" t="s">
        <v>5570</v>
      </c>
      <c r="H2197" s="4">
        <v>3.57</v>
      </c>
      <c r="I2197" s="4">
        <v>0.98</v>
      </c>
      <c r="J2197" s="4">
        <v>0.18673000000000001</v>
      </c>
      <c r="K2197" s="4" t="b">
        <v>1</v>
      </c>
      <c r="L2197" s="4" t="b">
        <v>0</v>
      </c>
    </row>
    <row r="2198" spans="1:13" ht="13">
      <c r="A2198" s="4" t="s">
        <v>5571</v>
      </c>
      <c r="B2198" s="4" t="s">
        <v>4926</v>
      </c>
      <c r="C2198" s="4" t="s">
        <v>108</v>
      </c>
      <c r="D2198" s="4" t="s">
        <v>4944</v>
      </c>
      <c r="E2198" s="4" t="s">
        <v>9</v>
      </c>
      <c r="F2198" s="4" t="s">
        <v>5572</v>
      </c>
      <c r="G2198" s="4" t="s">
        <v>5573</v>
      </c>
      <c r="H2198" s="4">
        <v>3.58</v>
      </c>
      <c r="I2198" s="4">
        <v>0.97</v>
      </c>
      <c r="J2198" s="4">
        <v>0.18789</v>
      </c>
      <c r="K2198" s="4" t="b">
        <v>1</v>
      </c>
      <c r="L2198" s="4" t="b">
        <v>0</v>
      </c>
    </row>
    <row r="2199" spans="1:13" ht="13">
      <c r="A2199" s="4" t="s">
        <v>836</v>
      </c>
      <c r="B2199" s="4" t="s">
        <v>4926</v>
      </c>
      <c r="C2199" s="4" t="s">
        <v>108</v>
      </c>
      <c r="D2199" s="4" t="s">
        <v>4944</v>
      </c>
      <c r="E2199" s="4" t="s">
        <v>9</v>
      </c>
      <c r="F2199" s="4" t="s">
        <v>5013</v>
      </c>
      <c r="G2199" s="4" t="s">
        <v>721</v>
      </c>
      <c r="H2199" s="4">
        <v>3.62</v>
      </c>
      <c r="I2199" s="4">
        <v>1</v>
      </c>
      <c r="J2199" s="4">
        <v>0.19572000000000001</v>
      </c>
      <c r="K2199" s="4" t="b">
        <v>1</v>
      </c>
      <c r="L2199" s="4" t="b">
        <v>1</v>
      </c>
      <c r="M2199" s="41" t="s">
        <v>4929</v>
      </c>
    </row>
    <row r="2200" spans="1:13" ht="13">
      <c r="A2200" s="4" t="s">
        <v>837</v>
      </c>
      <c r="B2200" s="4" t="s">
        <v>4926</v>
      </c>
      <c r="C2200" s="4" t="s">
        <v>108</v>
      </c>
      <c r="D2200" s="4" t="s">
        <v>4944</v>
      </c>
      <c r="E2200" s="4" t="s">
        <v>9</v>
      </c>
      <c r="F2200" s="4" t="s">
        <v>5014</v>
      </c>
      <c r="G2200" s="4" t="s">
        <v>722</v>
      </c>
      <c r="H2200" s="4">
        <v>3.67</v>
      </c>
      <c r="I2200" s="4">
        <v>0.98</v>
      </c>
      <c r="J2200" s="4">
        <v>0.18587000000000001</v>
      </c>
      <c r="K2200" s="4" t="b">
        <v>1</v>
      </c>
      <c r="L2200" s="4" t="b">
        <v>1</v>
      </c>
      <c r="M2200" s="41" t="s">
        <v>4929</v>
      </c>
    </row>
    <row r="2201" spans="1:13" ht="13">
      <c r="A2201" s="4" t="s">
        <v>838</v>
      </c>
      <c r="B2201" s="4" t="s">
        <v>4926</v>
      </c>
      <c r="C2201" s="4" t="s">
        <v>108</v>
      </c>
      <c r="D2201" s="4" t="s">
        <v>4944</v>
      </c>
      <c r="E2201" s="4" t="s">
        <v>9</v>
      </c>
      <c r="F2201" s="4" t="s">
        <v>5015</v>
      </c>
      <c r="G2201" s="4" t="s">
        <v>723</v>
      </c>
      <c r="H2201" s="4">
        <v>3.68</v>
      </c>
      <c r="I2201" s="4">
        <v>1.01</v>
      </c>
      <c r="J2201" s="4">
        <v>0.20934</v>
      </c>
      <c r="K2201" s="4" t="b">
        <v>1</v>
      </c>
      <c r="L2201" s="4" t="b">
        <v>1</v>
      </c>
      <c r="M2201" s="41" t="s">
        <v>4929</v>
      </c>
    </row>
    <row r="2202" spans="1:13" ht="13">
      <c r="A2202" s="4" t="s">
        <v>5574</v>
      </c>
      <c r="B2202" s="4" t="s">
        <v>4926</v>
      </c>
      <c r="C2202" s="4" t="s">
        <v>108</v>
      </c>
      <c r="D2202" s="4" t="s">
        <v>4944</v>
      </c>
      <c r="E2202" s="4" t="s">
        <v>9</v>
      </c>
      <c r="F2202" s="4" t="s">
        <v>5575</v>
      </c>
      <c r="G2202" s="4" t="s">
        <v>5576</v>
      </c>
      <c r="H2202" s="4">
        <v>3.7</v>
      </c>
      <c r="I2202" s="4">
        <v>1.0900000000000001</v>
      </c>
      <c r="J2202" s="4">
        <v>0.21715000000000001</v>
      </c>
      <c r="K2202" s="4" t="b">
        <v>1</v>
      </c>
      <c r="L2202" s="4" t="b">
        <v>0</v>
      </c>
    </row>
    <row r="2203" spans="1:13" ht="13">
      <c r="A2203" s="4" t="s">
        <v>5577</v>
      </c>
      <c r="B2203" s="4" t="s">
        <v>4926</v>
      </c>
      <c r="C2203" s="4" t="s">
        <v>108</v>
      </c>
      <c r="D2203" s="4" t="s">
        <v>4944</v>
      </c>
      <c r="E2203" s="4" t="s">
        <v>9</v>
      </c>
      <c r="F2203" s="4" t="s">
        <v>5578</v>
      </c>
      <c r="G2203" s="4" t="s">
        <v>307</v>
      </c>
      <c r="H2203" s="4">
        <v>3.73</v>
      </c>
      <c r="I2203" s="4">
        <v>1.01</v>
      </c>
      <c r="J2203" s="4">
        <v>0.19320999999999999</v>
      </c>
      <c r="K2203" s="4" t="b">
        <v>1</v>
      </c>
      <c r="L2203" s="4" t="b">
        <v>0</v>
      </c>
    </row>
    <row r="2204" spans="1:13" ht="13">
      <c r="A2204" s="4" t="s">
        <v>5579</v>
      </c>
      <c r="B2204" s="4" t="s">
        <v>4926</v>
      </c>
      <c r="C2204" s="4" t="s">
        <v>108</v>
      </c>
      <c r="D2204" s="4" t="s">
        <v>4944</v>
      </c>
      <c r="E2204" s="4" t="s">
        <v>9</v>
      </c>
      <c r="F2204" s="4" t="s">
        <v>5580</v>
      </c>
      <c r="G2204" s="4" t="s">
        <v>5581</v>
      </c>
      <c r="H2204" s="4">
        <v>3.75</v>
      </c>
      <c r="I2204" s="4">
        <v>0.98</v>
      </c>
      <c r="J2204" s="4">
        <v>0.18973999999999999</v>
      </c>
      <c r="K2204" s="4" t="b">
        <v>1</v>
      </c>
      <c r="L2204" s="4" t="b">
        <v>0</v>
      </c>
    </row>
    <row r="2205" spans="1:13" ht="13">
      <c r="A2205" s="4" t="s">
        <v>5582</v>
      </c>
      <c r="B2205" s="4" t="s">
        <v>4926</v>
      </c>
      <c r="C2205" s="4" t="s">
        <v>108</v>
      </c>
      <c r="D2205" s="4" t="s">
        <v>4944</v>
      </c>
      <c r="E2205" s="4" t="s">
        <v>9</v>
      </c>
      <c r="F2205" s="4" t="s">
        <v>5583</v>
      </c>
      <c r="G2205" s="4" t="s">
        <v>5584</v>
      </c>
      <c r="H2205" s="4">
        <v>3.8</v>
      </c>
      <c r="I2205" s="4">
        <v>1.01</v>
      </c>
      <c r="J2205" s="4">
        <v>0.19461000000000001</v>
      </c>
      <c r="K2205" s="4" t="b">
        <v>1</v>
      </c>
      <c r="L2205" s="4" t="b">
        <v>0</v>
      </c>
    </row>
    <row r="2206" spans="1:13" ht="13">
      <c r="A2206" s="4" t="s">
        <v>5585</v>
      </c>
      <c r="B2206" s="4" t="s">
        <v>4926</v>
      </c>
      <c r="C2206" s="4" t="s">
        <v>108</v>
      </c>
      <c r="D2206" s="4" t="s">
        <v>4944</v>
      </c>
      <c r="E2206" s="4" t="s">
        <v>9</v>
      </c>
      <c r="F2206" s="4" t="s">
        <v>5586</v>
      </c>
      <c r="G2206" s="4" t="s">
        <v>5587</v>
      </c>
      <c r="H2206" s="4">
        <v>3.85</v>
      </c>
      <c r="I2206" s="4">
        <v>1.03</v>
      </c>
      <c r="J2206" s="4">
        <v>0.19642999999999999</v>
      </c>
      <c r="K2206" s="4" t="b">
        <v>1</v>
      </c>
      <c r="L2206" s="4" t="b">
        <v>0</v>
      </c>
    </row>
    <row r="2207" spans="1:13" ht="13">
      <c r="A2207" s="4" t="s">
        <v>5588</v>
      </c>
      <c r="B2207" s="4" t="s">
        <v>4926</v>
      </c>
      <c r="C2207" s="4" t="s">
        <v>108</v>
      </c>
      <c r="D2207" s="4" t="s">
        <v>4944</v>
      </c>
      <c r="E2207" s="4" t="s">
        <v>9</v>
      </c>
      <c r="F2207" s="4" t="s">
        <v>5589</v>
      </c>
      <c r="G2207" s="4" t="s">
        <v>5590</v>
      </c>
      <c r="H2207" s="4">
        <v>3.88</v>
      </c>
      <c r="I2207" s="4">
        <v>1.01</v>
      </c>
      <c r="J2207" s="4">
        <v>0.19328999999999999</v>
      </c>
      <c r="K2207" s="4" t="b">
        <v>1</v>
      </c>
      <c r="L2207" s="4" t="b">
        <v>0</v>
      </c>
    </row>
    <row r="2208" spans="1:13" ht="13">
      <c r="A2208" s="4" t="s">
        <v>5591</v>
      </c>
      <c r="B2208" s="4" t="s">
        <v>4926</v>
      </c>
      <c r="C2208" s="4" t="s">
        <v>108</v>
      </c>
      <c r="D2208" s="4" t="s">
        <v>4944</v>
      </c>
      <c r="E2208" s="4" t="s">
        <v>9</v>
      </c>
      <c r="F2208" s="4" t="s">
        <v>5592</v>
      </c>
      <c r="G2208" s="4" t="s">
        <v>5593</v>
      </c>
      <c r="H2208" s="4">
        <v>3.92</v>
      </c>
      <c r="I2208" s="4">
        <v>0.99</v>
      </c>
      <c r="J2208" s="4">
        <v>0.19334999999999999</v>
      </c>
      <c r="K2208" s="4" t="b">
        <v>1</v>
      </c>
      <c r="L2208" s="4" t="b">
        <v>0</v>
      </c>
    </row>
    <row r="2209" spans="1:13" ht="13">
      <c r="A2209" s="4" t="s">
        <v>5594</v>
      </c>
      <c r="B2209" s="4" t="s">
        <v>4926</v>
      </c>
      <c r="C2209" s="4" t="s">
        <v>108</v>
      </c>
      <c r="D2209" s="4" t="s">
        <v>4944</v>
      </c>
      <c r="E2209" s="4" t="s">
        <v>9</v>
      </c>
      <c r="F2209" s="4" t="s">
        <v>5595</v>
      </c>
      <c r="G2209" s="4" t="s">
        <v>5596</v>
      </c>
      <c r="H2209" s="4">
        <v>3.93</v>
      </c>
      <c r="I2209" s="4">
        <v>1.02</v>
      </c>
      <c r="J2209" s="4">
        <v>0.18826000000000001</v>
      </c>
      <c r="K2209" s="4" t="b">
        <v>1</v>
      </c>
      <c r="L2209" s="4" t="b">
        <v>0</v>
      </c>
    </row>
    <row r="2210" spans="1:13" ht="13">
      <c r="A2210" s="4" t="s">
        <v>5597</v>
      </c>
      <c r="B2210" s="4" t="s">
        <v>4926</v>
      </c>
      <c r="C2210" s="4" t="s">
        <v>108</v>
      </c>
      <c r="D2210" s="4" t="s">
        <v>4944</v>
      </c>
      <c r="E2210" s="4" t="s">
        <v>9</v>
      </c>
      <c r="F2210" s="4" t="s">
        <v>5598</v>
      </c>
      <c r="G2210" s="4" t="s">
        <v>5599</v>
      </c>
      <c r="H2210" s="4">
        <v>3.98</v>
      </c>
      <c r="I2210" s="4">
        <v>1.05</v>
      </c>
      <c r="J2210" s="4">
        <v>0.21501999999999999</v>
      </c>
      <c r="K2210" s="4" t="b">
        <v>1</v>
      </c>
      <c r="L2210" s="4" t="b">
        <v>0</v>
      </c>
    </row>
    <row r="2211" spans="1:13" ht="13">
      <c r="A2211" s="4" t="s">
        <v>5600</v>
      </c>
      <c r="B2211" s="4" t="s">
        <v>4926</v>
      </c>
      <c r="C2211" s="4" t="s">
        <v>108</v>
      </c>
      <c r="D2211" s="4" t="s">
        <v>4944</v>
      </c>
      <c r="E2211" s="4" t="s">
        <v>9</v>
      </c>
      <c r="F2211" s="4" t="s">
        <v>5601</v>
      </c>
      <c r="G2211" s="4" t="s">
        <v>5602</v>
      </c>
      <c r="H2211" s="4">
        <v>4</v>
      </c>
      <c r="I2211" s="4">
        <v>1.01</v>
      </c>
      <c r="J2211" s="4">
        <v>0.19419</v>
      </c>
      <c r="K2211" s="4" t="b">
        <v>1</v>
      </c>
      <c r="L2211" s="4" t="b">
        <v>0</v>
      </c>
    </row>
    <row r="2212" spans="1:13" ht="13">
      <c r="A2212" s="4" t="s">
        <v>5603</v>
      </c>
      <c r="B2212" s="4" t="s">
        <v>4926</v>
      </c>
      <c r="C2212" s="4" t="s">
        <v>108</v>
      </c>
      <c r="D2212" s="4" t="s">
        <v>4944</v>
      </c>
      <c r="E2212" s="4" t="s">
        <v>9</v>
      </c>
      <c r="F2212" s="4" t="s">
        <v>5604</v>
      </c>
      <c r="G2212" s="4" t="s">
        <v>5605</v>
      </c>
      <c r="H2212" s="4">
        <v>4.03</v>
      </c>
      <c r="I2212" s="4">
        <v>1</v>
      </c>
      <c r="J2212" s="4">
        <v>0.19838</v>
      </c>
      <c r="K2212" s="4" t="b">
        <v>1</v>
      </c>
      <c r="L2212" s="4" t="b">
        <v>0</v>
      </c>
    </row>
    <row r="2213" spans="1:13" ht="13">
      <c r="A2213" s="4" t="s">
        <v>5606</v>
      </c>
      <c r="B2213" s="4" t="s">
        <v>4926</v>
      </c>
      <c r="C2213" s="4" t="s">
        <v>108</v>
      </c>
      <c r="D2213" s="4" t="s">
        <v>4944</v>
      </c>
      <c r="E2213" s="4" t="s">
        <v>9</v>
      </c>
      <c r="F2213" s="4" t="s">
        <v>5607</v>
      </c>
      <c r="G2213" s="4" t="s">
        <v>5608</v>
      </c>
      <c r="H2213" s="4">
        <v>4.05</v>
      </c>
      <c r="I2213" s="4">
        <v>0.96</v>
      </c>
      <c r="J2213" s="4">
        <v>0.19298000000000001</v>
      </c>
      <c r="K2213" s="4" t="b">
        <v>1</v>
      </c>
      <c r="L2213" s="4" t="b">
        <v>0</v>
      </c>
    </row>
    <row r="2214" spans="1:13" ht="13">
      <c r="A2214" s="4" t="s">
        <v>5609</v>
      </c>
      <c r="B2214" s="4" t="s">
        <v>4926</v>
      </c>
      <c r="C2214" s="4" t="s">
        <v>108</v>
      </c>
      <c r="D2214" s="4" t="s">
        <v>4944</v>
      </c>
      <c r="E2214" s="4" t="s">
        <v>9</v>
      </c>
      <c r="F2214" s="4" t="s">
        <v>5610</v>
      </c>
      <c r="G2214" s="4" t="s">
        <v>5611</v>
      </c>
      <c r="H2214" s="4">
        <v>4.07</v>
      </c>
      <c r="I2214" s="4">
        <v>1</v>
      </c>
      <c r="J2214" s="4">
        <v>0.18662000000000001</v>
      </c>
      <c r="K2214" s="4" t="b">
        <v>1</v>
      </c>
      <c r="L2214" s="4" t="b">
        <v>0</v>
      </c>
    </row>
    <row r="2215" spans="1:13" ht="13">
      <c r="A2215" s="4" t="s">
        <v>5612</v>
      </c>
      <c r="B2215" s="4" t="s">
        <v>4926</v>
      </c>
      <c r="C2215" s="4" t="s">
        <v>108</v>
      </c>
      <c r="D2215" s="4" t="s">
        <v>4944</v>
      </c>
      <c r="E2215" s="4" t="s">
        <v>9</v>
      </c>
      <c r="F2215" s="4" t="s">
        <v>5613</v>
      </c>
      <c r="G2215" s="4" t="s">
        <v>5614</v>
      </c>
      <c r="H2215" s="4">
        <v>4.0999999999999996</v>
      </c>
      <c r="I2215" s="4">
        <v>0.99</v>
      </c>
      <c r="J2215" s="4">
        <v>0.19031999999999999</v>
      </c>
      <c r="K2215" s="4" t="b">
        <v>1</v>
      </c>
      <c r="L2215" s="4" t="b">
        <v>0</v>
      </c>
    </row>
    <row r="2216" spans="1:13" ht="13">
      <c r="A2216" s="4" t="s">
        <v>839</v>
      </c>
      <c r="B2216" s="4" t="s">
        <v>4926</v>
      </c>
      <c r="C2216" s="4" t="s">
        <v>108</v>
      </c>
      <c r="D2216" s="4" t="s">
        <v>4944</v>
      </c>
      <c r="E2216" s="4" t="s">
        <v>9</v>
      </c>
      <c r="F2216" s="4" t="s">
        <v>5016</v>
      </c>
      <c r="G2216" s="4" t="s">
        <v>724</v>
      </c>
      <c r="H2216" s="4">
        <v>4.12</v>
      </c>
      <c r="I2216" s="4">
        <v>0.98</v>
      </c>
      <c r="J2216" s="4">
        <v>0.19353999999999999</v>
      </c>
      <c r="K2216" s="4" t="b">
        <v>1</v>
      </c>
      <c r="L2216" s="4" t="b">
        <v>1</v>
      </c>
      <c r="M2216" s="41" t="s">
        <v>4929</v>
      </c>
    </row>
    <row r="2217" spans="1:13" ht="13">
      <c r="A2217" s="4" t="s">
        <v>840</v>
      </c>
      <c r="B2217" s="4" t="s">
        <v>4926</v>
      </c>
      <c r="C2217" s="4" t="s">
        <v>108</v>
      </c>
      <c r="D2217" s="4" t="s">
        <v>4944</v>
      </c>
      <c r="E2217" s="4" t="s">
        <v>9</v>
      </c>
      <c r="F2217" s="4" t="s">
        <v>5017</v>
      </c>
      <c r="G2217" s="4" t="s">
        <v>725</v>
      </c>
      <c r="H2217" s="4">
        <v>4.17</v>
      </c>
      <c r="I2217" s="4">
        <v>1.04</v>
      </c>
      <c r="J2217" s="4">
        <v>0.20630000000000001</v>
      </c>
      <c r="K2217" s="4" t="b">
        <v>1</v>
      </c>
      <c r="L2217" s="4" t="b">
        <v>1</v>
      </c>
      <c r="M2217" s="41" t="s">
        <v>4929</v>
      </c>
    </row>
    <row r="2218" spans="1:13" ht="13">
      <c r="A2218" s="4" t="s">
        <v>841</v>
      </c>
      <c r="B2218" s="4" t="s">
        <v>4926</v>
      </c>
      <c r="C2218" s="4" t="s">
        <v>108</v>
      </c>
      <c r="D2218" s="4" t="s">
        <v>4944</v>
      </c>
      <c r="E2218" s="4" t="s">
        <v>9</v>
      </c>
      <c r="F2218" s="4" t="s">
        <v>5018</v>
      </c>
      <c r="G2218" s="4" t="s">
        <v>726</v>
      </c>
      <c r="H2218" s="4">
        <v>4.18</v>
      </c>
      <c r="I2218" s="4">
        <v>1.06</v>
      </c>
      <c r="J2218" s="4">
        <v>0.22278000000000001</v>
      </c>
      <c r="K2218" s="4" t="b">
        <v>1</v>
      </c>
      <c r="L2218" s="4" t="b">
        <v>1</v>
      </c>
      <c r="M2218" s="41" t="s">
        <v>4929</v>
      </c>
    </row>
    <row r="2219" spans="1:13" ht="13">
      <c r="A2219" s="4" t="s">
        <v>5615</v>
      </c>
      <c r="B2219" s="4" t="s">
        <v>4926</v>
      </c>
      <c r="C2219" s="4" t="s">
        <v>108</v>
      </c>
      <c r="D2219" s="4" t="s">
        <v>4944</v>
      </c>
      <c r="E2219" s="4" t="s">
        <v>9</v>
      </c>
      <c r="F2219" s="4" t="s">
        <v>5616</v>
      </c>
      <c r="G2219" s="4" t="s">
        <v>5617</v>
      </c>
      <c r="H2219" s="4">
        <v>4.22</v>
      </c>
      <c r="I2219" s="4">
        <v>1.01</v>
      </c>
      <c r="J2219" s="4">
        <v>0.18966</v>
      </c>
      <c r="K2219" s="4" t="b">
        <v>1</v>
      </c>
      <c r="L2219" s="4" t="b">
        <v>0</v>
      </c>
    </row>
    <row r="2220" spans="1:13" ht="13">
      <c r="A2220" s="4" t="s">
        <v>842</v>
      </c>
      <c r="B2220" s="4" t="s">
        <v>4926</v>
      </c>
      <c r="C2220" s="4" t="s">
        <v>108</v>
      </c>
      <c r="D2220" s="4" t="s">
        <v>4944</v>
      </c>
      <c r="E2220" s="4" t="s">
        <v>9</v>
      </c>
      <c r="F2220" s="4" t="s">
        <v>5106</v>
      </c>
      <c r="G2220" s="4" t="s">
        <v>727</v>
      </c>
      <c r="H2220" s="4">
        <v>4.22</v>
      </c>
      <c r="I2220" s="4">
        <v>1.04</v>
      </c>
      <c r="J2220" s="4">
        <v>0.19505</v>
      </c>
      <c r="K2220" s="4" t="b">
        <v>1</v>
      </c>
      <c r="L2220" s="4" t="b">
        <v>1</v>
      </c>
      <c r="M2220" s="41" t="s">
        <v>4929</v>
      </c>
    </row>
    <row r="2221" spans="1:13" ht="13">
      <c r="A2221" s="4" t="s">
        <v>843</v>
      </c>
      <c r="B2221" s="4" t="s">
        <v>4926</v>
      </c>
      <c r="C2221" s="4" t="s">
        <v>108</v>
      </c>
      <c r="D2221" s="4" t="s">
        <v>4927</v>
      </c>
      <c r="E2221" s="4" t="s">
        <v>9</v>
      </c>
      <c r="F2221" s="4" t="s">
        <v>5019</v>
      </c>
      <c r="G2221" s="4" t="s">
        <v>728</v>
      </c>
      <c r="H2221" s="4">
        <v>4.2300000000000004</v>
      </c>
      <c r="I2221" s="4">
        <v>0.97</v>
      </c>
      <c r="J2221" s="4">
        <v>0.20579</v>
      </c>
      <c r="K2221" s="4" t="b">
        <v>1</v>
      </c>
      <c r="L2221" s="4" t="b">
        <v>1</v>
      </c>
      <c r="M2221" s="41" t="s">
        <v>4929</v>
      </c>
    </row>
    <row r="2222" spans="1:13" ht="13">
      <c r="A2222" s="4" t="s">
        <v>5618</v>
      </c>
      <c r="B2222" s="4" t="s">
        <v>4926</v>
      </c>
      <c r="C2222" s="4" t="s">
        <v>108</v>
      </c>
      <c r="D2222" s="4" t="s">
        <v>4927</v>
      </c>
      <c r="E2222" s="4" t="s">
        <v>9</v>
      </c>
      <c r="F2222" s="4" t="s">
        <v>5619</v>
      </c>
      <c r="G2222" s="4" t="s">
        <v>5620</v>
      </c>
      <c r="H2222" s="4">
        <v>4.25</v>
      </c>
      <c r="I2222" s="4">
        <v>0.96</v>
      </c>
      <c r="J2222" s="4">
        <v>0.19702</v>
      </c>
      <c r="K2222" s="4" t="b">
        <v>1</v>
      </c>
      <c r="L2222" s="4" t="b">
        <v>0</v>
      </c>
    </row>
    <row r="2223" spans="1:13" ht="13">
      <c r="A2223" s="4" t="s">
        <v>5621</v>
      </c>
      <c r="B2223" s="4" t="s">
        <v>4926</v>
      </c>
      <c r="C2223" s="4" t="s">
        <v>108</v>
      </c>
      <c r="D2223" s="4" t="s">
        <v>4927</v>
      </c>
      <c r="E2223" s="4" t="s">
        <v>9</v>
      </c>
      <c r="F2223" s="4" t="s">
        <v>5622</v>
      </c>
      <c r="G2223" s="4" t="s">
        <v>5623</v>
      </c>
      <c r="H2223" s="4">
        <v>4.2699999999999996</v>
      </c>
      <c r="I2223" s="4">
        <v>1.02</v>
      </c>
      <c r="J2223" s="4">
        <v>0.23518</v>
      </c>
      <c r="K2223" s="4" t="b">
        <v>1</v>
      </c>
      <c r="L2223" s="4" t="b">
        <v>0</v>
      </c>
    </row>
    <row r="2224" spans="1:13" ht="13">
      <c r="A2224" s="4" t="s">
        <v>844</v>
      </c>
      <c r="B2224" s="4" t="s">
        <v>4926</v>
      </c>
      <c r="C2224" s="4" t="s">
        <v>108</v>
      </c>
      <c r="D2224" s="4" t="s">
        <v>4927</v>
      </c>
      <c r="E2224" s="4" t="s">
        <v>9</v>
      </c>
      <c r="F2224" s="4" t="s">
        <v>5147</v>
      </c>
      <c r="G2224" s="4" t="s">
        <v>729</v>
      </c>
      <c r="H2224" s="4">
        <v>4.28</v>
      </c>
      <c r="I2224" s="4">
        <v>0.97</v>
      </c>
      <c r="J2224" s="4">
        <v>0.18825</v>
      </c>
      <c r="K2224" s="4" t="b">
        <v>1</v>
      </c>
      <c r="L2224" s="4" t="b">
        <v>1</v>
      </c>
      <c r="M2224" s="41" t="s">
        <v>4955</v>
      </c>
    </row>
    <row r="2225" spans="1:13" ht="13">
      <c r="A2225" s="4" t="s">
        <v>5624</v>
      </c>
      <c r="B2225" s="4" t="s">
        <v>4926</v>
      </c>
      <c r="C2225" s="4" t="s">
        <v>108</v>
      </c>
      <c r="D2225" s="4" t="s">
        <v>4927</v>
      </c>
      <c r="E2225" s="4" t="s">
        <v>9</v>
      </c>
      <c r="F2225" s="4" t="s">
        <v>5625</v>
      </c>
      <c r="G2225" s="4" t="s">
        <v>5626</v>
      </c>
      <c r="H2225" s="4">
        <v>4.3</v>
      </c>
      <c r="I2225" s="4">
        <v>0.99</v>
      </c>
      <c r="J2225" s="4">
        <v>0.21736</v>
      </c>
      <c r="K2225" s="4" t="b">
        <v>1</v>
      </c>
      <c r="L2225" s="4" t="b">
        <v>0</v>
      </c>
    </row>
    <row r="2226" spans="1:13" ht="13">
      <c r="A2226" s="4" t="s">
        <v>5627</v>
      </c>
      <c r="B2226" s="4" t="s">
        <v>4926</v>
      </c>
      <c r="C2226" s="4" t="s">
        <v>108</v>
      </c>
      <c r="D2226" s="4" t="s">
        <v>4927</v>
      </c>
      <c r="E2226" s="4" t="s">
        <v>9</v>
      </c>
      <c r="F2226" s="4" t="s">
        <v>5628</v>
      </c>
      <c r="G2226" s="4" t="s">
        <v>5629</v>
      </c>
      <c r="H2226" s="4">
        <v>4.32</v>
      </c>
      <c r="I2226" s="4">
        <v>1.02</v>
      </c>
      <c r="J2226" s="4">
        <v>0.23830000000000001</v>
      </c>
      <c r="K2226" s="4" t="b">
        <v>1</v>
      </c>
      <c r="L2226" s="4" t="b">
        <v>0</v>
      </c>
    </row>
    <row r="2227" spans="1:13" ht="13">
      <c r="A2227" s="4" t="s">
        <v>5630</v>
      </c>
      <c r="B2227" s="4" t="s">
        <v>4926</v>
      </c>
      <c r="C2227" s="4" t="s">
        <v>108</v>
      </c>
      <c r="D2227" s="4" t="s">
        <v>4927</v>
      </c>
      <c r="E2227" s="4" t="s">
        <v>9</v>
      </c>
      <c r="F2227" s="4" t="s">
        <v>5631</v>
      </c>
      <c r="G2227" s="4" t="s">
        <v>5632</v>
      </c>
      <c r="H2227" s="4">
        <v>4.33</v>
      </c>
      <c r="I2227" s="4">
        <v>1.02</v>
      </c>
      <c r="J2227" s="4">
        <v>0.22933000000000001</v>
      </c>
      <c r="K2227" s="4" t="b">
        <v>1</v>
      </c>
      <c r="L2227" s="4" t="b">
        <v>0</v>
      </c>
    </row>
    <row r="2228" spans="1:13" ht="13">
      <c r="A2228" s="4" t="s">
        <v>5633</v>
      </c>
      <c r="B2228" s="4" t="s">
        <v>4926</v>
      </c>
      <c r="C2228" s="4" t="s">
        <v>108</v>
      </c>
      <c r="D2228" s="4" t="s">
        <v>4927</v>
      </c>
      <c r="E2228" s="4" t="s">
        <v>9</v>
      </c>
      <c r="F2228" s="4" t="s">
        <v>5634</v>
      </c>
      <c r="G2228" s="4" t="s">
        <v>5635</v>
      </c>
      <c r="H2228" s="4">
        <v>4.3499999999999996</v>
      </c>
      <c r="I2228" s="4">
        <v>1.04</v>
      </c>
      <c r="J2228" s="4">
        <v>0.23255999999999999</v>
      </c>
      <c r="K2228" s="4" t="b">
        <v>1</v>
      </c>
      <c r="L2228" s="4" t="b">
        <v>0</v>
      </c>
    </row>
    <row r="2229" spans="1:13" ht="13">
      <c r="A2229" s="4" t="s">
        <v>5636</v>
      </c>
      <c r="B2229" s="4" t="s">
        <v>4926</v>
      </c>
      <c r="C2229" s="4" t="s">
        <v>108</v>
      </c>
      <c r="D2229" s="4" t="s">
        <v>4927</v>
      </c>
      <c r="E2229" s="4" t="s">
        <v>9</v>
      </c>
      <c r="F2229" s="4" t="s">
        <v>5637</v>
      </c>
      <c r="G2229" s="4" t="s">
        <v>5638</v>
      </c>
      <c r="H2229" s="4">
        <v>4.38</v>
      </c>
      <c r="I2229" s="4">
        <v>0.99</v>
      </c>
      <c r="J2229" s="4">
        <v>0.20981</v>
      </c>
      <c r="K2229" s="4" t="b">
        <v>1</v>
      </c>
      <c r="L2229" s="4" t="b">
        <v>0</v>
      </c>
    </row>
    <row r="2230" spans="1:13" ht="13">
      <c r="A2230" s="4" t="s">
        <v>5639</v>
      </c>
      <c r="B2230" s="4" t="s">
        <v>4926</v>
      </c>
      <c r="C2230" s="4" t="s">
        <v>108</v>
      </c>
      <c r="D2230" s="4" t="s">
        <v>4927</v>
      </c>
      <c r="E2230" s="4" t="s">
        <v>9</v>
      </c>
      <c r="F2230" s="4" t="s">
        <v>5640</v>
      </c>
      <c r="G2230" s="4" t="s">
        <v>5641</v>
      </c>
      <c r="H2230" s="4">
        <v>4.4000000000000004</v>
      </c>
      <c r="I2230" s="4">
        <v>0.95</v>
      </c>
      <c r="J2230" s="4">
        <v>0.19803999999999999</v>
      </c>
      <c r="K2230" s="4" t="b">
        <v>1</v>
      </c>
      <c r="L2230" s="4" t="b">
        <v>0</v>
      </c>
    </row>
    <row r="2231" spans="1:13" ht="13">
      <c r="A2231" s="4" t="s">
        <v>5642</v>
      </c>
      <c r="B2231" s="4" t="s">
        <v>4926</v>
      </c>
      <c r="C2231" s="4" t="s">
        <v>108</v>
      </c>
      <c r="D2231" s="4" t="s">
        <v>4927</v>
      </c>
      <c r="E2231" s="4" t="s">
        <v>9</v>
      </c>
      <c r="F2231" s="4" t="s">
        <v>5643</v>
      </c>
      <c r="G2231" s="4" t="s">
        <v>5644</v>
      </c>
      <c r="H2231" s="4">
        <v>4.43</v>
      </c>
      <c r="I2231" s="4">
        <v>0.98</v>
      </c>
      <c r="J2231" s="4">
        <v>0.20651</v>
      </c>
      <c r="K2231" s="4" t="b">
        <v>1</v>
      </c>
      <c r="L2231" s="4" t="b">
        <v>0</v>
      </c>
    </row>
    <row r="2232" spans="1:13" ht="13">
      <c r="A2232" s="4" t="s">
        <v>5645</v>
      </c>
      <c r="B2232" s="4" t="s">
        <v>4926</v>
      </c>
      <c r="C2232" s="4" t="s">
        <v>108</v>
      </c>
      <c r="D2232" s="4" t="s">
        <v>4927</v>
      </c>
      <c r="E2232" s="4" t="s">
        <v>9</v>
      </c>
      <c r="F2232" s="4" t="s">
        <v>5646</v>
      </c>
      <c r="G2232" s="4" t="s">
        <v>5647</v>
      </c>
      <c r="H2232" s="4">
        <v>4.45</v>
      </c>
      <c r="I2232" s="4">
        <v>0.99</v>
      </c>
      <c r="J2232" s="4">
        <v>0.19561000000000001</v>
      </c>
      <c r="K2232" s="4" t="b">
        <v>1</v>
      </c>
      <c r="L2232" s="4" t="b">
        <v>0</v>
      </c>
    </row>
    <row r="2233" spans="1:13" ht="13">
      <c r="A2233" s="4" t="s">
        <v>845</v>
      </c>
      <c r="B2233" s="4" t="s">
        <v>4926</v>
      </c>
      <c r="C2233" s="4" t="s">
        <v>108</v>
      </c>
      <c r="D2233" s="4" t="s">
        <v>4927</v>
      </c>
      <c r="E2233" s="4" t="s">
        <v>9</v>
      </c>
      <c r="F2233" s="4" t="s">
        <v>5107</v>
      </c>
      <c r="G2233" s="4" t="s">
        <v>730</v>
      </c>
      <c r="H2233" s="4">
        <v>1.97</v>
      </c>
      <c r="I2233" s="4">
        <v>1.01</v>
      </c>
      <c r="J2233" s="4">
        <v>0.20727999999999999</v>
      </c>
      <c r="K2233" s="4" t="b">
        <v>1</v>
      </c>
      <c r="L2233" s="4" t="b">
        <v>1</v>
      </c>
      <c r="M2233" s="41" t="s">
        <v>4929</v>
      </c>
    </row>
    <row r="2234" spans="1:13" ht="13">
      <c r="A2234" s="4" t="s">
        <v>5648</v>
      </c>
      <c r="B2234" s="4" t="s">
        <v>4926</v>
      </c>
      <c r="C2234" s="4" t="s">
        <v>108</v>
      </c>
      <c r="D2234" s="4" t="s">
        <v>4927</v>
      </c>
      <c r="E2234" s="4" t="s">
        <v>9</v>
      </c>
      <c r="F2234" s="4" t="s">
        <v>5649</v>
      </c>
      <c r="G2234" s="4" t="s">
        <v>5650</v>
      </c>
      <c r="H2234" s="4">
        <v>1.98</v>
      </c>
      <c r="I2234" s="4">
        <v>0.96</v>
      </c>
      <c r="J2234" s="4">
        <v>0.18439</v>
      </c>
      <c r="K2234" s="4" t="b">
        <v>1</v>
      </c>
      <c r="L2234" s="4" t="b">
        <v>0</v>
      </c>
    </row>
    <row r="2235" spans="1:13" ht="13">
      <c r="A2235" s="4" t="s">
        <v>846</v>
      </c>
      <c r="B2235" s="4" t="s">
        <v>4926</v>
      </c>
      <c r="C2235" s="4" t="s">
        <v>108</v>
      </c>
      <c r="D2235" s="4" t="s">
        <v>4927</v>
      </c>
      <c r="E2235" s="4" t="s">
        <v>9</v>
      </c>
      <c r="F2235" s="4" t="s">
        <v>5020</v>
      </c>
      <c r="G2235" s="4" t="s">
        <v>731</v>
      </c>
      <c r="H2235" s="4">
        <v>2.02</v>
      </c>
      <c r="I2235" s="4">
        <v>0.97</v>
      </c>
      <c r="J2235" s="4">
        <v>0.19005</v>
      </c>
      <c r="K2235" s="4" t="b">
        <v>1</v>
      </c>
      <c r="L2235" s="4" t="b">
        <v>1</v>
      </c>
      <c r="M2235" s="41" t="s">
        <v>4929</v>
      </c>
    </row>
    <row r="2236" spans="1:13" ht="13">
      <c r="A2236" s="4" t="s">
        <v>5651</v>
      </c>
      <c r="B2236" s="4" t="s">
        <v>4926</v>
      </c>
      <c r="C2236" s="4" t="s">
        <v>108</v>
      </c>
      <c r="D2236" s="4" t="s">
        <v>4927</v>
      </c>
      <c r="E2236" s="4" t="s">
        <v>9</v>
      </c>
      <c r="F2236" s="4" t="s">
        <v>5652</v>
      </c>
      <c r="G2236" s="4" t="s">
        <v>5653</v>
      </c>
      <c r="H2236" s="4">
        <v>2.0299999999999998</v>
      </c>
      <c r="I2236" s="4">
        <v>0.97</v>
      </c>
      <c r="J2236" s="4">
        <v>0.18845999999999999</v>
      </c>
      <c r="K2236" s="4" t="b">
        <v>1</v>
      </c>
      <c r="L2236" s="4" t="b">
        <v>0</v>
      </c>
    </row>
    <row r="2237" spans="1:13" ht="13">
      <c r="A2237" s="4" t="s">
        <v>5654</v>
      </c>
      <c r="B2237" s="4" t="s">
        <v>4926</v>
      </c>
      <c r="C2237" s="4" t="s">
        <v>108</v>
      </c>
      <c r="D2237" s="4" t="s">
        <v>4927</v>
      </c>
      <c r="E2237" s="4" t="s">
        <v>9</v>
      </c>
      <c r="F2237" s="4" t="s">
        <v>5655</v>
      </c>
      <c r="G2237" s="4" t="s">
        <v>5656</v>
      </c>
      <c r="H2237" s="4">
        <v>2.0499999999999998</v>
      </c>
      <c r="I2237" s="4">
        <v>0.97</v>
      </c>
      <c r="J2237" s="4">
        <v>0.19011</v>
      </c>
      <c r="K2237" s="4" t="b">
        <v>1</v>
      </c>
      <c r="L2237" s="4" t="b">
        <v>0</v>
      </c>
    </row>
    <row r="2238" spans="1:13" ht="13">
      <c r="A2238" s="4" t="s">
        <v>5657</v>
      </c>
      <c r="B2238" s="4" t="s">
        <v>4926</v>
      </c>
      <c r="C2238" s="4" t="s">
        <v>108</v>
      </c>
      <c r="D2238" s="4" t="s">
        <v>4927</v>
      </c>
      <c r="E2238" s="4" t="s">
        <v>9</v>
      </c>
      <c r="F2238" s="4" t="s">
        <v>5658</v>
      </c>
      <c r="G2238" s="4" t="s">
        <v>5659</v>
      </c>
      <c r="H2238" s="4">
        <v>2.08</v>
      </c>
      <c r="I2238" s="4">
        <v>0.97</v>
      </c>
      <c r="J2238" s="4">
        <v>0.18773000000000001</v>
      </c>
      <c r="K2238" s="4" t="b">
        <v>1</v>
      </c>
      <c r="L2238" s="4" t="b">
        <v>0</v>
      </c>
    </row>
    <row r="2239" spans="1:13" ht="13">
      <c r="A2239" s="4" t="s">
        <v>5660</v>
      </c>
      <c r="B2239" s="4" t="s">
        <v>4926</v>
      </c>
      <c r="C2239" s="4" t="s">
        <v>108</v>
      </c>
      <c r="D2239" s="4" t="s">
        <v>4927</v>
      </c>
      <c r="E2239" s="4" t="s">
        <v>9</v>
      </c>
      <c r="F2239" s="4" t="s">
        <v>5661</v>
      </c>
      <c r="G2239" s="4" t="s">
        <v>5662</v>
      </c>
      <c r="H2239" s="4">
        <v>2.1</v>
      </c>
      <c r="I2239" s="4">
        <v>0.94</v>
      </c>
      <c r="J2239" s="4">
        <v>0.18168999999999999</v>
      </c>
      <c r="K2239" s="4" t="b">
        <v>1</v>
      </c>
      <c r="L2239" s="4" t="b">
        <v>0</v>
      </c>
    </row>
    <row r="2240" spans="1:13" ht="13">
      <c r="A2240" s="4" t="s">
        <v>847</v>
      </c>
      <c r="B2240" s="4" t="s">
        <v>4926</v>
      </c>
      <c r="C2240" s="4" t="s">
        <v>108</v>
      </c>
      <c r="D2240" s="4" t="s">
        <v>4927</v>
      </c>
      <c r="E2240" s="4" t="s">
        <v>9</v>
      </c>
      <c r="F2240" s="4" t="s">
        <v>5108</v>
      </c>
      <c r="G2240" s="4" t="s">
        <v>732</v>
      </c>
      <c r="H2240" s="4">
        <v>2.13</v>
      </c>
      <c r="I2240" s="4">
        <v>1.01</v>
      </c>
      <c r="J2240" s="4">
        <v>0.20275000000000001</v>
      </c>
      <c r="K2240" s="4" t="b">
        <v>1</v>
      </c>
      <c r="L2240" s="4" t="b">
        <v>1</v>
      </c>
      <c r="M2240" s="41" t="s">
        <v>4929</v>
      </c>
    </row>
    <row r="2241" spans="1:13" ht="13">
      <c r="A2241" s="4" t="s">
        <v>5663</v>
      </c>
      <c r="B2241" s="4" t="s">
        <v>4926</v>
      </c>
      <c r="C2241" s="4" t="s">
        <v>108</v>
      </c>
      <c r="D2241" s="4" t="s">
        <v>4927</v>
      </c>
      <c r="E2241" s="4" t="s">
        <v>9</v>
      </c>
      <c r="F2241" s="4" t="s">
        <v>5664</v>
      </c>
      <c r="G2241" s="4" t="s">
        <v>5665</v>
      </c>
      <c r="H2241" s="4">
        <v>2.15</v>
      </c>
      <c r="I2241" s="4">
        <v>1</v>
      </c>
      <c r="J2241" s="4">
        <v>0.18901999999999999</v>
      </c>
      <c r="K2241" s="4" t="b">
        <v>1</v>
      </c>
      <c r="L2241" s="4" t="b">
        <v>0</v>
      </c>
    </row>
    <row r="2242" spans="1:13" ht="13">
      <c r="A2242" s="4" t="s">
        <v>848</v>
      </c>
      <c r="B2242" s="4" t="s">
        <v>4926</v>
      </c>
      <c r="C2242" s="4" t="s">
        <v>108</v>
      </c>
      <c r="D2242" s="4" t="s">
        <v>4927</v>
      </c>
      <c r="E2242" s="4" t="s">
        <v>9</v>
      </c>
      <c r="F2242" s="4" t="s">
        <v>5021</v>
      </c>
      <c r="G2242" s="4" t="s">
        <v>733</v>
      </c>
      <c r="H2242" s="4">
        <v>2.17</v>
      </c>
      <c r="I2242" s="4">
        <v>0.96</v>
      </c>
      <c r="J2242" s="4">
        <v>0.19211</v>
      </c>
      <c r="K2242" s="4" t="b">
        <v>1</v>
      </c>
      <c r="L2242" s="4" t="b">
        <v>1</v>
      </c>
      <c r="M2242" s="41" t="s">
        <v>4929</v>
      </c>
    </row>
    <row r="2243" spans="1:13" ht="13">
      <c r="A2243" s="4" t="s">
        <v>5666</v>
      </c>
      <c r="B2243" s="4" t="s">
        <v>4926</v>
      </c>
      <c r="C2243" s="4" t="s">
        <v>108</v>
      </c>
      <c r="D2243" s="4" t="s">
        <v>4927</v>
      </c>
      <c r="E2243" s="4" t="s">
        <v>9</v>
      </c>
      <c r="F2243" s="4" t="s">
        <v>5667</v>
      </c>
      <c r="G2243" s="4" t="s">
        <v>5668</v>
      </c>
      <c r="H2243" s="4">
        <v>2.2000000000000002</v>
      </c>
      <c r="I2243" s="4">
        <v>0.96</v>
      </c>
      <c r="J2243" s="4">
        <v>0.1862</v>
      </c>
      <c r="K2243" s="4" t="b">
        <v>1</v>
      </c>
      <c r="L2243" s="4" t="b">
        <v>0</v>
      </c>
    </row>
    <row r="2244" spans="1:13" ht="13">
      <c r="A2244" s="4" t="s">
        <v>5669</v>
      </c>
      <c r="B2244" s="4" t="s">
        <v>4926</v>
      </c>
      <c r="C2244" s="4" t="s">
        <v>108</v>
      </c>
      <c r="D2244" s="4" t="s">
        <v>4927</v>
      </c>
      <c r="E2244" s="4" t="s">
        <v>9</v>
      </c>
      <c r="F2244" s="4" t="s">
        <v>5670</v>
      </c>
      <c r="G2244" s="4" t="s">
        <v>5671</v>
      </c>
      <c r="H2244" s="4">
        <v>2.2200000000000002</v>
      </c>
      <c r="I2244" s="4">
        <v>0.99</v>
      </c>
      <c r="J2244" s="4">
        <v>0.19395999999999999</v>
      </c>
      <c r="K2244" s="4" t="b">
        <v>1</v>
      </c>
      <c r="L2244" s="4" t="b">
        <v>0</v>
      </c>
    </row>
    <row r="2245" spans="1:13" ht="13">
      <c r="A2245" s="4" t="s">
        <v>5672</v>
      </c>
      <c r="B2245" s="4" t="s">
        <v>4926</v>
      </c>
      <c r="C2245" s="4" t="s">
        <v>108</v>
      </c>
      <c r="D2245" s="4" t="s">
        <v>4927</v>
      </c>
      <c r="E2245" s="4" t="s">
        <v>9</v>
      </c>
      <c r="F2245" s="4" t="s">
        <v>5673</v>
      </c>
      <c r="G2245" s="4" t="s">
        <v>5674</v>
      </c>
      <c r="H2245" s="4">
        <v>2.27</v>
      </c>
      <c r="I2245" s="4">
        <v>0.97</v>
      </c>
      <c r="J2245" s="4">
        <v>0.18570999999999999</v>
      </c>
      <c r="K2245" s="4" t="b">
        <v>1</v>
      </c>
      <c r="L2245" s="4" t="b">
        <v>0</v>
      </c>
    </row>
    <row r="2246" spans="1:13" ht="13">
      <c r="A2246" s="4" t="s">
        <v>849</v>
      </c>
      <c r="B2246" s="4" t="s">
        <v>4926</v>
      </c>
      <c r="C2246" s="4" t="s">
        <v>108</v>
      </c>
      <c r="D2246" s="4" t="s">
        <v>4927</v>
      </c>
      <c r="E2246" s="4" t="s">
        <v>9</v>
      </c>
      <c r="F2246" s="4" t="s">
        <v>5022</v>
      </c>
      <c r="G2246" s="4" t="s">
        <v>734</v>
      </c>
      <c r="H2246" s="4">
        <v>2.2799999999999998</v>
      </c>
      <c r="I2246" s="4">
        <v>0.96</v>
      </c>
      <c r="J2246" s="4">
        <v>0.18848999999999999</v>
      </c>
      <c r="K2246" s="4" t="b">
        <v>1</v>
      </c>
      <c r="L2246" s="4" t="b">
        <v>1</v>
      </c>
      <c r="M2246" s="41" t="s">
        <v>4929</v>
      </c>
    </row>
    <row r="2247" spans="1:13" ht="13">
      <c r="A2247" s="4" t="s">
        <v>5675</v>
      </c>
      <c r="B2247" s="4" t="s">
        <v>4926</v>
      </c>
      <c r="C2247" s="4" t="s">
        <v>108</v>
      </c>
      <c r="D2247" s="4" t="s">
        <v>4927</v>
      </c>
      <c r="E2247" s="4" t="s">
        <v>9</v>
      </c>
      <c r="F2247" s="4" t="s">
        <v>5676</v>
      </c>
      <c r="G2247" s="4" t="s">
        <v>5677</v>
      </c>
      <c r="H2247" s="4">
        <v>2.37</v>
      </c>
      <c r="I2247" s="4">
        <v>1.07</v>
      </c>
      <c r="J2247" s="4">
        <v>0.21739</v>
      </c>
      <c r="K2247" s="4" t="b">
        <v>1</v>
      </c>
      <c r="L2247" s="4" t="b">
        <v>0</v>
      </c>
    </row>
    <row r="2248" spans="1:13" ht="13">
      <c r="A2248" s="4" t="s">
        <v>5678</v>
      </c>
      <c r="B2248" s="4" t="s">
        <v>4926</v>
      </c>
      <c r="C2248" s="4" t="s">
        <v>108</v>
      </c>
      <c r="D2248" s="4" t="s">
        <v>4927</v>
      </c>
      <c r="E2248" s="4" t="s">
        <v>9</v>
      </c>
      <c r="F2248" s="4" t="s">
        <v>5679</v>
      </c>
      <c r="G2248" s="4" t="s">
        <v>5680</v>
      </c>
      <c r="H2248" s="4">
        <v>2.38</v>
      </c>
      <c r="I2248" s="4">
        <v>1.04</v>
      </c>
      <c r="J2248" s="4">
        <v>0.25158000000000003</v>
      </c>
      <c r="K2248" s="4" t="b">
        <v>1</v>
      </c>
      <c r="L2248" s="4" t="b">
        <v>0</v>
      </c>
    </row>
    <row r="2249" spans="1:13" ht="13">
      <c r="A2249" s="4" t="s">
        <v>850</v>
      </c>
      <c r="B2249" s="4" t="s">
        <v>4926</v>
      </c>
      <c r="C2249" s="4" t="s">
        <v>108</v>
      </c>
      <c r="D2249" s="4" t="s">
        <v>4927</v>
      </c>
      <c r="E2249" s="4" t="s">
        <v>9</v>
      </c>
      <c r="F2249" s="4" t="s">
        <v>5023</v>
      </c>
      <c r="G2249" s="4" t="s">
        <v>735</v>
      </c>
      <c r="H2249" s="4">
        <v>2.4</v>
      </c>
      <c r="I2249" s="4">
        <v>0.94</v>
      </c>
      <c r="J2249" s="4">
        <v>0.18504000000000001</v>
      </c>
      <c r="K2249" s="4" t="b">
        <v>1</v>
      </c>
      <c r="L2249" s="4" t="b">
        <v>1</v>
      </c>
      <c r="M2249" s="41" t="s">
        <v>4929</v>
      </c>
    </row>
    <row r="2250" spans="1:13" ht="13">
      <c r="A2250" s="4" t="s">
        <v>851</v>
      </c>
      <c r="B2250" s="4" t="s">
        <v>4926</v>
      </c>
      <c r="C2250" s="4" t="s">
        <v>108</v>
      </c>
      <c r="D2250" s="4" t="s">
        <v>4927</v>
      </c>
      <c r="E2250" s="4" t="s">
        <v>9</v>
      </c>
      <c r="F2250" s="4" t="s">
        <v>4928</v>
      </c>
      <c r="G2250" s="4" t="s">
        <v>736</v>
      </c>
      <c r="H2250" s="4">
        <v>2.42</v>
      </c>
      <c r="I2250" s="4">
        <v>0.99</v>
      </c>
      <c r="J2250" s="4">
        <v>0.19111</v>
      </c>
      <c r="K2250" s="4" t="b">
        <v>1</v>
      </c>
      <c r="L2250" s="4" t="b">
        <v>1</v>
      </c>
      <c r="M2250" s="41" t="s">
        <v>4929</v>
      </c>
    </row>
    <row r="2251" spans="1:13" ht="13">
      <c r="A2251" s="4" t="s">
        <v>5681</v>
      </c>
      <c r="B2251" s="4" t="s">
        <v>4926</v>
      </c>
      <c r="C2251" s="4" t="s">
        <v>108</v>
      </c>
      <c r="D2251" s="4" t="s">
        <v>4927</v>
      </c>
      <c r="E2251" s="4" t="s">
        <v>9</v>
      </c>
      <c r="F2251" s="4" t="s">
        <v>5682</v>
      </c>
      <c r="G2251" s="4" t="s">
        <v>5683</v>
      </c>
      <c r="H2251" s="4">
        <v>2.4300000000000002</v>
      </c>
      <c r="I2251" s="4">
        <v>0.98</v>
      </c>
      <c r="J2251" s="4">
        <v>0.18941</v>
      </c>
      <c r="K2251" s="4" t="b">
        <v>1</v>
      </c>
      <c r="L2251" s="4" t="b">
        <v>0</v>
      </c>
    </row>
    <row r="2252" spans="1:13" ht="13">
      <c r="A2252" s="4" t="s">
        <v>5684</v>
      </c>
      <c r="B2252" s="4" t="s">
        <v>4926</v>
      </c>
      <c r="C2252" s="4" t="s">
        <v>108</v>
      </c>
      <c r="D2252" s="4" t="s">
        <v>4927</v>
      </c>
      <c r="E2252" s="4" t="s">
        <v>9</v>
      </c>
      <c r="F2252" s="4" t="s">
        <v>5685</v>
      </c>
      <c r="G2252" s="4" t="s">
        <v>5686</v>
      </c>
      <c r="H2252" s="4">
        <v>2.4500000000000002</v>
      </c>
      <c r="I2252" s="4">
        <v>0.98</v>
      </c>
      <c r="J2252" s="4">
        <v>0.19137999999999999</v>
      </c>
      <c r="K2252" s="4" t="b">
        <v>1</v>
      </c>
      <c r="L2252" s="4" t="b">
        <v>0</v>
      </c>
    </row>
    <row r="2253" spans="1:13" ht="13">
      <c r="A2253" s="4" t="s">
        <v>852</v>
      </c>
      <c r="B2253" s="4" t="s">
        <v>4926</v>
      </c>
      <c r="C2253" s="4" t="s">
        <v>108</v>
      </c>
      <c r="D2253" s="4" t="s">
        <v>4927</v>
      </c>
      <c r="E2253" s="4" t="s">
        <v>9</v>
      </c>
      <c r="F2253" s="4" t="s">
        <v>5024</v>
      </c>
      <c r="G2253" s="4" t="s">
        <v>310</v>
      </c>
      <c r="H2253" s="4">
        <v>2.4700000000000002</v>
      </c>
      <c r="I2253" s="4">
        <v>1</v>
      </c>
      <c r="J2253" s="4">
        <v>0.19517999999999999</v>
      </c>
      <c r="K2253" s="4" t="b">
        <v>1</v>
      </c>
      <c r="L2253" s="4" t="b">
        <v>1</v>
      </c>
      <c r="M2253" s="41" t="s">
        <v>4929</v>
      </c>
    </row>
    <row r="2254" spans="1:13" ht="13">
      <c r="A2254" s="4" t="s">
        <v>5687</v>
      </c>
      <c r="B2254" s="4" t="s">
        <v>4926</v>
      </c>
      <c r="C2254" s="4" t="s">
        <v>108</v>
      </c>
      <c r="D2254" s="4" t="s">
        <v>4927</v>
      </c>
      <c r="E2254" s="4" t="s">
        <v>9</v>
      </c>
      <c r="F2254" s="4" t="s">
        <v>5688</v>
      </c>
      <c r="G2254" s="4" t="s">
        <v>5689</v>
      </c>
      <c r="H2254" s="4">
        <v>2.5</v>
      </c>
      <c r="I2254" s="4">
        <v>0.97</v>
      </c>
      <c r="J2254" s="4">
        <v>0.18779999999999999</v>
      </c>
      <c r="K2254" s="4" t="b">
        <v>1</v>
      </c>
      <c r="L2254" s="4" t="b">
        <v>0</v>
      </c>
    </row>
    <row r="2255" spans="1:13" ht="13">
      <c r="A2255" s="4" t="s">
        <v>853</v>
      </c>
      <c r="B2255" s="4" t="s">
        <v>4926</v>
      </c>
      <c r="C2255" s="4" t="s">
        <v>108</v>
      </c>
      <c r="D2255" s="4" t="s">
        <v>4927</v>
      </c>
      <c r="E2255" s="4" t="s">
        <v>9</v>
      </c>
      <c r="F2255" s="4" t="s">
        <v>5163</v>
      </c>
      <c r="G2255" s="4" t="s">
        <v>737</v>
      </c>
      <c r="H2255" s="4">
        <v>2.52</v>
      </c>
      <c r="I2255" s="4">
        <v>0.96</v>
      </c>
      <c r="J2255" s="4">
        <v>0.18784000000000001</v>
      </c>
      <c r="K2255" s="4" t="b">
        <v>1</v>
      </c>
      <c r="L2255" s="4" t="b">
        <v>1</v>
      </c>
      <c r="M2255" s="41" t="s">
        <v>5164</v>
      </c>
    </row>
    <row r="2256" spans="1:13" ht="13">
      <c r="A2256" s="4" t="s">
        <v>854</v>
      </c>
      <c r="B2256" s="4" t="s">
        <v>4926</v>
      </c>
      <c r="C2256" s="4" t="s">
        <v>108</v>
      </c>
      <c r="D2256" s="4" t="s">
        <v>4927</v>
      </c>
      <c r="E2256" s="4" t="s">
        <v>9</v>
      </c>
      <c r="F2256" s="4" t="s">
        <v>5109</v>
      </c>
      <c r="G2256" s="4" t="s">
        <v>738</v>
      </c>
      <c r="H2256" s="4">
        <v>2.5299999999999998</v>
      </c>
      <c r="I2256" s="4">
        <v>0.97</v>
      </c>
      <c r="J2256" s="4">
        <v>0.19062000000000001</v>
      </c>
      <c r="K2256" s="4" t="b">
        <v>1</v>
      </c>
      <c r="L2256" s="4" t="b">
        <v>1</v>
      </c>
      <c r="M2256" s="41" t="s">
        <v>4929</v>
      </c>
    </row>
    <row r="2257" spans="1:13" ht="13">
      <c r="A2257" s="4" t="s">
        <v>855</v>
      </c>
      <c r="B2257" s="4" t="s">
        <v>4926</v>
      </c>
      <c r="C2257" s="4" t="s">
        <v>108</v>
      </c>
      <c r="D2257" s="4" t="s">
        <v>4927</v>
      </c>
      <c r="E2257" s="4" t="s">
        <v>9</v>
      </c>
      <c r="F2257" s="4" t="s">
        <v>5025</v>
      </c>
      <c r="G2257" s="4" t="s">
        <v>739</v>
      </c>
      <c r="H2257" s="4">
        <v>2.5499999999999998</v>
      </c>
      <c r="I2257" s="4">
        <v>0.96</v>
      </c>
      <c r="J2257" s="4">
        <v>0.19031000000000001</v>
      </c>
      <c r="K2257" s="4" t="b">
        <v>1</v>
      </c>
      <c r="L2257" s="4" t="b">
        <v>1</v>
      </c>
      <c r="M2257" s="41" t="s">
        <v>4929</v>
      </c>
    </row>
    <row r="2258" spans="1:13" ht="13">
      <c r="A2258" s="4" t="s">
        <v>856</v>
      </c>
      <c r="B2258" s="4" t="s">
        <v>4926</v>
      </c>
      <c r="C2258" s="4" t="s">
        <v>108</v>
      </c>
      <c r="D2258" s="4" t="s">
        <v>4927</v>
      </c>
      <c r="E2258" s="4" t="s">
        <v>9</v>
      </c>
      <c r="F2258" s="4" t="s">
        <v>5026</v>
      </c>
      <c r="G2258" s="4" t="s">
        <v>740</v>
      </c>
      <c r="H2258" s="4">
        <v>2.57</v>
      </c>
      <c r="I2258" s="4">
        <v>0.96</v>
      </c>
      <c r="J2258" s="4">
        <v>0.19252</v>
      </c>
      <c r="K2258" s="4" t="b">
        <v>1</v>
      </c>
      <c r="L2258" s="4" t="b">
        <v>1</v>
      </c>
      <c r="M2258" s="41" t="s">
        <v>4929</v>
      </c>
    </row>
    <row r="2259" spans="1:13" ht="13">
      <c r="A2259" s="4" t="s">
        <v>857</v>
      </c>
      <c r="B2259" s="4" t="s">
        <v>4926</v>
      </c>
      <c r="C2259" s="4" t="s">
        <v>108</v>
      </c>
      <c r="D2259" s="4" t="s">
        <v>4927</v>
      </c>
      <c r="E2259" s="4" t="s">
        <v>9</v>
      </c>
      <c r="F2259" s="4" t="s">
        <v>5027</v>
      </c>
      <c r="G2259" s="4" t="s">
        <v>314</v>
      </c>
      <c r="H2259" s="4">
        <v>2.58</v>
      </c>
      <c r="I2259" s="4">
        <v>0.94</v>
      </c>
      <c r="J2259" s="4">
        <v>0.17948</v>
      </c>
      <c r="K2259" s="4" t="b">
        <v>1</v>
      </c>
      <c r="L2259" s="4" t="b">
        <v>1</v>
      </c>
      <c r="M2259" s="41" t="s">
        <v>4929</v>
      </c>
    </row>
    <row r="2260" spans="1:13" ht="13">
      <c r="A2260" s="4" t="s">
        <v>858</v>
      </c>
      <c r="B2260" s="4" t="s">
        <v>4926</v>
      </c>
      <c r="C2260" s="4" t="s">
        <v>108</v>
      </c>
      <c r="D2260" s="4" t="s">
        <v>4927</v>
      </c>
      <c r="E2260" s="4" t="s">
        <v>9</v>
      </c>
      <c r="F2260" s="4" t="s">
        <v>5110</v>
      </c>
      <c r="G2260" s="4" t="s">
        <v>741</v>
      </c>
      <c r="H2260" s="4">
        <v>2.6</v>
      </c>
      <c r="I2260" s="4">
        <v>0.98</v>
      </c>
      <c r="J2260" s="4">
        <v>0.19284999999999999</v>
      </c>
      <c r="K2260" s="4" t="b">
        <v>1</v>
      </c>
      <c r="L2260" s="4" t="b">
        <v>1</v>
      </c>
      <c r="M2260" s="41" t="s">
        <v>4929</v>
      </c>
    </row>
    <row r="2261" spans="1:13" ht="13">
      <c r="A2261" s="4" t="s">
        <v>5690</v>
      </c>
      <c r="B2261" s="4" t="s">
        <v>4926</v>
      </c>
      <c r="C2261" s="4" t="s">
        <v>108</v>
      </c>
      <c r="D2261" s="4" t="s">
        <v>4927</v>
      </c>
      <c r="E2261" s="4" t="s">
        <v>9</v>
      </c>
      <c r="F2261" s="4" t="s">
        <v>5691</v>
      </c>
      <c r="G2261" s="4" t="s">
        <v>5692</v>
      </c>
      <c r="H2261" s="4">
        <v>2.67</v>
      </c>
      <c r="I2261" s="4">
        <v>1.0900000000000001</v>
      </c>
      <c r="J2261" s="4">
        <v>0.22713</v>
      </c>
      <c r="K2261" s="4" t="b">
        <v>1</v>
      </c>
      <c r="L2261" s="4" t="b">
        <v>0</v>
      </c>
    </row>
    <row r="2262" spans="1:13" ht="13">
      <c r="A2262" s="4" t="s">
        <v>5693</v>
      </c>
      <c r="B2262" s="4" t="s">
        <v>4926</v>
      </c>
      <c r="C2262" s="4" t="s">
        <v>108</v>
      </c>
      <c r="D2262" s="4" t="s">
        <v>4927</v>
      </c>
      <c r="E2262" s="4" t="s">
        <v>9</v>
      </c>
      <c r="F2262" s="4" t="s">
        <v>5694</v>
      </c>
      <c r="G2262" s="4" t="s">
        <v>5695</v>
      </c>
      <c r="H2262" s="4">
        <v>2.7</v>
      </c>
      <c r="I2262" s="4">
        <v>1.04</v>
      </c>
      <c r="J2262" s="4">
        <v>0.21776000000000001</v>
      </c>
      <c r="K2262" s="4" t="b">
        <v>1</v>
      </c>
      <c r="L2262" s="4" t="b">
        <v>0</v>
      </c>
    </row>
    <row r="2263" spans="1:13" ht="13">
      <c r="A2263" s="4" t="s">
        <v>859</v>
      </c>
      <c r="B2263" s="4" t="s">
        <v>4926</v>
      </c>
      <c r="C2263" s="4" t="s">
        <v>108</v>
      </c>
      <c r="D2263" s="4" t="s">
        <v>4927</v>
      </c>
      <c r="E2263" s="4" t="s">
        <v>9</v>
      </c>
      <c r="F2263" s="4" t="s">
        <v>5028</v>
      </c>
      <c r="G2263" s="4" t="s">
        <v>742</v>
      </c>
      <c r="H2263" s="4">
        <v>2.72</v>
      </c>
      <c r="I2263" s="4">
        <v>0.97</v>
      </c>
      <c r="J2263" s="4">
        <v>0.18720999999999999</v>
      </c>
      <c r="K2263" s="4" t="b">
        <v>1</v>
      </c>
      <c r="L2263" s="4" t="b">
        <v>1</v>
      </c>
      <c r="M2263" s="41" t="s">
        <v>4929</v>
      </c>
    </row>
    <row r="2264" spans="1:13" ht="13">
      <c r="A2264" s="4" t="s">
        <v>5696</v>
      </c>
      <c r="B2264" s="4" t="s">
        <v>4926</v>
      </c>
      <c r="C2264" s="4" t="s">
        <v>108</v>
      </c>
      <c r="D2264" s="4" t="s">
        <v>4927</v>
      </c>
      <c r="E2264" s="4" t="s">
        <v>9</v>
      </c>
      <c r="F2264" s="4" t="s">
        <v>5697</v>
      </c>
      <c r="G2264" s="4" t="s">
        <v>5698</v>
      </c>
      <c r="H2264" s="4">
        <v>2.73</v>
      </c>
      <c r="I2264" s="4">
        <v>0.97</v>
      </c>
      <c r="J2264" s="4">
        <v>0.19089999999999999</v>
      </c>
      <c r="K2264" s="4" t="b">
        <v>1</v>
      </c>
      <c r="L2264" s="4" t="b">
        <v>0</v>
      </c>
    </row>
    <row r="2265" spans="1:13" ht="13">
      <c r="A2265" s="4" t="s">
        <v>5699</v>
      </c>
      <c r="B2265" s="4" t="s">
        <v>4926</v>
      </c>
      <c r="C2265" s="4" t="s">
        <v>108</v>
      </c>
      <c r="D2265" s="4" t="s">
        <v>4927</v>
      </c>
      <c r="E2265" s="4" t="s">
        <v>9</v>
      </c>
      <c r="F2265" s="4" t="s">
        <v>5700</v>
      </c>
      <c r="G2265" s="4" t="s">
        <v>5701</v>
      </c>
      <c r="H2265" s="4">
        <v>2.75</v>
      </c>
      <c r="I2265" s="4">
        <v>0.98</v>
      </c>
      <c r="J2265" s="4">
        <v>0.18831999999999999</v>
      </c>
      <c r="K2265" s="4" t="b">
        <v>1</v>
      </c>
      <c r="L2265" s="4" t="b">
        <v>0</v>
      </c>
    </row>
    <row r="2266" spans="1:13" ht="13">
      <c r="A2266" s="4" t="s">
        <v>860</v>
      </c>
      <c r="B2266" s="4" t="s">
        <v>4926</v>
      </c>
      <c r="C2266" s="4" t="s">
        <v>108</v>
      </c>
      <c r="D2266" s="4" t="s">
        <v>4927</v>
      </c>
      <c r="E2266" s="4" t="s">
        <v>9</v>
      </c>
      <c r="F2266" s="4" t="s">
        <v>5111</v>
      </c>
      <c r="G2266" s="4" t="s">
        <v>743</v>
      </c>
      <c r="H2266" s="4">
        <v>2.77</v>
      </c>
      <c r="I2266" s="4">
        <v>0.97</v>
      </c>
      <c r="J2266" s="4">
        <v>0.18662999999999999</v>
      </c>
      <c r="K2266" s="4" t="b">
        <v>1</v>
      </c>
      <c r="L2266" s="4" t="b">
        <v>1</v>
      </c>
      <c r="M2266" s="41" t="s">
        <v>4929</v>
      </c>
    </row>
    <row r="2267" spans="1:13" ht="13">
      <c r="A2267" s="4" t="s">
        <v>861</v>
      </c>
      <c r="B2267" s="4" t="s">
        <v>4926</v>
      </c>
      <c r="C2267" s="4" t="s">
        <v>108</v>
      </c>
      <c r="D2267" s="4" t="s">
        <v>4927</v>
      </c>
      <c r="E2267" s="4" t="s">
        <v>9</v>
      </c>
      <c r="F2267" s="4" t="s">
        <v>5112</v>
      </c>
      <c r="G2267" s="4" t="s">
        <v>744</v>
      </c>
      <c r="H2267" s="4">
        <v>2.78</v>
      </c>
      <c r="I2267" s="4">
        <v>0.98</v>
      </c>
      <c r="J2267" s="4">
        <v>0.19359999999999999</v>
      </c>
      <c r="K2267" s="4" t="b">
        <v>1</v>
      </c>
      <c r="L2267" s="4" t="b">
        <v>1</v>
      </c>
      <c r="M2267" s="41" t="s">
        <v>4929</v>
      </c>
    </row>
    <row r="2268" spans="1:13" ht="13">
      <c r="A2268" s="4" t="s">
        <v>5702</v>
      </c>
      <c r="B2268" s="4" t="s">
        <v>4926</v>
      </c>
      <c r="C2268" s="4" t="s">
        <v>108</v>
      </c>
      <c r="D2268" s="4" t="s">
        <v>4927</v>
      </c>
      <c r="E2268" s="4" t="s">
        <v>9</v>
      </c>
      <c r="F2268" s="4" t="s">
        <v>5703</v>
      </c>
      <c r="G2268" s="4" t="s">
        <v>5704</v>
      </c>
      <c r="H2268" s="4">
        <v>2.8</v>
      </c>
      <c r="I2268" s="4">
        <v>0.94</v>
      </c>
      <c r="J2268" s="4">
        <v>0.19549</v>
      </c>
      <c r="K2268" s="4" t="b">
        <v>1</v>
      </c>
      <c r="L2268" s="4" t="b">
        <v>0</v>
      </c>
    </row>
    <row r="2269" spans="1:13" ht="13">
      <c r="A2269" s="4" t="s">
        <v>862</v>
      </c>
      <c r="B2269" s="4" t="s">
        <v>4926</v>
      </c>
      <c r="C2269" s="4" t="s">
        <v>108</v>
      </c>
      <c r="D2269" s="4" t="s">
        <v>4927</v>
      </c>
      <c r="E2269" s="4" t="s">
        <v>9</v>
      </c>
      <c r="F2269" s="4" t="s">
        <v>5029</v>
      </c>
      <c r="G2269" s="4" t="s">
        <v>745</v>
      </c>
      <c r="H2269" s="4">
        <v>2.82</v>
      </c>
      <c r="I2269" s="4">
        <v>0.97</v>
      </c>
      <c r="J2269" s="4">
        <v>0.18296000000000001</v>
      </c>
      <c r="K2269" s="4" t="b">
        <v>1</v>
      </c>
      <c r="L2269" s="4" t="b">
        <v>1</v>
      </c>
      <c r="M2269" s="41" t="s">
        <v>4929</v>
      </c>
    </row>
    <row r="2270" spans="1:13" ht="13">
      <c r="A2270" s="4" t="s">
        <v>863</v>
      </c>
      <c r="B2270" s="4" t="s">
        <v>4926</v>
      </c>
      <c r="C2270" s="4" t="s">
        <v>108</v>
      </c>
      <c r="D2270" s="4" t="s">
        <v>4927</v>
      </c>
      <c r="E2270" s="4" t="s">
        <v>9</v>
      </c>
      <c r="F2270" s="4" t="s">
        <v>5030</v>
      </c>
      <c r="G2270" s="4" t="s">
        <v>308</v>
      </c>
      <c r="H2270" s="4">
        <v>2.83</v>
      </c>
      <c r="I2270" s="4">
        <v>0.98</v>
      </c>
      <c r="J2270" s="4">
        <v>0.20352000000000001</v>
      </c>
      <c r="K2270" s="4" t="b">
        <v>1</v>
      </c>
      <c r="L2270" s="4" t="b">
        <v>1</v>
      </c>
      <c r="M2270" s="41" t="s">
        <v>4929</v>
      </c>
    </row>
    <row r="2271" spans="1:13" ht="13">
      <c r="A2271" s="4" t="s">
        <v>5705</v>
      </c>
      <c r="B2271" s="4" t="s">
        <v>4926</v>
      </c>
      <c r="C2271" s="4" t="s">
        <v>108</v>
      </c>
      <c r="D2271" s="4" t="s">
        <v>4927</v>
      </c>
      <c r="E2271" s="4" t="s">
        <v>9</v>
      </c>
      <c r="F2271" s="4" t="s">
        <v>5706</v>
      </c>
      <c r="G2271" s="4" t="s">
        <v>5707</v>
      </c>
      <c r="H2271" s="4">
        <v>2.85</v>
      </c>
      <c r="I2271" s="4">
        <v>0.94</v>
      </c>
      <c r="J2271" s="4">
        <v>0.18387999999999999</v>
      </c>
      <c r="K2271" s="4" t="b">
        <v>1</v>
      </c>
      <c r="L2271" s="4" t="b">
        <v>0</v>
      </c>
    </row>
    <row r="2272" spans="1:13" ht="13">
      <c r="A2272" s="4" t="s">
        <v>5708</v>
      </c>
      <c r="B2272" s="4" t="s">
        <v>4926</v>
      </c>
      <c r="C2272" s="4" t="s">
        <v>108</v>
      </c>
      <c r="D2272" s="4" t="s">
        <v>4927</v>
      </c>
      <c r="E2272" s="4" t="s">
        <v>9</v>
      </c>
      <c r="F2272" s="4" t="s">
        <v>5709</v>
      </c>
      <c r="G2272" s="4" t="s">
        <v>5710</v>
      </c>
      <c r="H2272" s="4">
        <v>2.87</v>
      </c>
      <c r="I2272" s="4">
        <v>0.97</v>
      </c>
      <c r="J2272" s="4">
        <v>0.18726999999999999</v>
      </c>
      <c r="K2272" s="4" t="b">
        <v>1</v>
      </c>
      <c r="L2272" s="4" t="b">
        <v>0</v>
      </c>
    </row>
    <row r="2273" spans="1:13" ht="13">
      <c r="A2273" s="4" t="s">
        <v>5711</v>
      </c>
      <c r="B2273" s="4" t="s">
        <v>4926</v>
      </c>
      <c r="C2273" s="4" t="s">
        <v>108</v>
      </c>
      <c r="D2273" s="4" t="s">
        <v>4927</v>
      </c>
      <c r="E2273" s="4" t="s">
        <v>9</v>
      </c>
      <c r="F2273" s="4" t="s">
        <v>5712</v>
      </c>
      <c r="G2273" s="4" t="s">
        <v>5713</v>
      </c>
      <c r="H2273" s="4">
        <v>2.88</v>
      </c>
      <c r="I2273" s="4">
        <v>0.99</v>
      </c>
      <c r="J2273" s="4">
        <v>0.21704999999999999</v>
      </c>
      <c r="K2273" s="4" t="b">
        <v>1</v>
      </c>
      <c r="L2273" s="4" t="b">
        <v>0</v>
      </c>
    </row>
    <row r="2274" spans="1:13" ht="13">
      <c r="A2274" s="4" t="s">
        <v>864</v>
      </c>
      <c r="B2274" s="4" t="s">
        <v>4926</v>
      </c>
      <c r="C2274" s="4" t="s">
        <v>108</v>
      </c>
      <c r="D2274" s="4" t="s">
        <v>4927</v>
      </c>
      <c r="E2274" s="4" t="s">
        <v>9</v>
      </c>
      <c r="F2274" s="4" t="s">
        <v>5031</v>
      </c>
      <c r="G2274" s="4" t="s">
        <v>746</v>
      </c>
      <c r="H2274" s="4">
        <v>2.9</v>
      </c>
      <c r="I2274" s="4">
        <v>0.99</v>
      </c>
      <c r="J2274" s="4">
        <v>0.19552</v>
      </c>
      <c r="K2274" s="4" t="b">
        <v>1</v>
      </c>
      <c r="L2274" s="4" t="b">
        <v>1</v>
      </c>
      <c r="M2274" s="41" t="s">
        <v>4929</v>
      </c>
    </row>
    <row r="2275" spans="1:13" ht="13">
      <c r="A2275" s="4" t="s">
        <v>5714</v>
      </c>
      <c r="B2275" s="4" t="s">
        <v>4926</v>
      </c>
      <c r="C2275" s="4" t="s">
        <v>108</v>
      </c>
      <c r="D2275" s="4" t="s">
        <v>4927</v>
      </c>
      <c r="E2275" s="4" t="s">
        <v>9</v>
      </c>
      <c r="F2275" s="4" t="s">
        <v>5715</v>
      </c>
      <c r="G2275" s="4" t="s">
        <v>5716</v>
      </c>
      <c r="H2275" s="4">
        <v>2.92</v>
      </c>
      <c r="I2275" s="4">
        <v>0.99</v>
      </c>
      <c r="J2275" s="4">
        <v>0.21667</v>
      </c>
      <c r="K2275" s="4" t="b">
        <v>1</v>
      </c>
      <c r="L2275" s="4" t="b">
        <v>0</v>
      </c>
    </row>
    <row r="2276" spans="1:13" ht="13">
      <c r="A2276" s="4" t="s">
        <v>5717</v>
      </c>
      <c r="B2276" s="4" t="s">
        <v>4926</v>
      </c>
      <c r="C2276" s="4" t="s">
        <v>108</v>
      </c>
      <c r="D2276" s="4" t="s">
        <v>4927</v>
      </c>
      <c r="E2276" s="4" t="s">
        <v>9</v>
      </c>
      <c r="F2276" s="4" t="s">
        <v>5718</v>
      </c>
      <c r="G2276" s="4" t="s">
        <v>5719</v>
      </c>
      <c r="H2276" s="4">
        <v>3.15</v>
      </c>
      <c r="I2276" s="4">
        <v>1</v>
      </c>
      <c r="J2276" s="4">
        <v>0.20146</v>
      </c>
      <c r="K2276" s="4" t="b">
        <v>1</v>
      </c>
      <c r="L2276" s="4" t="b">
        <v>0</v>
      </c>
    </row>
    <row r="2277" spans="1:13" ht="13">
      <c r="A2277" s="4" t="s">
        <v>5720</v>
      </c>
      <c r="B2277" s="4" t="s">
        <v>4926</v>
      </c>
      <c r="C2277" s="4" t="s">
        <v>108</v>
      </c>
      <c r="D2277" s="4" t="s">
        <v>4927</v>
      </c>
      <c r="E2277" s="4" t="s">
        <v>9</v>
      </c>
      <c r="F2277" s="4" t="s">
        <v>5721</v>
      </c>
      <c r="G2277" s="4" t="s">
        <v>5722</v>
      </c>
      <c r="H2277" s="4">
        <v>3.17</v>
      </c>
      <c r="I2277" s="4">
        <v>0.94</v>
      </c>
      <c r="J2277" s="4">
        <v>0.18121000000000001</v>
      </c>
      <c r="K2277" s="4" t="b">
        <v>1</v>
      </c>
      <c r="L2277" s="4" t="b">
        <v>0</v>
      </c>
    </row>
    <row r="2278" spans="1:13" ht="13">
      <c r="A2278" s="4" t="s">
        <v>5723</v>
      </c>
      <c r="B2278" s="4" t="s">
        <v>4926</v>
      </c>
      <c r="C2278" s="4" t="s">
        <v>108</v>
      </c>
      <c r="D2278" s="4" t="s">
        <v>4927</v>
      </c>
      <c r="E2278" s="4" t="s">
        <v>9</v>
      </c>
      <c r="F2278" s="4" t="s">
        <v>5724</v>
      </c>
      <c r="G2278" s="4" t="s">
        <v>313</v>
      </c>
      <c r="H2278" s="4">
        <v>3.18</v>
      </c>
      <c r="I2278" s="4">
        <v>0.98</v>
      </c>
      <c r="J2278" s="4">
        <v>0.1903</v>
      </c>
      <c r="K2278" s="4" t="b">
        <v>1</v>
      </c>
      <c r="L2278" s="4" t="b">
        <v>0</v>
      </c>
    </row>
    <row r="2279" spans="1:13" ht="13">
      <c r="A2279" s="4" t="s">
        <v>5725</v>
      </c>
      <c r="B2279" s="4" t="s">
        <v>4926</v>
      </c>
      <c r="C2279" s="4" t="s">
        <v>108</v>
      </c>
      <c r="D2279" s="4" t="s">
        <v>4927</v>
      </c>
      <c r="E2279" s="4" t="s">
        <v>9</v>
      </c>
      <c r="F2279" s="4" t="s">
        <v>5726</v>
      </c>
      <c r="G2279" s="4" t="s">
        <v>5727</v>
      </c>
      <c r="H2279" s="4">
        <v>3.2</v>
      </c>
      <c r="I2279" s="4">
        <v>0.96</v>
      </c>
      <c r="J2279" s="4">
        <v>0.18676999999999999</v>
      </c>
      <c r="K2279" s="4" t="b">
        <v>1</v>
      </c>
      <c r="L2279" s="4" t="b">
        <v>0</v>
      </c>
    </row>
    <row r="2280" spans="1:13" ht="13">
      <c r="A2280" s="4" t="s">
        <v>865</v>
      </c>
      <c r="B2280" s="4" t="s">
        <v>4926</v>
      </c>
      <c r="C2280" s="4" t="s">
        <v>108</v>
      </c>
      <c r="D2280" s="4" t="s">
        <v>4927</v>
      </c>
      <c r="E2280" s="4" t="s">
        <v>9</v>
      </c>
      <c r="F2280" s="4" t="s">
        <v>5113</v>
      </c>
      <c r="G2280" s="4" t="s">
        <v>747</v>
      </c>
      <c r="H2280" s="4">
        <v>3.22</v>
      </c>
      <c r="I2280" s="4">
        <v>1</v>
      </c>
      <c r="J2280" s="4">
        <v>0.18587999999999999</v>
      </c>
      <c r="K2280" s="4" t="b">
        <v>1</v>
      </c>
      <c r="L2280" s="4" t="b">
        <v>1</v>
      </c>
      <c r="M2280" s="41" t="s">
        <v>4995</v>
      </c>
    </row>
    <row r="2281" spans="1:13" ht="13">
      <c r="A2281" s="4" t="s">
        <v>5728</v>
      </c>
      <c r="B2281" s="4" t="s">
        <v>4926</v>
      </c>
      <c r="C2281" s="4" t="s">
        <v>108</v>
      </c>
      <c r="D2281" s="4" t="s">
        <v>4927</v>
      </c>
      <c r="E2281" s="4" t="s">
        <v>9</v>
      </c>
      <c r="F2281" s="4" t="s">
        <v>5729</v>
      </c>
      <c r="G2281" s="4" t="s">
        <v>5730</v>
      </c>
      <c r="H2281" s="4">
        <v>3.23</v>
      </c>
      <c r="I2281" s="4">
        <v>0.96</v>
      </c>
      <c r="J2281" s="4">
        <v>0.18626000000000001</v>
      </c>
      <c r="K2281" s="4" t="b">
        <v>1</v>
      </c>
      <c r="L2281" s="4" t="b">
        <v>0</v>
      </c>
    </row>
    <row r="2282" spans="1:13" ht="13">
      <c r="A2282" s="4" t="s">
        <v>866</v>
      </c>
      <c r="B2282" s="4" t="s">
        <v>4926</v>
      </c>
      <c r="C2282" s="4" t="s">
        <v>108</v>
      </c>
      <c r="D2282" s="4" t="s">
        <v>4927</v>
      </c>
      <c r="E2282" s="4" t="s">
        <v>9</v>
      </c>
      <c r="F2282" s="4" t="s">
        <v>5114</v>
      </c>
      <c r="G2282" s="4" t="s">
        <v>748</v>
      </c>
      <c r="H2282" s="4">
        <v>3.25</v>
      </c>
      <c r="I2282" s="4">
        <v>0.98</v>
      </c>
      <c r="J2282" s="4">
        <v>0.19836999999999999</v>
      </c>
      <c r="K2282" s="4" t="b">
        <v>1</v>
      </c>
      <c r="L2282" s="4" t="b">
        <v>1</v>
      </c>
      <c r="M2282" s="41" t="s">
        <v>4929</v>
      </c>
    </row>
    <row r="2283" spans="1:13" ht="13">
      <c r="A2283" s="4" t="s">
        <v>5731</v>
      </c>
      <c r="B2283" s="4" t="s">
        <v>4926</v>
      </c>
      <c r="C2283" s="4" t="s">
        <v>108</v>
      </c>
      <c r="D2283" s="4" t="s">
        <v>4927</v>
      </c>
      <c r="E2283" s="4" t="s">
        <v>9</v>
      </c>
      <c r="F2283" s="4" t="s">
        <v>5732</v>
      </c>
      <c r="G2283" s="4" t="s">
        <v>5733</v>
      </c>
      <c r="H2283" s="4">
        <v>3.27</v>
      </c>
      <c r="I2283" s="4">
        <v>0.94</v>
      </c>
      <c r="J2283" s="4">
        <v>0.18206</v>
      </c>
      <c r="K2283" s="4" t="b">
        <v>1</v>
      </c>
      <c r="L2283" s="4" t="b">
        <v>0</v>
      </c>
    </row>
    <row r="2284" spans="1:13" ht="13">
      <c r="A2284" s="4" t="s">
        <v>867</v>
      </c>
      <c r="B2284" s="4" t="s">
        <v>4926</v>
      </c>
      <c r="C2284" s="4" t="s">
        <v>108</v>
      </c>
      <c r="D2284" s="4" t="s">
        <v>4927</v>
      </c>
      <c r="E2284" s="4" t="s">
        <v>9</v>
      </c>
      <c r="F2284" s="4" t="s">
        <v>5115</v>
      </c>
      <c r="G2284" s="4" t="s">
        <v>749</v>
      </c>
      <c r="H2284" s="4">
        <v>3.28</v>
      </c>
      <c r="I2284" s="4">
        <v>0.97</v>
      </c>
      <c r="J2284" s="4">
        <v>0.21489</v>
      </c>
      <c r="K2284" s="4" t="b">
        <v>1</v>
      </c>
      <c r="L2284" s="4" t="b">
        <v>1</v>
      </c>
      <c r="M2284" s="41" t="s">
        <v>4929</v>
      </c>
    </row>
    <row r="2285" spans="1:13" ht="13">
      <c r="A2285" s="4" t="s">
        <v>5734</v>
      </c>
      <c r="B2285" s="4" t="s">
        <v>4926</v>
      </c>
      <c r="C2285" s="4" t="s">
        <v>108</v>
      </c>
      <c r="D2285" s="4" t="s">
        <v>4927</v>
      </c>
      <c r="E2285" s="4" t="s">
        <v>9</v>
      </c>
      <c r="F2285" s="4" t="s">
        <v>5735</v>
      </c>
      <c r="G2285" s="4" t="s">
        <v>5736</v>
      </c>
      <c r="H2285" s="4">
        <v>3.3</v>
      </c>
      <c r="I2285" s="4">
        <v>0.96</v>
      </c>
      <c r="J2285" s="4">
        <v>0.18828</v>
      </c>
      <c r="K2285" s="4" t="b">
        <v>1</v>
      </c>
      <c r="L2285" s="4" t="b">
        <v>0</v>
      </c>
    </row>
    <row r="2286" spans="1:13" ht="13">
      <c r="A2286" s="4" t="s">
        <v>5737</v>
      </c>
      <c r="B2286" s="4" t="s">
        <v>4926</v>
      </c>
      <c r="C2286" s="4" t="s">
        <v>108</v>
      </c>
      <c r="D2286" s="4" t="s">
        <v>4927</v>
      </c>
      <c r="E2286" s="4" t="s">
        <v>9</v>
      </c>
      <c r="F2286" s="4" t="s">
        <v>5738</v>
      </c>
      <c r="G2286" s="4" t="s">
        <v>5739</v>
      </c>
      <c r="H2286" s="4">
        <v>3.32</v>
      </c>
      <c r="I2286" s="4">
        <v>0.94</v>
      </c>
      <c r="J2286" s="4">
        <v>0.18847</v>
      </c>
      <c r="K2286" s="4" t="b">
        <v>1</v>
      </c>
      <c r="L2286" s="4" t="b">
        <v>0</v>
      </c>
    </row>
    <row r="2287" spans="1:13" ht="13">
      <c r="A2287" s="4" t="s">
        <v>868</v>
      </c>
      <c r="B2287" s="4" t="s">
        <v>4926</v>
      </c>
      <c r="C2287" s="4" t="s">
        <v>108</v>
      </c>
      <c r="D2287" s="4" t="s">
        <v>4927</v>
      </c>
      <c r="E2287" s="4" t="s">
        <v>9</v>
      </c>
      <c r="F2287" s="4" t="s">
        <v>5165</v>
      </c>
      <c r="G2287" s="4" t="s">
        <v>750</v>
      </c>
      <c r="H2287" s="4">
        <v>3.33</v>
      </c>
      <c r="I2287" s="4">
        <v>0.94</v>
      </c>
      <c r="J2287" s="4">
        <v>0.18559</v>
      </c>
      <c r="K2287" s="4" t="b">
        <v>1</v>
      </c>
      <c r="L2287" s="4" t="b">
        <v>1</v>
      </c>
      <c r="M2287" s="41" t="s">
        <v>5164</v>
      </c>
    </row>
    <row r="2288" spans="1:13" ht="13">
      <c r="A2288" s="4" t="s">
        <v>869</v>
      </c>
      <c r="B2288" s="4" t="s">
        <v>4926</v>
      </c>
      <c r="C2288" s="4" t="s">
        <v>108</v>
      </c>
      <c r="D2288" s="4" t="s">
        <v>4927</v>
      </c>
      <c r="E2288" s="4" t="s">
        <v>9</v>
      </c>
      <c r="F2288" s="4" t="s">
        <v>5032</v>
      </c>
      <c r="G2288" s="4" t="s">
        <v>751</v>
      </c>
      <c r="H2288" s="4">
        <v>3.35</v>
      </c>
      <c r="I2288" s="4">
        <v>0.94</v>
      </c>
      <c r="J2288" s="4">
        <v>0.18088000000000001</v>
      </c>
      <c r="K2288" s="4" t="b">
        <v>1</v>
      </c>
      <c r="L2288" s="4" t="b">
        <v>1</v>
      </c>
      <c r="M2288" s="41" t="s">
        <v>4929</v>
      </c>
    </row>
    <row r="2289" spans="1:13" ht="13">
      <c r="A2289" s="4" t="s">
        <v>870</v>
      </c>
      <c r="B2289" s="4" t="s">
        <v>4926</v>
      </c>
      <c r="C2289" s="4" t="s">
        <v>108</v>
      </c>
      <c r="D2289" s="4" t="s">
        <v>4927</v>
      </c>
      <c r="E2289" s="4" t="s">
        <v>9</v>
      </c>
      <c r="F2289" s="4" t="s">
        <v>5033</v>
      </c>
      <c r="G2289" s="4" t="s">
        <v>752</v>
      </c>
      <c r="H2289" s="4">
        <v>3.37</v>
      </c>
      <c r="I2289" s="4">
        <v>0.94</v>
      </c>
      <c r="J2289" s="4">
        <v>0.18415999999999999</v>
      </c>
      <c r="K2289" s="4" t="b">
        <v>1</v>
      </c>
      <c r="L2289" s="4" t="b">
        <v>1</v>
      </c>
      <c r="M2289" s="41" t="s">
        <v>4929</v>
      </c>
    </row>
    <row r="2290" spans="1:13" ht="13">
      <c r="A2290" s="4" t="s">
        <v>871</v>
      </c>
      <c r="B2290" s="4" t="s">
        <v>4926</v>
      </c>
      <c r="C2290" s="4" t="s">
        <v>108</v>
      </c>
      <c r="D2290" s="4" t="s">
        <v>4927</v>
      </c>
      <c r="E2290" s="4" t="s">
        <v>9</v>
      </c>
      <c r="F2290" s="4" t="s">
        <v>5148</v>
      </c>
      <c r="G2290" s="4" t="s">
        <v>753</v>
      </c>
      <c r="H2290" s="4">
        <v>3.38</v>
      </c>
      <c r="I2290" s="4">
        <v>0.96</v>
      </c>
      <c r="J2290" s="4">
        <v>0.18809000000000001</v>
      </c>
      <c r="K2290" s="4" t="b">
        <v>1</v>
      </c>
      <c r="L2290" s="4" t="b">
        <v>1</v>
      </c>
      <c r="M2290" s="41" t="s">
        <v>4929</v>
      </c>
    </row>
    <row r="2291" spans="1:13" ht="13">
      <c r="A2291" s="4" t="s">
        <v>5740</v>
      </c>
      <c r="B2291" s="4" t="s">
        <v>4926</v>
      </c>
      <c r="C2291" s="4" t="s">
        <v>108</v>
      </c>
      <c r="D2291" s="4" t="s">
        <v>4927</v>
      </c>
      <c r="E2291" s="4" t="s">
        <v>9</v>
      </c>
      <c r="F2291" s="4" t="s">
        <v>5741</v>
      </c>
      <c r="G2291" s="4" t="s">
        <v>5742</v>
      </c>
      <c r="H2291" s="4">
        <v>3.93</v>
      </c>
      <c r="I2291" s="4">
        <v>0.94</v>
      </c>
      <c r="J2291" s="4">
        <v>0.18278</v>
      </c>
      <c r="K2291" s="4" t="b">
        <v>1</v>
      </c>
      <c r="L2291" s="4" t="b">
        <v>0</v>
      </c>
    </row>
    <row r="2292" spans="1:13" ht="13">
      <c r="A2292" s="4" t="s">
        <v>5743</v>
      </c>
      <c r="B2292" s="4" t="s">
        <v>4926</v>
      </c>
      <c r="C2292" s="4" t="s">
        <v>108</v>
      </c>
      <c r="D2292" s="4" t="s">
        <v>4927</v>
      </c>
      <c r="E2292" s="4" t="s">
        <v>9</v>
      </c>
      <c r="F2292" s="4" t="s">
        <v>5744</v>
      </c>
      <c r="G2292" s="4" t="s">
        <v>5745</v>
      </c>
      <c r="H2292" s="4">
        <v>3.97</v>
      </c>
      <c r="I2292" s="4">
        <v>0.94</v>
      </c>
      <c r="J2292" s="4">
        <v>0.18276000000000001</v>
      </c>
      <c r="K2292" s="4" t="b">
        <v>1</v>
      </c>
      <c r="L2292" s="4" t="b">
        <v>0</v>
      </c>
    </row>
    <row r="2293" spans="1:13" ht="13">
      <c r="A2293" s="4" t="s">
        <v>872</v>
      </c>
      <c r="B2293" s="4" t="s">
        <v>4926</v>
      </c>
      <c r="C2293" s="4" t="s">
        <v>108</v>
      </c>
      <c r="D2293" s="4" t="s">
        <v>4927</v>
      </c>
      <c r="E2293" s="4" t="s">
        <v>9</v>
      </c>
      <c r="F2293" s="4" t="s">
        <v>5034</v>
      </c>
      <c r="G2293" s="4" t="s">
        <v>754</v>
      </c>
      <c r="H2293" s="4">
        <v>3.98</v>
      </c>
      <c r="I2293" s="4">
        <v>0.94</v>
      </c>
      <c r="J2293" s="4">
        <v>0.18198</v>
      </c>
      <c r="K2293" s="4" t="b">
        <v>1</v>
      </c>
      <c r="L2293" s="4" t="b">
        <v>1</v>
      </c>
      <c r="M2293" s="41" t="s">
        <v>4929</v>
      </c>
    </row>
    <row r="2294" spans="1:13" ht="13">
      <c r="A2294" s="4" t="s">
        <v>5746</v>
      </c>
      <c r="B2294" s="4" t="s">
        <v>4926</v>
      </c>
      <c r="C2294" s="4" t="s">
        <v>108</v>
      </c>
      <c r="D2294" s="4" t="s">
        <v>4927</v>
      </c>
      <c r="E2294" s="4" t="s">
        <v>9</v>
      </c>
      <c r="F2294" s="4" t="s">
        <v>5747</v>
      </c>
      <c r="G2294" s="4" t="s">
        <v>5748</v>
      </c>
      <c r="H2294" s="4">
        <v>4</v>
      </c>
      <c r="I2294" s="4">
        <v>0.94</v>
      </c>
      <c r="J2294" s="4">
        <v>0.17716999999999999</v>
      </c>
      <c r="K2294" s="4" t="b">
        <v>1</v>
      </c>
      <c r="L2294" s="4" t="b">
        <v>0</v>
      </c>
    </row>
    <row r="2295" spans="1:13" ht="13">
      <c r="A2295" s="4" t="s">
        <v>873</v>
      </c>
      <c r="B2295" s="4" t="s">
        <v>4926</v>
      </c>
      <c r="C2295" s="4" t="s">
        <v>108</v>
      </c>
      <c r="D2295" s="4" t="s">
        <v>4927</v>
      </c>
      <c r="E2295" s="4" t="s">
        <v>9</v>
      </c>
      <c r="F2295" s="4" t="s">
        <v>5035</v>
      </c>
      <c r="G2295" s="4" t="s">
        <v>311</v>
      </c>
      <c r="H2295" s="4">
        <v>4.0199999999999996</v>
      </c>
      <c r="I2295" s="4">
        <v>0.94</v>
      </c>
      <c r="J2295" s="4">
        <v>0.17848</v>
      </c>
      <c r="K2295" s="4" t="b">
        <v>1</v>
      </c>
      <c r="L2295" s="4" t="b">
        <v>1</v>
      </c>
      <c r="M2295" s="41" t="s">
        <v>4929</v>
      </c>
    </row>
    <row r="2296" spans="1:13" ht="13">
      <c r="A2296" s="4" t="s">
        <v>5749</v>
      </c>
      <c r="B2296" s="4" t="s">
        <v>4926</v>
      </c>
      <c r="C2296" s="4" t="s">
        <v>108</v>
      </c>
      <c r="D2296" s="4" t="s">
        <v>4927</v>
      </c>
      <c r="E2296" s="4" t="s">
        <v>9</v>
      </c>
      <c r="F2296" s="4" t="s">
        <v>5750</v>
      </c>
      <c r="G2296" s="4" t="s">
        <v>5751</v>
      </c>
      <c r="H2296" s="4">
        <v>4.03</v>
      </c>
      <c r="I2296" s="4">
        <v>0.94</v>
      </c>
      <c r="J2296" s="4">
        <v>0.18351999999999999</v>
      </c>
      <c r="K2296" s="4" t="b">
        <v>1</v>
      </c>
      <c r="L2296" s="4" t="b">
        <v>0</v>
      </c>
    </row>
    <row r="2297" spans="1:13" ht="13">
      <c r="A2297" s="4" t="s">
        <v>5752</v>
      </c>
      <c r="B2297" s="4" t="s">
        <v>4926</v>
      </c>
      <c r="C2297" s="4" t="s">
        <v>108</v>
      </c>
      <c r="D2297" s="4" t="s">
        <v>4927</v>
      </c>
      <c r="E2297" s="4" t="s">
        <v>9</v>
      </c>
      <c r="F2297" s="4" t="s">
        <v>5753</v>
      </c>
      <c r="G2297" s="4" t="s">
        <v>5754</v>
      </c>
      <c r="H2297" s="4">
        <v>4.05</v>
      </c>
      <c r="I2297" s="4">
        <v>0.94</v>
      </c>
      <c r="J2297" s="4">
        <v>0.18903</v>
      </c>
      <c r="K2297" s="4" t="b">
        <v>1</v>
      </c>
      <c r="L2297" s="4" t="b">
        <v>0</v>
      </c>
    </row>
    <row r="2298" spans="1:13" ht="13">
      <c r="A2298" s="4" t="s">
        <v>5755</v>
      </c>
      <c r="B2298" s="4" t="s">
        <v>4926</v>
      </c>
      <c r="C2298" s="4" t="s">
        <v>108</v>
      </c>
      <c r="D2298" s="4" t="s">
        <v>4927</v>
      </c>
      <c r="E2298" s="4" t="s">
        <v>9</v>
      </c>
      <c r="F2298" s="4" t="s">
        <v>5756</v>
      </c>
      <c r="G2298" s="4" t="s">
        <v>5757</v>
      </c>
      <c r="H2298" s="4">
        <v>4.07</v>
      </c>
      <c r="I2298" s="4">
        <v>0.94</v>
      </c>
      <c r="J2298" s="4">
        <v>0.18049000000000001</v>
      </c>
      <c r="K2298" s="4" t="b">
        <v>1</v>
      </c>
      <c r="L2298" s="4" t="b">
        <v>0</v>
      </c>
    </row>
    <row r="2299" spans="1:13" ht="13">
      <c r="A2299" s="4" t="s">
        <v>5758</v>
      </c>
      <c r="B2299" s="4" t="s">
        <v>4926</v>
      </c>
      <c r="C2299" s="4" t="s">
        <v>108</v>
      </c>
      <c r="D2299" s="4" t="s">
        <v>4927</v>
      </c>
      <c r="E2299" s="4" t="s">
        <v>9</v>
      </c>
      <c r="F2299" s="4" t="s">
        <v>5759</v>
      </c>
      <c r="G2299" s="4" t="s">
        <v>5760</v>
      </c>
      <c r="H2299" s="4">
        <v>4.08</v>
      </c>
      <c r="I2299" s="4">
        <v>0.94</v>
      </c>
      <c r="J2299" s="4">
        <v>0.18317</v>
      </c>
      <c r="K2299" s="4" t="b">
        <v>1</v>
      </c>
      <c r="L2299" s="4" t="b">
        <v>0</v>
      </c>
    </row>
    <row r="2300" spans="1:13" ht="13">
      <c r="A2300" s="4" t="s">
        <v>874</v>
      </c>
      <c r="B2300" s="4" t="s">
        <v>4926</v>
      </c>
      <c r="C2300" s="4" t="s">
        <v>108</v>
      </c>
      <c r="D2300" s="4" t="s">
        <v>4927</v>
      </c>
      <c r="E2300" s="4" t="s">
        <v>9</v>
      </c>
      <c r="F2300" s="4" t="s">
        <v>5036</v>
      </c>
      <c r="G2300" s="4" t="s">
        <v>755</v>
      </c>
      <c r="H2300" s="4">
        <v>4.0999999999999996</v>
      </c>
      <c r="I2300" s="4">
        <v>0.98</v>
      </c>
      <c r="J2300" s="4">
        <v>0.19649</v>
      </c>
      <c r="K2300" s="4" t="b">
        <v>1</v>
      </c>
      <c r="L2300" s="4" t="b">
        <v>1</v>
      </c>
      <c r="M2300" s="41" t="s">
        <v>4929</v>
      </c>
    </row>
    <row r="2301" spans="1:13" ht="13">
      <c r="A2301" s="4" t="s">
        <v>5761</v>
      </c>
      <c r="B2301" s="4" t="s">
        <v>4926</v>
      </c>
      <c r="C2301" s="4" t="s">
        <v>108</v>
      </c>
      <c r="D2301" s="4" t="s">
        <v>4927</v>
      </c>
      <c r="E2301" s="4" t="s">
        <v>9</v>
      </c>
      <c r="F2301" s="4" t="s">
        <v>5762</v>
      </c>
      <c r="G2301" s="4" t="s">
        <v>5763</v>
      </c>
      <c r="H2301" s="4">
        <v>4.12</v>
      </c>
      <c r="I2301" s="4">
        <v>0.94</v>
      </c>
      <c r="J2301" s="4">
        <v>0.19086</v>
      </c>
      <c r="K2301" s="4" t="b">
        <v>1</v>
      </c>
      <c r="L2301" s="4" t="b">
        <v>0</v>
      </c>
    </row>
    <row r="2302" spans="1:13" ht="13">
      <c r="A2302" s="4" t="s">
        <v>875</v>
      </c>
      <c r="B2302" s="4" t="s">
        <v>4926</v>
      </c>
      <c r="C2302" s="4" t="s">
        <v>108</v>
      </c>
      <c r="D2302" s="4" t="s">
        <v>4927</v>
      </c>
      <c r="E2302" s="4" t="s">
        <v>9</v>
      </c>
      <c r="F2302" s="4" t="s">
        <v>5116</v>
      </c>
      <c r="G2302" s="4" t="s">
        <v>756</v>
      </c>
      <c r="H2302" s="4">
        <v>4.13</v>
      </c>
      <c r="I2302" s="4">
        <v>0.96</v>
      </c>
      <c r="J2302" s="4">
        <v>0.19852</v>
      </c>
      <c r="K2302" s="4" t="b">
        <v>1</v>
      </c>
      <c r="L2302" s="4" t="b">
        <v>1</v>
      </c>
      <c r="M2302" s="41" t="s">
        <v>4929</v>
      </c>
    </row>
    <row r="2303" spans="1:13" ht="13">
      <c r="A2303" s="4" t="s">
        <v>5764</v>
      </c>
      <c r="B2303" s="4" t="s">
        <v>4926</v>
      </c>
      <c r="C2303" s="4" t="s">
        <v>108</v>
      </c>
      <c r="D2303" s="4" t="s">
        <v>4927</v>
      </c>
      <c r="E2303" s="4" t="s">
        <v>9</v>
      </c>
      <c r="F2303" s="4" t="s">
        <v>5765</v>
      </c>
      <c r="G2303" s="4" t="s">
        <v>5766</v>
      </c>
      <c r="H2303" s="4">
        <v>4.1500000000000004</v>
      </c>
      <c r="I2303" s="4">
        <v>0.94</v>
      </c>
      <c r="J2303" s="4">
        <v>0.18475</v>
      </c>
      <c r="K2303" s="4" t="b">
        <v>1</v>
      </c>
      <c r="L2303" s="4" t="b">
        <v>0</v>
      </c>
    </row>
    <row r="2304" spans="1:13" ht="13">
      <c r="A2304" s="4" t="s">
        <v>876</v>
      </c>
      <c r="B2304" s="4" t="s">
        <v>4926</v>
      </c>
      <c r="C2304" s="4" t="s">
        <v>108</v>
      </c>
      <c r="D2304" s="4" t="s">
        <v>4927</v>
      </c>
      <c r="E2304" s="4" t="s">
        <v>9</v>
      </c>
      <c r="F2304" s="4" t="s">
        <v>5037</v>
      </c>
      <c r="G2304" s="4" t="s">
        <v>757</v>
      </c>
      <c r="H2304" s="4">
        <v>4.18</v>
      </c>
      <c r="I2304" s="4">
        <v>0.97</v>
      </c>
      <c r="J2304" s="4">
        <v>0.18876999999999999</v>
      </c>
      <c r="K2304" s="4" t="b">
        <v>1</v>
      </c>
      <c r="L2304" s="4" t="b">
        <v>1</v>
      </c>
      <c r="M2304" s="41" t="s">
        <v>4929</v>
      </c>
    </row>
    <row r="2305" spans="1:13" ht="13">
      <c r="A2305" s="4" t="s">
        <v>877</v>
      </c>
      <c r="B2305" s="4" t="s">
        <v>4926</v>
      </c>
      <c r="C2305" s="4" t="s">
        <v>108</v>
      </c>
      <c r="D2305" s="4" t="s">
        <v>4927</v>
      </c>
      <c r="E2305" s="4" t="s">
        <v>9</v>
      </c>
      <c r="F2305" s="4" t="s">
        <v>5038</v>
      </c>
      <c r="G2305" s="4" t="s">
        <v>758</v>
      </c>
      <c r="H2305" s="4">
        <v>4.2</v>
      </c>
      <c r="I2305" s="4">
        <v>0.96</v>
      </c>
      <c r="J2305" s="4">
        <v>0.18758</v>
      </c>
      <c r="K2305" s="4" t="b">
        <v>1</v>
      </c>
      <c r="L2305" s="4" t="b">
        <v>1</v>
      </c>
      <c r="M2305" s="41" t="s">
        <v>4929</v>
      </c>
    </row>
    <row r="2306" spans="1:13" ht="13">
      <c r="A2306" s="4" t="s">
        <v>878</v>
      </c>
      <c r="B2306" s="4" t="s">
        <v>4926</v>
      </c>
      <c r="C2306" s="4" t="s">
        <v>108</v>
      </c>
      <c r="D2306" s="4" t="s">
        <v>4927</v>
      </c>
      <c r="E2306" s="4" t="s">
        <v>9</v>
      </c>
      <c r="F2306" s="4" t="s">
        <v>5039</v>
      </c>
      <c r="G2306" s="4" t="s">
        <v>759</v>
      </c>
      <c r="H2306" s="4">
        <v>4.2300000000000004</v>
      </c>
      <c r="I2306" s="4">
        <v>1.02</v>
      </c>
      <c r="J2306" s="4">
        <v>0.19713</v>
      </c>
      <c r="K2306" s="4" t="b">
        <v>1</v>
      </c>
      <c r="L2306" s="4" t="b">
        <v>1</v>
      </c>
      <c r="M2306" s="41" t="s">
        <v>4929</v>
      </c>
    </row>
    <row r="2307" spans="1:13" ht="13">
      <c r="A2307" s="4" t="s">
        <v>5767</v>
      </c>
      <c r="B2307" s="4" t="s">
        <v>4926</v>
      </c>
      <c r="C2307" s="4" t="s">
        <v>108</v>
      </c>
      <c r="D2307" s="4" t="s">
        <v>4927</v>
      </c>
      <c r="E2307" s="4" t="s">
        <v>9</v>
      </c>
      <c r="F2307" s="4" t="s">
        <v>5768</v>
      </c>
      <c r="G2307" s="4" t="s">
        <v>5769</v>
      </c>
      <c r="H2307" s="4">
        <v>4.25</v>
      </c>
      <c r="I2307" s="4">
        <v>0.94</v>
      </c>
      <c r="J2307" s="4">
        <v>0.18546000000000001</v>
      </c>
      <c r="K2307" s="4" t="b">
        <v>1</v>
      </c>
      <c r="L2307" s="4" t="b">
        <v>0</v>
      </c>
    </row>
    <row r="2308" spans="1:13" ht="13">
      <c r="A2308" s="4" t="s">
        <v>5770</v>
      </c>
      <c r="B2308" s="4" t="s">
        <v>4926</v>
      </c>
      <c r="C2308" s="4" t="s">
        <v>108</v>
      </c>
      <c r="D2308" s="4" t="s">
        <v>4927</v>
      </c>
      <c r="E2308" s="4" t="s">
        <v>9</v>
      </c>
      <c r="F2308" s="4" t="s">
        <v>5771</v>
      </c>
      <c r="G2308" s="4" t="s">
        <v>5772</v>
      </c>
      <c r="H2308" s="4">
        <v>4.2699999999999996</v>
      </c>
      <c r="I2308" s="4">
        <v>1</v>
      </c>
      <c r="J2308" s="4">
        <v>0.19952</v>
      </c>
      <c r="K2308" s="4" t="b">
        <v>1</v>
      </c>
      <c r="L2308" s="4" t="b">
        <v>0</v>
      </c>
    </row>
    <row r="2309" spans="1:13" ht="13">
      <c r="A2309" s="4" t="s">
        <v>5773</v>
      </c>
      <c r="B2309" s="4" t="s">
        <v>4926</v>
      </c>
      <c r="C2309" s="4" t="s">
        <v>108</v>
      </c>
      <c r="D2309" s="4" t="s">
        <v>4927</v>
      </c>
      <c r="E2309" s="4" t="s">
        <v>9</v>
      </c>
      <c r="F2309" s="4" t="s">
        <v>5774</v>
      </c>
      <c r="G2309" s="4" t="s">
        <v>5775</v>
      </c>
      <c r="H2309" s="4">
        <v>4.3</v>
      </c>
      <c r="I2309" s="4">
        <v>0.94</v>
      </c>
      <c r="J2309" s="4">
        <v>0.18415000000000001</v>
      </c>
      <c r="K2309" s="4" t="b">
        <v>1</v>
      </c>
      <c r="L2309" s="4" t="b">
        <v>0</v>
      </c>
    </row>
    <row r="2310" spans="1:13" ht="13">
      <c r="A2310" s="4" t="s">
        <v>879</v>
      </c>
      <c r="B2310" s="4" t="s">
        <v>4926</v>
      </c>
      <c r="C2310" s="4" t="s">
        <v>108</v>
      </c>
      <c r="D2310" s="4" t="s">
        <v>4927</v>
      </c>
      <c r="E2310" s="4" t="s">
        <v>9</v>
      </c>
      <c r="F2310" s="4" t="s">
        <v>5040</v>
      </c>
      <c r="G2310" s="4" t="s">
        <v>760</v>
      </c>
      <c r="H2310" s="4">
        <v>4.32</v>
      </c>
      <c r="I2310" s="4">
        <v>0.98</v>
      </c>
      <c r="J2310" s="4">
        <v>0.19086</v>
      </c>
      <c r="K2310" s="4" t="b">
        <v>1</v>
      </c>
      <c r="L2310" s="4" t="b">
        <v>1</v>
      </c>
      <c r="M2310" s="41" t="s">
        <v>4929</v>
      </c>
    </row>
    <row r="2311" spans="1:13" ht="13">
      <c r="A2311" s="4" t="s">
        <v>5776</v>
      </c>
      <c r="B2311" s="4" t="s">
        <v>4926</v>
      </c>
      <c r="C2311" s="4" t="s">
        <v>108</v>
      </c>
      <c r="D2311" s="4" t="s">
        <v>4927</v>
      </c>
      <c r="E2311" s="4" t="s">
        <v>9</v>
      </c>
      <c r="F2311" s="4" t="s">
        <v>5777</v>
      </c>
      <c r="G2311" s="4" t="s">
        <v>5778</v>
      </c>
      <c r="H2311" s="4">
        <v>4.33</v>
      </c>
      <c r="I2311" s="4">
        <v>0.99</v>
      </c>
      <c r="J2311" s="4">
        <v>0.19112999999999999</v>
      </c>
      <c r="K2311" s="4" t="b">
        <v>1</v>
      </c>
      <c r="L2311" s="4" t="b">
        <v>0</v>
      </c>
    </row>
    <row r="2312" spans="1:13" ht="13">
      <c r="A2312" s="4" t="s">
        <v>880</v>
      </c>
      <c r="B2312" s="4" t="s">
        <v>4926</v>
      </c>
      <c r="C2312" s="4" t="s">
        <v>108</v>
      </c>
      <c r="D2312" s="4" t="s">
        <v>4927</v>
      </c>
      <c r="E2312" s="4" t="s">
        <v>9</v>
      </c>
      <c r="F2312" s="4" t="s">
        <v>5117</v>
      </c>
      <c r="G2312" s="4" t="s">
        <v>761</v>
      </c>
      <c r="H2312" s="4">
        <v>4.37</v>
      </c>
      <c r="I2312" s="4">
        <v>0.98</v>
      </c>
      <c r="J2312" s="4">
        <v>0.21248</v>
      </c>
      <c r="K2312" s="4" t="b">
        <v>1</v>
      </c>
      <c r="L2312" s="4" t="b">
        <v>1</v>
      </c>
      <c r="M2312" s="41" t="s">
        <v>4929</v>
      </c>
    </row>
    <row r="2313" spans="1:13" ht="13">
      <c r="A2313" s="4" t="s">
        <v>5779</v>
      </c>
      <c r="B2313" s="4" t="s">
        <v>4926</v>
      </c>
      <c r="C2313" s="4" t="s">
        <v>108</v>
      </c>
      <c r="D2313" s="4" t="s">
        <v>4927</v>
      </c>
      <c r="E2313" s="4" t="s">
        <v>9</v>
      </c>
      <c r="F2313" s="4" t="s">
        <v>5780</v>
      </c>
      <c r="G2313" s="4" t="s">
        <v>5781</v>
      </c>
      <c r="H2313" s="4">
        <v>2.15</v>
      </c>
      <c r="I2313" s="4">
        <v>1</v>
      </c>
      <c r="J2313" s="4">
        <v>0.20879</v>
      </c>
      <c r="K2313" s="4" t="b">
        <v>1</v>
      </c>
      <c r="L2313" s="4" t="b">
        <v>0</v>
      </c>
    </row>
    <row r="2314" spans="1:13" ht="13">
      <c r="A2314" s="4" t="s">
        <v>5782</v>
      </c>
      <c r="B2314" s="4" t="s">
        <v>4926</v>
      </c>
      <c r="C2314" s="4" t="s">
        <v>108</v>
      </c>
      <c r="D2314" s="4" t="s">
        <v>4927</v>
      </c>
      <c r="E2314" s="4" t="s">
        <v>9</v>
      </c>
      <c r="F2314" s="4" t="s">
        <v>5783</v>
      </c>
      <c r="G2314" s="4" t="s">
        <v>5784</v>
      </c>
      <c r="H2314" s="4">
        <v>2.17</v>
      </c>
      <c r="I2314" s="4">
        <v>0.98</v>
      </c>
      <c r="J2314" s="4">
        <v>0.19488</v>
      </c>
      <c r="K2314" s="4" t="b">
        <v>1</v>
      </c>
      <c r="L2314" s="4" t="b">
        <v>0</v>
      </c>
    </row>
    <row r="2315" spans="1:13" ht="13">
      <c r="A2315" s="4" t="s">
        <v>5785</v>
      </c>
      <c r="B2315" s="4" t="s">
        <v>4926</v>
      </c>
      <c r="C2315" s="4" t="s">
        <v>108</v>
      </c>
      <c r="D2315" s="4" t="s">
        <v>4927</v>
      </c>
      <c r="E2315" s="4" t="s">
        <v>9</v>
      </c>
      <c r="F2315" s="4" t="s">
        <v>5786</v>
      </c>
      <c r="G2315" s="4" t="s">
        <v>5787</v>
      </c>
      <c r="H2315" s="4">
        <v>2.1800000000000002</v>
      </c>
      <c r="I2315" s="4">
        <v>1.03</v>
      </c>
      <c r="J2315" s="4">
        <v>0.20629</v>
      </c>
      <c r="K2315" s="4" t="b">
        <v>1</v>
      </c>
      <c r="L2315" s="4" t="b">
        <v>0</v>
      </c>
    </row>
    <row r="2316" spans="1:13" ht="13">
      <c r="A2316" s="4" t="s">
        <v>5788</v>
      </c>
      <c r="B2316" s="4" t="s">
        <v>4926</v>
      </c>
      <c r="C2316" s="4" t="s">
        <v>108</v>
      </c>
      <c r="D2316" s="4" t="s">
        <v>4927</v>
      </c>
      <c r="E2316" s="4" t="s">
        <v>9</v>
      </c>
      <c r="F2316" s="4" t="s">
        <v>5789</v>
      </c>
      <c r="G2316" s="4" t="s">
        <v>5790</v>
      </c>
      <c r="H2316" s="4">
        <v>2.2000000000000002</v>
      </c>
      <c r="I2316" s="4">
        <v>0.98</v>
      </c>
      <c r="J2316" s="4">
        <v>0.1923</v>
      </c>
      <c r="K2316" s="4" t="b">
        <v>1</v>
      </c>
      <c r="L2316" s="4" t="b">
        <v>0</v>
      </c>
    </row>
    <row r="2317" spans="1:13" ht="13">
      <c r="A2317" s="4" t="s">
        <v>5791</v>
      </c>
      <c r="B2317" s="4" t="s">
        <v>4926</v>
      </c>
      <c r="C2317" s="4" t="s">
        <v>108</v>
      </c>
      <c r="D2317" s="4" t="s">
        <v>4927</v>
      </c>
      <c r="E2317" s="4" t="s">
        <v>9</v>
      </c>
      <c r="F2317" s="4" t="s">
        <v>5792</v>
      </c>
      <c r="G2317" s="4" t="s">
        <v>5793</v>
      </c>
      <c r="H2317" s="4">
        <v>2.2200000000000002</v>
      </c>
      <c r="I2317" s="4">
        <v>0.97</v>
      </c>
      <c r="J2317" s="4">
        <v>0.1976</v>
      </c>
      <c r="K2317" s="4" t="b">
        <v>1</v>
      </c>
      <c r="L2317" s="4" t="b">
        <v>0</v>
      </c>
    </row>
    <row r="2318" spans="1:13" ht="13">
      <c r="A2318" s="4" t="s">
        <v>5794</v>
      </c>
      <c r="B2318" s="4" t="s">
        <v>4926</v>
      </c>
      <c r="C2318" s="4" t="s">
        <v>108</v>
      </c>
      <c r="D2318" s="4" t="s">
        <v>4927</v>
      </c>
      <c r="E2318" s="4" t="s">
        <v>9</v>
      </c>
      <c r="F2318" s="4" t="s">
        <v>5795</v>
      </c>
      <c r="G2318" s="4" t="s">
        <v>5796</v>
      </c>
      <c r="H2318" s="4">
        <v>2.23</v>
      </c>
      <c r="I2318" s="4">
        <v>0.98</v>
      </c>
      <c r="J2318" s="4">
        <v>0.19878999999999999</v>
      </c>
      <c r="K2318" s="4" t="b">
        <v>1</v>
      </c>
      <c r="L2318" s="4" t="b">
        <v>0</v>
      </c>
    </row>
    <row r="2319" spans="1:13" ht="13">
      <c r="A2319" s="4" t="s">
        <v>881</v>
      </c>
      <c r="B2319" s="4" t="s">
        <v>4926</v>
      </c>
      <c r="C2319" s="4" t="s">
        <v>108</v>
      </c>
      <c r="D2319" s="4" t="s">
        <v>4927</v>
      </c>
      <c r="E2319" s="4" t="s">
        <v>9</v>
      </c>
      <c r="F2319" s="4" t="s">
        <v>5118</v>
      </c>
      <c r="G2319" s="4" t="s">
        <v>762</v>
      </c>
      <c r="H2319" s="4">
        <v>2.25</v>
      </c>
      <c r="I2319" s="4">
        <v>0.94</v>
      </c>
      <c r="J2319" s="4">
        <v>0.18715999999999999</v>
      </c>
      <c r="K2319" s="4" t="b">
        <v>1</v>
      </c>
      <c r="L2319" s="4" t="b">
        <v>1</v>
      </c>
      <c r="M2319" s="41" t="s">
        <v>4929</v>
      </c>
    </row>
    <row r="2320" spans="1:13" ht="13">
      <c r="A2320" s="4" t="s">
        <v>882</v>
      </c>
      <c r="B2320" s="4" t="s">
        <v>4926</v>
      </c>
      <c r="C2320" s="4" t="s">
        <v>108</v>
      </c>
      <c r="D2320" s="4" t="s">
        <v>4927</v>
      </c>
      <c r="E2320" s="4" t="s">
        <v>9</v>
      </c>
      <c r="F2320" s="4" t="s">
        <v>5041</v>
      </c>
      <c r="G2320" s="4" t="s">
        <v>763</v>
      </c>
      <c r="H2320" s="4">
        <v>2.2799999999999998</v>
      </c>
      <c r="I2320" s="4">
        <v>0.94</v>
      </c>
      <c r="J2320" s="4">
        <v>0.18595999999999999</v>
      </c>
      <c r="K2320" s="4" t="b">
        <v>1</v>
      </c>
      <c r="L2320" s="4" t="b">
        <v>1</v>
      </c>
      <c r="M2320" s="41" t="s">
        <v>4929</v>
      </c>
    </row>
    <row r="2321" spans="1:13" ht="13">
      <c r="A2321" s="4" t="s">
        <v>5797</v>
      </c>
      <c r="B2321" s="4" t="s">
        <v>4926</v>
      </c>
      <c r="C2321" s="4" t="s">
        <v>108</v>
      </c>
      <c r="D2321" s="4" t="s">
        <v>4927</v>
      </c>
      <c r="E2321" s="4" t="s">
        <v>9</v>
      </c>
      <c r="F2321" s="4" t="s">
        <v>5798</v>
      </c>
      <c r="G2321" s="4" t="s">
        <v>5799</v>
      </c>
      <c r="H2321" s="4">
        <v>2.3199999999999998</v>
      </c>
      <c r="I2321" s="4">
        <v>0.96</v>
      </c>
      <c r="J2321" s="4">
        <v>0.18823999999999999</v>
      </c>
      <c r="K2321" s="4" t="b">
        <v>1</v>
      </c>
      <c r="L2321" s="4" t="b">
        <v>0</v>
      </c>
    </row>
    <row r="2322" spans="1:13" ht="13">
      <c r="A2322" s="4" t="s">
        <v>883</v>
      </c>
      <c r="B2322" s="4" t="s">
        <v>4926</v>
      </c>
      <c r="C2322" s="4" t="s">
        <v>108</v>
      </c>
      <c r="D2322" s="4" t="s">
        <v>4927</v>
      </c>
      <c r="E2322" s="4" t="s">
        <v>9</v>
      </c>
      <c r="F2322" s="4" t="s">
        <v>5119</v>
      </c>
      <c r="G2322" s="4" t="s">
        <v>764</v>
      </c>
      <c r="H2322" s="4">
        <v>2.35</v>
      </c>
      <c r="I2322" s="4">
        <v>1.01</v>
      </c>
      <c r="J2322" s="4">
        <v>0.2046</v>
      </c>
      <c r="K2322" s="4" t="b">
        <v>1</v>
      </c>
      <c r="L2322" s="4" t="b">
        <v>1</v>
      </c>
      <c r="M2322" s="41" t="s">
        <v>4929</v>
      </c>
    </row>
    <row r="2323" spans="1:13" ht="13">
      <c r="A2323" s="4" t="s">
        <v>884</v>
      </c>
      <c r="B2323" s="4" t="s">
        <v>4926</v>
      </c>
      <c r="C2323" s="4" t="s">
        <v>108</v>
      </c>
      <c r="D2323" s="4" t="s">
        <v>4927</v>
      </c>
      <c r="E2323" s="4" t="s">
        <v>9</v>
      </c>
      <c r="F2323" s="4" t="s">
        <v>5120</v>
      </c>
      <c r="G2323" s="4" t="s">
        <v>765</v>
      </c>
      <c r="H2323" s="4">
        <v>2.38</v>
      </c>
      <c r="I2323" s="4">
        <v>1.05</v>
      </c>
      <c r="J2323" s="4">
        <v>0.20136999999999999</v>
      </c>
      <c r="K2323" s="4" t="b">
        <v>1</v>
      </c>
      <c r="L2323" s="4" t="b">
        <v>1</v>
      </c>
      <c r="M2323" s="41" t="s">
        <v>4929</v>
      </c>
    </row>
    <row r="2324" spans="1:13" ht="13">
      <c r="A2324" s="4" t="s">
        <v>5800</v>
      </c>
      <c r="B2324" s="4" t="s">
        <v>4926</v>
      </c>
      <c r="C2324" s="4" t="s">
        <v>108</v>
      </c>
      <c r="D2324" s="4" t="s">
        <v>4927</v>
      </c>
      <c r="E2324" s="4" t="s">
        <v>9</v>
      </c>
      <c r="F2324" s="4" t="s">
        <v>5801</v>
      </c>
      <c r="G2324" s="4" t="s">
        <v>5802</v>
      </c>
      <c r="H2324" s="4">
        <v>2.4300000000000002</v>
      </c>
      <c r="I2324" s="4">
        <v>0.99</v>
      </c>
      <c r="J2324" s="4">
        <v>0.19514000000000001</v>
      </c>
      <c r="K2324" s="4" t="b">
        <v>1</v>
      </c>
      <c r="L2324" s="4" t="b">
        <v>0</v>
      </c>
    </row>
    <row r="2325" spans="1:13" ht="13">
      <c r="A2325" s="4" t="s">
        <v>5803</v>
      </c>
      <c r="B2325" s="4" t="s">
        <v>4926</v>
      </c>
      <c r="C2325" s="4" t="s">
        <v>108</v>
      </c>
      <c r="D2325" s="4" t="s">
        <v>4927</v>
      </c>
      <c r="E2325" s="4" t="s">
        <v>9</v>
      </c>
      <c r="F2325" s="4" t="s">
        <v>5804</v>
      </c>
      <c r="G2325" s="4" t="s">
        <v>5805</v>
      </c>
      <c r="H2325" s="4">
        <v>2.4500000000000002</v>
      </c>
      <c r="I2325" s="4">
        <v>0.96</v>
      </c>
      <c r="J2325" s="4">
        <v>0.18975</v>
      </c>
      <c r="K2325" s="4" t="b">
        <v>1</v>
      </c>
      <c r="L2325" s="4" t="b">
        <v>0</v>
      </c>
    </row>
    <row r="2326" spans="1:13" ht="13">
      <c r="A2326" s="4" t="s">
        <v>5806</v>
      </c>
      <c r="B2326" s="4" t="s">
        <v>4926</v>
      </c>
      <c r="C2326" s="4" t="s">
        <v>108</v>
      </c>
      <c r="D2326" s="4" t="s">
        <v>4927</v>
      </c>
      <c r="E2326" s="4" t="s">
        <v>9</v>
      </c>
      <c r="F2326" s="4" t="s">
        <v>5807</v>
      </c>
      <c r="G2326" s="4" t="s">
        <v>5808</v>
      </c>
      <c r="H2326" s="4">
        <v>2.4700000000000002</v>
      </c>
      <c r="I2326" s="4">
        <v>0.99</v>
      </c>
      <c r="J2326" s="4">
        <v>0.19742999999999999</v>
      </c>
      <c r="K2326" s="4" t="b">
        <v>1</v>
      </c>
      <c r="L2326" s="4" t="b">
        <v>0</v>
      </c>
    </row>
    <row r="2327" spans="1:13" ht="13">
      <c r="A2327" s="4" t="s">
        <v>5809</v>
      </c>
      <c r="B2327" s="4" t="s">
        <v>4926</v>
      </c>
      <c r="C2327" s="4" t="s">
        <v>108</v>
      </c>
      <c r="D2327" s="4" t="s">
        <v>4927</v>
      </c>
      <c r="E2327" s="4" t="s">
        <v>9</v>
      </c>
      <c r="F2327" s="4" t="s">
        <v>5810</v>
      </c>
      <c r="G2327" s="4" t="s">
        <v>5811</v>
      </c>
      <c r="H2327" s="4">
        <v>2.48</v>
      </c>
      <c r="I2327" s="4">
        <v>0.97</v>
      </c>
      <c r="J2327" s="4">
        <v>0.19439999999999999</v>
      </c>
      <c r="K2327" s="4" t="b">
        <v>1</v>
      </c>
      <c r="L2327" s="4" t="b">
        <v>0</v>
      </c>
    </row>
    <row r="2328" spans="1:13" ht="13">
      <c r="A2328" s="4" t="s">
        <v>5812</v>
      </c>
      <c r="B2328" s="4" t="s">
        <v>4926</v>
      </c>
      <c r="C2328" s="4" t="s">
        <v>108</v>
      </c>
      <c r="D2328" s="4" t="s">
        <v>4927</v>
      </c>
      <c r="E2328" s="4" t="s">
        <v>9</v>
      </c>
      <c r="F2328" s="4" t="s">
        <v>5813</v>
      </c>
      <c r="G2328" s="4" t="s">
        <v>5814</v>
      </c>
      <c r="H2328" s="4">
        <v>2.52</v>
      </c>
      <c r="I2328" s="4">
        <v>0.98</v>
      </c>
      <c r="J2328" s="4">
        <v>0.20033999999999999</v>
      </c>
      <c r="K2328" s="4" t="b">
        <v>1</v>
      </c>
      <c r="L2328" s="4" t="b">
        <v>0</v>
      </c>
    </row>
    <row r="2329" spans="1:13" ht="13">
      <c r="A2329" s="4" t="s">
        <v>5815</v>
      </c>
      <c r="B2329" s="4" t="s">
        <v>4926</v>
      </c>
      <c r="C2329" s="4" t="s">
        <v>108</v>
      </c>
      <c r="D2329" s="4" t="s">
        <v>4927</v>
      </c>
      <c r="E2329" s="4" t="s">
        <v>9</v>
      </c>
      <c r="F2329" s="4" t="s">
        <v>5816</v>
      </c>
      <c r="G2329" s="4" t="s">
        <v>5817</v>
      </c>
      <c r="H2329" s="4">
        <v>2.5299999999999998</v>
      </c>
      <c r="I2329" s="4">
        <v>0.98</v>
      </c>
      <c r="J2329" s="4">
        <v>0.1948</v>
      </c>
      <c r="K2329" s="4" t="b">
        <v>1</v>
      </c>
      <c r="L2329" s="4" t="b">
        <v>0</v>
      </c>
    </row>
    <row r="2330" spans="1:13" ht="13">
      <c r="A2330" s="4" t="s">
        <v>5818</v>
      </c>
      <c r="B2330" s="4" t="s">
        <v>4926</v>
      </c>
      <c r="C2330" s="4" t="s">
        <v>108</v>
      </c>
      <c r="D2330" s="4" t="s">
        <v>4927</v>
      </c>
      <c r="E2330" s="4" t="s">
        <v>9</v>
      </c>
      <c r="F2330" s="4" t="s">
        <v>5819</v>
      </c>
      <c r="G2330" s="4" t="s">
        <v>5820</v>
      </c>
      <c r="H2330" s="4">
        <v>2.5499999999999998</v>
      </c>
      <c r="I2330" s="4">
        <v>0.99</v>
      </c>
      <c r="J2330" s="4">
        <v>0.19458</v>
      </c>
      <c r="K2330" s="4" t="b">
        <v>1</v>
      </c>
      <c r="L2330" s="4" t="b">
        <v>0</v>
      </c>
    </row>
    <row r="2331" spans="1:13" ht="13">
      <c r="A2331" s="4" t="s">
        <v>5821</v>
      </c>
      <c r="B2331" s="4" t="s">
        <v>4926</v>
      </c>
      <c r="C2331" s="4" t="s">
        <v>108</v>
      </c>
      <c r="D2331" s="4" t="s">
        <v>4927</v>
      </c>
      <c r="E2331" s="4" t="s">
        <v>9</v>
      </c>
      <c r="F2331" s="4" t="s">
        <v>5822</v>
      </c>
      <c r="G2331" s="4" t="s">
        <v>5823</v>
      </c>
      <c r="H2331" s="4">
        <v>2.57</v>
      </c>
      <c r="I2331" s="4">
        <v>0.99</v>
      </c>
      <c r="J2331" s="4">
        <v>0.19292000000000001</v>
      </c>
      <c r="K2331" s="4" t="b">
        <v>1</v>
      </c>
      <c r="L2331" s="4" t="b">
        <v>0</v>
      </c>
    </row>
    <row r="2332" spans="1:13" ht="13">
      <c r="A2332" s="4" t="s">
        <v>5824</v>
      </c>
      <c r="B2332" s="4" t="s">
        <v>4926</v>
      </c>
      <c r="C2332" s="4" t="s">
        <v>108</v>
      </c>
      <c r="D2332" s="4" t="s">
        <v>4927</v>
      </c>
      <c r="E2332" s="4" t="s">
        <v>9</v>
      </c>
      <c r="F2332" s="4" t="s">
        <v>5825</v>
      </c>
      <c r="G2332" s="4" t="s">
        <v>5826</v>
      </c>
      <c r="H2332" s="4">
        <v>2.6</v>
      </c>
      <c r="I2332" s="4">
        <v>0.99</v>
      </c>
      <c r="J2332" s="4">
        <v>0.19034000000000001</v>
      </c>
      <c r="K2332" s="4" t="b">
        <v>1</v>
      </c>
      <c r="L2332" s="4" t="b">
        <v>0</v>
      </c>
    </row>
    <row r="2333" spans="1:13" ht="13">
      <c r="A2333" s="4" t="s">
        <v>5827</v>
      </c>
      <c r="B2333" s="4" t="s">
        <v>4926</v>
      </c>
      <c r="C2333" s="4" t="s">
        <v>108</v>
      </c>
      <c r="D2333" s="4" t="s">
        <v>4927</v>
      </c>
      <c r="E2333" s="4" t="s">
        <v>9</v>
      </c>
      <c r="F2333" s="4" t="s">
        <v>5828</v>
      </c>
      <c r="G2333" s="4" t="s">
        <v>5829</v>
      </c>
      <c r="H2333" s="4">
        <v>2.72</v>
      </c>
      <c r="I2333" s="4">
        <v>0.94</v>
      </c>
      <c r="J2333" s="4">
        <v>0.18443999999999999</v>
      </c>
      <c r="K2333" s="4" t="b">
        <v>1</v>
      </c>
      <c r="L2333" s="4" t="b">
        <v>0</v>
      </c>
    </row>
    <row r="2334" spans="1:13" ht="13">
      <c r="A2334" s="4" t="s">
        <v>5830</v>
      </c>
      <c r="B2334" s="4" t="s">
        <v>4926</v>
      </c>
      <c r="C2334" s="4" t="s">
        <v>108</v>
      </c>
      <c r="D2334" s="4" t="s">
        <v>4927</v>
      </c>
      <c r="E2334" s="4" t="s">
        <v>9</v>
      </c>
      <c r="F2334" s="4" t="s">
        <v>5831</v>
      </c>
      <c r="G2334" s="4" t="s">
        <v>316</v>
      </c>
      <c r="H2334" s="4">
        <v>2.73</v>
      </c>
      <c r="I2334" s="4">
        <v>0.94</v>
      </c>
      <c r="J2334" s="4">
        <v>0.18495</v>
      </c>
      <c r="K2334" s="4" t="b">
        <v>1</v>
      </c>
      <c r="L2334" s="4" t="b">
        <v>0</v>
      </c>
    </row>
    <row r="2335" spans="1:13" ht="13">
      <c r="A2335" s="4" t="s">
        <v>5832</v>
      </c>
      <c r="B2335" s="4" t="s">
        <v>4926</v>
      </c>
      <c r="C2335" s="4" t="s">
        <v>108</v>
      </c>
      <c r="D2335" s="4" t="s">
        <v>4927</v>
      </c>
      <c r="E2335" s="4" t="s">
        <v>9</v>
      </c>
      <c r="F2335" s="4" t="s">
        <v>5833</v>
      </c>
      <c r="G2335" s="4" t="s">
        <v>5834</v>
      </c>
      <c r="H2335" s="4">
        <v>2.75</v>
      </c>
      <c r="I2335" s="4">
        <v>0.96</v>
      </c>
      <c r="J2335" s="4">
        <v>0.19033</v>
      </c>
      <c r="K2335" s="4" t="b">
        <v>1</v>
      </c>
      <c r="L2335" s="4" t="b">
        <v>0</v>
      </c>
    </row>
    <row r="2336" spans="1:13" ht="13">
      <c r="A2336" s="4" t="s">
        <v>5835</v>
      </c>
      <c r="B2336" s="4" t="s">
        <v>4926</v>
      </c>
      <c r="C2336" s="4" t="s">
        <v>108</v>
      </c>
      <c r="D2336" s="4" t="s">
        <v>4927</v>
      </c>
      <c r="E2336" s="4" t="s">
        <v>9</v>
      </c>
      <c r="F2336" s="4" t="s">
        <v>5836</v>
      </c>
      <c r="G2336" s="4" t="s">
        <v>5837</v>
      </c>
      <c r="H2336" s="4">
        <v>2.78</v>
      </c>
      <c r="I2336" s="4">
        <v>0.97</v>
      </c>
      <c r="J2336" s="4">
        <v>0.19048000000000001</v>
      </c>
      <c r="K2336" s="4" t="b">
        <v>1</v>
      </c>
      <c r="L2336" s="4" t="b">
        <v>0</v>
      </c>
    </row>
    <row r="2337" spans="1:13" ht="13">
      <c r="A2337" s="4" t="s">
        <v>5838</v>
      </c>
      <c r="B2337" s="4" t="s">
        <v>4926</v>
      </c>
      <c r="C2337" s="4" t="s">
        <v>108</v>
      </c>
      <c r="D2337" s="4" t="s">
        <v>4927</v>
      </c>
      <c r="E2337" s="4" t="s">
        <v>9</v>
      </c>
      <c r="F2337" s="4" t="s">
        <v>5839</v>
      </c>
      <c r="G2337" s="4" t="s">
        <v>5840</v>
      </c>
      <c r="H2337" s="4">
        <v>2.8</v>
      </c>
      <c r="I2337" s="4">
        <v>0.98</v>
      </c>
      <c r="J2337" s="4">
        <v>0.18825</v>
      </c>
      <c r="K2337" s="4" t="b">
        <v>1</v>
      </c>
      <c r="L2337" s="4" t="b">
        <v>0</v>
      </c>
    </row>
    <row r="2338" spans="1:13" ht="13">
      <c r="A2338" s="4" t="s">
        <v>885</v>
      </c>
      <c r="B2338" s="4" t="s">
        <v>4926</v>
      </c>
      <c r="C2338" s="4" t="s">
        <v>108</v>
      </c>
      <c r="D2338" s="4" t="s">
        <v>4927</v>
      </c>
      <c r="E2338" s="4" t="s">
        <v>9</v>
      </c>
      <c r="F2338" s="4" t="s">
        <v>5042</v>
      </c>
      <c r="G2338" s="4" t="s">
        <v>766</v>
      </c>
      <c r="H2338" s="4">
        <v>2.82</v>
      </c>
      <c r="I2338" s="4">
        <v>0.97</v>
      </c>
      <c r="J2338" s="4">
        <v>0.19081999999999999</v>
      </c>
      <c r="K2338" s="4" t="b">
        <v>1</v>
      </c>
      <c r="L2338" s="4" t="b">
        <v>1</v>
      </c>
      <c r="M2338" s="41" t="s">
        <v>4929</v>
      </c>
    </row>
    <row r="2339" spans="1:13" ht="13">
      <c r="A2339" s="4" t="s">
        <v>5841</v>
      </c>
      <c r="B2339" s="4" t="s">
        <v>4926</v>
      </c>
      <c r="C2339" s="4" t="s">
        <v>108</v>
      </c>
      <c r="D2339" s="4" t="s">
        <v>4927</v>
      </c>
      <c r="E2339" s="4" t="s">
        <v>9</v>
      </c>
      <c r="F2339" s="4" t="s">
        <v>5842</v>
      </c>
      <c r="G2339" s="4" t="s">
        <v>5843</v>
      </c>
      <c r="H2339" s="4">
        <v>2.83</v>
      </c>
      <c r="I2339" s="4">
        <v>1</v>
      </c>
      <c r="J2339" s="4">
        <v>0.20341999999999999</v>
      </c>
      <c r="K2339" s="4" t="b">
        <v>1</v>
      </c>
      <c r="L2339" s="4" t="b">
        <v>0</v>
      </c>
    </row>
    <row r="2340" spans="1:13" ht="13">
      <c r="A2340" s="4" t="s">
        <v>5844</v>
      </c>
      <c r="B2340" s="4" t="s">
        <v>4926</v>
      </c>
      <c r="C2340" s="4" t="s">
        <v>108</v>
      </c>
      <c r="D2340" s="4" t="s">
        <v>4927</v>
      </c>
      <c r="E2340" s="4" t="s">
        <v>9</v>
      </c>
      <c r="F2340" s="4" t="s">
        <v>5845</v>
      </c>
      <c r="G2340" s="4" t="s">
        <v>5846</v>
      </c>
      <c r="H2340" s="4">
        <v>2.87</v>
      </c>
      <c r="I2340" s="4">
        <v>0.98</v>
      </c>
      <c r="J2340" s="4">
        <v>0.19055</v>
      </c>
      <c r="K2340" s="4" t="b">
        <v>1</v>
      </c>
      <c r="L2340" s="4" t="b">
        <v>0</v>
      </c>
    </row>
    <row r="2341" spans="1:13" ht="13">
      <c r="A2341" s="4" t="s">
        <v>886</v>
      </c>
      <c r="B2341" s="4" t="s">
        <v>4926</v>
      </c>
      <c r="C2341" s="4" t="s">
        <v>108</v>
      </c>
      <c r="D2341" s="4" t="s">
        <v>4927</v>
      </c>
      <c r="E2341" s="4" t="s">
        <v>9</v>
      </c>
      <c r="F2341" s="4" t="s">
        <v>5121</v>
      </c>
      <c r="G2341" s="4" t="s">
        <v>767</v>
      </c>
      <c r="H2341" s="4">
        <v>2.88</v>
      </c>
      <c r="I2341" s="4">
        <v>0.97</v>
      </c>
      <c r="J2341" s="4">
        <v>0.19277</v>
      </c>
      <c r="K2341" s="4" t="b">
        <v>1</v>
      </c>
      <c r="L2341" s="4" t="b">
        <v>1</v>
      </c>
      <c r="M2341" s="41" t="s">
        <v>4929</v>
      </c>
    </row>
    <row r="2342" spans="1:13" ht="13">
      <c r="A2342" s="4" t="s">
        <v>887</v>
      </c>
      <c r="B2342" s="4" t="s">
        <v>4926</v>
      </c>
      <c r="C2342" s="4" t="s">
        <v>108</v>
      </c>
      <c r="D2342" s="4" t="s">
        <v>4927</v>
      </c>
      <c r="E2342" s="4" t="s">
        <v>9</v>
      </c>
      <c r="F2342" s="4" t="s">
        <v>5122</v>
      </c>
      <c r="G2342" s="4" t="s">
        <v>768</v>
      </c>
      <c r="H2342" s="4">
        <v>2.9</v>
      </c>
      <c r="I2342" s="4">
        <v>0.95</v>
      </c>
      <c r="J2342" s="4">
        <v>0.18737999999999999</v>
      </c>
      <c r="K2342" s="4" t="b">
        <v>1</v>
      </c>
      <c r="L2342" s="4" t="b">
        <v>1</v>
      </c>
      <c r="M2342" s="41" t="s">
        <v>4929</v>
      </c>
    </row>
    <row r="2343" spans="1:13" ht="13">
      <c r="A2343" s="4" t="s">
        <v>5847</v>
      </c>
      <c r="B2343" s="4" t="s">
        <v>4926</v>
      </c>
      <c r="C2343" s="4" t="s">
        <v>108</v>
      </c>
      <c r="D2343" s="4" t="s">
        <v>4927</v>
      </c>
      <c r="E2343" s="4" t="s">
        <v>9</v>
      </c>
      <c r="F2343" s="4" t="s">
        <v>5848</v>
      </c>
      <c r="G2343" s="4" t="s">
        <v>5849</v>
      </c>
      <c r="H2343" s="4">
        <v>2.92</v>
      </c>
      <c r="I2343" s="4">
        <v>0.98</v>
      </c>
      <c r="J2343" s="4">
        <v>0.18659999999999999</v>
      </c>
      <c r="K2343" s="4" t="b">
        <v>1</v>
      </c>
      <c r="L2343" s="4" t="b">
        <v>0</v>
      </c>
    </row>
    <row r="2344" spans="1:13" ht="13">
      <c r="A2344" s="4" t="s">
        <v>888</v>
      </c>
      <c r="B2344" s="4" t="s">
        <v>4926</v>
      </c>
      <c r="C2344" s="4" t="s">
        <v>108</v>
      </c>
      <c r="D2344" s="4" t="s">
        <v>4927</v>
      </c>
      <c r="E2344" s="4" t="s">
        <v>9</v>
      </c>
      <c r="F2344" s="4" t="s">
        <v>5123</v>
      </c>
      <c r="G2344" s="4" t="s">
        <v>769</v>
      </c>
      <c r="H2344" s="4">
        <v>2.95</v>
      </c>
      <c r="I2344" s="4">
        <v>0.97</v>
      </c>
      <c r="J2344" s="4">
        <v>0.19001999999999999</v>
      </c>
      <c r="K2344" s="4" t="b">
        <v>1</v>
      </c>
      <c r="L2344" s="4" t="b">
        <v>1</v>
      </c>
      <c r="M2344" s="41" t="s">
        <v>4929</v>
      </c>
    </row>
    <row r="2345" spans="1:13" ht="13">
      <c r="A2345" s="4" t="s">
        <v>5850</v>
      </c>
      <c r="B2345" s="4" t="s">
        <v>4926</v>
      </c>
      <c r="C2345" s="4" t="s">
        <v>108</v>
      </c>
      <c r="D2345" s="4" t="s">
        <v>4927</v>
      </c>
      <c r="E2345" s="4" t="s">
        <v>9</v>
      </c>
      <c r="F2345" s="4" t="s">
        <v>5851</v>
      </c>
      <c r="G2345" s="4" t="s">
        <v>5852</v>
      </c>
      <c r="H2345" s="4">
        <v>2.97</v>
      </c>
      <c r="I2345" s="4">
        <v>0.94</v>
      </c>
      <c r="J2345" s="4">
        <v>0.18697</v>
      </c>
      <c r="K2345" s="4" t="b">
        <v>1</v>
      </c>
      <c r="L2345" s="4" t="b">
        <v>0</v>
      </c>
    </row>
    <row r="2346" spans="1:13" ht="13">
      <c r="A2346" s="4" t="s">
        <v>889</v>
      </c>
      <c r="B2346" s="4" t="s">
        <v>4926</v>
      </c>
      <c r="C2346" s="4" t="s">
        <v>108</v>
      </c>
      <c r="D2346" s="4" t="s">
        <v>4927</v>
      </c>
      <c r="E2346" s="4" t="s">
        <v>9</v>
      </c>
      <c r="F2346" s="4" t="s">
        <v>5124</v>
      </c>
      <c r="G2346" s="4" t="s">
        <v>770</v>
      </c>
      <c r="H2346" s="4">
        <v>2.98</v>
      </c>
      <c r="I2346" s="4">
        <v>0.94</v>
      </c>
      <c r="J2346" s="4">
        <v>0.18367</v>
      </c>
      <c r="K2346" s="4" t="b">
        <v>1</v>
      </c>
      <c r="L2346" s="4" t="b">
        <v>1</v>
      </c>
      <c r="M2346" s="41" t="s">
        <v>4929</v>
      </c>
    </row>
    <row r="2347" spans="1:13" ht="13">
      <c r="A2347" s="4" t="s">
        <v>5853</v>
      </c>
      <c r="B2347" s="4" t="s">
        <v>4926</v>
      </c>
      <c r="C2347" s="4" t="s">
        <v>108</v>
      </c>
      <c r="D2347" s="4" t="s">
        <v>4927</v>
      </c>
      <c r="E2347" s="4" t="s">
        <v>9</v>
      </c>
      <c r="F2347" s="4" t="s">
        <v>5854</v>
      </c>
      <c r="G2347" s="4" t="s">
        <v>5855</v>
      </c>
      <c r="H2347" s="4">
        <v>3</v>
      </c>
      <c r="I2347" s="4">
        <v>1</v>
      </c>
      <c r="J2347" s="4">
        <v>0.21442</v>
      </c>
      <c r="K2347" s="4" t="b">
        <v>1</v>
      </c>
      <c r="L2347" s="4" t="b">
        <v>0</v>
      </c>
    </row>
    <row r="2348" spans="1:13" ht="13">
      <c r="A2348" s="4" t="s">
        <v>5856</v>
      </c>
      <c r="B2348" s="4" t="s">
        <v>4926</v>
      </c>
      <c r="C2348" s="4" t="s">
        <v>108</v>
      </c>
      <c r="D2348" s="4" t="s">
        <v>4927</v>
      </c>
      <c r="E2348" s="4" t="s">
        <v>9</v>
      </c>
      <c r="F2348" s="4" t="s">
        <v>5857</v>
      </c>
      <c r="G2348" s="4" t="s">
        <v>5858</v>
      </c>
      <c r="H2348" s="4">
        <v>3.03</v>
      </c>
      <c r="I2348" s="4">
        <v>0.97</v>
      </c>
      <c r="J2348" s="4">
        <v>0.18941</v>
      </c>
      <c r="K2348" s="4" t="b">
        <v>1</v>
      </c>
      <c r="L2348" s="4" t="b">
        <v>0</v>
      </c>
    </row>
    <row r="2349" spans="1:13" ht="13">
      <c r="A2349" s="4" t="s">
        <v>890</v>
      </c>
      <c r="B2349" s="4" t="s">
        <v>4926</v>
      </c>
      <c r="C2349" s="4" t="s">
        <v>108</v>
      </c>
      <c r="D2349" s="4" t="s">
        <v>4927</v>
      </c>
      <c r="E2349" s="4" t="s">
        <v>9</v>
      </c>
      <c r="F2349" s="4" t="s">
        <v>5166</v>
      </c>
      <c r="G2349" s="4" t="s">
        <v>771</v>
      </c>
      <c r="H2349" s="4">
        <v>3.25</v>
      </c>
      <c r="I2349" s="4">
        <v>0.96</v>
      </c>
      <c r="J2349" s="4">
        <v>0.1837</v>
      </c>
      <c r="K2349" s="4" t="b">
        <v>1</v>
      </c>
      <c r="L2349" s="4" t="b">
        <v>1</v>
      </c>
      <c r="M2349" s="41" t="s">
        <v>5164</v>
      </c>
    </row>
    <row r="2350" spans="1:13" ht="13">
      <c r="A2350" s="4" t="s">
        <v>5859</v>
      </c>
      <c r="B2350" s="4" t="s">
        <v>4926</v>
      </c>
      <c r="C2350" s="4" t="s">
        <v>108</v>
      </c>
      <c r="D2350" s="4" t="s">
        <v>4927</v>
      </c>
      <c r="E2350" s="4" t="s">
        <v>9</v>
      </c>
      <c r="F2350" s="4" t="s">
        <v>5860</v>
      </c>
      <c r="G2350" s="4" t="s">
        <v>317</v>
      </c>
      <c r="H2350" s="4">
        <v>3.27</v>
      </c>
      <c r="I2350" s="4">
        <v>0.94</v>
      </c>
      <c r="J2350" s="4">
        <v>0.18598999999999999</v>
      </c>
      <c r="K2350" s="4" t="b">
        <v>1</v>
      </c>
      <c r="L2350" s="4" t="b">
        <v>0</v>
      </c>
    </row>
    <row r="2351" spans="1:13" ht="13">
      <c r="A2351" s="4" t="s">
        <v>5861</v>
      </c>
      <c r="B2351" s="4" t="s">
        <v>4926</v>
      </c>
      <c r="C2351" s="4" t="s">
        <v>108</v>
      </c>
      <c r="D2351" s="4" t="s">
        <v>4927</v>
      </c>
      <c r="E2351" s="4" t="s">
        <v>9</v>
      </c>
      <c r="F2351" s="4" t="s">
        <v>5862</v>
      </c>
      <c r="G2351" s="4" t="s">
        <v>5863</v>
      </c>
      <c r="H2351" s="4">
        <v>3.28</v>
      </c>
      <c r="I2351" s="4">
        <v>0.96</v>
      </c>
      <c r="J2351" s="4">
        <v>0.18643999999999999</v>
      </c>
      <c r="K2351" s="4" t="b">
        <v>1</v>
      </c>
      <c r="L2351" s="4" t="b">
        <v>0</v>
      </c>
    </row>
    <row r="2352" spans="1:13" ht="13">
      <c r="A2352" s="4" t="s">
        <v>5864</v>
      </c>
      <c r="B2352" s="4" t="s">
        <v>4926</v>
      </c>
      <c r="C2352" s="4" t="s">
        <v>108</v>
      </c>
      <c r="D2352" s="4" t="s">
        <v>4927</v>
      </c>
      <c r="E2352" s="4" t="s">
        <v>9</v>
      </c>
      <c r="F2352" s="4" t="s">
        <v>5865</v>
      </c>
      <c r="G2352" s="4" t="s">
        <v>5866</v>
      </c>
      <c r="H2352" s="4">
        <v>3.32</v>
      </c>
      <c r="I2352" s="4">
        <v>0.96</v>
      </c>
      <c r="J2352" s="4">
        <v>0.18761</v>
      </c>
      <c r="K2352" s="4" t="b">
        <v>1</v>
      </c>
      <c r="L2352" s="4" t="b">
        <v>0</v>
      </c>
    </row>
    <row r="2353" spans="1:13" ht="13">
      <c r="A2353" s="4" t="s">
        <v>5867</v>
      </c>
      <c r="B2353" s="4" t="s">
        <v>4926</v>
      </c>
      <c r="C2353" s="4" t="s">
        <v>108</v>
      </c>
      <c r="D2353" s="4" t="s">
        <v>4927</v>
      </c>
      <c r="E2353" s="4" t="s">
        <v>9</v>
      </c>
      <c r="F2353" s="4" t="s">
        <v>5868</v>
      </c>
      <c r="G2353" s="4" t="s">
        <v>5869</v>
      </c>
      <c r="H2353" s="4">
        <v>3.33</v>
      </c>
      <c r="I2353" s="4">
        <v>0.98</v>
      </c>
      <c r="J2353" s="4">
        <v>0.18903</v>
      </c>
      <c r="K2353" s="4" t="b">
        <v>1</v>
      </c>
      <c r="L2353" s="4" t="b">
        <v>0</v>
      </c>
    </row>
    <row r="2354" spans="1:13" ht="13">
      <c r="A2354" s="4" t="s">
        <v>5870</v>
      </c>
      <c r="B2354" s="4" t="s">
        <v>4926</v>
      </c>
      <c r="C2354" s="4" t="s">
        <v>108</v>
      </c>
      <c r="D2354" s="4" t="s">
        <v>4927</v>
      </c>
      <c r="E2354" s="4" t="s">
        <v>9</v>
      </c>
      <c r="F2354" s="4" t="s">
        <v>5871</v>
      </c>
      <c r="G2354" s="4" t="s">
        <v>5872</v>
      </c>
      <c r="H2354" s="4">
        <v>3.35</v>
      </c>
      <c r="I2354" s="4">
        <v>1.01</v>
      </c>
      <c r="J2354" s="4">
        <v>0.22764000000000001</v>
      </c>
      <c r="K2354" s="4" t="b">
        <v>1</v>
      </c>
      <c r="L2354" s="4" t="b">
        <v>0</v>
      </c>
    </row>
    <row r="2355" spans="1:13" ht="13">
      <c r="A2355" s="4" t="s">
        <v>5873</v>
      </c>
      <c r="B2355" s="4" t="s">
        <v>4926</v>
      </c>
      <c r="C2355" s="4" t="s">
        <v>108</v>
      </c>
      <c r="D2355" s="4" t="s">
        <v>4927</v>
      </c>
      <c r="E2355" s="4" t="s">
        <v>9</v>
      </c>
      <c r="F2355" s="4" t="s">
        <v>5874</v>
      </c>
      <c r="G2355" s="4" t="s">
        <v>5875</v>
      </c>
      <c r="H2355" s="4">
        <v>3.38</v>
      </c>
      <c r="I2355" s="4">
        <v>0.96</v>
      </c>
      <c r="J2355" s="4">
        <v>0.18809999999999999</v>
      </c>
      <c r="K2355" s="4" t="b">
        <v>1</v>
      </c>
      <c r="L2355" s="4" t="b">
        <v>0</v>
      </c>
    </row>
    <row r="2356" spans="1:13" ht="13">
      <c r="A2356" s="4" t="s">
        <v>891</v>
      </c>
      <c r="B2356" s="4" t="s">
        <v>4926</v>
      </c>
      <c r="C2356" s="4" t="s">
        <v>108</v>
      </c>
      <c r="D2356" s="4" t="s">
        <v>4927</v>
      </c>
      <c r="E2356" s="4" t="s">
        <v>9</v>
      </c>
      <c r="F2356" s="4" t="s">
        <v>5043</v>
      </c>
      <c r="G2356" s="4" t="s">
        <v>772</v>
      </c>
      <c r="H2356" s="4">
        <v>3.4</v>
      </c>
      <c r="I2356" s="4">
        <v>0.99</v>
      </c>
      <c r="J2356" s="4">
        <v>0.19341</v>
      </c>
      <c r="K2356" s="4" t="b">
        <v>1</v>
      </c>
      <c r="L2356" s="4" t="b">
        <v>1</v>
      </c>
      <c r="M2356" s="41" t="s">
        <v>4929</v>
      </c>
    </row>
    <row r="2357" spans="1:13" ht="13">
      <c r="A2357" s="4" t="s">
        <v>5876</v>
      </c>
      <c r="B2357" s="4" t="s">
        <v>4926</v>
      </c>
      <c r="C2357" s="4" t="s">
        <v>108</v>
      </c>
      <c r="D2357" s="4" t="s">
        <v>4927</v>
      </c>
      <c r="E2357" s="4" t="s">
        <v>9</v>
      </c>
      <c r="F2357" s="4" t="s">
        <v>5877</v>
      </c>
      <c r="G2357" s="4" t="s">
        <v>5878</v>
      </c>
      <c r="H2357" s="4">
        <v>3.42</v>
      </c>
      <c r="I2357" s="4">
        <v>0.96</v>
      </c>
      <c r="J2357" s="4">
        <v>0.18797</v>
      </c>
      <c r="K2357" s="4" t="b">
        <v>1</v>
      </c>
      <c r="L2357" s="4" t="b">
        <v>0</v>
      </c>
    </row>
    <row r="2358" spans="1:13" ht="13">
      <c r="A2358" s="4" t="s">
        <v>892</v>
      </c>
      <c r="B2358" s="4" t="s">
        <v>4926</v>
      </c>
      <c r="C2358" s="4" t="s">
        <v>108</v>
      </c>
      <c r="D2358" s="4" t="s">
        <v>4927</v>
      </c>
      <c r="E2358" s="4" t="s">
        <v>9</v>
      </c>
      <c r="F2358" s="4" t="s">
        <v>5044</v>
      </c>
      <c r="G2358" s="4" t="s">
        <v>5045</v>
      </c>
      <c r="H2358" s="4">
        <v>3.45</v>
      </c>
      <c r="I2358" s="4">
        <v>0.94</v>
      </c>
      <c r="J2358" s="4">
        <v>0.18309</v>
      </c>
      <c r="K2358" s="4" t="b">
        <v>1</v>
      </c>
      <c r="L2358" s="4" t="b">
        <v>1</v>
      </c>
      <c r="M2358" s="41" t="s">
        <v>4929</v>
      </c>
    </row>
    <row r="2359" spans="1:13" ht="13">
      <c r="A2359" s="4" t="s">
        <v>5879</v>
      </c>
      <c r="B2359" s="4" t="s">
        <v>4926</v>
      </c>
      <c r="C2359" s="4" t="s">
        <v>108</v>
      </c>
      <c r="D2359" s="4" t="s">
        <v>4927</v>
      </c>
      <c r="E2359" s="4" t="s">
        <v>9</v>
      </c>
      <c r="F2359" s="4" t="s">
        <v>5880</v>
      </c>
      <c r="G2359" s="4" t="s">
        <v>5881</v>
      </c>
      <c r="H2359" s="4">
        <v>3.47</v>
      </c>
      <c r="I2359" s="4">
        <v>0.94</v>
      </c>
      <c r="J2359" s="4">
        <v>0.18354000000000001</v>
      </c>
      <c r="K2359" s="4" t="b">
        <v>1</v>
      </c>
      <c r="L2359" s="4" t="b">
        <v>0</v>
      </c>
    </row>
    <row r="2360" spans="1:13" ht="13">
      <c r="A2360" s="4" t="s">
        <v>893</v>
      </c>
      <c r="B2360" s="4" t="s">
        <v>4926</v>
      </c>
      <c r="C2360" s="4" t="s">
        <v>108</v>
      </c>
      <c r="D2360" s="4" t="s">
        <v>4927</v>
      </c>
      <c r="E2360" s="4" t="s">
        <v>9</v>
      </c>
      <c r="F2360" s="4" t="s">
        <v>5125</v>
      </c>
      <c r="G2360" s="4" t="s">
        <v>774</v>
      </c>
      <c r="H2360" s="4">
        <v>3.48</v>
      </c>
      <c r="I2360" s="4">
        <v>0.98</v>
      </c>
      <c r="J2360" s="4">
        <v>0.19297</v>
      </c>
      <c r="K2360" s="4" t="b">
        <v>1</v>
      </c>
      <c r="L2360" s="4" t="b">
        <v>1</v>
      </c>
      <c r="M2360" s="41" t="s">
        <v>4929</v>
      </c>
    </row>
    <row r="2361" spans="1:13" ht="13">
      <c r="A2361" s="4" t="s">
        <v>5882</v>
      </c>
      <c r="B2361" s="4" t="s">
        <v>4926</v>
      </c>
      <c r="C2361" s="4" t="s">
        <v>108</v>
      </c>
      <c r="D2361" s="4" t="s">
        <v>4927</v>
      </c>
      <c r="E2361" s="4" t="s">
        <v>9</v>
      </c>
      <c r="F2361" s="4" t="s">
        <v>5883</v>
      </c>
      <c r="G2361" s="4" t="s">
        <v>5884</v>
      </c>
      <c r="H2361" s="4">
        <v>3.52</v>
      </c>
      <c r="I2361" s="4">
        <v>1.04</v>
      </c>
      <c r="J2361" s="4">
        <v>0.19728999999999999</v>
      </c>
      <c r="K2361" s="4" t="b">
        <v>1</v>
      </c>
      <c r="L2361" s="4" t="b">
        <v>0</v>
      </c>
    </row>
    <row r="2362" spans="1:13" ht="13">
      <c r="A2362" s="4" t="s">
        <v>5885</v>
      </c>
      <c r="B2362" s="4" t="s">
        <v>4926</v>
      </c>
      <c r="C2362" s="4" t="s">
        <v>108</v>
      </c>
      <c r="D2362" s="4" t="s">
        <v>4927</v>
      </c>
      <c r="E2362" s="4" t="s">
        <v>9</v>
      </c>
      <c r="F2362" s="4" t="s">
        <v>5886</v>
      </c>
      <c r="G2362" s="4" t="s">
        <v>5887</v>
      </c>
      <c r="H2362" s="4">
        <v>3.53</v>
      </c>
      <c r="I2362" s="4">
        <v>0.99</v>
      </c>
      <c r="J2362" s="4">
        <v>0.19636000000000001</v>
      </c>
      <c r="K2362" s="4" t="b">
        <v>1</v>
      </c>
      <c r="L2362" s="4" t="b">
        <v>0</v>
      </c>
    </row>
    <row r="2363" spans="1:13" ht="13">
      <c r="A2363" s="4" t="s">
        <v>5888</v>
      </c>
      <c r="B2363" s="4" t="s">
        <v>4926</v>
      </c>
      <c r="C2363" s="4" t="s">
        <v>108</v>
      </c>
      <c r="D2363" s="4" t="s">
        <v>4927</v>
      </c>
      <c r="E2363" s="4" t="s">
        <v>9</v>
      </c>
      <c r="F2363" s="4" t="s">
        <v>5889</v>
      </c>
      <c r="G2363" s="4" t="s">
        <v>5890</v>
      </c>
      <c r="H2363" s="4">
        <v>3.55</v>
      </c>
      <c r="I2363" s="4">
        <v>0.94</v>
      </c>
      <c r="J2363" s="4">
        <v>0.19369</v>
      </c>
      <c r="K2363" s="4" t="b">
        <v>1</v>
      </c>
      <c r="L2363" s="4" t="b">
        <v>0</v>
      </c>
    </row>
    <row r="2364" spans="1:13" ht="13">
      <c r="A2364" s="4" t="s">
        <v>5891</v>
      </c>
      <c r="B2364" s="4" t="s">
        <v>4926</v>
      </c>
      <c r="C2364" s="4" t="s">
        <v>108</v>
      </c>
      <c r="D2364" s="4" t="s">
        <v>4927</v>
      </c>
      <c r="E2364" s="4" t="s">
        <v>9</v>
      </c>
      <c r="F2364" s="4" t="s">
        <v>5892</v>
      </c>
      <c r="G2364" s="4" t="s">
        <v>5893</v>
      </c>
      <c r="H2364" s="4">
        <v>3.58</v>
      </c>
      <c r="I2364" s="4">
        <v>1.03</v>
      </c>
      <c r="J2364" s="4">
        <v>0.22638</v>
      </c>
      <c r="K2364" s="4" t="b">
        <v>1</v>
      </c>
      <c r="L2364" s="4" t="b">
        <v>0</v>
      </c>
    </row>
    <row r="2365" spans="1:13" ht="13">
      <c r="A2365" s="4" t="s">
        <v>5894</v>
      </c>
      <c r="B2365" s="4" t="s">
        <v>4926</v>
      </c>
      <c r="C2365" s="4" t="s">
        <v>108</v>
      </c>
      <c r="D2365" s="4" t="s">
        <v>4927</v>
      </c>
      <c r="E2365" s="4" t="s">
        <v>8</v>
      </c>
      <c r="F2365" s="4" t="s">
        <v>5895</v>
      </c>
      <c r="G2365" s="4" t="s">
        <v>5896</v>
      </c>
      <c r="H2365" s="4">
        <v>3.75</v>
      </c>
      <c r="I2365" s="4">
        <v>1.08</v>
      </c>
      <c r="J2365" s="4">
        <v>0.24887000000000001</v>
      </c>
      <c r="K2365" s="4" t="b">
        <v>1</v>
      </c>
      <c r="L2365" s="4" t="b">
        <v>0</v>
      </c>
    </row>
    <row r="2366" spans="1:13" ht="13">
      <c r="A2366" s="4" t="s">
        <v>5897</v>
      </c>
      <c r="B2366" s="4" t="s">
        <v>4926</v>
      </c>
      <c r="C2366" s="4" t="s">
        <v>108</v>
      </c>
      <c r="D2366" s="4" t="s">
        <v>4927</v>
      </c>
      <c r="E2366" s="4" t="s">
        <v>8</v>
      </c>
      <c r="F2366" s="4" t="s">
        <v>5898</v>
      </c>
      <c r="G2366" s="4" t="s">
        <v>5899</v>
      </c>
      <c r="H2366" s="4">
        <v>3.78</v>
      </c>
      <c r="I2366" s="4">
        <v>0.97</v>
      </c>
      <c r="J2366" s="4">
        <v>0.20524999999999999</v>
      </c>
      <c r="K2366" s="4" t="b">
        <v>1</v>
      </c>
      <c r="L2366" s="4" t="b">
        <v>0</v>
      </c>
    </row>
    <row r="2367" spans="1:13" ht="13">
      <c r="A2367" s="4" t="s">
        <v>5900</v>
      </c>
      <c r="B2367" s="4" t="s">
        <v>4926</v>
      </c>
      <c r="C2367" s="4" t="s">
        <v>108</v>
      </c>
      <c r="D2367" s="4" t="s">
        <v>4927</v>
      </c>
      <c r="E2367" s="4" t="s">
        <v>8</v>
      </c>
      <c r="F2367" s="4" t="s">
        <v>5901</v>
      </c>
      <c r="G2367" s="4" t="s">
        <v>5902</v>
      </c>
      <c r="H2367" s="4">
        <v>3.8</v>
      </c>
      <c r="I2367" s="4">
        <v>0.94</v>
      </c>
      <c r="J2367" s="4">
        <v>0.18697</v>
      </c>
      <c r="K2367" s="4" t="b">
        <v>1</v>
      </c>
      <c r="L2367" s="4" t="b">
        <v>0</v>
      </c>
    </row>
    <row r="2368" spans="1:13" ht="13">
      <c r="A2368" s="4" t="s">
        <v>5903</v>
      </c>
      <c r="B2368" s="4" t="s">
        <v>4926</v>
      </c>
      <c r="C2368" s="4" t="s">
        <v>108</v>
      </c>
      <c r="D2368" s="4" t="s">
        <v>4927</v>
      </c>
      <c r="E2368" s="4" t="s">
        <v>8</v>
      </c>
      <c r="F2368" s="4" t="s">
        <v>5904</v>
      </c>
      <c r="G2368" s="4" t="s">
        <v>5905</v>
      </c>
      <c r="H2368" s="4">
        <v>3.83</v>
      </c>
      <c r="I2368" s="4">
        <v>0.97</v>
      </c>
      <c r="J2368" s="4">
        <v>0.20085</v>
      </c>
      <c r="K2368" s="4" t="b">
        <v>1</v>
      </c>
      <c r="L2368" s="4" t="b">
        <v>0</v>
      </c>
    </row>
    <row r="2369" spans="1:13" ht="13">
      <c r="A2369" s="4" t="s">
        <v>5906</v>
      </c>
      <c r="B2369" s="4" t="s">
        <v>4926</v>
      </c>
      <c r="C2369" s="4" t="s">
        <v>108</v>
      </c>
      <c r="D2369" s="4" t="s">
        <v>4927</v>
      </c>
      <c r="E2369" s="4" t="s">
        <v>8</v>
      </c>
      <c r="F2369" s="4" t="s">
        <v>5907</v>
      </c>
      <c r="G2369" s="4" t="s">
        <v>5908</v>
      </c>
      <c r="H2369" s="4">
        <v>3.85</v>
      </c>
      <c r="I2369" s="4">
        <v>0.98</v>
      </c>
      <c r="J2369" s="4">
        <v>0.18820000000000001</v>
      </c>
      <c r="K2369" s="4" t="b">
        <v>1</v>
      </c>
      <c r="L2369" s="4" t="b">
        <v>0</v>
      </c>
    </row>
    <row r="2370" spans="1:13" ht="13">
      <c r="A2370" s="4" t="s">
        <v>5909</v>
      </c>
      <c r="B2370" s="4" t="s">
        <v>4926</v>
      </c>
      <c r="C2370" s="4" t="s">
        <v>108</v>
      </c>
      <c r="D2370" s="4" t="s">
        <v>4927</v>
      </c>
      <c r="E2370" s="4" t="s">
        <v>8</v>
      </c>
      <c r="F2370" s="4" t="s">
        <v>5910</v>
      </c>
      <c r="G2370" s="4" t="s">
        <v>5911</v>
      </c>
      <c r="H2370" s="4">
        <v>4.0999999999999996</v>
      </c>
      <c r="I2370" s="4">
        <v>1.01</v>
      </c>
      <c r="J2370" s="4">
        <v>0.21479999999999999</v>
      </c>
      <c r="K2370" s="4" t="b">
        <v>1</v>
      </c>
      <c r="L2370" s="4" t="b">
        <v>0</v>
      </c>
    </row>
    <row r="2371" spans="1:13" ht="13">
      <c r="A2371" s="4" t="s">
        <v>5912</v>
      </c>
      <c r="B2371" s="4" t="s">
        <v>4926</v>
      </c>
      <c r="C2371" s="4" t="s">
        <v>108</v>
      </c>
      <c r="D2371" s="4" t="s">
        <v>4927</v>
      </c>
      <c r="E2371" s="4" t="s">
        <v>8</v>
      </c>
      <c r="F2371" s="4" t="s">
        <v>5913</v>
      </c>
      <c r="G2371" s="4" t="s">
        <v>5914</v>
      </c>
      <c r="H2371" s="4">
        <v>4.12</v>
      </c>
      <c r="I2371" s="4">
        <v>0.94</v>
      </c>
      <c r="J2371" s="4">
        <v>0.20041</v>
      </c>
      <c r="K2371" s="4" t="b">
        <v>1</v>
      </c>
      <c r="L2371" s="4" t="b">
        <v>0</v>
      </c>
    </row>
    <row r="2372" spans="1:13" ht="13">
      <c r="A2372" s="4" t="s">
        <v>5915</v>
      </c>
      <c r="B2372" s="4" t="s">
        <v>4926</v>
      </c>
      <c r="C2372" s="4" t="s">
        <v>108</v>
      </c>
      <c r="D2372" s="4" t="s">
        <v>4927</v>
      </c>
      <c r="E2372" s="4" t="s">
        <v>8</v>
      </c>
      <c r="F2372" s="4" t="s">
        <v>5916</v>
      </c>
      <c r="G2372" s="4" t="s">
        <v>5917</v>
      </c>
      <c r="H2372" s="4">
        <v>4.1500000000000004</v>
      </c>
      <c r="I2372" s="4">
        <v>1</v>
      </c>
      <c r="J2372" s="4">
        <v>0.20493</v>
      </c>
      <c r="K2372" s="4" t="b">
        <v>1</v>
      </c>
      <c r="L2372" s="4" t="b">
        <v>0</v>
      </c>
    </row>
    <row r="2373" spans="1:13" ht="13">
      <c r="A2373" s="4" t="s">
        <v>5918</v>
      </c>
      <c r="B2373" s="4" t="s">
        <v>4926</v>
      </c>
      <c r="C2373" s="4" t="s">
        <v>108</v>
      </c>
      <c r="D2373" s="4" t="s">
        <v>4927</v>
      </c>
      <c r="E2373" s="4" t="s">
        <v>8</v>
      </c>
      <c r="F2373" s="4" t="s">
        <v>5919</v>
      </c>
      <c r="G2373" s="4" t="s">
        <v>5920</v>
      </c>
      <c r="H2373" s="4">
        <v>4.17</v>
      </c>
      <c r="I2373" s="4">
        <v>1.02</v>
      </c>
      <c r="J2373" s="4">
        <v>0.22428999999999999</v>
      </c>
      <c r="K2373" s="4" t="b">
        <v>1</v>
      </c>
      <c r="L2373" s="4" t="b">
        <v>0</v>
      </c>
    </row>
    <row r="2374" spans="1:13" ht="13">
      <c r="A2374" s="4" t="s">
        <v>894</v>
      </c>
      <c r="B2374" s="4" t="s">
        <v>4926</v>
      </c>
      <c r="C2374" s="4" t="s">
        <v>108</v>
      </c>
      <c r="D2374" s="4" t="s">
        <v>4927</v>
      </c>
      <c r="E2374" s="4" t="s">
        <v>8</v>
      </c>
      <c r="F2374" s="4" t="s">
        <v>5126</v>
      </c>
      <c r="G2374" s="4" t="s">
        <v>775</v>
      </c>
      <c r="H2374" s="4">
        <v>4.2</v>
      </c>
      <c r="I2374" s="4">
        <v>1.01</v>
      </c>
      <c r="J2374" s="4">
        <v>0.19994999999999999</v>
      </c>
      <c r="K2374" s="4" t="b">
        <v>1</v>
      </c>
      <c r="L2374" s="4" t="b">
        <v>1</v>
      </c>
      <c r="M2374" s="41" t="s">
        <v>4929</v>
      </c>
    </row>
    <row r="2375" spans="1:13" ht="13">
      <c r="A2375" s="4" t="s">
        <v>5921</v>
      </c>
      <c r="B2375" s="4" t="s">
        <v>4926</v>
      </c>
      <c r="C2375" s="4" t="s">
        <v>108</v>
      </c>
      <c r="D2375" s="4" t="s">
        <v>4927</v>
      </c>
      <c r="E2375" s="4" t="s">
        <v>8</v>
      </c>
      <c r="F2375" s="4" t="s">
        <v>5922</v>
      </c>
      <c r="G2375" s="4" t="s">
        <v>5923</v>
      </c>
      <c r="H2375" s="4">
        <v>4.22</v>
      </c>
      <c r="I2375" s="4">
        <v>0.94</v>
      </c>
      <c r="J2375" s="4">
        <v>0.18637999999999999</v>
      </c>
      <c r="K2375" s="4" t="b">
        <v>1</v>
      </c>
      <c r="L2375" s="4" t="b">
        <v>0</v>
      </c>
    </row>
    <row r="2376" spans="1:13" ht="13">
      <c r="A2376" s="4" t="s">
        <v>5924</v>
      </c>
      <c r="B2376" s="4" t="s">
        <v>4926</v>
      </c>
      <c r="C2376" s="4" t="s">
        <v>108</v>
      </c>
      <c r="D2376" s="4" t="s">
        <v>4927</v>
      </c>
      <c r="E2376" s="4" t="s">
        <v>8</v>
      </c>
      <c r="F2376" s="4" t="s">
        <v>5925</v>
      </c>
      <c r="G2376" s="4" t="s">
        <v>5926</v>
      </c>
      <c r="H2376" s="4">
        <v>4.2300000000000004</v>
      </c>
      <c r="I2376" s="4">
        <v>0.94</v>
      </c>
      <c r="J2376" s="4">
        <v>0.18447</v>
      </c>
      <c r="K2376" s="4" t="b">
        <v>1</v>
      </c>
      <c r="L2376" s="4" t="b">
        <v>0</v>
      </c>
    </row>
    <row r="2377" spans="1:13" ht="13">
      <c r="A2377" s="4" t="s">
        <v>5927</v>
      </c>
      <c r="B2377" s="4" t="s">
        <v>4926</v>
      </c>
      <c r="C2377" s="4" t="s">
        <v>108</v>
      </c>
      <c r="D2377" s="4" t="s">
        <v>4927</v>
      </c>
      <c r="E2377" s="4" t="s">
        <v>8</v>
      </c>
      <c r="F2377" s="4" t="s">
        <v>5928</v>
      </c>
      <c r="G2377" s="4" t="s">
        <v>5929</v>
      </c>
      <c r="H2377" s="4">
        <v>4.25</v>
      </c>
      <c r="I2377" s="4">
        <v>0.98</v>
      </c>
      <c r="J2377" s="4">
        <v>0.20004</v>
      </c>
      <c r="K2377" s="4" t="b">
        <v>1</v>
      </c>
      <c r="L2377" s="4" t="b">
        <v>0</v>
      </c>
    </row>
    <row r="2378" spans="1:13" ht="13">
      <c r="A2378" s="4" t="s">
        <v>5930</v>
      </c>
      <c r="B2378" s="4" t="s">
        <v>4926</v>
      </c>
      <c r="C2378" s="4" t="s">
        <v>108</v>
      </c>
      <c r="D2378" s="4" t="s">
        <v>4927</v>
      </c>
      <c r="E2378" s="4" t="s">
        <v>8</v>
      </c>
      <c r="F2378" s="4" t="s">
        <v>5931</v>
      </c>
      <c r="G2378" s="4" t="s">
        <v>5932</v>
      </c>
      <c r="H2378" s="4">
        <v>4.2699999999999996</v>
      </c>
      <c r="I2378" s="4">
        <v>1.04</v>
      </c>
      <c r="J2378" s="4">
        <v>0.21373</v>
      </c>
      <c r="K2378" s="4" t="b">
        <v>1</v>
      </c>
      <c r="L2378" s="4" t="b">
        <v>0</v>
      </c>
    </row>
    <row r="2379" spans="1:13" ht="13">
      <c r="A2379" s="4" t="s">
        <v>5933</v>
      </c>
      <c r="B2379" s="4" t="s">
        <v>4926</v>
      </c>
      <c r="C2379" s="4" t="s">
        <v>108</v>
      </c>
      <c r="D2379" s="4" t="s">
        <v>4927</v>
      </c>
      <c r="E2379" s="4" t="s">
        <v>8</v>
      </c>
      <c r="F2379" s="4" t="s">
        <v>5934</v>
      </c>
      <c r="G2379" s="4" t="s">
        <v>5935</v>
      </c>
      <c r="H2379" s="4">
        <v>4.28</v>
      </c>
      <c r="I2379" s="4">
        <v>1</v>
      </c>
      <c r="J2379" s="4">
        <v>0.22797000000000001</v>
      </c>
      <c r="K2379" s="4" t="b">
        <v>1</v>
      </c>
      <c r="L2379" s="4" t="b">
        <v>0</v>
      </c>
    </row>
    <row r="2380" spans="1:13" ht="13">
      <c r="A2380" s="4" t="s">
        <v>5936</v>
      </c>
      <c r="B2380" s="4" t="s">
        <v>4926</v>
      </c>
      <c r="C2380" s="4" t="s">
        <v>108</v>
      </c>
      <c r="D2380" s="4" t="s">
        <v>4927</v>
      </c>
      <c r="E2380" s="4" t="s">
        <v>8</v>
      </c>
      <c r="F2380" s="4" t="s">
        <v>5937</v>
      </c>
      <c r="G2380" s="4" t="s">
        <v>5938</v>
      </c>
      <c r="H2380" s="4">
        <v>4.3</v>
      </c>
      <c r="I2380" s="4">
        <v>0.98</v>
      </c>
      <c r="J2380" s="4">
        <v>0.20161999999999999</v>
      </c>
      <c r="K2380" s="4" t="b">
        <v>1</v>
      </c>
      <c r="L2380" s="4" t="b">
        <v>0</v>
      </c>
    </row>
    <row r="2381" spans="1:13" ht="13">
      <c r="A2381" s="4" t="s">
        <v>5939</v>
      </c>
      <c r="B2381" s="4" t="s">
        <v>4926</v>
      </c>
      <c r="C2381" s="4" t="s">
        <v>108</v>
      </c>
      <c r="D2381" s="4" t="s">
        <v>4927</v>
      </c>
      <c r="E2381" s="4" t="s">
        <v>8</v>
      </c>
      <c r="F2381" s="4" t="s">
        <v>5940</v>
      </c>
      <c r="G2381" s="4" t="s">
        <v>5941</v>
      </c>
      <c r="H2381" s="4">
        <v>4.32</v>
      </c>
      <c r="I2381" s="4">
        <v>0.94</v>
      </c>
      <c r="J2381" s="4">
        <v>0.18490999999999999</v>
      </c>
      <c r="K2381" s="4" t="b">
        <v>1</v>
      </c>
      <c r="L2381" s="4" t="b">
        <v>0</v>
      </c>
    </row>
    <row r="2382" spans="1:13" ht="13">
      <c r="A2382" s="4" t="s">
        <v>5942</v>
      </c>
      <c r="B2382" s="4" t="s">
        <v>4926</v>
      </c>
      <c r="C2382" s="4" t="s">
        <v>108</v>
      </c>
      <c r="D2382" s="4" t="s">
        <v>4927</v>
      </c>
      <c r="E2382" s="4" t="s">
        <v>8</v>
      </c>
      <c r="F2382" s="4" t="s">
        <v>5943</v>
      </c>
      <c r="G2382" s="4" t="s">
        <v>5944</v>
      </c>
      <c r="H2382" s="4">
        <v>4.33</v>
      </c>
      <c r="I2382" s="4">
        <v>0.98</v>
      </c>
      <c r="J2382" s="4">
        <v>0.18934000000000001</v>
      </c>
      <c r="K2382" s="4" t="b">
        <v>1</v>
      </c>
      <c r="L2382" s="4" t="b">
        <v>0</v>
      </c>
    </row>
    <row r="2383" spans="1:13" ht="13">
      <c r="A2383" s="4" t="s">
        <v>5945</v>
      </c>
      <c r="B2383" s="4" t="s">
        <v>4926</v>
      </c>
      <c r="C2383" s="4" t="s">
        <v>108</v>
      </c>
      <c r="D2383" s="4" t="s">
        <v>4927</v>
      </c>
      <c r="E2383" s="4" t="s">
        <v>8</v>
      </c>
      <c r="F2383" s="4" t="s">
        <v>5946</v>
      </c>
      <c r="G2383" s="4" t="s">
        <v>5947</v>
      </c>
      <c r="H2383" s="4">
        <v>4.3499999999999996</v>
      </c>
      <c r="I2383" s="4">
        <v>0.94</v>
      </c>
      <c r="J2383" s="4">
        <v>0.18038000000000001</v>
      </c>
      <c r="K2383" s="4" t="b">
        <v>1</v>
      </c>
      <c r="L2383" s="4" t="b">
        <v>0</v>
      </c>
    </row>
    <row r="2384" spans="1:13" ht="13">
      <c r="A2384" s="4" t="s">
        <v>895</v>
      </c>
      <c r="B2384" s="4" t="s">
        <v>4926</v>
      </c>
      <c r="C2384" s="4" t="s">
        <v>108</v>
      </c>
      <c r="D2384" s="4" t="s">
        <v>4927</v>
      </c>
      <c r="E2384" s="4" t="s">
        <v>8</v>
      </c>
      <c r="F2384" s="4" t="s">
        <v>5149</v>
      </c>
      <c r="G2384" s="4" t="s">
        <v>776</v>
      </c>
      <c r="H2384" s="4">
        <v>4.37</v>
      </c>
      <c r="I2384" s="4">
        <v>0.96</v>
      </c>
      <c r="J2384" s="4">
        <v>0.18973999999999999</v>
      </c>
      <c r="K2384" s="4" t="b">
        <v>1</v>
      </c>
      <c r="L2384" s="4" t="b">
        <v>1</v>
      </c>
      <c r="M2384" s="41" t="s">
        <v>4955</v>
      </c>
    </row>
    <row r="2385" spans="1:13" ht="13">
      <c r="A2385" s="4" t="s">
        <v>5948</v>
      </c>
      <c r="B2385" s="4" t="s">
        <v>4926</v>
      </c>
      <c r="C2385" s="4" t="s">
        <v>108</v>
      </c>
      <c r="D2385" s="4" t="s">
        <v>4927</v>
      </c>
      <c r="E2385" s="4" t="s">
        <v>8</v>
      </c>
      <c r="F2385" s="4" t="s">
        <v>5949</v>
      </c>
      <c r="G2385" s="4" t="s">
        <v>5950</v>
      </c>
      <c r="H2385" s="4">
        <v>4.38</v>
      </c>
      <c r="I2385" s="4">
        <v>0.95</v>
      </c>
      <c r="J2385" s="4">
        <v>0.18559999999999999</v>
      </c>
      <c r="K2385" s="4" t="b">
        <v>1</v>
      </c>
      <c r="L2385" s="4" t="b">
        <v>0</v>
      </c>
    </row>
    <row r="2386" spans="1:13" ht="13">
      <c r="A2386" s="4" t="s">
        <v>5951</v>
      </c>
      <c r="B2386" s="4" t="s">
        <v>4926</v>
      </c>
      <c r="C2386" s="4" t="s">
        <v>108</v>
      </c>
      <c r="D2386" s="4" t="s">
        <v>4927</v>
      </c>
      <c r="E2386" s="4" t="s">
        <v>8</v>
      </c>
      <c r="F2386" s="4" t="s">
        <v>5952</v>
      </c>
      <c r="G2386" s="4" t="s">
        <v>5953</v>
      </c>
      <c r="H2386" s="4">
        <v>4.4000000000000004</v>
      </c>
      <c r="I2386" s="4">
        <v>0.99</v>
      </c>
      <c r="J2386" s="4">
        <v>0.19578000000000001</v>
      </c>
      <c r="K2386" s="4" t="b">
        <v>1</v>
      </c>
      <c r="L2386" s="4" t="b">
        <v>0</v>
      </c>
    </row>
    <row r="2387" spans="1:13" ht="13">
      <c r="A2387" s="4" t="s">
        <v>5954</v>
      </c>
      <c r="B2387" s="4" t="s">
        <v>4926</v>
      </c>
      <c r="C2387" s="4" t="s">
        <v>108</v>
      </c>
      <c r="D2387" s="4" t="s">
        <v>4927</v>
      </c>
      <c r="E2387" s="4" t="s">
        <v>8</v>
      </c>
      <c r="F2387" s="4" t="s">
        <v>5955</v>
      </c>
      <c r="G2387" s="4" t="s">
        <v>5956</v>
      </c>
      <c r="H2387" s="4">
        <v>4.42</v>
      </c>
      <c r="I2387" s="4">
        <v>0.99</v>
      </c>
      <c r="J2387" s="4">
        <v>0.19363</v>
      </c>
      <c r="K2387" s="4" t="b">
        <v>1</v>
      </c>
      <c r="L2387" s="4" t="b">
        <v>0</v>
      </c>
    </row>
    <row r="2388" spans="1:13" ht="13">
      <c r="A2388" s="4" t="s">
        <v>5957</v>
      </c>
      <c r="B2388" s="4" t="s">
        <v>4926</v>
      </c>
      <c r="C2388" s="4" t="s">
        <v>108</v>
      </c>
      <c r="D2388" s="4" t="s">
        <v>4927</v>
      </c>
      <c r="E2388" s="4" t="s">
        <v>8</v>
      </c>
      <c r="F2388" s="4" t="s">
        <v>5958</v>
      </c>
      <c r="G2388" s="4" t="s">
        <v>5959</v>
      </c>
      <c r="H2388" s="4">
        <v>4.43</v>
      </c>
      <c r="I2388" s="4">
        <v>1.02</v>
      </c>
      <c r="J2388" s="4">
        <v>0.21473</v>
      </c>
      <c r="K2388" s="4" t="b">
        <v>1</v>
      </c>
      <c r="L2388" s="4" t="b">
        <v>0</v>
      </c>
    </row>
    <row r="2389" spans="1:13" ht="13">
      <c r="A2389" s="4" t="s">
        <v>5960</v>
      </c>
      <c r="B2389" s="4" t="s">
        <v>4926</v>
      </c>
      <c r="C2389" s="4" t="s">
        <v>108</v>
      </c>
      <c r="D2389" s="4" t="s">
        <v>4927</v>
      </c>
      <c r="E2389" s="4" t="s">
        <v>8</v>
      </c>
      <c r="F2389" s="4" t="s">
        <v>5961</v>
      </c>
      <c r="G2389" s="4" t="s">
        <v>5962</v>
      </c>
      <c r="H2389" s="4">
        <v>4.53</v>
      </c>
      <c r="I2389" s="4">
        <v>0.99</v>
      </c>
      <c r="J2389" s="4">
        <v>0.21274000000000001</v>
      </c>
      <c r="K2389" s="4" t="b">
        <v>1</v>
      </c>
      <c r="L2389" s="4" t="b">
        <v>0</v>
      </c>
    </row>
    <row r="2390" spans="1:13" ht="13">
      <c r="A2390" s="4" t="s">
        <v>5963</v>
      </c>
      <c r="B2390" s="4" t="s">
        <v>4926</v>
      </c>
      <c r="C2390" s="4" t="s">
        <v>108</v>
      </c>
      <c r="D2390" s="4" t="s">
        <v>4927</v>
      </c>
      <c r="E2390" s="4" t="s">
        <v>8</v>
      </c>
      <c r="F2390" s="4" t="s">
        <v>5964</v>
      </c>
      <c r="G2390" s="4" t="s">
        <v>5965</v>
      </c>
      <c r="H2390" s="4">
        <v>4.57</v>
      </c>
      <c r="I2390" s="4">
        <v>0.94</v>
      </c>
      <c r="J2390" s="4">
        <v>0.18626000000000001</v>
      </c>
      <c r="K2390" s="4" t="b">
        <v>1</v>
      </c>
      <c r="L2390" s="4" t="b">
        <v>0</v>
      </c>
    </row>
    <row r="2391" spans="1:13" ht="13">
      <c r="A2391" s="4" t="s">
        <v>5966</v>
      </c>
      <c r="B2391" s="4" t="s">
        <v>4926</v>
      </c>
      <c r="C2391" s="4" t="s">
        <v>108</v>
      </c>
      <c r="D2391" s="4" t="s">
        <v>4927</v>
      </c>
      <c r="E2391" s="4" t="s">
        <v>8</v>
      </c>
      <c r="F2391" s="4" t="s">
        <v>5967</v>
      </c>
      <c r="G2391" s="4" t="s">
        <v>5968</v>
      </c>
      <c r="H2391" s="4">
        <v>4.58</v>
      </c>
      <c r="I2391" s="4">
        <v>0.98</v>
      </c>
      <c r="J2391" s="4">
        <v>0.18864</v>
      </c>
      <c r="K2391" s="4" t="b">
        <v>1</v>
      </c>
      <c r="L2391" s="4" t="b">
        <v>0</v>
      </c>
    </row>
    <row r="2392" spans="1:13" ht="13">
      <c r="A2392" s="4" t="s">
        <v>5969</v>
      </c>
      <c r="B2392" s="4" t="s">
        <v>4926</v>
      </c>
      <c r="C2392" s="4" t="s">
        <v>108</v>
      </c>
      <c r="D2392" s="4" t="s">
        <v>4927</v>
      </c>
      <c r="E2392" s="4" t="s">
        <v>8</v>
      </c>
      <c r="F2392" s="4" t="s">
        <v>5970</v>
      </c>
      <c r="G2392" s="4" t="s">
        <v>5971</v>
      </c>
      <c r="H2392" s="4">
        <v>4.62</v>
      </c>
      <c r="I2392" s="4">
        <v>0.94</v>
      </c>
      <c r="J2392" s="4">
        <v>0.18368999999999999</v>
      </c>
      <c r="K2392" s="4" t="b">
        <v>1</v>
      </c>
      <c r="L2392" s="4" t="b">
        <v>0</v>
      </c>
    </row>
    <row r="2393" spans="1:13" ht="13">
      <c r="A2393" s="4" t="s">
        <v>5972</v>
      </c>
      <c r="B2393" s="4" t="s">
        <v>4926</v>
      </c>
      <c r="C2393" s="4" t="s">
        <v>108</v>
      </c>
      <c r="D2393" s="4" t="s">
        <v>4927</v>
      </c>
      <c r="E2393" s="4" t="s">
        <v>8</v>
      </c>
      <c r="F2393" s="4" t="s">
        <v>5973</v>
      </c>
      <c r="G2393" s="4" t="s">
        <v>5974</v>
      </c>
      <c r="H2393" s="4">
        <v>4.63</v>
      </c>
      <c r="I2393" s="4">
        <v>0.96</v>
      </c>
      <c r="J2393" s="4">
        <v>0.18722</v>
      </c>
      <c r="K2393" s="4" t="b">
        <v>1</v>
      </c>
      <c r="L2393" s="4" t="b">
        <v>0</v>
      </c>
    </row>
    <row r="2394" spans="1:13" ht="13">
      <c r="A2394" s="4" t="s">
        <v>5975</v>
      </c>
      <c r="B2394" s="4" t="s">
        <v>4926</v>
      </c>
      <c r="C2394" s="4" t="s">
        <v>108</v>
      </c>
      <c r="D2394" s="4" t="s">
        <v>4927</v>
      </c>
      <c r="E2394" s="4" t="s">
        <v>8</v>
      </c>
      <c r="F2394" s="4" t="s">
        <v>5976</v>
      </c>
      <c r="G2394" s="4" t="s">
        <v>5977</v>
      </c>
      <c r="H2394" s="4">
        <v>4.67</v>
      </c>
      <c r="I2394" s="4">
        <v>0.97</v>
      </c>
      <c r="J2394" s="4">
        <v>0.19078000000000001</v>
      </c>
      <c r="K2394" s="4" t="b">
        <v>1</v>
      </c>
      <c r="L2394" s="4" t="b">
        <v>0</v>
      </c>
    </row>
    <row r="2395" spans="1:13" ht="13">
      <c r="A2395" s="4" t="s">
        <v>896</v>
      </c>
      <c r="B2395" s="4" t="s">
        <v>4926</v>
      </c>
      <c r="C2395" s="4" t="s">
        <v>108</v>
      </c>
      <c r="D2395" s="4" t="s">
        <v>4927</v>
      </c>
      <c r="E2395" s="4" t="s">
        <v>8</v>
      </c>
      <c r="F2395" s="4" t="s">
        <v>5127</v>
      </c>
      <c r="G2395" s="4" t="s">
        <v>777</v>
      </c>
      <c r="H2395" s="4">
        <v>2.35</v>
      </c>
      <c r="I2395" s="4">
        <v>1</v>
      </c>
      <c r="J2395" s="4">
        <v>0.19792000000000001</v>
      </c>
      <c r="K2395" s="4" t="b">
        <v>1</v>
      </c>
      <c r="L2395" s="4" t="b">
        <v>1</v>
      </c>
      <c r="M2395" s="41" t="s">
        <v>4929</v>
      </c>
    </row>
    <row r="2396" spans="1:13" ht="13">
      <c r="A2396" s="4" t="s">
        <v>5978</v>
      </c>
      <c r="B2396" s="4" t="s">
        <v>4926</v>
      </c>
      <c r="C2396" s="4" t="s">
        <v>108</v>
      </c>
      <c r="D2396" s="4" t="s">
        <v>4927</v>
      </c>
      <c r="E2396" s="4" t="s">
        <v>8</v>
      </c>
      <c r="F2396" s="4" t="s">
        <v>5979</v>
      </c>
      <c r="G2396" s="4" t="s">
        <v>5980</v>
      </c>
      <c r="H2396" s="4">
        <v>2.4</v>
      </c>
      <c r="I2396" s="4">
        <v>0.97</v>
      </c>
      <c r="J2396" s="4">
        <v>0.19988</v>
      </c>
      <c r="K2396" s="4" t="b">
        <v>1</v>
      </c>
      <c r="L2396" s="4" t="b">
        <v>0</v>
      </c>
    </row>
    <row r="2397" spans="1:13" ht="13">
      <c r="A2397" s="4" t="s">
        <v>5981</v>
      </c>
      <c r="B2397" s="4" t="s">
        <v>4926</v>
      </c>
      <c r="C2397" s="4" t="s">
        <v>108</v>
      </c>
      <c r="D2397" s="4" t="s">
        <v>4927</v>
      </c>
      <c r="E2397" s="4" t="s">
        <v>8</v>
      </c>
      <c r="F2397" s="4" t="s">
        <v>5982</v>
      </c>
      <c r="G2397" s="4" t="s">
        <v>5983</v>
      </c>
      <c r="H2397" s="4">
        <v>2.4300000000000002</v>
      </c>
      <c r="I2397" s="4">
        <v>1</v>
      </c>
      <c r="J2397" s="4">
        <v>0.19377</v>
      </c>
      <c r="K2397" s="4" t="b">
        <v>1</v>
      </c>
      <c r="L2397" s="4" t="b">
        <v>0</v>
      </c>
    </row>
    <row r="2398" spans="1:13" ht="13">
      <c r="A2398" s="4" t="s">
        <v>5984</v>
      </c>
      <c r="B2398" s="4" t="s">
        <v>4926</v>
      </c>
      <c r="C2398" s="4" t="s">
        <v>108</v>
      </c>
      <c r="D2398" s="41" t="s">
        <v>4927</v>
      </c>
      <c r="E2398" s="4" t="s">
        <v>8</v>
      </c>
      <c r="F2398" s="4" t="s">
        <v>5985</v>
      </c>
      <c r="G2398" s="4" t="s">
        <v>5986</v>
      </c>
      <c r="H2398" s="4">
        <v>2.4500000000000002</v>
      </c>
      <c r="I2398" s="4">
        <v>1.02</v>
      </c>
      <c r="J2398" s="4">
        <v>0.19964000000000001</v>
      </c>
      <c r="K2398" s="4" t="b">
        <v>1</v>
      </c>
      <c r="L2398" s="4" t="b">
        <v>0</v>
      </c>
    </row>
    <row r="2399" spans="1:13" ht="13">
      <c r="A2399" s="4" t="s">
        <v>5987</v>
      </c>
      <c r="B2399" s="4" t="s">
        <v>4926</v>
      </c>
      <c r="C2399" s="4" t="s">
        <v>108</v>
      </c>
      <c r="D2399" s="41" t="s">
        <v>4927</v>
      </c>
      <c r="E2399" s="4" t="s">
        <v>8</v>
      </c>
      <c r="F2399" s="4" t="s">
        <v>5988</v>
      </c>
      <c r="G2399" s="4" t="s">
        <v>5989</v>
      </c>
      <c r="H2399" s="4">
        <v>2.48</v>
      </c>
      <c r="I2399" s="4">
        <v>0.97</v>
      </c>
      <c r="J2399" s="4">
        <v>0.19206999999999999</v>
      </c>
      <c r="K2399" s="4" t="b">
        <v>1</v>
      </c>
      <c r="L2399" s="4" t="b">
        <v>0</v>
      </c>
    </row>
    <row r="2400" spans="1:13" ht="13">
      <c r="A2400" s="4" t="s">
        <v>5990</v>
      </c>
      <c r="B2400" s="4" t="s">
        <v>4926</v>
      </c>
      <c r="C2400" s="4" t="s">
        <v>108</v>
      </c>
      <c r="D2400" s="4" t="s">
        <v>4927</v>
      </c>
      <c r="E2400" s="4" t="s">
        <v>8</v>
      </c>
      <c r="F2400" s="4" t="s">
        <v>5991</v>
      </c>
      <c r="G2400" s="4" t="s">
        <v>5992</v>
      </c>
      <c r="H2400" s="4">
        <v>2.5</v>
      </c>
      <c r="I2400" s="4">
        <v>0.99</v>
      </c>
      <c r="J2400" s="4">
        <v>0.22378999999999999</v>
      </c>
      <c r="K2400" s="4" t="b">
        <v>1</v>
      </c>
      <c r="L2400" s="4" t="b">
        <v>0</v>
      </c>
    </row>
    <row r="2401" spans="1:13" ht="13">
      <c r="A2401" s="4" t="s">
        <v>5993</v>
      </c>
      <c r="B2401" s="4" t="s">
        <v>4926</v>
      </c>
      <c r="C2401" s="4" t="s">
        <v>108</v>
      </c>
      <c r="D2401" s="4" t="s">
        <v>4927</v>
      </c>
      <c r="E2401" s="4" t="s">
        <v>8</v>
      </c>
      <c r="F2401" s="4" t="s">
        <v>5994</v>
      </c>
      <c r="G2401" s="4" t="s">
        <v>5995</v>
      </c>
      <c r="H2401" s="4">
        <v>2.5299999999999998</v>
      </c>
      <c r="I2401" s="4">
        <v>0.97</v>
      </c>
      <c r="J2401" s="4">
        <v>0.19822999999999999</v>
      </c>
      <c r="K2401" s="4" t="b">
        <v>1</v>
      </c>
      <c r="L2401" s="4" t="b">
        <v>0</v>
      </c>
    </row>
    <row r="2402" spans="1:13" ht="13">
      <c r="A2402" s="4" t="s">
        <v>5996</v>
      </c>
      <c r="B2402" s="4" t="s">
        <v>4926</v>
      </c>
      <c r="C2402" s="4" t="s">
        <v>108</v>
      </c>
      <c r="D2402" s="4" t="s">
        <v>4927</v>
      </c>
      <c r="E2402" s="4" t="s">
        <v>8</v>
      </c>
      <c r="F2402" s="4" t="s">
        <v>5997</v>
      </c>
      <c r="G2402" s="4" t="s">
        <v>5998</v>
      </c>
      <c r="H2402" s="4">
        <v>2.5499999999999998</v>
      </c>
      <c r="I2402" s="4">
        <v>0.94</v>
      </c>
      <c r="J2402" s="4">
        <v>0.18779000000000001</v>
      </c>
      <c r="K2402" s="4" t="b">
        <v>1</v>
      </c>
      <c r="L2402" s="4" t="b">
        <v>0</v>
      </c>
    </row>
    <row r="2403" spans="1:13" ht="13">
      <c r="A2403" s="4" t="s">
        <v>5999</v>
      </c>
      <c r="B2403" s="4" t="s">
        <v>4926</v>
      </c>
      <c r="C2403" s="4" t="s">
        <v>108</v>
      </c>
      <c r="D2403" s="4" t="s">
        <v>4927</v>
      </c>
      <c r="E2403" s="4" t="s">
        <v>8</v>
      </c>
      <c r="F2403" s="4" t="s">
        <v>6000</v>
      </c>
      <c r="G2403" s="4" t="s">
        <v>6001</v>
      </c>
      <c r="H2403" s="4">
        <v>2.58</v>
      </c>
      <c r="I2403" s="4">
        <v>0.98</v>
      </c>
      <c r="J2403" s="4">
        <v>0.19228999999999999</v>
      </c>
      <c r="K2403" s="4" t="b">
        <v>1</v>
      </c>
      <c r="L2403" s="4" t="b">
        <v>0</v>
      </c>
    </row>
    <row r="2404" spans="1:13" ht="13">
      <c r="A2404" s="4" t="s">
        <v>6002</v>
      </c>
      <c r="B2404" s="4" t="s">
        <v>4926</v>
      </c>
      <c r="C2404" s="4" t="s">
        <v>108</v>
      </c>
      <c r="D2404" s="4" t="s">
        <v>4927</v>
      </c>
      <c r="E2404" s="4" t="s">
        <v>8</v>
      </c>
      <c r="F2404" s="4" t="s">
        <v>6003</v>
      </c>
      <c r="G2404" s="4" t="s">
        <v>6004</v>
      </c>
      <c r="H2404" s="4">
        <v>2.6</v>
      </c>
      <c r="I2404" s="4">
        <v>1.01</v>
      </c>
      <c r="J2404" s="4">
        <v>0.20236999999999999</v>
      </c>
      <c r="K2404" s="4" t="b">
        <v>1</v>
      </c>
      <c r="L2404" s="4" t="b">
        <v>0</v>
      </c>
    </row>
    <row r="2405" spans="1:13" ht="13">
      <c r="A2405" s="4" t="s">
        <v>6005</v>
      </c>
      <c r="B2405" s="4" t="s">
        <v>4926</v>
      </c>
      <c r="C2405" s="4" t="s">
        <v>108</v>
      </c>
      <c r="D2405" s="4" t="s">
        <v>4927</v>
      </c>
      <c r="E2405" s="4" t="s">
        <v>8</v>
      </c>
      <c r="F2405" s="4" t="s">
        <v>6006</v>
      </c>
      <c r="G2405" s="4" t="s">
        <v>6007</v>
      </c>
      <c r="H2405" s="4">
        <v>2.63</v>
      </c>
      <c r="I2405" s="4">
        <v>1.01</v>
      </c>
      <c r="J2405" s="4">
        <v>0.20419999999999999</v>
      </c>
      <c r="K2405" s="4" t="b">
        <v>1</v>
      </c>
      <c r="L2405" s="4" t="b">
        <v>0</v>
      </c>
    </row>
    <row r="2406" spans="1:13" ht="13">
      <c r="A2406" s="4" t="s">
        <v>6008</v>
      </c>
      <c r="B2406" s="4" t="s">
        <v>4926</v>
      </c>
      <c r="C2406" s="4" t="s">
        <v>108</v>
      </c>
      <c r="D2406" s="4" t="s">
        <v>4927</v>
      </c>
      <c r="E2406" s="4" t="s">
        <v>8</v>
      </c>
      <c r="F2406" s="4" t="s">
        <v>6009</v>
      </c>
      <c r="G2406" s="4" t="s">
        <v>6010</v>
      </c>
      <c r="H2406" s="4">
        <v>2.65</v>
      </c>
      <c r="I2406" s="4">
        <v>1.06</v>
      </c>
      <c r="J2406" s="4">
        <v>0.23871999999999999</v>
      </c>
      <c r="K2406" s="4" t="b">
        <v>1</v>
      </c>
      <c r="L2406" s="4" t="b">
        <v>0</v>
      </c>
    </row>
    <row r="2407" spans="1:13" ht="13">
      <c r="A2407" s="4" t="s">
        <v>897</v>
      </c>
      <c r="B2407" s="4" t="s">
        <v>4926</v>
      </c>
      <c r="C2407" s="4" t="s">
        <v>108</v>
      </c>
      <c r="D2407" s="4" t="s">
        <v>4927</v>
      </c>
      <c r="E2407" s="4" t="s">
        <v>8</v>
      </c>
      <c r="F2407" s="4" t="s">
        <v>5150</v>
      </c>
      <c r="G2407" s="4" t="s">
        <v>778</v>
      </c>
      <c r="H2407" s="4">
        <v>2.68</v>
      </c>
      <c r="I2407" s="4">
        <v>0.94</v>
      </c>
      <c r="J2407" s="4">
        <v>0.18989</v>
      </c>
      <c r="K2407" s="4" t="b">
        <v>1</v>
      </c>
      <c r="L2407" s="4" t="b">
        <v>1</v>
      </c>
      <c r="M2407" s="41" t="s">
        <v>4929</v>
      </c>
    </row>
    <row r="2408" spans="1:13" ht="13">
      <c r="A2408" s="4" t="s">
        <v>898</v>
      </c>
      <c r="B2408" s="4" t="s">
        <v>4926</v>
      </c>
      <c r="C2408" s="4" t="s">
        <v>108</v>
      </c>
      <c r="D2408" s="4" t="s">
        <v>4927</v>
      </c>
      <c r="E2408" s="4" t="s">
        <v>8</v>
      </c>
      <c r="F2408" s="4" t="s">
        <v>5046</v>
      </c>
      <c r="G2408" s="4" t="s">
        <v>779</v>
      </c>
      <c r="H2408" s="4">
        <v>2.7</v>
      </c>
      <c r="I2408" s="4">
        <v>0.97</v>
      </c>
      <c r="J2408" s="4">
        <v>0.21360000000000001</v>
      </c>
      <c r="K2408" s="4" t="b">
        <v>1</v>
      </c>
      <c r="L2408" s="4" t="b">
        <v>1</v>
      </c>
      <c r="M2408" s="41" t="s">
        <v>4929</v>
      </c>
    </row>
    <row r="2409" spans="1:13" ht="13">
      <c r="A2409" s="4" t="s">
        <v>899</v>
      </c>
      <c r="B2409" s="4" t="s">
        <v>4926</v>
      </c>
      <c r="C2409" s="4" t="s">
        <v>108</v>
      </c>
      <c r="D2409" s="4" t="s">
        <v>4927</v>
      </c>
      <c r="E2409" s="4" t="s">
        <v>8</v>
      </c>
      <c r="F2409" s="4" t="s">
        <v>5167</v>
      </c>
      <c r="G2409" s="4" t="s">
        <v>780</v>
      </c>
      <c r="H2409" s="4">
        <v>2.73</v>
      </c>
      <c r="I2409" s="4">
        <v>0.98</v>
      </c>
      <c r="J2409" s="4">
        <v>0.19449</v>
      </c>
      <c r="K2409" s="4" t="b">
        <v>1</v>
      </c>
      <c r="L2409" s="4" t="b">
        <v>1</v>
      </c>
      <c r="M2409" s="41" t="s">
        <v>5164</v>
      </c>
    </row>
    <row r="2410" spans="1:13" ht="13">
      <c r="A2410" s="4" t="s">
        <v>6011</v>
      </c>
      <c r="B2410" s="4" t="s">
        <v>4926</v>
      </c>
      <c r="C2410" s="4" t="s">
        <v>108</v>
      </c>
      <c r="D2410" s="4" t="s">
        <v>4927</v>
      </c>
      <c r="E2410" s="4" t="s">
        <v>8</v>
      </c>
      <c r="F2410" s="4" t="s">
        <v>6012</v>
      </c>
      <c r="G2410" s="4" t="s">
        <v>6013</v>
      </c>
      <c r="H2410" s="4">
        <v>2.77</v>
      </c>
      <c r="I2410" s="4">
        <v>0.95</v>
      </c>
      <c r="J2410" s="4">
        <v>0.19485</v>
      </c>
      <c r="K2410" s="4" t="b">
        <v>1</v>
      </c>
      <c r="L2410" s="4" t="b">
        <v>0</v>
      </c>
    </row>
    <row r="2411" spans="1:13" ht="13">
      <c r="A2411" s="4" t="s">
        <v>6014</v>
      </c>
      <c r="B2411" s="4" t="s">
        <v>4926</v>
      </c>
      <c r="C2411" s="4" t="s">
        <v>108</v>
      </c>
      <c r="D2411" s="4" t="s">
        <v>4927</v>
      </c>
      <c r="E2411" s="4" t="s">
        <v>8</v>
      </c>
      <c r="F2411" s="4" t="s">
        <v>6015</v>
      </c>
      <c r="G2411" s="4" t="s">
        <v>6016</v>
      </c>
      <c r="H2411" s="4">
        <v>2.78</v>
      </c>
      <c r="I2411" s="4">
        <v>0.99</v>
      </c>
      <c r="J2411" s="4">
        <v>0.19061</v>
      </c>
      <c r="K2411" s="4" t="b">
        <v>1</v>
      </c>
      <c r="L2411" s="4" t="b">
        <v>0</v>
      </c>
    </row>
    <row r="2412" spans="1:13" ht="13">
      <c r="A2412" s="4" t="s">
        <v>6017</v>
      </c>
      <c r="B2412" s="4" t="s">
        <v>4926</v>
      </c>
      <c r="C2412" s="4" t="s">
        <v>108</v>
      </c>
      <c r="D2412" s="4" t="s">
        <v>4927</v>
      </c>
      <c r="E2412" s="4" t="s">
        <v>8</v>
      </c>
      <c r="F2412" s="4" t="s">
        <v>6018</v>
      </c>
      <c r="G2412" s="4" t="s">
        <v>6019</v>
      </c>
      <c r="H2412" s="4">
        <v>2.8</v>
      </c>
      <c r="I2412" s="4">
        <v>1.01</v>
      </c>
      <c r="J2412" s="4">
        <v>0.21160999999999999</v>
      </c>
      <c r="K2412" s="4" t="b">
        <v>1</v>
      </c>
      <c r="L2412" s="4" t="b">
        <v>0</v>
      </c>
    </row>
    <row r="2413" spans="1:13" ht="13">
      <c r="A2413" s="4" t="s">
        <v>6020</v>
      </c>
      <c r="B2413" s="4" t="s">
        <v>4926</v>
      </c>
      <c r="C2413" s="4" t="s">
        <v>108</v>
      </c>
      <c r="D2413" s="4" t="s">
        <v>4927</v>
      </c>
      <c r="E2413" s="4" t="s">
        <v>8</v>
      </c>
      <c r="F2413" s="4" t="s">
        <v>6021</v>
      </c>
      <c r="G2413" s="4" t="s">
        <v>6022</v>
      </c>
      <c r="H2413" s="4">
        <v>2.82</v>
      </c>
      <c r="I2413" s="4">
        <v>0.97</v>
      </c>
      <c r="J2413" s="4">
        <v>0.19666</v>
      </c>
      <c r="K2413" s="4" t="b">
        <v>1</v>
      </c>
      <c r="L2413" s="4" t="b">
        <v>0</v>
      </c>
    </row>
    <row r="2414" spans="1:13" ht="13">
      <c r="A2414" s="4" t="s">
        <v>6023</v>
      </c>
      <c r="B2414" s="4" t="s">
        <v>4926</v>
      </c>
      <c r="C2414" s="4" t="s">
        <v>108</v>
      </c>
      <c r="D2414" s="4" t="s">
        <v>4927</v>
      </c>
      <c r="E2414" s="4" t="s">
        <v>8</v>
      </c>
      <c r="F2414" s="4" t="s">
        <v>6024</v>
      </c>
      <c r="G2414" s="4" t="s">
        <v>6025</v>
      </c>
      <c r="H2414" s="4">
        <v>2.85</v>
      </c>
      <c r="I2414" s="4">
        <v>0.96</v>
      </c>
      <c r="J2414" s="4">
        <v>0.19869999999999999</v>
      </c>
      <c r="K2414" s="4" t="b">
        <v>1</v>
      </c>
      <c r="L2414" s="4" t="b">
        <v>0</v>
      </c>
    </row>
    <row r="2415" spans="1:13" ht="13">
      <c r="A2415" s="4" t="s">
        <v>6026</v>
      </c>
      <c r="B2415" s="4" t="s">
        <v>4926</v>
      </c>
      <c r="C2415" s="4" t="s">
        <v>108</v>
      </c>
      <c r="D2415" s="4" t="s">
        <v>4927</v>
      </c>
      <c r="E2415" s="4" t="s">
        <v>8</v>
      </c>
      <c r="F2415" s="4" t="s">
        <v>6027</v>
      </c>
      <c r="G2415" s="4" t="s">
        <v>6028</v>
      </c>
      <c r="H2415" s="4">
        <v>2.87</v>
      </c>
      <c r="I2415" s="4">
        <v>0.98</v>
      </c>
      <c r="J2415" s="4">
        <v>0.19536000000000001</v>
      </c>
      <c r="K2415" s="4" t="b">
        <v>1</v>
      </c>
      <c r="L2415" s="4" t="b">
        <v>0</v>
      </c>
    </row>
    <row r="2416" spans="1:13" ht="13">
      <c r="A2416" s="4" t="s">
        <v>6029</v>
      </c>
      <c r="B2416" s="4" t="s">
        <v>4926</v>
      </c>
      <c r="C2416" s="4" t="s">
        <v>108</v>
      </c>
      <c r="D2416" s="4" t="s">
        <v>4927</v>
      </c>
      <c r="E2416" s="4" t="s">
        <v>8</v>
      </c>
      <c r="F2416" s="4" t="s">
        <v>6030</v>
      </c>
      <c r="G2416" s="4" t="s">
        <v>6031</v>
      </c>
      <c r="H2416" s="4">
        <v>2.88</v>
      </c>
      <c r="I2416" s="4">
        <v>0.94</v>
      </c>
      <c r="J2416" s="4">
        <v>0.19747000000000001</v>
      </c>
      <c r="K2416" s="4" t="b">
        <v>1</v>
      </c>
      <c r="L2416" s="4" t="b">
        <v>0</v>
      </c>
    </row>
    <row r="2417" spans="1:13" ht="13">
      <c r="A2417" s="4" t="s">
        <v>6032</v>
      </c>
      <c r="B2417" s="4" t="s">
        <v>4926</v>
      </c>
      <c r="C2417" s="4" t="s">
        <v>108</v>
      </c>
      <c r="D2417" s="4" t="s">
        <v>4927</v>
      </c>
      <c r="E2417" s="4" t="s">
        <v>8</v>
      </c>
      <c r="F2417" s="4" t="s">
        <v>6033</v>
      </c>
      <c r="G2417" s="4" t="s">
        <v>6034</v>
      </c>
      <c r="H2417" s="4">
        <v>2.9</v>
      </c>
      <c r="I2417" s="4">
        <v>0.94</v>
      </c>
      <c r="J2417" s="4">
        <v>0.18623999999999999</v>
      </c>
      <c r="K2417" s="4" t="b">
        <v>1</v>
      </c>
      <c r="L2417" s="4" t="b">
        <v>0</v>
      </c>
    </row>
    <row r="2418" spans="1:13" ht="13">
      <c r="A2418" s="4" t="s">
        <v>6035</v>
      </c>
      <c r="B2418" s="4" t="s">
        <v>4926</v>
      </c>
      <c r="C2418" s="4" t="s">
        <v>108</v>
      </c>
      <c r="D2418" s="4" t="s">
        <v>4927</v>
      </c>
      <c r="E2418" s="4" t="s">
        <v>8</v>
      </c>
      <c r="F2418" s="4" t="s">
        <v>6036</v>
      </c>
      <c r="G2418" s="4" t="s">
        <v>6037</v>
      </c>
      <c r="H2418" s="4">
        <v>2.92</v>
      </c>
      <c r="I2418" s="4">
        <v>0.97</v>
      </c>
      <c r="J2418" s="4">
        <v>0.18693000000000001</v>
      </c>
      <c r="K2418" s="4" t="b">
        <v>1</v>
      </c>
      <c r="L2418" s="4" t="b">
        <v>0</v>
      </c>
    </row>
    <row r="2419" spans="1:13" ht="13">
      <c r="A2419" s="4" t="s">
        <v>6038</v>
      </c>
      <c r="B2419" s="4" t="s">
        <v>4926</v>
      </c>
      <c r="C2419" s="4" t="s">
        <v>108</v>
      </c>
      <c r="D2419" s="4" t="s">
        <v>4927</v>
      </c>
      <c r="E2419" s="4" t="s">
        <v>8</v>
      </c>
      <c r="F2419" s="4" t="s">
        <v>6039</v>
      </c>
      <c r="G2419" s="4" t="s">
        <v>6040</v>
      </c>
      <c r="H2419" s="4">
        <v>2.93</v>
      </c>
      <c r="I2419" s="4">
        <v>0.96</v>
      </c>
      <c r="J2419" s="4">
        <v>0.19470000000000001</v>
      </c>
      <c r="K2419" s="4" t="b">
        <v>1</v>
      </c>
      <c r="L2419" s="4" t="b">
        <v>0</v>
      </c>
    </row>
    <row r="2420" spans="1:13" ht="13">
      <c r="A2420" s="4" t="s">
        <v>900</v>
      </c>
      <c r="B2420" s="4" t="s">
        <v>4926</v>
      </c>
      <c r="C2420" s="4" t="s">
        <v>108</v>
      </c>
      <c r="D2420" s="4" t="s">
        <v>4927</v>
      </c>
      <c r="E2420" s="4" t="s">
        <v>8</v>
      </c>
      <c r="F2420" s="4" t="s">
        <v>5151</v>
      </c>
      <c r="G2420" s="4" t="s">
        <v>781</v>
      </c>
      <c r="H2420" s="4">
        <v>2.95</v>
      </c>
      <c r="I2420" s="4">
        <v>0.97</v>
      </c>
      <c r="J2420" s="4">
        <v>0.18976999999999999</v>
      </c>
      <c r="K2420" s="4" t="b">
        <v>1</v>
      </c>
      <c r="L2420" s="4" t="b">
        <v>1</v>
      </c>
      <c r="M2420" s="41" t="s">
        <v>4929</v>
      </c>
    </row>
    <row r="2421" spans="1:13" ht="13">
      <c r="A2421" s="4" t="s">
        <v>6041</v>
      </c>
      <c r="B2421" s="4" t="s">
        <v>4926</v>
      </c>
      <c r="C2421" s="4" t="s">
        <v>108</v>
      </c>
      <c r="D2421" s="4" t="s">
        <v>4927</v>
      </c>
      <c r="E2421" s="4" t="s">
        <v>8</v>
      </c>
      <c r="F2421" s="4" t="s">
        <v>6042</v>
      </c>
      <c r="G2421" s="4" t="s">
        <v>6043</v>
      </c>
      <c r="H2421" s="4">
        <v>2.97</v>
      </c>
      <c r="I2421" s="4">
        <v>1</v>
      </c>
      <c r="J2421" s="4">
        <v>0.19213</v>
      </c>
      <c r="K2421" s="4" t="b">
        <v>1</v>
      </c>
      <c r="L2421" s="4" t="b">
        <v>0</v>
      </c>
    </row>
    <row r="2422" spans="1:13" ht="13">
      <c r="A2422" s="4" t="s">
        <v>901</v>
      </c>
      <c r="B2422" s="4" t="s">
        <v>4926</v>
      </c>
      <c r="C2422" s="4" t="s">
        <v>108</v>
      </c>
      <c r="D2422" s="4" t="s">
        <v>4927</v>
      </c>
      <c r="E2422" s="4" t="s">
        <v>8</v>
      </c>
      <c r="F2422" s="4" t="s">
        <v>6044</v>
      </c>
      <c r="G2422" s="4" t="s">
        <v>782</v>
      </c>
      <c r="H2422" s="4">
        <v>2.98</v>
      </c>
      <c r="I2422" s="4">
        <v>0.98</v>
      </c>
      <c r="J2422" s="4">
        <v>0.19761999999999999</v>
      </c>
      <c r="K2422" s="4" t="b">
        <v>1</v>
      </c>
      <c r="L2422" s="4" t="b">
        <v>0</v>
      </c>
    </row>
    <row r="2423" spans="1:13" ht="13">
      <c r="A2423" s="4" t="s">
        <v>6045</v>
      </c>
      <c r="B2423" s="4" t="s">
        <v>4926</v>
      </c>
      <c r="C2423" s="4" t="s">
        <v>108</v>
      </c>
      <c r="D2423" s="4" t="s">
        <v>4927</v>
      </c>
      <c r="E2423" s="4" t="s">
        <v>8</v>
      </c>
      <c r="F2423" s="4" t="s">
        <v>6046</v>
      </c>
      <c r="G2423" s="4" t="s">
        <v>6047</v>
      </c>
      <c r="H2423" s="4">
        <v>3</v>
      </c>
      <c r="I2423" s="4">
        <v>0.99</v>
      </c>
      <c r="J2423" s="4">
        <v>0.21368999999999999</v>
      </c>
      <c r="K2423" s="4" t="b">
        <v>1</v>
      </c>
      <c r="L2423" s="4" t="b">
        <v>0</v>
      </c>
    </row>
    <row r="2424" spans="1:13" ht="13">
      <c r="A2424" s="4" t="s">
        <v>6048</v>
      </c>
      <c r="B2424" s="4" t="s">
        <v>4926</v>
      </c>
      <c r="C2424" s="4" t="s">
        <v>108</v>
      </c>
      <c r="D2424" s="4" t="s">
        <v>4927</v>
      </c>
      <c r="E2424" s="4" t="s">
        <v>8</v>
      </c>
      <c r="F2424" s="4" t="s">
        <v>6049</v>
      </c>
      <c r="G2424" s="4" t="s">
        <v>6050</v>
      </c>
      <c r="H2424" s="4">
        <v>3.02</v>
      </c>
      <c r="I2424" s="4">
        <v>1.01</v>
      </c>
      <c r="J2424" s="4">
        <v>0.2238</v>
      </c>
      <c r="K2424" s="4" t="b">
        <v>1</v>
      </c>
      <c r="L2424" s="4" t="b">
        <v>0</v>
      </c>
    </row>
    <row r="2425" spans="1:13" ht="13">
      <c r="A2425" s="4" t="s">
        <v>902</v>
      </c>
      <c r="B2425" s="4" t="s">
        <v>4926</v>
      </c>
      <c r="C2425" s="4" t="s">
        <v>108</v>
      </c>
      <c r="D2425" s="4" t="s">
        <v>4927</v>
      </c>
      <c r="E2425" s="4" t="s">
        <v>8</v>
      </c>
      <c r="F2425" s="4" t="s">
        <v>5047</v>
      </c>
      <c r="G2425" s="4" t="s">
        <v>783</v>
      </c>
      <c r="H2425" s="4">
        <v>3.13</v>
      </c>
      <c r="I2425" s="4">
        <v>1.01</v>
      </c>
      <c r="J2425" s="4">
        <v>0.21945000000000001</v>
      </c>
      <c r="K2425" s="4" t="b">
        <v>1</v>
      </c>
      <c r="L2425" s="4" t="b">
        <v>1</v>
      </c>
      <c r="M2425" s="41" t="s">
        <v>4929</v>
      </c>
    </row>
    <row r="2426" spans="1:13" ht="13">
      <c r="A2426" s="4" t="s">
        <v>6051</v>
      </c>
      <c r="B2426" s="4" t="s">
        <v>4926</v>
      </c>
      <c r="C2426" s="4" t="s">
        <v>108</v>
      </c>
      <c r="D2426" s="4" t="s">
        <v>4927</v>
      </c>
      <c r="E2426" s="4" t="s">
        <v>8</v>
      </c>
      <c r="F2426" s="4" t="s">
        <v>6052</v>
      </c>
      <c r="G2426" s="4" t="s">
        <v>6053</v>
      </c>
      <c r="H2426" s="4">
        <v>3.15</v>
      </c>
      <c r="I2426" s="4">
        <v>0.97</v>
      </c>
      <c r="J2426" s="4">
        <v>0.18751000000000001</v>
      </c>
      <c r="K2426" s="4" t="b">
        <v>1</v>
      </c>
      <c r="L2426" s="4" t="b">
        <v>0</v>
      </c>
    </row>
    <row r="2427" spans="1:13" ht="13">
      <c r="A2427" s="4" t="s">
        <v>6054</v>
      </c>
      <c r="B2427" s="4" t="s">
        <v>4926</v>
      </c>
      <c r="C2427" s="4" t="s">
        <v>108</v>
      </c>
      <c r="D2427" s="4" t="s">
        <v>4927</v>
      </c>
      <c r="E2427" s="4" t="s">
        <v>8</v>
      </c>
      <c r="F2427" s="4" t="s">
        <v>6055</v>
      </c>
      <c r="G2427" s="4" t="s">
        <v>6056</v>
      </c>
      <c r="H2427" s="4">
        <v>3.17</v>
      </c>
      <c r="I2427" s="4">
        <v>0.95</v>
      </c>
      <c r="J2427" s="4">
        <v>0.1837</v>
      </c>
      <c r="K2427" s="4" t="b">
        <v>1</v>
      </c>
      <c r="L2427" s="4" t="b">
        <v>0</v>
      </c>
    </row>
    <row r="2428" spans="1:13" ht="13">
      <c r="A2428" s="4" t="s">
        <v>6057</v>
      </c>
      <c r="B2428" s="4" t="s">
        <v>4926</v>
      </c>
      <c r="C2428" s="4" t="s">
        <v>108</v>
      </c>
      <c r="D2428" s="4" t="s">
        <v>4927</v>
      </c>
      <c r="E2428" s="4" t="s">
        <v>8</v>
      </c>
      <c r="F2428" s="4" t="s">
        <v>6058</v>
      </c>
      <c r="G2428" s="4" t="s">
        <v>6059</v>
      </c>
      <c r="H2428" s="4">
        <v>3.18</v>
      </c>
      <c r="I2428" s="4">
        <v>0.96</v>
      </c>
      <c r="J2428" s="4">
        <v>0.18801000000000001</v>
      </c>
      <c r="K2428" s="4" t="b">
        <v>1</v>
      </c>
      <c r="L2428" s="4" t="b">
        <v>0</v>
      </c>
    </row>
    <row r="2429" spans="1:13" ht="13">
      <c r="A2429" s="4" t="s">
        <v>6060</v>
      </c>
      <c r="B2429" s="4" t="s">
        <v>4926</v>
      </c>
      <c r="C2429" s="4" t="s">
        <v>108</v>
      </c>
      <c r="D2429" s="4" t="s">
        <v>4927</v>
      </c>
      <c r="E2429" s="4" t="s">
        <v>8</v>
      </c>
      <c r="F2429" s="4" t="s">
        <v>6061</v>
      </c>
      <c r="G2429" s="4" t="s">
        <v>6062</v>
      </c>
      <c r="H2429" s="4">
        <v>3.2</v>
      </c>
      <c r="I2429" s="4">
        <v>0.99</v>
      </c>
      <c r="J2429" s="4">
        <v>0.19488</v>
      </c>
      <c r="K2429" s="4" t="b">
        <v>1</v>
      </c>
      <c r="L2429" s="4" t="b">
        <v>0</v>
      </c>
    </row>
    <row r="2430" spans="1:13" ht="13">
      <c r="A2430" s="4" t="s">
        <v>6063</v>
      </c>
      <c r="B2430" s="4" t="s">
        <v>4926</v>
      </c>
      <c r="C2430" s="4" t="s">
        <v>108</v>
      </c>
      <c r="D2430" s="4" t="s">
        <v>4927</v>
      </c>
      <c r="E2430" s="4" t="s">
        <v>8</v>
      </c>
      <c r="F2430" s="4" t="s">
        <v>6064</v>
      </c>
      <c r="G2430" s="4" t="s">
        <v>6065</v>
      </c>
      <c r="H2430" s="4">
        <v>3.22</v>
      </c>
      <c r="I2430" s="4">
        <v>1.04</v>
      </c>
      <c r="J2430" s="4">
        <v>0.24851000000000001</v>
      </c>
      <c r="K2430" s="4" t="b">
        <v>1</v>
      </c>
      <c r="L2430" s="4" t="b">
        <v>0</v>
      </c>
    </row>
    <row r="2431" spans="1:13" ht="13">
      <c r="A2431" s="4" t="s">
        <v>6066</v>
      </c>
      <c r="B2431" s="4" t="s">
        <v>4926</v>
      </c>
      <c r="C2431" s="4" t="s">
        <v>108</v>
      </c>
      <c r="D2431" s="4" t="s">
        <v>4927</v>
      </c>
      <c r="E2431" s="4" t="s">
        <v>8</v>
      </c>
      <c r="F2431" s="4" t="s">
        <v>6067</v>
      </c>
      <c r="G2431" s="4" t="s">
        <v>6068</v>
      </c>
      <c r="H2431" s="4">
        <v>3.23</v>
      </c>
      <c r="I2431" s="4">
        <v>0.97</v>
      </c>
      <c r="J2431" s="4">
        <v>0.19037000000000001</v>
      </c>
      <c r="K2431" s="4" t="b">
        <v>1</v>
      </c>
      <c r="L2431" s="4" t="b">
        <v>0</v>
      </c>
    </row>
    <row r="2432" spans="1:13" ht="13">
      <c r="A2432" s="4" t="s">
        <v>6069</v>
      </c>
      <c r="B2432" s="4" t="s">
        <v>4926</v>
      </c>
      <c r="C2432" s="4" t="s">
        <v>108</v>
      </c>
      <c r="D2432" s="4" t="s">
        <v>4927</v>
      </c>
      <c r="E2432" s="4" t="s">
        <v>8</v>
      </c>
      <c r="F2432" s="4" t="s">
        <v>6070</v>
      </c>
      <c r="G2432" s="4" t="s">
        <v>6071</v>
      </c>
      <c r="H2432" s="4">
        <v>3.27</v>
      </c>
      <c r="I2432" s="4">
        <v>0.99</v>
      </c>
      <c r="J2432" s="4">
        <v>0.19370000000000001</v>
      </c>
      <c r="K2432" s="4" t="b">
        <v>1</v>
      </c>
      <c r="L2432" s="4" t="b">
        <v>0</v>
      </c>
    </row>
    <row r="2433" spans="1:13" ht="13">
      <c r="A2433" s="4" t="s">
        <v>6072</v>
      </c>
      <c r="B2433" s="4" t="s">
        <v>4926</v>
      </c>
      <c r="C2433" s="4" t="s">
        <v>108</v>
      </c>
      <c r="D2433" s="4" t="s">
        <v>4927</v>
      </c>
      <c r="E2433" s="4" t="s">
        <v>8</v>
      </c>
      <c r="F2433" s="4" t="s">
        <v>6073</v>
      </c>
      <c r="G2433" s="4" t="s">
        <v>6074</v>
      </c>
      <c r="H2433" s="4">
        <v>3.28</v>
      </c>
      <c r="I2433" s="4">
        <v>0.97</v>
      </c>
      <c r="J2433" s="4">
        <v>0.18679000000000001</v>
      </c>
      <c r="K2433" s="4" t="b">
        <v>1</v>
      </c>
      <c r="L2433" s="4" t="b">
        <v>0</v>
      </c>
    </row>
    <row r="2434" spans="1:13" ht="13">
      <c r="A2434" s="4" t="s">
        <v>6075</v>
      </c>
      <c r="B2434" s="4" t="s">
        <v>4926</v>
      </c>
      <c r="C2434" s="4" t="s">
        <v>108</v>
      </c>
      <c r="D2434" s="4" t="s">
        <v>4927</v>
      </c>
      <c r="E2434" s="4" t="s">
        <v>8</v>
      </c>
      <c r="F2434" s="4" t="s">
        <v>6076</v>
      </c>
      <c r="G2434" s="4" t="s">
        <v>6077</v>
      </c>
      <c r="H2434" s="4">
        <v>3.3</v>
      </c>
      <c r="I2434" s="4">
        <v>1.02</v>
      </c>
      <c r="J2434" s="4">
        <v>0.20505000000000001</v>
      </c>
      <c r="K2434" s="4" t="b">
        <v>1</v>
      </c>
      <c r="L2434" s="4" t="b">
        <v>0</v>
      </c>
    </row>
    <row r="2435" spans="1:13" ht="13">
      <c r="A2435" s="4" t="s">
        <v>6078</v>
      </c>
      <c r="B2435" s="4" t="s">
        <v>4926</v>
      </c>
      <c r="C2435" s="4" t="s">
        <v>108</v>
      </c>
      <c r="D2435" s="4" t="s">
        <v>4927</v>
      </c>
      <c r="E2435" s="4" t="s">
        <v>8</v>
      </c>
      <c r="F2435" s="4" t="s">
        <v>6079</v>
      </c>
      <c r="G2435" s="4" t="s">
        <v>6080</v>
      </c>
      <c r="H2435" s="4">
        <v>3.32</v>
      </c>
      <c r="I2435" s="4">
        <v>0.97</v>
      </c>
      <c r="J2435" s="4">
        <v>0.20401</v>
      </c>
      <c r="K2435" s="4" t="b">
        <v>1</v>
      </c>
      <c r="L2435" s="4" t="b">
        <v>0</v>
      </c>
    </row>
    <row r="2436" spans="1:13" ht="13">
      <c r="A2436" s="4" t="s">
        <v>6081</v>
      </c>
      <c r="B2436" s="4" t="s">
        <v>4926</v>
      </c>
      <c r="C2436" s="4" t="s">
        <v>108</v>
      </c>
      <c r="D2436" s="4" t="s">
        <v>4927</v>
      </c>
      <c r="E2436" s="4" t="s">
        <v>8</v>
      </c>
      <c r="F2436" s="4" t="s">
        <v>6082</v>
      </c>
      <c r="G2436" s="4" t="s">
        <v>6083</v>
      </c>
      <c r="H2436" s="4">
        <v>3.33</v>
      </c>
      <c r="I2436" s="4">
        <v>0.97</v>
      </c>
      <c r="J2436" s="4">
        <v>0.18905</v>
      </c>
      <c r="K2436" s="4" t="b">
        <v>1</v>
      </c>
      <c r="L2436" s="4" t="b">
        <v>0</v>
      </c>
    </row>
    <row r="2437" spans="1:13" ht="13">
      <c r="A2437" s="4" t="s">
        <v>6084</v>
      </c>
      <c r="B2437" s="4" t="s">
        <v>4926</v>
      </c>
      <c r="C2437" s="4" t="s">
        <v>108</v>
      </c>
      <c r="D2437" s="4" t="s">
        <v>4927</v>
      </c>
      <c r="E2437" s="4" t="s">
        <v>8</v>
      </c>
      <c r="F2437" s="4" t="s">
        <v>6085</v>
      </c>
      <c r="G2437" s="4" t="s">
        <v>6086</v>
      </c>
      <c r="H2437" s="4">
        <v>3.35</v>
      </c>
      <c r="I2437" s="4">
        <v>1</v>
      </c>
      <c r="J2437" s="4">
        <v>0.19497999999999999</v>
      </c>
      <c r="K2437" s="4" t="b">
        <v>1</v>
      </c>
      <c r="L2437" s="4" t="b">
        <v>0</v>
      </c>
    </row>
    <row r="2438" spans="1:13" ht="13">
      <c r="A2438" s="4" t="s">
        <v>6087</v>
      </c>
      <c r="B2438" s="4" t="s">
        <v>4926</v>
      </c>
      <c r="C2438" s="4" t="s">
        <v>108</v>
      </c>
      <c r="D2438" s="4" t="s">
        <v>4927</v>
      </c>
      <c r="E2438" s="4" t="s">
        <v>8</v>
      </c>
      <c r="F2438" s="4" t="s">
        <v>6088</v>
      </c>
      <c r="G2438" s="4" t="s">
        <v>6089</v>
      </c>
      <c r="H2438" s="4">
        <v>3.37</v>
      </c>
      <c r="I2438" s="4">
        <v>1</v>
      </c>
      <c r="J2438" s="4">
        <v>0.19783999999999999</v>
      </c>
      <c r="K2438" s="4" t="b">
        <v>1</v>
      </c>
      <c r="L2438" s="4" t="b">
        <v>0</v>
      </c>
    </row>
    <row r="2439" spans="1:13" ht="13">
      <c r="A2439" s="4" t="s">
        <v>6090</v>
      </c>
      <c r="B2439" s="4" t="s">
        <v>4926</v>
      </c>
      <c r="C2439" s="4" t="s">
        <v>108</v>
      </c>
      <c r="D2439" s="4" t="s">
        <v>4927</v>
      </c>
      <c r="E2439" s="4" t="s">
        <v>8</v>
      </c>
      <c r="F2439" s="4" t="s">
        <v>6091</v>
      </c>
      <c r="G2439" s="4" t="s">
        <v>6092</v>
      </c>
      <c r="H2439" s="4">
        <v>3.38</v>
      </c>
      <c r="I2439" s="4">
        <v>1</v>
      </c>
      <c r="J2439" s="4">
        <v>0.19425000000000001</v>
      </c>
      <c r="K2439" s="4" t="b">
        <v>1</v>
      </c>
      <c r="L2439" s="4" t="b">
        <v>0</v>
      </c>
    </row>
    <row r="2440" spans="1:13" ht="13">
      <c r="A2440" s="4" t="s">
        <v>6093</v>
      </c>
      <c r="B2440" s="4" t="s">
        <v>4926</v>
      </c>
      <c r="C2440" s="4" t="s">
        <v>108</v>
      </c>
      <c r="D2440" s="4" t="s">
        <v>4927</v>
      </c>
      <c r="E2440" s="4" t="s">
        <v>8</v>
      </c>
      <c r="F2440" s="4" t="s">
        <v>6094</v>
      </c>
      <c r="G2440" s="4" t="s">
        <v>6095</v>
      </c>
      <c r="H2440" s="4">
        <v>3.42</v>
      </c>
      <c r="I2440" s="4">
        <v>1</v>
      </c>
      <c r="J2440" s="4">
        <v>0.19320000000000001</v>
      </c>
      <c r="K2440" s="4" t="b">
        <v>1</v>
      </c>
      <c r="L2440" s="4" t="b">
        <v>0</v>
      </c>
    </row>
    <row r="2441" spans="1:13" ht="13">
      <c r="A2441" s="4" t="s">
        <v>6096</v>
      </c>
      <c r="B2441" s="4" t="s">
        <v>4926</v>
      </c>
      <c r="C2441" s="4" t="s">
        <v>108</v>
      </c>
      <c r="D2441" s="4" t="s">
        <v>4927</v>
      </c>
      <c r="E2441" s="4" t="s">
        <v>8</v>
      </c>
      <c r="F2441" s="4" t="s">
        <v>6097</v>
      </c>
      <c r="G2441" s="4" t="s">
        <v>6098</v>
      </c>
      <c r="H2441" s="4">
        <v>3.43</v>
      </c>
      <c r="I2441" s="4">
        <v>1.01</v>
      </c>
      <c r="J2441" s="4">
        <v>0.20671999999999999</v>
      </c>
      <c r="K2441" s="4" t="b">
        <v>1</v>
      </c>
      <c r="L2441" s="4" t="b">
        <v>0</v>
      </c>
    </row>
    <row r="2442" spans="1:13" ht="13">
      <c r="A2442" s="4" t="s">
        <v>6099</v>
      </c>
      <c r="B2442" s="4" t="s">
        <v>4926</v>
      </c>
      <c r="C2442" s="4" t="s">
        <v>108</v>
      </c>
      <c r="D2442" s="4" t="s">
        <v>4927</v>
      </c>
      <c r="E2442" s="4" t="s">
        <v>8</v>
      </c>
      <c r="F2442" s="4" t="s">
        <v>6100</v>
      </c>
      <c r="G2442" s="4" t="s">
        <v>6101</v>
      </c>
      <c r="H2442" s="4">
        <v>3.55</v>
      </c>
      <c r="I2442" s="4">
        <v>1</v>
      </c>
      <c r="J2442" s="4">
        <v>0.19395000000000001</v>
      </c>
      <c r="K2442" s="4" t="b">
        <v>1</v>
      </c>
      <c r="L2442" s="4" t="b">
        <v>0</v>
      </c>
    </row>
    <row r="2443" spans="1:13" ht="13">
      <c r="A2443" s="4" t="s">
        <v>6102</v>
      </c>
      <c r="B2443" s="4" t="s">
        <v>4926</v>
      </c>
      <c r="C2443" s="4" t="s">
        <v>108</v>
      </c>
      <c r="D2443" s="4" t="s">
        <v>4927</v>
      </c>
      <c r="E2443" s="4" t="s">
        <v>8</v>
      </c>
      <c r="F2443" s="41" t="s">
        <v>6103</v>
      </c>
      <c r="G2443" s="4" t="s">
        <v>6104</v>
      </c>
      <c r="H2443" s="4">
        <v>3.58</v>
      </c>
      <c r="I2443" s="4">
        <v>0.99</v>
      </c>
      <c r="J2443" s="4">
        <v>0.22611999999999999</v>
      </c>
      <c r="K2443" s="4" t="b">
        <v>1</v>
      </c>
      <c r="L2443" s="4" t="b">
        <v>0</v>
      </c>
    </row>
    <row r="2444" spans="1:13" ht="13">
      <c r="A2444" s="4" t="s">
        <v>903</v>
      </c>
      <c r="B2444" s="4" t="s">
        <v>4926</v>
      </c>
      <c r="C2444" s="4" t="s">
        <v>108</v>
      </c>
      <c r="D2444" s="4" t="s">
        <v>4927</v>
      </c>
      <c r="E2444" s="4" t="s">
        <v>9</v>
      </c>
      <c r="F2444" s="4" t="s">
        <v>5128</v>
      </c>
      <c r="G2444" s="4" t="s">
        <v>784</v>
      </c>
      <c r="H2444" s="4">
        <v>2.5499999999999998</v>
      </c>
      <c r="I2444" s="4">
        <v>1.02</v>
      </c>
      <c r="J2444" s="4">
        <v>0.20574000000000001</v>
      </c>
      <c r="K2444" s="4" t="b">
        <v>1</v>
      </c>
      <c r="L2444" s="4" t="b">
        <v>1</v>
      </c>
      <c r="M2444" s="41" t="s">
        <v>4929</v>
      </c>
    </row>
    <row r="2445" spans="1:13" ht="13">
      <c r="A2445" s="4" t="s">
        <v>6105</v>
      </c>
      <c r="B2445" s="4" t="s">
        <v>4926</v>
      </c>
      <c r="C2445" s="4" t="s">
        <v>108</v>
      </c>
      <c r="D2445" s="4" t="s">
        <v>4927</v>
      </c>
      <c r="E2445" s="4" t="s">
        <v>9</v>
      </c>
      <c r="F2445" s="4" t="s">
        <v>6106</v>
      </c>
      <c r="G2445" s="4" t="s">
        <v>6107</v>
      </c>
      <c r="H2445" s="4">
        <v>2.57</v>
      </c>
      <c r="I2445" s="4">
        <v>0.98</v>
      </c>
      <c r="J2445" s="4">
        <v>0.20863999999999999</v>
      </c>
      <c r="K2445" s="4" t="b">
        <v>1</v>
      </c>
      <c r="L2445" s="4" t="b">
        <v>0</v>
      </c>
    </row>
    <row r="2446" spans="1:13" ht="13">
      <c r="A2446" s="4" t="s">
        <v>6108</v>
      </c>
      <c r="B2446" s="4" t="s">
        <v>4926</v>
      </c>
      <c r="C2446" s="4" t="s">
        <v>108</v>
      </c>
      <c r="D2446" s="4" t="s">
        <v>4927</v>
      </c>
      <c r="E2446" s="4" t="s">
        <v>9</v>
      </c>
      <c r="F2446" s="4" t="s">
        <v>6109</v>
      </c>
      <c r="G2446" s="4" t="s">
        <v>6110</v>
      </c>
      <c r="H2446" s="4">
        <v>2.58</v>
      </c>
      <c r="I2446" s="4">
        <v>0.98</v>
      </c>
      <c r="J2446" s="4">
        <v>0.19158</v>
      </c>
      <c r="K2446" s="4" t="b">
        <v>1</v>
      </c>
      <c r="L2446" s="4" t="b">
        <v>0</v>
      </c>
    </row>
    <row r="2447" spans="1:13" ht="13">
      <c r="A2447" s="4" t="s">
        <v>6111</v>
      </c>
      <c r="B2447" s="4" t="s">
        <v>4926</v>
      </c>
      <c r="C2447" s="4" t="s">
        <v>108</v>
      </c>
      <c r="D2447" s="4" t="s">
        <v>4927</v>
      </c>
      <c r="E2447" s="4" t="s">
        <v>9</v>
      </c>
      <c r="F2447" s="4" t="s">
        <v>6112</v>
      </c>
      <c r="G2447" s="4" t="s">
        <v>6113</v>
      </c>
      <c r="H2447" s="4">
        <v>2.6</v>
      </c>
      <c r="I2447" s="4">
        <v>0.98</v>
      </c>
      <c r="J2447" s="4">
        <v>0.19009999999999999</v>
      </c>
      <c r="K2447" s="4" t="b">
        <v>1</v>
      </c>
      <c r="L2447" s="4" t="b">
        <v>0</v>
      </c>
    </row>
    <row r="2448" spans="1:13" ht="13">
      <c r="A2448" s="4" t="s">
        <v>6114</v>
      </c>
      <c r="B2448" s="4" t="s">
        <v>4926</v>
      </c>
      <c r="C2448" s="4" t="s">
        <v>108</v>
      </c>
      <c r="D2448" s="4" t="s">
        <v>4927</v>
      </c>
      <c r="E2448" s="4" t="s">
        <v>9</v>
      </c>
      <c r="F2448" s="41" t="s">
        <v>6115</v>
      </c>
      <c r="G2448" s="4" t="s">
        <v>6116</v>
      </c>
      <c r="H2448" s="4">
        <v>2.62</v>
      </c>
      <c r="I2448" s="4">
        <v>0.96</v>
      </c>
      <c r="J2448" s="4">
        <v>0.18876000000000001</v>
      </c>
      <c r="K2448" s="4" t="b">
        <v>1</v>
      </c>
      <c r="L2448" s="4" t="b">
        <v>0</v>
      </c>
    </row>
    <row r="2449" spans="1:13" ht="13">
      <c r="A2449" s="4" t="s">
        <v>6117</v>
      </c>
      <c r="B2449" s="4" t="s">
        <v>4926</v>
      </c>
      <c r="C2449" s="4" t="s">
        <v>108</v>
      </c>
      <c r="D2449" s="4" t="s">
        <v>4927</v>
      </c>
      <c r="E2449" s="4" t="s">
        <v>9</v>
      </c>
      <c r="F2449" s="4" t="s">
        <v>6118</v>
      </c>
      <c r="G2449" s="4" t="s">
        <v>6119</v>
      </c>
      <c r="H2449" s="4">
        <v>2.63</v>
      </c>
      <c r="I2449" s="4">
        <v>1</v>
      </c>
      <c r="J2449" s="4">
        <v>0.19655</v>
      </c>
      <c r="K2449" s="4" t="b">
        <v>1</v>
      </c>
      <c r="L2449" s="4" t="b">
        <v>0</v>
      </c>
    </row>
    <row r="2450" spans="1:13" ht="13">
      <c r="A2450" s="4" t="s">
        <v>6120</v>
      </c>
      <c r="B2450" s="4" t="s">
        <v>4926</v>
      </c>
      <c r="C2450" s="4" t="s">
        <v>108</v>
      </c>
      <c r="D2450" s="4" t="s">
        <v>4927</v>
      </c>
      <c r="E2450" s="4" t="s">
        <v>9</v>
      </c>
      <c r="F2450" s="4" t="s">
        <v>6121</v>
      </c>
      <c r="G2450" s="4" t="s">
        <v>312</v>
      </c>
      <c r="H2450" s="4">
        <v>2.65</v>
      </c>
      <c r="I2450" s="4">
        <v>0.96</v>
      </c>
      <c r="J2450" s="4">
        <v>0.19677</v>
      </c>
      <c r="K2450" s="4" t="b">
        <v>1</v>
      </c>
      <c r="L2450" s="4" t="b">
        <v>0</v>
      </c>
    </row>
    <row r="2451" spans="1:13" ht="13">
      <c r="A2451" s="4" t="s">
        <v>6122</v>
      </c>
      <c r="B2451" s="4" t="s">
        <v>4926</v>
      </c>
      <c r="C2451" s="4" t="s">
        <v>108</v>
      </c>
      <c r="D2451" s="4" t="s">
        <v>4927</v>
      </c>
      <c r="E2451" s="4" t="s">
        <v>9</v>
      </c>
      <c r="F2451" s="4" t="s">
        <v>6123</v>
      </c>
      <c r="G2451" s="4" t="s">
        <v>6124</v>
      </c>
      <c r="H2451" s="4">
        <v>2.67</v>
      </c>
      <c r="I2451" s="4">
        <v>0.94</v>
      </c>
      <c r="J2451" s="4">
        <v>0.18662999999999999</v>
      </c>
      <c r="K2451" s="4" t="b">
        <v>1</v>
      </c>
      <c r="L2451" s="4" t="b">
        <v>0</v>
      </c>
    </row>
    <row r="2452" spans="1:13" ht="13">
      <c r="A2452" s="4" t="s">
        <v>6125</v>
      </c>
      <c r="B2452" s="4" t="s">
        <v>4926</v>
      </c>
      <c r="C2452" s="4" t="s">
        <v>108</v>
      </c>
      <c r="D2452" s="4" t="s">
        <v>4927</v>
      </c>
      <c r="E2452" s="4" t="s">
        <v>9</v>
      </c>
      <c r="F2452" s="4" t="s">
        <v>6126</v>
      </c>
      <c r="G2452" s="4" t="s">
        <v>6127</v>
      </c>
      <c r="H2452" s="4">
        <v>2.68</v>
      </c>
      <c r="I2452" s="4">
        <v>1.02</v>
      </c>
      <c r="J2452" s="4">
        <v>0.20093</v>
      </c>
      <c r="K2452" s="4" t="b">
        <v>1</v>
      </c>
      <c r="L2452" s="4" t="b">
        <v>0</v>
      </c>
    </row>
    <row r="2453" spans="1:13" ht="13">
      <c r="A2453" s="4" t="s">
        <v>904</v>
      </c>
      <c r="B2453" s="4" t="s">
        <v>4926</v>
      </c>
      <c r="C2453" s="4" t="s">
        <v>108</v>
      </c>
      <c r="D2453" s="4" t="s">
        <v>4927</v>
      </c>
      <c r="E2453" s="4" t="s">
        <v>9</v>
      </c>
      <c r="F2453" s="4" t="s">
        <v>5048</v>
      </c>
      <c r="G2453" s="4" t="s">
        <v>785</v>
      </c>
      <c r="H2453" s="4">
        <v>2.7</v>
      </c>
      <c r="I2453" s="4">
        <v>0.98</v>
      </c>
      <c r="J2453" s="4">
        <v>0.19527</v>
      </c>
      <c r="K2453" s="4" t="b">
        <v>1</v>
      </c>
      <c r="L2453" s="4" t="b">
        <v>1</v>
      </c>
      <c r="M2453" s="41" t="s">
        <v>4929</v>
      </c>
    </row>
    <row r="2454" spans="1:13" ht="13">
      <c r="A2454" s="4" t="s">
        <v>6128</v>
      </c>
      <c r="B2454" s="4" t="s">
        <v>4926</v>
      </c>
      <c r="C2454" s="4" t="s">
        <v>108</v>
      </c>
      <c r="D2454" s="4" t="s">
        <v>4927</v>
      </c>
      <c r="E2454" s="4" t="s">
        <v>9</v>
      </c>
      <c r="F2454" s="4" t="s">
        <v>6129</v>
      </c>
      <c r="G2454" s="4" t="s">
        <v>6130</v>
      </c>
      <c r="H2454" s="4">
        <v>2.72</v>
      </c>
      <c r="I2454" s="4">
        <v>1.03</v>
      </c>
      <c r="J2454" s="4">
        <v>0.20491999999999999</v>
      </c>
      <c r="K2454" s="4" t="b">
        <v>1</v>
      </c>
      <c r="L2454" s="4" t="b">
        <v>0</v>
      </c>
    </row>
    <row r="2455" spans="1:13" ht="13">
      <c r="A2455" s="4" t="s">
        <v>6131</v>
      </c>
      <c r="B2455" s="4" t="s">
        <v>4926</v>
      </c>
      <c r="C2455" s="4" t="s">
        <v>108</v>
      </c>
      <c r="D2455" s="4" t="s">
        <v>4927</v>
      </c>
      <c r="E2455" s="4" t="s">
        <v>9</v>
      </c>
      <c r="F2455" s="4" t="s">
        <v>6132</v>
      </c>
      <c r="G2455" s="4" t="s">
        <v>6133</v>
      </c>
      <c r="H2455" s="4">
        <v>2.73</v>
      </c>
      <c r="I2455" s="4">
        <v>0.96</v>
      </c>
      <c r="J2455" s="4">
        <v>0.19444</v>
      </c>
      <c r="K2455" s="4" t="b">
        <v>1</v>
      </c>
      <c r="L2455" s="4" t="b">
        <v>0</v>
      </c>
    </row>
    <row r="2456" spans="1:13" ht="13">
      <c r="A2456" s="4" t="s">
        <v>6134</v>
      </c>
      <c r="B2456" s="4" t="s">
        <v>4926</v>
      </c>
      <c r="C2456" s="4" t="s">
        <v>108</v>
      </c>
      <c r="D2456" s="4" t="s">
        <v>4927</v>
      </c>
      <c r="E2456" s="4" t="s">
        <v>9</v>
      </c>
      <c r="F2456" s="4" t="s">
        <v>6135</v>
      </c>
      <c r="G2456" s="4" t="s">
        <v>6136</v>
      </c>
      <c r="H2456" s="4">
        <v>2.77</v>
      </c>
      <c r="I2456" s="4">
        <v>0.94</v>
      </c>
      <c r="J2456" s="4">
        <v>0.18939</v>
      </c>
      <c r="K2456" s="4" t="b">
        <v>1</v>
      </c>
      <c r="L2456" s="4" t="b">
        <v>0</v>
      </c>
    </row>
    <row r="2457" spans="1:13" ht="13">
      <c r="A2457" s="4" t="s">
        <v>6137</v>
      </c>
      <c r="B2457" s="4" t="s">
        <v>4926</v>
      </c>
      <c r="C2457" s="4" t="s">
        <v>108</v>
      </c>
      <c r="D2457" s="4" t="s">
        <v>4927</v>
      </c>
      <c r="E2457" s="4" t="s">
        <v>9</v>
      </c>
      <c r="F2457" s="4" t="s">
        <v>6138</v>
      </c>
      <c r="G2457" s="4" t="s">
        <v>6139</v>
      </c>
      <c r="H2457" s="4">
        <v>3.05</v>
      </c>
      <c r="I2457" s="4">
        <v>0.94</v>
      </c>
      <c r="J2457" s="4">
        <v>0.18609000000000001</v>
      </c>
      <c r="K2457" s="4" t="b">
        <v>1</v>
      </c>
      <c r="L2457" s="4" t="b">
        <v>0</v>
      </c>
    </row>
    <row r="2458" spans="1:13" ht="13">
      <c r="A2458" s="4" t="s">
        <v>6140</v>
      </c>
      <c r="B2458" s="4" t="s">
        <v>4926</v>
      </c>
      <c r="C2458" s="4" t="s">
        <v>108</v>
      </c>
      <c r="D2458" s="4" t="s">
        <v>4927</v>
      </c>
      <c r="E2458" s="4" t="s">
        <v>9</v>
      </c>
      <c r="F2458" s="4" t="s">
        <v>6141</v>
      </c>
      <c r="G2458" s="4" t="s">
        <v>6142</v>
      </c>
      <c r="H2458" s="4">
        <v>3.07</v>
      </c>
      <c r="I2458" s="4">
        <v>0.96</v>
      </c>
      <c r="J2458" s="4">
        <v>0.18459</v>
      </c>
      <c r="K2458" s="4" t="b">
        <v>1</v>
      </c>
      <c r="L2458" s="4" t="b">
        <v>0</v>
      </c>
    </row>
    <row r="2459" spans="1:13" ht="13">
      <c r="A2459" s="4" t="s">
        <v>6143</v>
      </c>
      <c r="B2459" s="4" t="s">
        <v>4926</v>
      </c>
      <c r="C2459" s="4" t="s">
        <v>108</v>
      </c>
      <c r="D2459" s="4" t="s">
        <v>4927</v>
      </c>
      <c r="E2459" s="4" t="s">
        <v>9</v>
      </c>
      <c r="F2459" s="4" t="s">
        <v>6144</v>
      </c>
      <c r="G2459" s="4" t="s">
        <v>6145</v>
      </c>
      <c r="H2459" s="4">
        <v>3.08</v>
      </c>
      <c r="I2459" s="4">
        <v>0.94</v>
      </c>
      <c r="J2459" s="4">
        <v>0.18351000000000001</v>
      </c>
      <c r="K2459" s="4" t="b">
        <v>1</v>
      </c>
      <c r="L2459" s="4" t="b">
        <v>0</v>
      </c>
    </row>
    <row r="2460" spans="1:13" ht="13">
      <c r="A2460" s="4" t="s">
        <v>6146</v>
      </c>
      <c r="B2460" s="4" t="s">
        <v>4926</v>
      </c>
      <c r="C2460" s="4" t="s">
        <v>108</v>
      </c>
      <c r="D2460" s="4" t="s">
        <v>4927</v>
      </c>
      <c r="E2460" s="4" t="s">
        <v>9</v>
      </c>
      <c r="F2460" s="4" t="s">
        <v>6147</v>
      </c>
      <c r="G2460" s="4" t="s">
        <v>6148</v>
      </c>
      <c r="H2460" s="4">
        <v>3.1</v>
      </c>
      <c r="I2460" s="4">
        <v>0.97</v>
      </c>
      <c r="J2460" s="4">
        <v>0.18931000000000001</v>
      </c>
      <c r="K2460" s="4" t="b">
        <v>1</v>
      </c>
      <c r="L2460" s="4" t="b">
        <v>0</v>
      </c>
    </row>
    <row r="2461" spans="1:13" ht="13">
      <c r="A2461" s="4" t="s">
        <v>6149</v>
      </c>
      <c r="B2461" s="4" t="s">
        <v>4926</v>
      </c>
      <c r="C2461" s="4" t="s">
        <v>108</v>
      </c>
      <c r="D2461" s="4" t="s">
        <v>4927</v>
      </c>
      <c r="E2461" s="4" t="s">
        <v>9</v>
      </c>
      <c r="F2461" s="4" t="s">
        <v>6150</v>
      </c>
      <c r="G2461" s="4" t="s">
        <v>6151</v>
      </c>
      <c r="H2461" s="4">
        <v>3.12</v>
      </c>
      <c r="I2461" s="4">
        <v>0.96</v>
      </c>
      <c r="J2461" s="4">
        <v>0.18545</v>
      </c>
      <c r="K2461" s="4" t="b">
        <v>1</v>
      </c>
      <c r="L2461" s="4" t="b">
        <v>0</v>
      </c>
    </row>
    <row r="2462" spans="1:13" ht="13">
      <c r="A2462" s="4" t="s">
        <v>905</v>
      </c>
      <c r="B2462" s="4" t="s">
        <v>4926</v>
      </c>
      <c r="C2462" s="4" t="s">
        <v>108</v>
      </c>
      <c r="D2462" s="4" t="s">
        <v>4927</v>
      </c>
      <c r="E2462" s="4" t="s">
        <v>9</v>
      </c>
      <c r="F2462" s="4" t="s">
        <v>5049</v>
      </c>
      <c r="G2462" s="4" t="s">
        <v>786</v>
      </c>
      <c r="H2462" s="4">
        <v>3.13</v>
      </c>
      <c r="I2462" s="4">
        <v>0.98</v>
      </c>
      <c r="J2462" s="4">
        <v>0.19397</v>
      </c>
      <c r="K2462" s="4" t="b">
        <v>1</v>
      </c>
      <c r="L2462" s="4" t="b">
        <v>1</v>
      </c>
      <c r="M2462" s="41" t="s">
        <v>4929</v>
      </c>
    </row>
    <row r="2463" spans="1:13" ht="13">
      <c r="A2463" s="4" t="s">
        <v>906</v>
      </c>
      <c r="B2463" s="4" t="s">
        <v>4926</v>
      </c>
      <c r="C2463" s="4" t="s">
        <v>108</v>
      </c>
      <c r="D2463" s="4" t="s">
        <v>4927</v>
      </c>
      <c r="E2463" s="4" t="s">
        <v>9</v>
      </c>
      <c r="F2463" s="4" t="s">
        <v>5050</v>
      </c>
      <c r="G2463" s="4" t="s">
        <v>787</v>
      </c>
      <c r="H2463" s="4">
        <v>3.15</v>
      </c>
      <c r="I2463" s="4">
        <v>0.96</v>
      </c>
      <c r="J2463" s="4">
        <v>0.18240000000000001</v>
      </c>
      <c r="K2463" s="4" t="b">
        <v>1</v>
      </c>
      <c r="L2463" s="4" t="b">
        <v>1</v>
      </c>
      <c r="M2463" s="41" t="s">
        <v>4929</v>
      </c>
    </row>
    <row r="2464" spans="1:13" ht="13">
      <c r="A2464" s="4" t="s">
        <v>6152</v>
      </c>
      <c r="B2464" s="4" t="s">
        <v>4926</v>
      </c>
      <c r="C2464" s="4" t="s">
        <v>108</v>
      </c>
      <c r="D2464" s="4" t="s">
        <v>4927</v>
      </c>
      <c r="E2464" s="4" t="s">
        <v>9</v>
      </c>
      <c r="F2464" s="4" t="s">
        <v>6153</v>
      </c>
      <c r="G2464" s="4" t="s">
        <v>6154</v>
      </c>
      <c r="H2464" s="4">
        <v>3.17</v>
      </c>
      <c r="I2464" s="4">
        <v>0.96</v>
      </c>
      <c r="J2464" s="4">
        <v>0.18472</v>
      </c>
      <c r="K2464" s="4" t="b">
        <v>1</v>
      </c>
      <c r="L2464" s="4" t="b">
        <v>0</v>
      </c>
    </row>
    <row r="2465" spans="1:13" ht="13">
      <c r="A2465" s="4" t="s">
        <v>907</v>
      </c>
      <c r="B2465" s="4" t="s">
        <v>4926</v>
      </c>
      <c r="C2465" s="4" t="s">
        <v>108</v>
      </c>
      <c r="D2465" s="4" t="s">
        <v>4927</v>
      </c>
      <c r="E2465" s="4" t="s">
        <v>9</v>
      </c>
      <c r="F2465" s="4" t="s">
        <v>5051</v>
      </c>
      <c r="G2465" s="4" t="s">
        <v>788</v>
      </c>
      <c r="H2465" s="4">
        <v>3.18</v>
      </c>
      <c r="I2465" s="4">
        <v>0.97</v>
      </c>
      <c r="J2465" s="4">
        <v>0.1845</v>
      </c>
      <c r="K2465" s="4" t="b">
        <v>1</v>
      </c>
      <c r="L2465" s="4" t="b">
        <v>1</v>
      </c>
      <c r="M2465" s="41" t="s">
        <v>4929</v>
      </c>
    </row>
    <row r="2466" spans="1:13" ht="13">
      <c r="A2466" s="4" t="s">
        <v>908</v>
      </c>
      <c r="B2466" s="4" t="s">
        <v>4926</v>
      </c>
      <c r="C2466" s="4" t="s">
        <v>108</v>
      </c>
      <c r="D2466" s="4" t="s">
        <v>4927</v>
      </c>
      <c r="E2466" s="4" t="s">
        <v>9</v>
      </c>
      <c r="F2466" s="4" t="s">
        <v>5052</v>
      </c>
      <c r="G2466" s="4" t="s">
        <v>789</v>
      </c>
      <c r="H2466" s="4">
        <v>3.2</v>
      </c>
      <c r="I2466" s="4">
        <v>1</v>
      </c>
      <c r="J2466" s="4">
        <v>0.19747999999999999</v>
      </c>
      <c r="K2466" s="4" t="b">
        <v>1</v>
      </c>
      <c r="L2466" s="4" t="b">
        <v>1</v>
      </c>
      <c r="M2466" s="41" t="s">
        <v>4929</v>
      </c>
    </row>
    <row r="2467" spans="1:13" ht="13">
      <c r="A2467" s="4" t="s">
        <v>6155</v>
      </c>
      <c r="B2467" s="4" t="s">
        <v>4926</v>
      </c>
      <c r="C2467" s="4" t="s">
        <v>108</v>
      </c>
      <c r="D2467" s="4" t="s">
        <v>4927</v>
      </c>
      <c r="E2467" s="4" t="s">
        <v>9</v>
      </c>
      <c r="F2467" s="4" t="s">
        <v>6156</v>
      </c>
      <c r="G2467" s="4" t="s">
        <v>305</v>
      </c>
      <c r="H2467" s="4">
        <v>3.22</v>
      </c>
      <c r="I2467" s="4">
        <v>0.94</v>
      </c>
      <c r="J2467" s="4">
        <v>0.18411</v>
      </c>
      <c r="K2467" s="4" t="b">
        <v>1</v>
      </c>
      <c r="L2467" s="4" t="b">
        <v>0</v>
      </c>
    </row>
    <row r="2468" spans="1:13" ht="13">
      <c r="A2468" s="4" t="s">
        <v>909</v>
      </c>
      <c r="B2468" s="4" t="s">
        <v>4926</v>
      </c>
      <c r="C2468" s="4" t="s">
        <v>108</v>
      </c>
      <c r="D2468" s="4" t="s">
        <v>4927</v>
      </c>
      <c r="E2468" s="4" t="s">
        <v>9</v>
      </c>
      <c r="F2468" s="4" t="s">
        <v>5168</v>
      </c>
      <c r="G2468" s="4" t="s">
        <v>790</v>
      </c>
      <c r="H2468" s="4">
        <v>3.23</v>
      </c>
      <c r="I2468" s="4">
        <v>0.97</v>
      </c>
      <c r="J2468" s="4">
        <v>0.18925</v>
      </c>
      <c r="K2468" s="4" t="b">
        <v>1</v>
      </c>
      <c r="L2468" s="4" t="b">
        <v>1</v>
      </c>
      <c r="M2468" s="41" t="s">
        <v>5164</v>
      </c>
    </row>
    <row r="2469" spans="1:13" ht="13">
      <c r="A2469" s="4" t="s">
        <v>6157</v>
      </c>
      <c r="B2469" s="4" t="s">
        <v>4926</v>
      </c>
      <c r="C2469" s="4" t="s">
        <v>108</v>
      </c>
      <c r="D2469" s="4" t="s">
        <v>4927</v>
      </c>
      <c r="E2469" s="4" t="s">
        <v>9</v>
      </c>
      <c r="F2469" s="4" t="s">
        <v>6158</v>
      </c>
      <c r="G2469" s="4" t="s">
        <v>6159</v>
      </c>
      <c r="H2469" s="4">
        <v>3.25</v>
      </c>
      <c r="I2469" s="4">
        <v>1</v>
      </c>
      <c r="J2469" s="4">
        <v>0.23125000000000001</v>
      </c>
      <c r="K2469" s="4" t="b">
        <v>1</v>
      </c>
      <c r="L2469" s="4" t="b">
        <v>0</v>
      </c>
    </row>
    <row r="2470" spans="1:13" ht="13">
      <c r="A2470" s="4" t="s">
        <v>910</v>
      </c>
      <c r="B2470" s="4" t="s">
        <v>4926</v>
      </c>
      <c r="C2470" s="4" t="s">
        <v>108</v>
      </c>
      <c r="D2470" s="4" t="s">
        <v>4927</v>
      </c>
      <c r="E2470" s="4" t="s">
        <v>9</v>
      </c>
      <c r="F2470" s="4" t="s">
        <v>5053</v>
      </c>
      <c r="G2470" s="4" t="s">
        <v>791</v>
      </c>
      <c r="H2470" s="4">
        <v>3.27</v>
      </c>
      <c r="I2470" s="4">
        <v>0.94</v>
      </c>
      <c r="J2470" s="4">
        <v>0.1852</v>
      </c>
      <c r="K2470" s="4" t="b">
        <v>1</v>
      </c>
      <c r="L2470" s="4" t="b">
        <v>1</v>
      </c>
      <c r="M2470" s="41" t="s">
        <v>4929</v>
      </c>
    </row>
    <row r="2471" spans="1:13" ht="13">
      <c r="A2471" s="4" t="s">
        <v>6160</v>
      </c>
      <c r="B2471" s="4" t="s">
        <v>4926</v>
      </c>
      <c r="C2471" s="4" t="s">
        <v>108</v>
      </c>
      <c r="D2471" s="4" t="s">
        <v>4927</v>
      </c>
      <c r="E2471" s="4" t="s">
        <v>9</v>
      </c>
      <c r="F2471" s="4" t="s">
        <v>6161</v>
      </c>
      <c r="G2471" s="4" t="s">
        <v>6162</v>
      </c>
      <c r="H2471" s="4">
        <v>3.28</v>
      </c>
      <c r="I2471" s="4">
        <v>0.96</v>
      </c>
      <c r="J2471" s="4">
        <v>0.18981999999999999</v>
      </c>
      <c r="K2471" s="4" t="b">
        <v>1</v>
      </c>
      <c r="L2471" s="4" t="b">
        <v>0</v>
      </c>
    </row>
    <row r="2472" spans="1:13" ht="13">
      <c r="A2472" s="4" t="s">
        <v>6163</v>
      </c>
      <c r="B2472" s="4" t="s">
        <v>4926</v>
      </c>
      <c r="C2472" s="4" t="s">
        <v>108</v>
      </c>
      <c r="D2472" s="4" t="s">
        <v>4927</v>
      </c>
      <c r="E2472" s="4" t="s">
        <v>8</v>
      </c>
      <c r="F2472" s="4" t="s">
        <v>6164</v>
      </c>
      <c r="G2472" s="4" t="s">
        <v>6165</v>
      </c>
      <c r="H2472" s="4">
        <v>3.32</v>
      </c>
      <c r="I2472" s="4">
        <v>0.96</v>
      </c>
      <c r="J2472" s="4">
        <v>0.18942000000000001</v>
      </c>
      <c r="K2472" s="4" t="b">
        <v>1</v>
      </c>
      <c r="L2472" s="4" t="b">
        <v>0</v>
      </c>
    </row>
    <row r="2473" spans="1:13" ht="13">
      <c r="A2473" s="4" t="s">
        <v>6166</v>
      </c>
      <c r="B2473" s="4" t="s">
        <v>4926</v>
      </c>
      <c r="C2473" s="4" t="s">
        <v>108</v>
      </c>
      <c r="D2473" s="4" t="s">
        <v>4927</v>
      </c>
      <c r="E2473" s="4" t="s">
        <v>13122</v>
      </c>
      <c r="F2473" s="4" t="s">
        <v>6167</v>
      </c>
      <c r="G2473" s="4" t="s">
        <v>6168</v>
      </c>
      <c r="H2473" s="4">
        <v>3.52</v>
      </c>
      <c r="I2473" s="4">
        <v>0.98</v>
      </c>
      <c r="J2473" s="4">
        <v>0.18829000000000001</v>
      </c>
      <c r="K2473" s="4" t="b">
        <v>1</v>
      </c>
      <c r="L2473" s="4" t="b">
        <v>0</v>
      </c>
    </row>
    <row r="2474" spans="1:13" ht="13">
      <c r="A2474" s="4" t="s">
        <v>911</v>
      </c>
      <c r="B2474" s="4" t="s">
        <v>4926</v>
      </c>
      <c r="C2474" s="4" t="s">
        <v>108</v>
      </c>
      <c r="D2474" s="4" t="s">
        <v>4927</v>
      </c>
      <c r="E2474" s="4" t="s">
        <v>13122</v>
      </c>
      <c r="F2474" s="4" t="s">
        <v>5054</v>
      </c>
      <c r="G2474" s="4" t="s">
        <v>792</v>
      </c>
      <c r="H2474" s="4">
        <v>3.53</v>
      </c>
      <c r="I2474" s="4">
        <v>1</v>
      </c>
      <c r="J2474" s="4">
        <v>0.19067999999999999</v>
      </c>
      <c r="K2474" s="4" t="b">
        <v>1</v>
      </c>
      <c r="L2474" s="4" t="b">
        <v>1</v>
      </c>
      <c r="M2474" s="41" t="s">
        <v>4929</v>
      </c>
    </row>
    <row r="2475" spans="1:13" ht="13">
      <c r="A2475" s="4" t="s">
        <v>6169</v>
      </c>
      <c r="B2475" s="4" t="s">
        <v>4926</v>
      </c>
      <c r="C2475" s="4" t="s">
        <v>108</v>
      </c>
      <c r="D2475" s="4" t="s">
        <v>4927</v>
      </c>
      <c r="E2475" s="4" t="s">
        <v>13</v>
      </c>
      <c r="F2475" s="4" t="s">
        <v>6170</v>
      </c>
      <c r="G2475" s="4" t="s">
        <v>6171</v>
      </c>
      <c r="H2475" s="4">
        <v>3.58</v>
      </c>
      <c r="I2475" s="4">
        <v>1.07</v>
      </c>
      <c r="J2475" s="4">
        <v>0.25527</v>
      </c>
      <c r="K2475" s="4" t="b">
        <v>1</v>
      </c>
      <c r="L2475" s="4" t="b">
        <v>0</v>
      </c>
    </row>
    <row r="2476" spans="1:13" ht="13">
      <c r="A2476" s="4" t="s">
        <v>6172</v>
      </c>
      <c r="B2476" s="4" t="s">
        <v>4926</v>
      </c>
      <c r="C2476" s="4" t="s">
        <v>108</v>
      </c>
      <c r="D2476" s="4" t="s">
        <v>4927</v>
      </c>
      <c r="E2476" s="4" t="s">
        <v>13</v>
      </c>
      <c r="F2476" s="4" t="s">
        <v>6173</v>
      </c>
      <c r="G2476" s="4" t="s">
        <v>6174</v>
      </c>
      <c r="H2476" s="4">
        <v>3.6</v>
      </c>
      <c r="I2476" s="4">
        <v>0.97</v>
      </c>
      <c r="J2476" s="4">
        <v>0.20530999999999999</v>
      </c>
      <c r="K2476" s="4" t="b">
        <v>1</v>
      </c>
      <c r="L2476" s="4" t="b">
        <v>0</v>
      </c>
    </row>
    <row r="2477" spans="1:13" ht="13">
      <c r="A2477" s="4" t="s">
        <v>6175</v>
      </c>
      <c r="B2477" s="4" t="s">
        <v>4926</v>
      </c>
      <c r="C2477" s="4" t="s">
        <v>108</v>
      </c>
      <c r="D2477" s="4" t="s">
        <v>4927</v>
      </c>
      <c r="E2477" s="4" t="s">
        <v>13</v>
      </c>
      <c r="F2477" s="4" t="s">
        <v>6176</v>
      </c>
      <c r="G2477" s="4" t="s">
        <v>6177</v>
      </c>
      <c r="H2477" s="4">
        <v>3.63</v>
      </c>
      <c r="I2477" s="4">
        <v>0.97</v>
      </c>
      <c r="J2477" s="4">
        <v>0.18844</v>
      </c>
      <c r="K2477" s="4" t="b">
        <v>1</v>
      </c>
      <c r="L2477" s="4" t="b">
        <v>0</v>
      </c>
    </row>
    <row r="2478" spans="1:13" ht="13">
      <c r="A2478" s="4" t="s">
        <v>912</v>
      </c>
      <c r="B2478" s="4" t="s">
        <v>4926</v>
      </c>
      <c r="C2478" s="4" t="s">
        <v>108</v>
      </c>
      <c r="D2478" s="4" t="s">
        <v>4927</v>
      </c>
      <c r="E2478" s="4" t="s">
        <v>13</v>
      </c>
      <c r="F2478" s="4" t="s">
        <v>5152</v>
      </c>
      <c r="G2478" s="4" t="s">
        <v>793</v>
      </c>
      <c r="H2478" s="4">
        <v>3.67</v>
      </c>
      <c r="I2478" s="4">
        <v>0.94</v>
      </c>
      <c r="J2478" s="4">
        <v>0.18332000000000001</v>
      </c>
      <c r="K2478" s="4" t="b">
        <v>1</v>
      </c>
      <c r="L2478" s="4" t="b">
        <v>1</v>
      </c>
      <c r="M2478" s="41" t="s">
        <v>4955</v>
      </c>
    </row>
    <row r="2479" spans="1:13" ht="13">
      <c r="A2479" s="4" t="s">
        <v>6178</v>
      </c>
      <c r="B2479" s="4" t="s">
        <v>4926</v>
      </c>
      <c r="C2479" s="4" t="s">
        <v>108</v>
      </c>
      <c r="D2479" s="4" t="s">
        <v>4927</v>
      </c>
      <c r="E2479" s="4" t="s">
        <v>13</v>
      </c>
      <c r="F2479" s="4" t="s">
        <v>6179</v>
      </c>
      <c r="G2479" s="4" t="s">
        <v>6180</v>
      </c>
      <c r="H2479" s="4">
        <v>3.68</v>
      </c>
      <c r="I2479" s="4">
        <v>0.99</v>
      </c>
      <c r="J2479" s="4">
        <v>0.18859000000000001</v>
      </c>
      <c r="K2479" s="4" t="b">
        <v>1</v>
      </c>
      <c r="L2479" s="4" t="b">
        <v>0</v>
      </c>
    </row>
    <row r="2480" spans="1:13" ht="13">
      <c r="A2480" s="4" t="s">
        <v>913</v>
      </c>
      <c r="B2480" s="4" t="s">
        <v>4926</v>
      </c>
      <c r="C2480" s="4" t="s">
        <v>108</v>
      </c>
      <c r="D2480" s="4" t="s">
        <v>4927</v>
      </c>
      <c r="E2480" s="4" t="s">
        <v>13</v>
      </c>
      <c r="F2480" s="4" t="s">
        <v>5055</v>
      </c>
      <c r="G2480" s="4" t="s">
        <v>794</v>
      </c>
      <c r="H2480" s="4">
        <v>3.7</v>
      </c>
      <c r="I2480" s="4">
        <v>0.96</v>
      </c>
      <c r="J2480" s="4">
        <v>0.19893</v>
      </c>
      <c r="K2480" s="4" t="b">
        <v>1</v>
      </c>
      <c r="L2480" s="4" t="b">
        <v>1</v>
      </c>
      <c r="M2480" s="41" t="s">
        <v>4929</v>
      </c>
    </row>
    <row r="2481" spans="1:13" ht="13">
      <c r="A2481" s="4" t="s">
        <v>6181</v>
      </c>
      <c r="B2481" s="4" t="s">
        <v>4926</v>
      </c>
      <c r="C2481" s="4" t="s">
        <v>108</v>
      </c>
      <c r="D2481" s="4" t="s">
        <v>4927</v>
      </c>
      <c r="E2481" s="4" t="s">
        <v>13</v>
      </c>
      <c r="F2481" s="4" t="s">
        <v>6182</v>
      </c>
      <c r="G2481" s="4" t="s">
        <v>6183</v>
      </c>
      <c r="H2481" s="4">
        <v>3.72</v>
      </c>
      <c r="I2481" s="4">
        <v>0.94</v>
      </c>
      <c r="J2481" s="4">
        <v>0.18368000000000001</v>
      </c>
      <c r="K2481" s="4" t="b">
        <v>1</v>
      </c>
      <c r="L2481" s="4" t="b">
        <v>0</v>
      </c>
    </row>
    <row r="2482" spans="1:13" ht="13">
      <c r="A2482" s="4" t="s">
        <v>6184</v>
      </c>
      <c r="B2482" s="4" t="s">
        <v>4926</v>
      </c>
      <c r="C2482" s="4" t="s">
        <v>108</v>
      </c>
      <c r="D2482" s="4" t="s">
        <v>4927</v>
      </c>
      <c r="E2482" s="4" t="s">
        <v>13</v>
      </c>
      <c r="F2482" s="4" t="s">
        <v>6185</v>
      </c>
      <c r="G2482" s="4" t="s">
        <v>6186</v>
      </c>
      <c r="H2482" s="4">
        <v>3.75</v>
      </c>
      <c r="I2482" s="4">
        <v>0.94</v>
      </c>
      <c r="J2482" s="4">
        <v>0.18268000000000001</v>
      </c>
      <c r="K2482" s="4" t="b">
        <v>1</v>
      </c>
      <c r="L2482" s="4" t="b">
        <v>0</v>
      </c>
    </row>
    <row r="2483" spans="1:13" ht="13">
      <c r="A2483" s="4" t="s">
        <v>914</v>
      </c>
      <c r="B2483" s="4" t="s">
        <v>4926</v>
      </c>
      <c r="C2483" s="4" t="s">
        <v>108</v>
      </c>
      <c r="D2483" s="4" t="s">
        <v>4927</v>
      </c>
      <c r="E2483" s="4" t="s">
        <v>13</v>
      </c>
      <c r="F2483" s="4" t="s">
        <v>5056</v>
      </c>
      <c r="G2483" s="4" t="s">
        <v>795</v>
      </c>
      <c r="H2483" s="4">
        <v>3.77</v>
      </c>
      <c r="I2483" s="4">
        <v>0.94</v>
      </c>
      <c r="J2483" s="4">
        <v>0.18521000000000001</v>
      </c>
      <c r="K2483" s="4" t="b">
        <v>1</v>
      </c>
      <c r="L2483" s="4" t="b">
        <v>1</v>
      </c>
      <c r="M2483" s="41" t="s">
        <v>4929</v>
      </c>
    </row>
    <row r="2484" spans="1:13" ht="13">
      <c r="A2484" s="4" t="s">
        <v>915</v>
      </c>
      <c r="B2484" s="4" t="s">
        <v>4926</v>
      </c>
      <c r="C2484" s="4" t="s">
        <v>108</v>
      </c>
      <c r="D2484" s="4" t="s">
        <v>4927</v>
      </c>
      <c r="E2484" s="4" t="s">
        <v>13</v>
      </c>
      <c r="F2484" s="40" t="s">
        <v>5057</v>
      </c>
      <c r="G2484" s="4" t="s">
        <v>796</v>
      </c>
      <c r="H2484" s="4">
        <v>3.78</v>
      </c>
      <c r="I2484" s="4">
        <v>0.94</v>
      </c>
      <c r="J2484" s="4">
        <v>0.18484999999999999</v>
      </c>
      <c r="K2484" s="4" t="b">
        <v>1</v>
      </c>
      <c r="L2484" s="4" t="b">
        <v>1</v>
      </c>
      <c r="M2484" s="41" t="s">
        <v>4929</v>
      </c>
    </row>
    <row r="2485" spans="1:13" ht="13">
      <c r="A2485" s="4" t="s">
        <v>6187</v>
      </c>
      <c r="B2485" s="4" t="s">
        <v>4926</v>
      </c>
      <c r="C2485" s="4" t="s">
        <v>108</v>
      </c>
      <c r="D2485" s="4" t="s">
        <v>4927</v>
      </c>
      <c r="E2485" s="4" t="s">
        <v>13</v>
      </c>
      <c r="F2485" s="4" t="s">
        <v>6188</v>
      </c>
      <c r="G2485" s="4" t="s">
        <v>6189</v>
      </c>
      <c r="H2485" s="4">
        <v>3.8</v>
      </c>
      <c r="I2485" s="4">
        <v>0.94</v>
      </c>
      <c r="J2485" s="4">
        <v>0.18484</v>
      </c>
      <c r="K2485" s="4" t="b">
        <v>1</v>
      </c>
      <c r="L2485" s="4" t="b">
        <v>0</v>
      </c>
    </row>
    <row r="2486" spans="1:13" ht="13">
      <c r="A2486" s="4" t="s">
        <v>916</v>
      </c>
      <c r="B2486" s="4" t="s">
        <v>4926</v>
      </c>
      <c r="C2486" s="4" t="s">
        <v>108</v>
      </c>
      <c r="D2486" s="4" t="s">
        <v>4927</v>
      </c>
      <c r="E2486" s="4" t="s">
        <v>13</v>
      </c>
      <c r="F2486" s="40" t="s">
        <v>5058</v>
      </c>
      <c r="G2486" s="4" t="s">
        <v>797</v>
      </c>
      <c r="H2486" s="4">
        <v>3.83</v>
      </c>
      <c r="I2486" s="4">
        <v>0.98</v>
      </c>
      <c r="J2486" s="4">
        <v>0.19825999999999999</v>
      </c>
      <c r="K2486" s="4" t="b">
        <v>1</v>
      </c>
      <c r="L2486" s="4" t="b">
        <v>1</v>
      </c>
      <c r="M2486" s="41" t="s">
        <v>4929</v>
      </c>
    </row>
    <row r="2487" spans="1:13" ht="13">
      <c r="A2487" s="4" t="s">
        <v>6190</v>
      </c>
      <c r="B2487" s="4" t="s">
        <v>4926</v>
      </c>
      <c r="C2487" s="4" t="s">
        <v>108</v>
      </c>
      <c r="D2487" s="4" t="s">
        <v>5059</v>
      </c>
      <c r="E2487" s="4" t="s">
        <v>8</v>
      </c>
      <c r="F2487" s="4" t="s">
        <v>6191</v>
      </c>
      <c r="G2487" s="4" t="s">
        <v>6192</v>
      </c>
      <c r="H2487" s="4">
        <v>3</v>
      </c>
      <c r="I2487" s="4">
        <v>1.04</v>
      </c>
      <c r="J2487" s="4">
        <v>0.2014</v>
      </c>
      <c r="K2487" s="4" t="b">
        <v>1</v>
      </c>
      <c r="L2487" s="4" t="b">
        <v>0</v>
      </c>
    </row>
    <row r="2488" spans="1:13" ht="13">
      <c r="A2488" s="4" t="s">
        <v>6193</v>
      </c>
      <c r="B2488" s="4" t="s">
        <v>4926</v>
      </c>
      <c r="C2488" s="4" t="s">
        <v>108</v>
      </c>
      <c r="D2488" s="4" t="s">
        <v>5059</v>
      </c>
      <c r="E2488" s="4" t="s">
        <v>8</v>
      </c>
      <c r="F2488" s="4" t="s">
        <v>6194</v>
      </c>
      <c r="G2488" s="4" t="s">
        <v>6195</v>
      </c>
      <c r="H2488" s="4">
        <v>3.02</v>
      </c>
      <c r="I2488" s="4">
        <v>1.04</v>
      </c>
      <c r="J2488" s="4">
        <v>0.20208999999999999</v>
      </c>
      <c r="K2488" s="4" t="b">
        <v>1</v>
      </c>
      <c r="L2488" s="4" t="b">
        <v>0</v>
      </c>
    </row>
    <row r="2489" spans="1:13" ht="13">
      <c r="A2489" s="4" t="s">
        <v>6196</v>
      </c>
      <c r="B2489" s="4" t="s">
        <v>4926</v>
      </c>
      <c r="C2489" s="4" t="s">
        <v>108</v>
      </c>
      <c r="D2489" s="4" t="s">
        <v>5059</v>
      </c>
      <c r="E2489" s="4" t="s">
        <v>8</v>
      </c>
      <c r="F2489" s="4" t="s">
        <v>6197</v>
      </c>
      <c r="G2489" s="4" t="s">
        <v>6198</v>
      </c>
      <c r="H2489" s="4">
        <v>3.05</v>
      </c>
      <c r="I2489" s="4">
        <v>1.1599999999999999</v>
      </c>
      <c r="J2489" s="4">
        <v>0.20654</v>
      </c>
      <c r="K2489" s="4" t="b">
        <v>1</v>
      </c>
      <c r="L2489" s="4" t="b">
        <v>0</v>
      </c>
    </row>
    <row r="2490" spans="1:13" ht="13">
      <c r="A2490" s="4" t="s">
        <v>6199</v>
      </c>
      <c r="B2490" s="4" t="s">
        <v>4926</v>
      </c>
      <c r="C2490" s="4" t="s">
        <v>108</v>
      </c>
      <c r="D2490" s="4" t="s">
        <v>5059</v>
      </c>
      <c r="E2490" s="4" t="s">
        <v>8</v>
      </c>
      <c r="F2490" s="4" t="s">
        <v>6200</v>
      </c>
      <c r="G2490" s="4" t="s">
        <v>6201</v>
      </c>
      <c r="H2490" s="4">
        <v>3.07</v>
      </c>
      <c r="I2490" s="4">
        <v>1.17</v>
      </c>
      <c r="J2490" s="4">
        <v>0.20891999999999999</v>
      </c>
      <c r="K2490" s="4" t="b">
        <v>1</v>
      </c>
      <c r="L2490" s="4" t="b">
        <v>0</v>
      </c>
    </row>
    <row r="2491" spans="1:13" ht="13">
      <c r="A2491" s="4" t="s">
        <v>6202</v>
      </c>
      <c r="B2491" s="4" t="s">
        <v>4926</v>
      </c>
      <c r="C2491" s="4" t="s">
        <v>108</v>
      </c>
      <c r="D2491" s="4" t="s">
        <v>5059</v>
      </c>
      <c r="E2491" s="4" t="s">
        <v>8</v>
      </c>
      <c r="F2491" s="4" t="s">
        <v>6203</v>
      </c>
      <c r="G2491" s="4" t="s">
        <v>6204</v>
      </c>
      <c r="H2491" s="4">
        <v>3.08</v>
      </c>
      <c r="I2491" s="4">
        <v>1.0900000000000001</v>
      </c>
      <c r="J2491" s="4">
        <v>0.20277999999999999</v>
      </c>
      <c r="K2491" s="4" t="b">
        <v>1</v>
      </c>
      <c r="L2491" s="4" t="b">
        <v>0</v>
      </c>
    </row>
    <row r="2492" spans="1:13" ht="13">
      <c r="A2492" s="4" t="s">
        <v>6205</v>
      </c>
      <c r="B2492" s="4" t="s">
        <v>4926</v>
      </c>
      <c r="C2492" s="4" t="s">
        <v>108</v>
      </c>
      <c r="D2492" s="4" t="s">
        <v>5059</v>
      </c>
      <c r="E2492" s="4" t="s">
        <v>8</v>
      </c>
      <c r="F2492" s="4" t="s">
        <v>6206</v>
      </c>
      <c r="G2492" s="4" t="s">
        <v>6207</v>
      </c>
      <c r="H2492" s="4">
        <v>3.12</v>
      </c>
      <c r="I2492" s="4">
        <v>1.07</v>
      </c>
      <c r="J2492" s="4">
        <v>0.19855</v>
      </c>
      <c r="K2492" s="4" t="b">
        <v>1</v>
      </c>
      <c r="L2492" s="4" t="b">
        <v>0</v>
      </c>
    </row>
    <row r="2493" spans="1:13" ht="13">
      <c r="A2493" s="4" t="s">
        <v>6208</v>
      </c>
      <c r="B2493" s="4" t="s">
        <v>4926</v>
      </c>
      <c r="C2493" s="4" t="s">
        <v>108</v>
      </c>
      <c r="D2493" s="4" t="s">
        <v>5059</v>
      </c>
      <c r="E2493" s="4" t="s">
        <v>8</v>
      </c>
      <c r="F2493" s="4" t="s">
        <v>6209</v>
      </c>
      <c r="G2493" s="4" t="s">
        <v>6210</v>
      </c>
      <c r="H2493" s="4">
        <v>3.13</v>
      </c>
      <c r="I2493" s="4">
        <v>1.05</v>
      </c>
      <c r="J2493" s="4">
        <v>0.19747000000000001</v>
      </c>
      <c r="K2493" s="4" t="b">
        <v>1</v>
      </c>
      <c r="L2493" s="4" t="b">
        <v>0</v>
      </c>
    </row>
    <row r="2494" spans="1:13" ht="13">
      <c r="A2494" s="4" t="s">
        <v>6211</v>
      </c>
      <c r="B2494" s="4" t="s">
        <v>4926</v>
      </c>
      <c r="C2494" s="4" t="s">
        <v>108</v>
      </c>
      <c r="D2494" s="4" t="s">
        <v>5059</v>
      </c>
      <c r="E2494" s="4" t="s">
        <v>8</v>
      </c>
      <c r="F2494" s="4" t="s">
        <v>6212</v>
      </c>
      <c r="G2494" s="4" t="s">
        <v>6213</v>
      </c>
      <c r="H2494" s="4">
        <v>2.87</v>
      </c>
      <c r="I2494" s="4">
        <v>1.02</v>
      </c>
      <c r="J2494" s="4">
        <v>0.19356000000000001</v>
      </c>
      <c r="K2494" s="4" t="b">
        <v>1</v>
      </c>
      <c r="L2494" s="4" t="b">
        <v>0</v>
      </c>
    </row>
    <row r="2495" spans="1:13" ht="13">
      <c r="A2495" s="4" t="s">
        <v>6214</v>
      </c>
      <c r="B2495" s="4" t="s">
        <v>4926</v>
      </c>
      <c r="C2495" s="4" t="s">
        <v>108</v>
      </c>
      <c r="D2495" s="4" t="s">
        <v>5059</v>
      </c>
      <c r="E2495" s="4" t="s">
        <v>8</v>
      </c>
      <c r="F2495" s="4" t="s">
        <v>6215</v>
      </c>
      <c r="G2495" s="4" t="s">
        <v>6216</v>
      </c>
      <c r="H2495" s="4">
        <v>3</v>
      </c>
      <c r="I2495" s="4">
        <v>0.99</v>
      </c>
      <c r="J2495" s="4">
        <v>0.19098000000000001</v>
      </c>
      <c r="K2495" s="4" t="b">
        <v>1</v>
      </c>
      <c r="L2495" s="4" t="b">
        <v>0</v>
      </c>
    </row>
    <row r="2496" spans="1:13" ht="13">
      <c r="A2496" s="4" t="s">
        <v>6217</v>
      </c>
      <c r="B2496" s="4" t="s">
        <v>4926</v>
      </c>
      <c r="C2496" s="4" t="s">
        <v>108</v>
      </c>
      <c r="D2496" s="4" t="s">
        <v>5059</v>
      </c>
      <c r="E2496" s="4" t="s">
        <v>9</v>
      </c>
      <c r="F2496" s="4" t="s">
        <v>6218</v>
      </c>
      <c r="G2496" s="4" t="s">
        <v>6219</v>
      </c>
      <c r="H2496" s="4">
        <v>3.03</v>
      </c>
      <c r="I2496" s="4">
        <v>1.05</v>
      </c>
      <c r="J2496" s="4">
        <v>0.19674</v>
      </c>
      <c r="K2496" s="4" t="b">
        <v>1</v>
      </c>
      <c r="L2496" s="4" t="b">
        <v>0</v>
      </c>
    </row>
    <row r="2497" spans="1:14" ht="13">
      <c r="A2497" s="4" t="s">
        <v>6220</v>
      </c>
      <c r="B2497" s="4" t="s">
        <v>4926</v>
      </c>
      <c r="C2497" s="4" t="s">
        <v>108</v>
      </c>
      <c r="D2497" s="4" t="s">
        <v>5059</v>
      </c>
      <c r="E2497" s="4" t="s">
        <v>9</v>
      </c>
      <c r="F2497" s="4" t="s">
        <v>6221</v>
      </c>
      <c r="G2497" s="4" t="s">
        <v>6222</v>
      </c>
      <c r="H2497" s="4">
        <v>3.55</v>
      </c>
      <c r="I2497" s="4">
        <v>1</v>
      </c>
      <c r="J2497" s="4">
        <v>0.18742</v>
      </c>
      <c r="K2497" s="4" t="b">
        <v>1</v>
      </c>
      <c r="L2497" s="4" t="b">
        <v>0</v>
      </c>
    </row>
    <row r="2498" spans="1:14" ht="13">
      <c r="A2498" s="4" t="s">
        <v>6223</v>
      </c>
      <c r="B2498" s="4" t="s">
        <v>4926</v>
      </c>
      <c r="C2498" s="4" t="s">
        <v>108</v>
      </c>
      <c r="D2498" s="4" t="s">
        <v>5059</v>
      </c>
      <c r="E2498" s="4" t="s">
        <v>9</v>
      </c>
      <c r="F2498" s="4" t="s">
        <v>6224</v>
      </c>
      <c r="G2498" s="4" t="s">
        <v>6225</v>
      </c>
      <c r="H2498" s="4">
        <v>3.57</v>
      </c>
      <c r="I2498" s="4">
        <v>1.02</v>
      </c>
      <c r="J2498" s="4">
        <v>0.21274999999999999</v>
      </c>
      <c r="K2498" s="4" t="b">
        <v>1</v>
      </c>
      <c r="L2498" s="4" t="b">
        <v>0</v>
      </c>
    </row>
    <row r="2499" spans="1:14" ht="13">
      <c r="A2499" s="4" t="s">
        <v>917</v>
      </c>
      <c r="B2499" s="4" t="s">
        <v>4926</v>
      </c>
      <c r="C2499" s="4" t="s">
        <v>108</v>
      </c>
      <c r="D2499" s="4" t="s">
        <v>5059</v>
      </c>
      <c r="E2499" s="4" t="s">
        <v>9</v>
      </c>
      <c r="F2499" s="4" t="s">
        <v>5060</v>
      </c>
      <c r="G2499" s="4" t="s">
        <v>798</v>
      </c>
      <c r="H2499" s="4">
        <v>3.6</v>
      </c>
      <c r="I2499" s="4">
        <v>0.98</v>
      </c>
      <c r="J2499" s="4">
        <v>0.19872999999999999</v>
      </c>
      <c r="K2499" s="4" t="b">
        <v>1</v>
      </c>
      <c r="L2499" s="4" t="b">
        <v>1</v>
      </c>
      <c r="M2499" s="41" t="s">
        <v>4929</v>
      </c>
    </row>
    <row r="2500" spans="1:14" ht="13">
      <c r="A2500" s="4" t="s">
        <v>918</v>
      </c>
      <c r="B2500" s="4" t="s">
        <v>4926</v>
      </c>
      <c r="C2500" s="4" t="s">
        <v>108</v>
      </c>
      <c r="D2500" s="4" t="s">
        <v>5059</v>
      </c>
      <c r="E2500" s="4" t="s">
        <v>9</v>
      </c>
      <c r="F2500" s="4" t="s">
        <v>5061</v>
      </c>
      <c r="G2500" s="4" t="s">
        <v>799</v>
      </c>
      <c r="H2500" s="4">
        <v>3.9</v>
      </c>
      <c r="I2500" s="4">
        <v>0.94</v>
      </c>
      <c r="J2500" s="4">
        <v>0.18987000000000001</v>
      </c>
      <c r="K2500" s="4" t="b">
        <v>1</v>
      </c>
      <c r="L2500" s="4" t="b">
        <v>1</v>
      </c>
      <c r="M2500" s="41" t="s">
        <v>4929</v>
      </c>
      <c r="N2500" s="41" t="s">
        <v>4995</v>
      </c>
    </row>
    <row r="2501" spans="1:14" ht="13">
      <c r="A2501" s="4" t="s">
        <v>6226</v>
      </c>
      <c r="B2501" s="4" t="s">
        <v>4926</v>
      </c>
      <c r="C2501" s="4" t="s">
        <v>108</v>
      </c>
      <c r="D2501" s="4" t="s">
        <v>5059</v>
      </c>
      <c r="E2501" s="4" t="s">
        <v>9</v>
      </c>
      <c r="F2501" s="4" t="s">
        <v>6227</v>
      </c>
      <c r="G2501" s="4" t="s">
        <v>6228</v>
      </c>
      <c r="H2501" s="4">
        <v>3.92</v>
      </c>
      <c r="I2501" s="4">
        <v>1</v>
      </c>
      <c r="J2501" s="4">
        <v>0.19053</v>
      </c>
      <c r="K2501" s="4" t="b">
        <v>1</v>
      </c>
      <c r="L2501" s="4" t="b">
        <v>0</v>
      </c>
    </row>
    <row r="2502" spans="1:14" ht="13">
      <c r="A2502" s="4" t="s">
        <v>6229</v>
      </c>
      <c r="B2502" s="4" t="s">
        <v>4926</v>
      </c>
      <c r="C2502" s="4" t="s">
        <v>108</v>
      </c>
      <c r="D2502" s="4" t="s">
        <v>5059</v>
      </c>
      <c r="E2502" s="4" t="s">
        <v>9</v>
      </c>
      <c r="F2502" s="4" t="s">
        <v>6230</v>
      </c>
      <c r="G2502" s="4" t="s">
        <v>6231</v>
      </c>
      <c r="H2502" s="4">
        <v>3.93</v>
      </c>
      <c r="I2502" s="4">
        <v>0.98</v>
      </c>
      <c r="J2502" s="4">
        <v>0.19034000000000001</v>
      </c>
      <c r="K2502" s="4" t="b">
        <v>1</v>
      </c>
      <c r="L2502" s="4" t="b">
        <v>0</v>
      </c>
    </row>
    <row r="2503" spans="1:14" ht="13">
      <c r="A2503" s="4" t="s">
        <v>6232</v>
      </c>
      <c r="B2503" s="4" t="s">
        <v>4926</v>
      </c>
      <c r="C2503" s="4" t="s">
        <v>108</v>
      </c>
      <c r="D2503" s="4" t="s">
        <v>5059</v>
      </c>
      <c r="E2503" s="4" t="s">
        <v>9</v>
      </c>
      <c r="F2503" s="4" t="s">
        <v>6233</v>
      </c>
      <c r="G2503" s="4" t="s">
        <v>6234</v>
      </c>
      <c r="H2503" s="4">
        <v>3.97</v>
      </c>
      <c r="I2503" s="4">
        <v>0.96</v>
      </c>
      <c r="J2503" s="4">
        <v>0.19674</v>
      </c>
      <c r="K2503" s="4" t="b">
        <v>1</v>
      </c>
      <c r="L2503" s="4" t="b">
        <v>0</v>
      </c>
    </row>
    <row r="2504" spans="1:14" ht="13">
      <c r="A2504" s="4" t="s">
        <v>6235</v>
      </c>
      <c r="B2504" s="4" t="s">
        <v>4926</v>
      </c>
      <c r="C2504" s="4" t="s">
        <v>108</v>
      </c>
      <c r="D2504" s="4" t="s">
        <v>5059</v>
      </c>
      <c r="E2504" s="4" t="s">
        <v>9</v>
      </c>
      <c r="F2504" s="4" t="s">
        <v>6236</v>
      </c>
      <c r="G2504" s="4" t="s">
        <v>6237</v>
      </c>
      <c r="H2504" s="4">
        <v>3.98</v>
      </c>
      <c r="I2504" s="4">
        <v>0.98</v>
      </c>
      <c r="J2504" s="4">
        <v>0.18844</v>
      </c>
      <c r="K2504" s="4" t="b">
        <v>1</v>
      </c>
      <c r="L2504" s="4" t="b">
        <v>0</v>
      </c>
    </row>
    <row r="2505" spans="1:14" ht="13">
      <c r="A2505" s="4" t="s">
        <v>6238</v>
      </c>
      <c r="B2505" s="4" t="s">
        <v>4926</v>
      </c>
      <c r="C2505" s="4" t="s">
        <v>108</v>
      </c>
      <c r="D2505" s="4" t="s">
        <v>5059</v>
      </c>
      <c r="E2505" s="4" t="s">
        <v>9</v>
      </c>
      <c r="F2505" s="4" t="s">
        <v>6239</v>
      </c>
      <c r="G2505" s="4" t="s">
        <v>6240</v>
      </c>
      <c r="H2505" s="4">
        <v>4</v>
      </c>
      <c r="I2505" s="4">
        <v>0.98</v>
      </c>
      <c r="J2505" s="4">
        <v>0.18931999999999999</v>
      </c>
      <c r="K2505" s="4" t="b">
        <v>1</v>
      </c>
      <c r="L2505" s="4" t="b">
        <v>0</v>
      </c>
    </row>
    <row r="2506" spans="1:14" ht="13">
      <c r="A2506" s="4" t="s">
        <v>6241</v>
      </c>
      <c r="B2506" s="4" t="s">
        <v>4926</v>
      </c>
      <c r="C2506" s="4" t="s">
        <v>108</v>
      </c>
      <c r="D2506" s="4" t="s">
        <v>5059</v>
      </c>
      <c r="E2506" s="4" t="s">
        <v>9</v>
      </c>
      <c r="F2506" s="4" t="s">
        <v>6242</v>
      </c>
      <c r="G2506" s="4" t="s">
        <v>6243</v>
      </c>
      <c r="H2506" s="4">
        <v>4.0199999999999996</v>
      </c>
      <c r="I2506" s="4">
        <v>1.01</v>
      </c>
      <c r="J2506" s="4">
        <v>0.19264000000000001</v>
      </c>
      <c r="K2506" s="4" t="b">
        <v>1</v>
      </c>
      <c r="L2506" s="4" t="b">
        <v>0</v>
      </c>
    </row>
    <row r="2507" spans="1:14" ht="13">
      <c r="A2507" s="4" t="s">
        <v>6244</v>
      </c>
      <c r="B2507" s="4" t="s">
        <v>4926</v>
      </c>
      <c r="C2507" s="4" t="s">
        <v>108</v>
      </c>
      <c r="D2507" s="4" t="s">
        <v>5059</v>
      </c>
      <c r="E2507" s="4" t="s">
        <v>9</v>
      </c>
      <c r="F2507" s="4" t="s">
        <v>6245</v>
      </c>
      <c r="G2507" s="4" t="s">
        <v>6246</v>
      </c>
      <c r="H2507" s="4">
        <v>4.05</v>
      </c>
      <c r="I2507" s="4">
        <v>0.96</v>
      </c>
      <c r="J2507" s="4">
        <v>0.18990000000000001</v>
      </c>
      <c r="K2507" s="4" t="b">
        <v>1</v>
      </c>
      <c r="L2507" s="4" t="b">
        <v>0</v>
      </c>
    </row>
    <row r="2508" spans="1:14" ht="13">
      <c r="A2508" s="4" t="s">
        <v>6247</v>
      </c>
      <c r="B2508" s="4" t="s">
        <v>4926</v>
      </c>
      <c r="C2508" s="4" t="s">
        <v>108</v>
      </c>
      <c r="D2508" s="4" t="s">
        <v>5059</v>
      </c>
      <c r="E2508" s="4" t="s">
        <v>13</v>
      </c>
      <c r="F2508" s="4" t="s">
        <v>6248</v>
      </c>
      <c r="G2508" s="4" t="s">
        <v>6249</v>
      </c>
      <c r="H2508" s="4">
        <v>2.35</v>
      </c>
      <c r="I2508" s="4">
        <v>0.94</v>
      </c>
      <c r="J2508" s="4">
        <v>0.18717</v>
      </c>
      <c r="K2508" s="4" t="b">
        <v>1</v>
      </c>
      <c r="L2508" s="4" t="b">
        <v>0</v>
      </c>
    </row>
    <row r="2509" spans="1:14" ht="13">
      <c r="A2509" s="4" t="s">
        <v>6250</v>
      </c>
      <c r="B2509" s="4" t="s">
        <v>4926</v>
      </c>
      <c r="C2509" s="4" t="s">
        <v>108</v>
      </c>
      <c r="D2509" s="4" t="s">
        <v>5059</v>
      </c>
      <c r="E2509" s="4" t="s">
        <v>13</v>
      </c>
      <c r="F2509" s="4" t="s">
        <v>6251</v>
      </c>
      <c r="G2509" s="4" t="s">
        <v>6252</v>
      </c>
      <c r="H2509" s="4">
        <v>2.37</v>
      </c>
      <c r="I2509" s="4">
        <v>1</v>
      </c>
      <c r="J2509" s="4">
        <v>0.19036</v>
      </c>
      <c r="K2509" s="4" t="b">
        <v>1</v>
      </c>
      <c r="L2509" s="4" t="b">
        <v>0</v>
      </c>
    </row>
    <row r="2510" spans="1:14" ht="13">
      <c r="A2510" s="4" t="s">
        <v>6253</v>
      </c>
      <c r="B2510" s="4" t="s">
        <v>4926</v>
      </c>
      <c r="C2510" s="4" t="s">
        <v>108</v>
      </c>
      <c r="D2510" s="4" t="s">
        <v>5059</v>
      </c>
      <c r="E2510" s="4" t="s">
        <v>13122</v>
      </c>
      <c r="F2510" s="4" t="s">
        <v>6254</v>
      </c>
      <c r="G2510" s="4" t="s">
        <v>6255</v>
      </c>
      <c r="H2510" s="4">
        <v>2.42</v>
      </c>
      <c r="I2510" s="4">
        <v>0.99</v>
      </c>
      <c r="J2510" s="4">
        <v>0.18970999999999999</v>
      </c>
      <c r="K2510" s="4" t="b">
        <v>1</v>
      </c>
      <c r="L2510" s="4" t="b">
        <v>0</v>
      </c>
    </row>
    <row r="2511" spans="1:14" ht="13">
      <c r="A2511" s="4" t="s">
        <v>6313</v>
      </c>
      <c r="B2511" s="4" t="s">
        <v>4951</v>
      </c>
      <c r="C2511" s="4" t="s">
        <v>108</v>
      </c>
      <c r="D2511" s="4" t="s">
        <v>4952</v>
      </c>
      <c r="E2511" s="4" t="s">
        <v>18</v>
      </c>
      <c r="F2511" s="4" t="s">
        <v>6314</v>
      </c>
      <c r="G2511" s="4" t="s">
        <v>6315</v>
      </c>
      <c r="H2511" s="4">
        <v>0.74</v>
      </c>
      <c r="I2511" s="4">
        <v>1.22</v>
      </c>
      <c r="J2511" s="4" t="s">
        <v>133</v>
      </c>
      <c r="K2511" s="4" t="b">
        <v>0</v>
      </c>
      <c r="L2511" s="4" t="b">
        <v>0</v>
      </c>
    </row>
    <row r="2512" spans="1:14" ht="13">
      <c r="A2512" s="4" t="s">
        <v>6328</v>
      </c>
      <c r="B2512" s="4" t="s">
        <v>4951</v>
      </c>
      <c r="C2512" s="4" t="s">
        <v>108</v>
      </c>
      <c r="D2512" s="4" t="s">
        <v>4952</v>
      </c>
      <c r="E2512" s="4" t="s">
        <v>18</v>
      </c>
      <c r="F2512" s="4" t="s">
        <v>6329</v>
      </c>
      <c r="G2512" s="4" t="s">
        <v>6330</v>
      </c>
      <c r="H2512" s="4">
        <v>0.76</v>
      </c>
      <c r="I2512" s="4">
        <v>1.2</v>
      </c>
      <c r="J2512" s="4" t="s">
        <v>133</v>
      </c>
      <c r="K2512" s="4" t="b">
        <v>0</v>
      </c>
      <c r="L2512" s="4" t="b">
        <v>0</v>
      </c>
    </row>
    <row r="2513" spans="1:12" ht="13">
      <c r="A2513" s="4" t="s">
        <v>6415</v>
      </c>
      <c r="B2513" s="4" t="s">
        <v>4951</v>
      </c>
      <c r="C2513" s="4" t="s">
        <v>108</v>
      </c>
      <c r="D2513" s="4" t="s">
        <v>4952</v>
      </c>
      <c r="E2513" s="4" t="s">
        <v>18</v>
      </c>
      <c r="F2513" s="4" t="s">
        <v>6416</v>
      </c>
      <c r="G2513" s="4" t="s">
        <v>6417</v>
      </c>
      <c r="H2513" s="4">
        <v>0.95</v>
      </c>
      <c r="I2513" s="4">
        <v>1.3</v>
      </c>
      <c r="J2513" s="4" t="s">
        <v>133</v>
      </c>
      <c r="K2513" s="4" t="b">
        <v>0</v>
      </c>
      <c r="L2513" s="4" t="b">
        <v>0</v>
      </c>
    </row>
    <row r="2514" spans="1:12" ht="13">
      <c r="A2514" s="4" t="s">
        <v>6463</v>
      </c>
      <c r="B2514" s="4" t="s">
        <v>4951</v>
      </c>
      <c r="C2514" s="4" t="s">
        <v>108</v>
      </c>
      <c r="D2514" s="4" t="s">
        <v>4952</v>
      </c>
      <c r="E2514" s="4" t="s">
        <v>18</v>
      </c>
      <c r="F2514" s="4" t="s">
        <v>6464</v>
      </c>
      <c r="G2514" s="4" t="s">
        <v>6465</v>
      </c>
      <c r="H2514" s="4">
        <v>1.02</v>
      </c>
      <c r="I2514" s="4">
        <v>1.1599999999999999</v>
      </c>
      <c r="J2514" s="4" t="s">
        <v>133</v>
      </c>
      <c r="K2514" s="4" t="b">
        <v>0</v>
      </c>
      <c r="L2514" s="4" t="b">
        <v>0</v>
      </c>
    </row>
    <row r="2515" spans="1:12" ht="13">
      <c r="A2515" s="4" t="s">
        <v>6565</v>
      </c>
      <c r="B2515" s="4" t="s">
        <v>4951</v>
      </c>
      <c r="C2515" s="4" t="s">
        <v>108</v>
      </c>
      <c r="D2515" s="4" t="s">
        <v>4952</v>
      </c>
      <c r="E2515" s="4" t="s">
        <v>18</v>
      </c>
      <c r="F2515" s="4" t="s">
        <v>6566</v>
      </c>
      <c r="G2515" s="4" t="s">
        <v>6567</v>
      </c>
      <c r="H2515" s="4">
        <v>1.37</v>
      </c>
      <c r="I2515" s="4">
        <v>1.17</v>
      </c>
      <c r="J2515" s="4" t="s">
        <v>133</v>
      </c>
      <c r="K2515" s="4" t="b">
        <v>0</v>
      </c>
      <c r="L2515" s="4" t="b">
        <v>0</v>
      </c>
    </row>
    <row r="2516" spans="1:12" ht="13">
      <c r="A2516" s="4" t="s">
        <v>6619</v>
      </c>
      <c r="B2516" s="4" t="s">
        <v>4951</v>
      </c>
      <c r="C2516" s="4" t="s">
        <v>108</v>
      </c>
      <c r="D2516" s="4" t="s">
        <v>4952</v>
      </c>
      <c r="E2516" s="4" t="s">
        <v>18</v>
      </c>
      <c r="F2516" s="4" t="s">
        <v>6620</v>
      </c>
      <c r="G2516" s="4" t="s">
        <v>6621</v>
      </c>
      <c r="H2516" s="4">
        <v>1.49</v>
      </c>
      <c r="I2516" s="4">
        <v>1.22</v>
      </c>
      <c r="J2516" s="4" t="s">
        <v>133</v>
      </c>
      <c r="K2516" s="4" t="b">
        <v>0</v>
      </c>
      <c r="L2516" s="4" t="b">
        <v>0</v>
      </c>
    </row>
    <row r="2517" spans="1:12" ht="13">
      <c r="A2517" s="4" t="s">
        <v>6676</v>
      </c>
      <c r="B2517" s="4" t="s">
        <v>4951</v>
      </c>
      <c r="C2517" s="4" t="s">
        <v>108</v>
      </c>
      <c r="D2517" s="4" t="s">
        <v>4952</v>
      </c>
      <c r="E2517" s="4" t="s">
        <v>18</v>
      </c>
      <c r="F2517" s="4" t="s">
        <v>6677</v>
      </c>
      <c r="G2517" s="4" t="s">
        <v>6678</v>
      </c>
      <c r="H2517" s="4">
        <v>1.6</v>
      </c>
      <c r="I2517" s="4" t="s">
        <v>133</v>
      </c>
      <c r="J2517" s="4" t="s">
        <v>133</v>
      </c>
      <c r="K2517" s="4" t="b">
        <v>0</v>
      </c>
      <c r="L2517" s="4" t="b">
        <v>0</v>
      </c>
    </row>
    <row r="2518" spans="1:12" ht="13">
      <c r="A2518" s="4" t="s">
        <v>6688</v>
      </c>
      <c r="B2518" s="4" t="s">
        <v>4951</v>
      </c>
      <c r="C2518" s="4" t="s">
        <v>108</v>
      </c>
      <c r="D2518" s="4" t="s">
        <v>4952</v>
      </c>
      <c r="E2518" s="4" t="s">
        <v>18</v>
      </c>
      <c r="F2518" s="4" t="s">
        <v>6689</v>
      </c>
      <c r="G2518" s="4" t="s">
        <v>6690</v>
      </c>
      <c r="H2518" s="4">
        <v>1.62</v>
      </c>
      <c r="I2518" s="4">
        <v>1.43</v>
      </c>
      <c r="J2518" s="4" t="s">
        <v>133</v>
      </c>
      <c r="K2518" s="4" t="b">
        <v>0</v>
      </c>
      <c r="L2518" s="4" t="b">
        <v>0</v>
      </c>
    </row>
    <row r="2519" spans="1:12" ht="13">
      <c r="A2519" s="4" t="s">
        <v>6796</v>
      </c>
      <c r="B2519" s="4" t="s">
        <v>4951</v>
      </c>
      <c r="C2519" s="4" t="s">
        <v>108</v>
      </c>
      <c r="D2519" s="4" t="s">
        <v>4952</v>
      </c>
      <c r="E2519" s="4" t="s">
        <v>18</v>
      </c>
      <c r="F2519" s="4" t="s">
        <v>6797</v>
      </c>
      <c r="G2519" s="4" t="s">
        <v>6798</v>
      </c>
      <c r="H2519" s="4">
        <v>1.79</v>
      </c>
      <c r="I2519" s="4">
        <v>1.17</v>
      </c>
      <c r="J2519" s="4" t="s">
        <v>133</v>
      </c>
      <c r="K2519" s="4" t="b">
        <v>0</v>
      </c>
      <c r="L2519" s="4" t="b">
        <v>0</v>
      </c>
    </row>
    <row r="2520" spans="1:12" ht="13">
      <c r="A2520" s="4" t="s">
        <v>6838</v>
      </c>
      <c r="B2520" s="4" t="s">
        <v>4951</v>
      </c>
      <c r="C2520" s="4" t="s">
        <v>108</v>
      </c>
      <c r="D2520" s="4" t="s">
        <v>4952</v>
      </c>
      <c r="E2520" s="4" t="s">
        <v>18</v>
      </c>
      <c r="F2520" s="4" t="s">
        <v>6839</v>
      </c>
      <c r="G2520" s="4" t="s">
        <v>6840</v>
      </c>
      <c r="H2520" s="4">
        <v>1.96</v>
      </c>
      <c r="I2520" s="4" t="s">
        <v>133</v>
      </c>
      <c r="J2520" s="4" t="s">
        <v>133</v>
      </c>
      <c r="K2520" s="4" t="b">
        <v>0</v>
      </c>
      <c r="L2520" s="4" t="b">
        <v>0</v>
      </c>
    </row>
    <row r="2521" spans="1:12" ht="13">
      <c r="A2521" s="4" t="s">
        <v>6853</v>
      </c>
      <c r="B2521" s="4" t="s">
        <v>4951</v>
      </c>
      <c r="C2521" s="4" t="s">
        <v>108</v>
      </c>
      <c r="D2521" s="4" t="s">
        <v>4952</v>
      </c>
      <c r="E2521" s="4" t="s">
        <v>18</v>
      </c>
      <c r="F2521" s="4" t="s">
        <v>6854</v>
      </c>
      <c r="G2521" s="4" t="s">
        <v>6855</v>
      </c>
      <c r="H2521" s="4">
        <v>1.98</v>
      </c>
      <c r="I2521" s="4" t="s">
        <v>133</v>
      </c>
      <c r="J2521" s="4" t="s">
        <v>133</v>
      </c>
      <c r="K2521" s="4" t="b">
        <v>0</v>
      </c>
      <c r="L2521" s="4" t="b">
        <v>0</v>
      </c>
    </row>
    <row r="2522" spans="1:12" ht="13">
      <c r="A2522" s="4" t="s">
        <v>6862</v>
      </c>
      <c r="B2522" s="4" t="s">
        <v>4951</v>
      </c>
      <c r="C2522" s="4" t="s">
        <v>108</v>
      </c>
      <c r="D2522" s="4" t="s">
        <v>4952</v>
      </c>
      <c r="E2522" s="4" t="s">
        <v>18</v>
      </c>
      <c r="F2522" s="4" t="s">
        <v>6863</v>
      </c>
      <c r="G2522" s="4" t="s">
        <v>6864</v>
      </c>
      <c r="H2522" s="4">
        <v>1.99</v>
      </c>
      <c r="I2522" s="4">
        <v>1.1499999999999999</v>
      </c>
      <c r="J2522" s="4" t="s">
        <v>133</v>
      </c>
      <c r="K2522" s="4" t="b">
        <v>0</v>
      </c>
      <c r="L2522" s="4" t="b">
        <v>0</v>
      </c>
    </row>
    <row r="2523" spans="1:12" ht="13">
      <c r="A2523" s="4" t="s">
        <v>6874</v>
      </c>
      <c r="B2523" s="4" t="s">
        <v>4951</v>
      </c>
      <c r="C2523" s="4" t="s">
        <v>108</v>
      </c>
      <c r="D2523" s="4" t="s">
        <v>4952</v>
      </c>
      <c r="E2523" s="4" t="s">
        <v>18</v>
      </c>
      <c r="F2523" s="4" t="s">
        <v>6875</v>
      </c>
      <c r="G2523" s="4" t="s">
        <v>6876</v>
      </c>
      <c r="H2523" s="4">
        <v>2.0099999999999998</v>
      </c>
      <c r="I2523" s="4" t="s">
        <v>133</v>
      </c>
      <c r="J2523" s="4" t="s">
        <v>133</v>
      </c>
      <c r="K2523" s="4" t="b">
        <v>0</v>
      </c>
      <c r="L2523" s="4" t="b">
        <v>0</v>
      </c>
    </row>
    <row r="2524" spans="1:12" ht="13">
      <c r="A2524" s="4" t="s">
        <v>7072</v>
      </c>
      <c r="B2524" s="4" t="s">
        <v>4951</v>
      </c>
      <c r="C2524" s="4" t="s">
        <v>108</v>
      </c>
      <c r="D2524" s="4" t="s">
        <v>4952</v>
      </c>
      <c r="E2524" s="4" t="s">
        <v>18</v>
      </c>
      <c r="F2524" s="4" t="s">
        <v>7073</v>
      </c>
      <c r="G2524" s="4" t="s">
        <v>7074</v>
      </c>
      <c r="H2524" s="4">
        <v>1.02</v>
      </c>
      <c r="I2524" s="4">
        <v>1.1000000000000001</v>
      </c>
      <c r="J2524" s="4" t="s">
        <v>133</v>
      </c>
      <c r="K2524" s="4" t="b">
        <v>0</v>
      </c>
      <c r="L2524" s="4" t="b">
        <v>0</v>
      </c>
    </row>
    <row r="2525" spans="1:12" ht="13">
      <c r="A2525" s="4" t="s">
        <v>7123</v>
      </c>
      <c r="B2525" s="4" t="s">
        <v>4951</v>
      </c>
      <c r="C2525" s="4" t="s">
        <v>108</v>
      </c>
      <c r="D2525" s="4" t="s">
        <v>4952</v>
      </c>
      <c r="E2525" s="4" t="s">
        <v>18</v>
      </c>
      <c r="F2525" s="4" t="s">
        <v>7124</v>
      </c>
      <c r="G2525" s="4" t="s">
        <v>7125</v>
      </c>
      <c r="H2525" s="4">
        <v>1.1100000000000001</v>
      </c>
      <c r="I2525" s="4">
        <v>1.29</v>
      </c>
      <c r="J2525" s="4" t="s">
        <v>133</v>
      </c>
      <c r="K2525" s="4" t="b">
        <v>0</v>
      </c>
      <c r="L2525" s="4" t="b">
        <v>0</v>
      </c>
    </row>
    <row r="2526" spans="1:12" ht="13">
      <c r="A2526" s="4" t="s">
        <v>7156</v>
      </c>
      <c r="B2526" s="4" t="s">
        <v>4951</v>
      </c>
      <c r="C2526" s="4" t="s">
        <v>108</v>
      </c>
      <c r="D2526" s="4" t="s">
        <v>4952</v>
      </c>
      <c r="E2526" s="4" t="s">
        <v>18</v>
      </c>
      <c r="F2526" s="4" t="s">
        <v>7157</v>
      </c>
      <c r="G2526" s="4" t="s">
        <v>7158</v>
      </c>
      <c r="H2526" s="4">
        <v>1.1499999999999999</v>
      </c>
      <c r="I2526" s="4">
        <v>1.87</v>
      </c>
      <c r="J2526" s="4">
        <v>0.67049999999999998</v>
      </c>
      <c r="K2526" s="4" t="b">
        <v>0</v>
      </c>
      <c r="L2526" s="4" t="b">
        <v>0</v>
      </c>
    </row>
    <row r="2527" spans="1:12" ht="13">
      <c r="A2527" s="4" t="s">
        <v>7174</v>
      </c>
      <c r="B2527" s="4" t="s">
        <v>4951</v>
      </c>
      <c r="C2527" s="4" t="s">
        <v>108</v>
      </c>
      <c r="D2527" s="4" t="s">
        <v>4952</v>
      </c>
      <c r="E2527" s="4" t="s">
        <v>18</v>
      </c>
      <c r="F2527" s="4" t="s">
        <v>7175</v>
      </c>
      <c r="G2527" s="4" t="s">
        <v>7176</v>
      </c>
      <c r="H2527" s="4">
        <v>1.18</v>
      </c>
      <c r="I2527" s="4" t="s">
        <v>133</v>
      </c>
      <c r="J2527" s="4" t="s">
        <v>133</v>
      </c>
      <c r="K2527" s="4" t="b">
        <v>0</v>
      </c>
      <c r="L2527" s="4" t="b">
        <v>0</v>
      </c>
    </row>
    <row r="2528" spans="1:12" ht="13">
      <c r="A2528" s="4" t="s">
        <v>7183</v>
      </c>
      <c r="B2528" s="4" t="s">
        <v>4951</v>
      </c>
      <c r="C2528" s="4" t="s">
        <v>108</v>
      </c>
      <c r="D2528" s="4" t="s">
        <v>4952</v>
      </c>
      <c r="E2528" s="4" t="s">
        <v>18</v>
      </c>
      <c r="F2528" s="4" t="s">
        <v>7184</v>
      </c>
      <c r="G2528" s="4" t="s">
        <v>7185</v>
      </c>
      <c r="H2528" s="4">
        <v>1.19</v>
      </c>
      <c r="I2528" s="4">
        <v>1.28</v>
      </c>
      <c r="J2528" s="4" t="s">
        <v>133</v>
      </c>
      <c r="K2528" s="4" t="b">
        <v>0</v>
      </c>
      <c r="L2528" s="4" t="b">
        <v>0</v>
      </c>
    </row>
    <row r="2529" spans="1:12" ht="13">
      <c r="A2529" s="4" t="s">
        <v>7192</v>
      </c>
      <c r="B2529" s="4" t="s">
        <v>4951</v>
      </c>
      <c r="C2529" s="4" t="s">
        <v>108</v>
      </c>
      <c r="D2529" s="4" t="s">
        <v>4952</v>
      </c>
      <c r="E2529" s="4" t="s">
        <v>18</v>
      </c>
      <c r="F2529" s="4" t="s">
        <v>7193</v>
      </c>
      <c r="G2529" s="4" t="s">
        <v>7194</v>
      </c>
      <c r="H2529" s="4">
        <v>1.21</v>
      </c>
      <c r="I2529" s="4" t="s">
        <v>133</v>
      </c>
      <c r="J2529" s="4" t="s">
        <v>133</v>
      </c>
      <c r="K2529" s="4" t="b">
        <v>0</v>
      </c>
      <c r="L2529" s="4" t="b">
        <v>0</v>
      </c>
    </row>
    <row r="2530" spans="1:12" ht="13">
      <c r="A2530" s="4" t="s">
        <v>7213</v>
      </c>
      <c r="B2530" s="4" t="s">
        <v>4951</v>
      </c>
      <c r="C2530" s="4" t="s">
        <v>108</v>
      </c>
      <c r="D2530" s="4" t="s">
        <v>4952</v>
      </c>
      <c r="E2530" s="4" t="s">
        <v>18</v>
      </c>
      <c r="F2530" s="4" t="s">
        <v>7214</v>
      </c>
      <c r="G2530" s="4" t="s">
        <v>7215</v>
      </c>
      <c r="H2530" s="4">
        <v>1.23</v>
      </c>
      <c r="I2530" s="4" t="s">
        <v>133</v>
      </c>
      <c r="J2530" s="4" t="s">
        <v>133</v>
      </c>
      <c r="K2530" s="4" t="b">
        <v>0</v>
      </c>
      <c r="L2530" s="4" t="b">
        <v>0</v>
      </c>
    </row>
    <row r="2531" spans="1:12" ht="13">
      <c r="A2531" s="4" t="s">
        <v>7321</v>
      </c>
      <c r="B2531" s="4" t="s">
        <v>4951</v>
      </c>
      <c r="C2531" s="4" t="s">
        <v>108</v>
      </c>
      <c r="D2531" s="4" t="s">
        <v>4952</v>
      </c>
      <c r="E2531" s="4" t="s">
        <v>18</v>
      </c>
      <c r="F2531" s="4" t="s">
        <v>7322</v>
      </c>
      <c r="G2531" s="4" t="s">
        <v>7323</v>
      </c>
      <c r="H2531" s="4">
        <v>1.39</v>
      </c>
      <c r="I2531" s="4">
        <v>1.1499999999999999</v>
      </c>
      <c r="J2531" s="4" t="s">
        <v>133</v>
      </c>
      <c r="K2531" s="4" t="b">
        <v>0</v>
      </c>
      <c r="L2531" s="4" t="b">
        <v>0</v>
      </c>
    </row>
    <row r="2532" spans="1:12" ht="13">
      <c r="A2532" s="4" t="s">
        <v>7363</v>
      </c>
      <c r="B2532" s="4" t="s">
        <v>4951</v>
      </c>
      <c r="C2532" s="4" t="s">
        <v>108</v>
      </c>
      <c r="D2532" s="4" t="s">
        <v>4952</v>
      </c>
      <c r="E2532" s="4" t="s">
        <v>18</v>
      </c>
      <c r="F2532" s="4" t="s">
        <v>7364</v>
      </c>
      <c r="G2532" s="4" t="s">
        <v>7365</v>
      </c>
      <c r="H2532" s="4">
        <v>1.59</v>
      </c>
      <c r="I2532" s="4" t="s">
        <v>133</v>
      </c>
      <c r="J2532" s="4" t="s">
        <v>133</v>
      </c>
      <c r="K2532" s="4" t="b">
        <v>0</v>
      </c>
      <c r="L2532" s="4" t="b">
        <v>0</v>
      </c>
    </row>
    <row r="2533" spans="1:12" ht="13">
      <c r="A2533" s="4" t="s">
        <v>7387</v>
      </c>
      <c r="B2533" s="4" t="s">
        <v>4951</v>
      </c>
      <c r="C2533" s="4" t="s">
        <v>108</v>
      </c>
      <c r="D2533" s="4" t="s">
        <v>4952</v>
      </c>
      <c r="E2533" s="4" t="s">
        <v>18</v>
      </c>
      <c r="F2533" s="4" t="s">
        <v>7388</v>
      </c>
      <c r="G2533" s="4" t="s">
        <v>7389</v>
      </c>
      <c r="H2533" s="4">
        <v>1.62</v>
      </c>
      <c r="I2533" s="4">
        <v>1.1000000000000001</v>
      </c>
      <c r="J2533" s="4" t="s">
        <v>133</v>
      </c>
      <c r="K2533" s="4" t="b">
        <v>0</v>
      </c>
      <c r="L2533" s="4" t="b">
        <v>0</v>
      </c>
    </row>
    <row r="2534" spans="1:12" ht="13">
      <c r="A2534" s="4" t="s">
        <v>7444</v>
      </c>
      <c r="B2534" s="4" t="s">
        <v>4951</v>
      </c>
      <c r="C2534" s="4" t="s">
        <v>108</v>
      </c>
      <c r="D2534" s="4" t="s">
        <v>4952</v>
      </c>
      <c r="E2534" s="4" t="s">
        <v>18</v>
      </c>
      <c r="F2534" s="4" t="s">
        <v>7445</v>
      </c>
      <c r="G2534" s="4" t="s">
        <v>7446</v>
      </c>
      <c r="H2534" s="4">
        <v>1.7</v>
      </c>
      <c r="I2534" s="4" t="s">
        <v>133</v>
      </c>
      <c r="J2534" s="4" t="s">
        <v>133</v>
      </c>
      <c r="K2534" s="4" t="b">
        <v>0</v>
      </c>
      <c r="L2534" s="4" t="b">
        <v>0</v>
      </c>
    </row>
    <row r="2535" spans="1:12" ht="13">
      <c r="A2535" s="4" t="s">
        <v>7450</v>
      </c>
      <c r="B2535" s="4" t="s">
        <v>4951</v>
      </c>
      <c r="C2535" s="4" t="s">
        <v>108</v>
      </c>
      <c r="D2535" s="4" t="s">
        <v>4952</v>
      </c>
      <c r="E2535" s="4" t="s">
        <v>18</v>
      </c>
      <c r="F2535" s="4" t="s">
        <v>7451</v>
      </c>
      <c r="G2535" s="4" t="s">
        <v>7452</v>
      </c>
      <c r="H2535" s="4">
        <v>1.71</v>
      </c>
      <c r="I2535" s="4">
        <v>5.24</v>
      </c>
      <c r="J2535" s="4" t="s">
        <v>133</v>
      </c>
      <c r="K2535" s="4" t="b">
        <v>0</v>
      </c>
      <c r="L2535" s="4" t="b">
        <v>0</v>
      </c>
    </row>
    <row r="2536" spans="1:12" ht="13">
      <c r="A2536" s="4" t="s">
        <v>7468</v>
      </c>
      <c r="B2536" s="4" t="s">
        <v>4951</v>
      </c>
      <c r="C2536" s="4" t="s">
        <v>108</v>
      </c>
      <c r="D2536" s="4" t="s">
        <v>4952</v>
      </c>
      <c r="E2536" s="4" t="s">
        <v>18</v>
      </c>
      <c r="F2536" s="4" t="s">
        <v>7469</v>
      </c>
      <c r="G2536" s="4" t="s">
        <v>7470</v>
      </c>
      <c r="H2536" s="4">
        <v>1.75</v>
      </c>
      <c r="I2536" s="4" t="s">
        <v>133</v>
      </c>
      <c r="J2536" s="4" t="s">
        <v>133</v>
      </c>
      <c r="K2536" s="4" t="b">
        <v>0</v>
      </c>
      <c r="L2536" s="4" t="b">
        <v>0</v>
      </c>
    </row>
    <row r="2537" spans="1:12" ht="13">
      <c r="A2537" s="4" t="s">
        <v>7483</v>
      </c>
      <c r="B2537" s="4" t="s">
        <v>4951</v>
      </c>
      <c r="C2537" s="4" t="s">
        <v>108</v>
      </c>
      <c r="D2537" s="4" t="s">
        <v>4952</v>
      </c>
      <c r="E2537" s="4" t="s">
        <v>18</v>
      </c>
      <c r="F2537" s="4" t="s">
        <v>7484</v>
      </c>
      <c r="G2537" s="4" t="s">
        <v>7485</v>
      </c>
      <c r="H2537" s="4">
        <v>1.77</v>
      </c>
      <c r="I2537" s="4" t="s">
        <v>133</v>
      </c>
      <c r="J2537" s="4" t="s">
        <v>133</v>
      </c>
      <c r="K2537" s="4" t="b">
        <v>0</v>
      </c>
      <c r="L2537" s="4" t="b">
        <v>0</v>
      </c>
    </row>
    <row r="2538" spans="1:12" ht="13">
      <c r="A2538" s="4" t="s">
        <v>7507</v>
      </c>
      <c r="B2538" s="4" t="s">
        <v>4951</v>
      </c>
      <c r="C2538" s="4" t="s">
        <v>108</v>
      </c>
      <c r="D2538" s="4" t="s">
        <v>4952</v>
      </c>
      <c r="E2538" s="4" t="s">
        <v>18</v>
      </c>
      <c r="F2538" s="4" t="s">
        <v>7508</v>
      </c>
      <c r="G2538" s="4" t="s">
        <v>7509</v>
      </c>
      <c r="H2538" s="4">
        <v>1.96</v>
      </c>
      <c r="I2538" s="4" t="s">
        <v>133</v>
      </c>
      <c r="J2538" s="4" t="s">
        <v>133</v>
      </c>
      <c r="K2538" s="4" t="b">
        <v>0</v>
      </c>
      <c r="L2538" s="4" t="b">
        <v>0</v>
      </c>
    </row>
    <row r="2539" spans="1:12" ht="13">
      <c r="A2539" s="4" t="s">
        <v>7510</v>
      </c>
      <c r="B2539" s="4" t="s">
        <v>4951</v>
      </c>
      <c r="C2539" s="4" t="s">
        <v>108</v>
      </c>
      <c r="D2539" s="4" t="s">
        <v>4952</v>
      </c>
      <c r="E2539" s="4" t="s">
        <v>18</v>
      </c>
      <c r="F2539" s="4" t="s">
        <v>7511</v>
      </c>
      <c r="G2539" s="4" t="s">
        <v>7512</v>
      </c>
      <c r="H2539" s="4">
        <v>1.96</v>
      </c>
      <c r="I2539" s="4" t="s">
        <v>133</v>
      </c>
      <c r="J2539" s="4" t="s">
        <v>133</v>
      </c>
      <c r="K2539" s="4" t="b">
        <v>0</v>
      </c>
      <c r="L2539" s="4" t="b">
        <v>0</v>
      </c>
    </row>
    <row r="2540" spans="1:12" ht="13">
      <c r="A2540" s="4" t="s">
        <v>7513</v>
      </c>
      <c r="B2540" s="4" t="s">
        <v>4951</v>
      </c>
      <c r="C2540" s="4" t="s">
        <v>108</v>
      </c>
      <c r="D2540" s="4" t="s">
        <v>4952</v>
      </c>
      <c r="E2540" s="4" t="s">
        <v>18</v>
      </c>
      <c r="F2540" s="4" t="s">
        <v>7514</v>
      </c>
      <c r="G2540" s="4" t="s">
        <v>7515</v>
      </c>
      <c r="H2540" s="4">
        <v>1.97</v>
      </c>
      <c r="I2540" s="4">
        <v>2.72</v>
      </c>
      <c r="J2540" s="4" t="s">
        <v>133</v>
      </c>
      <c r="K2540" s="4" t="b">
        <v>0</v>
      </c>
      <c r="L2540" s="4" t="b">
        <v>0</v>
      </c>
    </row>
    <row r="2541" spans="1:12" ht="13">
      <c r="A2541" s="4" t="s">
        <v>7516</v>
      </c>
      <c r="B2541" s="4" t="s">
        <v>4951</v>
      </c>
      <c r="C2541" s="4" t="s">
        <v>108</v>
      </c>
      <c r="D2541" s="4" t="s">
        <v>4952</v>
      </c>
      <c r="E2541" s="4" t="s">
        <v>18</v>
      </c>
      <c r="F2541" s="4" t="s">
        <v>7517</v>
      </c>
      <c r="G2541" s="4" t="s">
        <v>7518</v>
      </c>
      <c r="H2541" s="4">
        <v>1.97</v>
      </c>
      <c r="I2541" s="4">
        <v>1.06</v>
      </c>
      <c r="J2541" s="4" t="s">
        <v>133</v>
      </c>
      <c r="K2541" s="4" t="b">
        <v>0</v>
      </c>
      <c r="L2541" s="4" t="b">
        <v>0</v>
      </c>
    </row>
    <row r="2542" spans="1:12" ht="13">
      <c r="A2542" s="4" t="s">
        <v>7534</v>
      </c>
      <c r="B2542" s="4" t="s">
        <v>4951</v>
      </c>
      <c r="C2542" s="4" t="s">
        <v>108</v>
      </c>
      <c r="D2542" s="4" t="s">
        <v>4952</v>
      </c>
      <c r="E2542" s="4" t="s">
        <v>18</v>
      </c>
      <c r="F2542" s="4" t="s">
        <v>7535</v>
      </c>
      <c r="G2542" s="4" t="s">
        <v>7536</v>
      </c>
      <c r="H2542" s="4">
        <v>2</v>
      </c>
      <c r="I2542" s="4">
        <v>1.28</v>
      </c>
      <c r="J2542" s="4" t="s">
        <v>133</v>
      </c>
      <c r="K2542" s="4" t="b">
        <v>0</v>
      </c>
      <c r="L2542" s="4" t="b">
        <v>0</v>
      </c>
    </row>
    <row r="2543" spans="1:12" ht="13">
      <c r="A2543" s="4" t="s">
        <v>7591</v>
      </c>
      <c r="B2543" s="4" t="s">
        <v>4951</v>
      </c>
      <c r="C2543" s="4" t="s">
        <v>108</v>
      </c>
      <c r="D2543" s="4" t="s">
        <v>4952</v>
      </c>
      <c r="E2543" s="4" t="s">
        <v>18</v>
      </c>
      <c r="F2543" s="4" t="s">
        <v>7592</v>
      </c>
      <c r="G2543" s="4" t="s">
        <v>7593</v>
      </c>
      <c r="H2543" s="4">
        <v>2.08</v>
      </c>
      <c r="I2543" s="4">
        <v>1.38</v>
      </c>
      <c r="J2543" s="4" t="s">
        <v>133</v>
      </c>
      <c r="K2543" s="4" t="b">
        <v>0</v>
      </c>
      <c r="L2543" s="4" t="b">
        <v>0</v>
      </c>
    </row>
    <row r="2544" spans="1:12" ht="13">
      <c r="A2544" s="4" t="s">
        <v>7615</v>
      </c>
      <c r="B2544" s="4" t="s">
        <v>4951</v>
      </c>
      <c r="C2544" s="4" t="s">
        <v>108</v>
      </c>
      <c r="D2544" s="4" t="s">
        <v>4952</v>
      </c>
      <c r="E2544" s="4" t="s">
        <v>18</v>
      </c>
      <c r="F2544" s="4" t="s">
        <v>7616</v>
      </c>
      <c r="G2544" s="4" t="s">
        <v>7617</v>
      </c>
      <c r="H2544" s="4">
        <v>2.13</v>
      </c>
      <c r="I2544" s="4" t="s">
        <v>133</v>
      </c>
      <c r="J2544" s="4" t="s">
        <v>133</v>
      </c>
      <c r="K2544" s="4" t="b">
        <v>0</v>
      </c>
      <c r="L2544" s="4" t="b">
        <v>0</v>
      </c>
    </row>
    <row r="2545" spans="1:12" ht="13">
      <c r="A2545" s="4" t="s">
        <v>7654</v>
      </c>
      <c r="B2545" s="4" t="s">
        <v>4951</v>
      </c>
      <c r="C2545" s="4" t="s">
        <v>108</v>
      </c>
      <c r="D2545" s="4" t="s">
        <v>4952</v>
      </c>
      <c r="E2545" s="4" t="s">
        <v>18</v>
      </c>
      <c r="F2545" s="4" t="s">
        <v>7655</v>
      </c>
      <c r="G2545" s="4" t="s">
        <v>7656</v>
      </c>
      <c r="H2545" s="4">
        <v>2.34</v>
      </c>
      <c r="I2545" s="4" t="s">
        <v>133</v>
      </c>
      <c r="J2545" s="4" t="s">
        <v>133</v>
      </c>
      <c r="K2545" s="4" t="b">
        <v>0</v>
      </c>
      <c r="L2545" s="4" t="b">
        <v>0</v>
      </c>
    </row>
    <row r="2546" spans="1:12" ht="13">
      <c r="A2546" s="4" t="s">
        <v>7702</v>
      </c>
      <c r="B2546" s="4" t="s">
        <v>4951</v>
      </c>
      <c r="C2546" s="4" t="s">
        <v>108</v>
      </c>
      <c r="D2546" s="4" t="s">
        <v>4952</v>
      </c>
      <c r="E2546" s="4" t="s">
        <v>18</v>
      </c>
      <c r="F2546" s="4" t="s">
        <v>7703</v>
      </c>
      <c r="G2546" s="4" t="s">
        <v>7704</v>
      </c>
      <c r="H2546" s="4">
        <v>2.41</v>
      </c>
      <c r="I2546" s="4">
        <v>1.0900000000000001</v>
      </c>
      <c r="J2546" s="4" t="s">
        <v>133</v>
      </c>
      <c r="K2546" s="4" t="b">
        <v>0</v>
      </c>
      <c r="L2546" s="4" t="b">
        <v>0</v>
      </c>
    </row>
    <row r="2547" spans="1:12" ht="13">
      <c r="A2547" s="4" t="s">
        <v>7723</v>
      </c>
      <c r="B2547" s="4" t="s">
        <v>4951</v>
      </c>
      <c r="C2547" s="4" t="s">
        <v>108</v>
      </c>
      <c r="D2547" s="4" t="s">
        <v>4952</v>
      </c>
      <c r="E2547" s="4" t="s">
        <v>18</v>
      </c>
      <c r="F2547" s="4" t="s">
        <v>7724</v>
      </c>
      <c r="G2547" s="4" t="s">
        <v>7725</v>
      </c>
      <c r="H2547" s="4">
        <v>2.4500000000000002</v>
      </c>
      <c r="I2547" s="4" t="s">
        <v>133</v>
      </c>
      <c r="J2547" s="4" t="s">
        <v>133</v>
      </c>
      <c r="K2547" s="4" t="b">
        <v>0</v>
      </c>
      <c r="L2547" s="4" t="b">
        <v>0</v>
      </c>
    </row>
    <row r="2548" spans="1:12" ht="13">
      <c r="A2548" s="4" t="s">
        <v>7747</v>
      </c>
      <c r="B2548" s="4" t="s">
        <v>4951</v>
      </c>
      <c r="C2548" s="4" t="s">
        <v>108</v>
      </c>
      <c r="D2548" s="4" t="s">
        <v>4952</v>
      </c>
      <c r="E2548" s="4" t="s">
        <v>18</v>
      </c>
      <c r="F2548" s="4" t="s">
        <v>7748</v>
      </c>
      <c r="G2548" s="4" t="s">
        <v>7749</v>
      </c>
      <c r="H2548" s="4">
        <v>2.48</v>
      </c>
      <c r="I2548" s="4" t="s">
        <v>133</v>
      </c>
      <c r="J2548" s="4" t="s">
        <v>133</v>
      </c>
      <c r="K2548" s="4" t="b">
        <v>0</v>
      </c>
      <c r="L2548" s="4" t="b">
        <v>0</v>
      </c>
    </row>
    <row r="2549" spans="1:12" ht="13">
      <c r="A2549" s="4" t="s">
        <v>7753</v>
      </c>
      <c r="B2549" s="4" t="s">
        <v>4951</v>
      </c>
      <c r="C2549" s="4" t="s">
        <v>108</v>
      </c>
      <c r="D2549" s="4" t="s">
        <v>4952</v>
      </c>
      <c r="E2549" s="4" t="s">
        <v>18</v>
      </c>
      <c r="F2549" s="4" t="s">
        <v>7754</v>
      </c>
      <c r="G2549" s="4" t="s">
        <v>7755</v>
      </c>
      <c r="H2549" s="4">
        <v>2.4900000000000002</v>
      </c>
      <c r="I2549" s="4" t="s">
        <v>133</v>
      </c>
      <c r="J2549" s="4" t="s">
        <v>133</v>
      </c>
      <c r="K2549" s="4" t="b">
        <v>0</v>
      </c>
      <c r="L2549" s="4" t="b">
        <v>0</v>
      </c>
    </row>
    <row r="2550" spans="1:12" ht="13">
      <c r="A2550" s="4" t="s">
        <v>7774</v>
      </c>
      <c r="B2550" s="4" t="s">
        <v>4951</v>
      </c>
      <c r="C2550" s="4" t="s">
        <v>108</v>
      </c>
      <c r="D2550" s="4" t="s">
        <v>4952</v>
      </c>
      <c r="E2550" s="4" t="s">
        <v>18</v>
      </c>
      <c r="F2550" s="4" t="s">
        <v>7775</v>
      </c>
      <c r="G2550" s="4" t="s">
        <v>7776</v>
      </c>
      <c r="H2550" s="4">
        <v>2.52</v>
      </c>
      <c r="I2550" s="4">
        <v>1.1599999999999999</v>
      </c>
      <c r="J2550" s="4" t="s">
        <v>133</v>
      </c>
      <c r="K2550" s="4" t="b">
        <v>0</v>
      </c>
      <c r="L2550" s="4" t="b">
        <v>0</v>
      </c>
    </row>
    <row r="2551" spans="1:12" ht="13">
      <c r="A2551" s="4" t="s">
        <v>7804</v>
      </c>
      <c r="B2551" s="4" t="s">
        <v>4951</v>
      </c>
      <c r="C2551" s="4" t="s">
        <v>108</v>
      </c>
      <c r="D2551" s="4" t="s">
        <v>4952</v>
      </c>
      <c r="E2551" s="4" t="s">
        <v>18</v>
      </c>
      <c r="F2551" s="4" t="s">
        <v>7805</v>
      </c>
      <c r="G2551" s="4" t="s">
        <v>7806</v>
      </c>
      <c r="H2551" s="4">
        <v>2.57</v>
      </c>
      <c r="I2551" s="4">
        <v>1.32</v>
      </c>
      <c r="J2551" s="4" t="s">
        <v>133</v>
      </c>
      <c r="K2551" s="4" t="b">
        <v>0</v>
      </c>
      <c r="L2551" s="4" t="b">
        <v>0</v>
      </c>
    </row>
    <row r="2552" spans="1:12" ht="13">
      <c r="A2552" s="4" t="s">
        <v>7822</v>
      </c>
      <c r="B2552" s="4" t="s">
        <v>4951</v>
      </c>
      <c r="C2552" s="4" t="s">
        <v>108</v>
      </c>
      <c r="D2552" s="4" t="s">
        <v>4952</v>
      </c>
      <c r="E2552" s="4" t="s">
        <v>18</v>
      </c>
      <c r="F2552" s="4" t="s">
        <v>7823</v>
      </c>
      <c r="G2552" s="4" t="s">
        <v>7824</v>
      </c>
      <c r="H2552" s="4">
        <v>2.59</v>
      </c>
      <c r="I2552" s="4">
        <v>1.28</v>
      </c>
      <c r="J2552" s="4" t="s">
        <v>133</v>
      </c>
      <c r="K2552" s="4" t="b">
        <v>0</v>
      </c>
      <c r="L2552" s="4" t="b">
        <v>0</v>
      </c>
    </row>
    <row r="2553" spans="1:12" ht="13">
      <c r="A2553" s="4" t="s">
        <v>7855</v>
      </c>
      <c r="B2553" s="4" t="s">
        <v>4951</v>
      </c>
      <c r="C2553" s="4" t="s">
        <v>108</v>
      </c>
      <c r="D2553" s="4" t="s">
        <v>4952</v>
      </c>
      <c r="E2553" s="4" t="s">
        <v>18</v>
      </c>
      <c r="F2553" s="4" t="s">
        <v>7856</v>
      </c>
      <c r="G2553" s="4" t="s">
        <v>7857</v>
      </c>
      <c r="H2553" s="4">
        <v>2.64</v>
      </c>
      <c r="I2553" s="4">
        <v>1.1299999999999999</v>
      </c>
      <c r="J2553" s="4" t="s">
        <v>133</v>
      </c>
      <c r="K2553" s="4" t="b">
        <v>0</v>
      </c>
      <c r="L2553" s="4" t="b">
        <v>0</v>
      </c>
    </row>
    <row r="2554" spans="1:12" ht="13">
      <c r="A2554" s="4" t="s">
        <v>7903</v>
      </c>
      <c r="B2554" s="4" t="s">
        <v>4951</v>
      </c>
      <c r="C2554" s="4" t="s">
        <v>108</v>
      </c>
      <c r="D2554" s="4" t="s">
        <v>4952</v>
      </c>
      <c r="E2554" s="4" t="s">
        <v>18</v>
      </c>
      <c r="F2554" s="4" t="s">
        <v>7904</v>
      </c>
      <c r="G2554" s="4" t="s">
        <v>7905</v>
      </c>
      <c r="H2554" s="4">
        <v>1.1200000000000001</v>
      </c>
      <c r="I2554" s="4">
        <v>1.29</v>
      </c>
      <c r="J2554" s="4" t="s">
        <v>133</v>
      </c>
      <c r="K2554" s="4" t="b">
        <v>0</v>
      </c>
      <c r="L2554" s="4" t="b">
        <v>0</v>
      </c>
    </row>
    <row r="2555" spans="1:12" ht="13">
      <c r="A2555" s="4" t="s">
        <v>7939</v>
      </c>
      <c r="B2555" s="4" t="s">
        <v>4951</v>
      </c>
      <c r="C2555" s="4" t="s">
        <v>108</v>
      </c>
      <c r="D2555" s="4" t="s">
        <v>4952</v>
      </c>
      <c r="E2555" s="4" t="s">
        <v>18</v>
      </c>
      <c r="F2555" s="4" t="s">
        <v>7940</v>
      </c>
      <c r="G2555" s="4" t="s">
        <v>7941</v>
      </c>
      <c r="H2555" s="4">
        <v>1.22</v>
      </c>
      <c r="I2555" s="4" t="s">
        <v>133</v>
      </c>
      <c r="J2555" s="4" t="s">
        <v>133</v>
      </c>
      <c r="K2555" s="4" t="b">
        <v>0</v>
      </c>
      <c r="L2555" s="4" t="b">
        <v>0</v>
      </c>
    </row>
    <row r="2556" spans="1:12" ht="13">
      <c r="A2556" s="4" t="s">
        <v>8073</v>
      </c>
      <c r="B2556" s="4" t="s">
        <v>4951</v>
      </c>
      <c r="C2556" s="4" t="s">
        <v>108</v>
      </c>
      <c r="D2556" s="4" t="s">
        <v>4952</v>
      </c>
      <c r="E2556" s="4" t="s">
        <v>18</v>
      </c>
      <c r="F2556" s="4" t="s">
        <v>8074</v>
      </c>
      <c r="G2556" s="4" t="s">
        <v>8075</v>
      </c>
      <c r="H2556" s="4">
        <v>1.53</v>
      </c>
      <c r="I2556" s="4">
        <v>1.1399999999999999</v>
      </c>
      <c r="J2556" s="4" t="s">
        <v>133</v>
      </c>
      <c r="K2556" s="4" t="b">
        <v>0</v>
      </c>
      <c r="L2556" s="4" t="b">
        <v>0</v>
      </c>
    </row>
    <row r="2557" spans="1:12" ht="13">
      <c r="A2557" s="4" t="s">
        <v>8103</v>
      </c>
      <c r="B2557" s="4" t="s">
        <v>4951</v>
      </c>
      <c r="C2557" s="4" t="s">
        <v>108</v>
      </c>
      <c r="D2557" s="41" t="s">
        <v>4952</v>
      </c>
      <c r="E2557" s="4" t="s">
        <v>18</v>
      </c>
      <c r="F2557" s="4" t="s">
        <v>8104</v>
      </c>
      <c r="G2557" s="4" t="s">
        <v>8105</v>
      </c>
      <c r="H2557" s="4">
        <v>1.6</v>
      </c>
      <c r="I2557" s="4">
        <v>1.32</v>
      </c>
      <c r="J2557" s="4" t="s">
        <v>133</v>
      </c>
      <c r="K2557" s="4" t="b">
        <v>0</v>
      </c>
      <c r="L2557" s="4" t="b">
        <v>0</v>
      </c>
    </row>
    <row r="2558" spans="1:12" ht="13">
      <c r="A2558" s="4" t="s">
        <v>8154</v>
      </c>
      <c r="B2558" s="4" t="s">
        <v>4951</v>
      </c>
      <c r="C2558" s="4" t="s">
        <v>108</v>
      </c>
      <c r="D2558" s="41" t="s">
        <v>4952</v>
      </c>
      <c r="E2558" s="4" t="s">
        <v>18</v>
      </c>
      <c r="F2558" s="4" t="s">
        <v>8155</v>
      </c>
      <c r="G2558" s="4" t="s">
        <v>8156</v>
      </c>
      <c r="H2558" s="4">
        <v>1.7</v>
      </c>
      <c r="I2558" s="4">
        <v>1.2</v>
      </c>
      <c r="J2558" s="4" t="s">
        <v>133</v>
      </c>
      <c r="K2558" s="4" t="b">
        <v>0</v>
      </c>
      <c r="L2558" s="4" t="b">
        <v>0</v>
      </c>
    </row>
    <row r="2559" spans="1:12" ht="13">
      <c r="A2559" s="4" t="s">
        <v>8313</v>
      </c>
      <c r="B2559" s="4" t="s">
        <v>4951</v>
      </c>
      <c r="C2559" s="4" t="s">
        <v>108</v>
      </c>
      <c r="D2559" s="4" t="s">
        <v>4952</v>
      </c>
      <c r="E2559" s="4" t="s">
        <v>18</v>
      </c>
      <c r="F2559" s="4" t="s">
        <v>8314</v>
      </c>
      <c r="G2559" s="4" t="s">
        <v>8315</v>
      </c>
      <c r="H2559" s="4">
        <v>2.2599999999999998</v>
      </c>
      <c r="I2559" s="4">
        <v>1.29</v>
      </c>
      <c r="J2559" s="4" t="s">
        <v>133</v>
      </c>
      <c r="K2559" s="4" t="b">
        <v>0</v>
      </c>
      <c r="L2559" s="4" t="b">
        <v>0</v>
      </c>
    </row>
    <row r="2560" spans="1:12" ht="13">
      <c r="A2560" s="4" t="s">
        <v>8484</v>
      </c>
      <c r="B2560" s="4" t="s">
        <v>4951</v>
      </c>
      <c r="C2560" s="4" t="s">
        <v>108</v>
      </c>
      <c r="D2560" s="4" t="s">
        <v>4952</v>
      </c>
      <c r="E2560" s="4" t="s">
        <v>18</v>
      </c>
      <c r="F2560" s="4" t="s">
        <v>8485</v>
      </c>
      <c r="G2560" s="4" t="s">
        <v>8486</v>
      </c>
      <c r="H2560" s="4">
        <v>2.76</v>
      </c>
      <c r="I2560" s="4" t="s">
        <v>133</v>
      </c>
      <c r="J2560" s="4" t="s">
        <v>133</v>
      </c>
      <c r="K2560" s="4" t="b">
        <v>0</v>
      </c>
      <c r="L2560" s="4" t="b">
        <v>0</v>
      </c>
    </row>
    <row r="2561" spans="1:12" ht="13">
      <c r="A2561" s="4" t="s">
        <v>8595</v>
      </c>
      <c r="B2561" s="4" t="s">
        <v>4951</v>
      </c>
      <c r="C2561" s="4" t="s">
        <v>108</v>
      </c>
      <c r="D2561" s="4" t="s">
        <v>4952</v>
      </c>
      <c r="E2561" s="4" t="s">
        <v>18</v>
      </c>
      <c r="F2561" s="4" t="s">
        <v>8596</v>
      </c>
      <c r="G2561" s="4" t="s">
        <v>8597</v>
      </c>
      <c r="H2561" s="4">
        <v>3</v>
      </c>
      <c r="I2561" s="4">
        <v>1.19</v>
      </c>
      <c r="J2561" s="4" t="s">
        <v>133</v>
      </c>
      <c r="K2561" s="4" t="b">
        <v>0</v>
      </c>
      <c r="L2561" s="4" t="b">
        <v>0</v>
      </c>
    </row>
    <row r="2562" spans="1:12" ht="13">
      <c r="A2562" s="4" t="s">
        <v>8646</v>
      </c>
      <c r="B2562" s="4" t="s">
        <v>4951</v>
      </c>
      <c r="C2562" s="4" t="s">
        <v>108</v>
      </c>
      <c r="D2562" s="4" t="s">
        <v>4952</v>
      </c>
      <c r="E2562" s="4" t="s">
        <v>18</v>
      </c>
      <c r="F2562" s="4" t="s">
        <v>8647</v>
      </c>
      <c r="G2562" s="4" t="s">
        <v>8648</v>
      </c>
      <c r="H2562" s="4">
        <v>3.11</v>
      </c>
      <c r="I2562" s="4">
        <v>1.6</v>
      </c>
      <c r="J2562" s="4" t="s">
        <v>133</v>
      </c>
      <c r="K2562" s="4" t="b">
        <v>0</v>
      </c>
      <c r="L2562" s="4" t="b">
        <v>0</v>
      </c>
    </row>
    <row r="2563" spans="1:12" ht="13">
      <c r="A2563" s="4" t="s">
        <v>8688</v>
      </c>
      <c r="B2563" s="4" t="s">
        <v>4951</v>
      </c>
      <c r="C2563" s="4" t="s">
        <v>108</v>
      </c>
      <c r="D2563" s="4" t="s">
        <v>4952</v>
      </c>
      <c r="E2563" s="4" t="s">
        <v>18</v>
      </c>
      <c r="F2563" s="4" t="s">
        <v>8689</v>
      </c>
      <c r="G2563" s="4" t="s">
        <v>8690</v>
      </c>
      <c r="H2563" s="4">
        <v>3.2</v>
      </c>
      <c r="I2563" s="4">
        <v>1.1100000000000001</v>
      </c>
      <c r="J2563" s="4" t="s">
        <v>133</v>
      </c>
      <c r="K2563" s="4" t="b">
        <v>0</v>
      </c>
      <c r="L2563" s="4" t="b">
        <v>0</v>
      </c>
    </row>
    <row r="2564" spans="1:12" ht="13">
      <c r="A2564" s="4" t="s">
        <v>8754</v>
      </c>
      <c r="B2564" s="4" t="s">
        <v>4951</v>
      </c>
      <c r="C2564" s="4" t="s">
        <v>108</v>
      </c>
      <c r="D2564" s="4" t="s">
        <v>4952</v>
      </c>
      <c r="E2564" s="4" t="s">
        <v>18</v>
      </c>
      <c r="F2564" s="4" t="s">
        <v>8755</v>
      </c>
      <c r="G2564" s="4" t="s">
        <v>8756</v>
      </c>
      <c r="H2564" s="4">
        <v>0.27</v>
      </c>
      <c r="I2564" s="4">
        <v>1.24</v>
      </c>
      <c r="J2564" s="4" t="s">
        <v>133</v>
      </c>
      <c r="K2564" s="4" t="b">
        <v>0</v>
      </c>
      <c r="L2564" s="4" t="b">
        <v>0</v>
      </c>
    </row>
    <row r="2565" spans="1:12" ht="13">
      <c r="A2565" s="4" t="s">
        <v>8757</v>
      </c>
      <c r="B2565" s="4" t="s">
        <v>4951</v>
      </c>
      <c r="C2565" s="4" t="s">
        <v>108</v>
      </c>
      <c r="D2565" s="4" t="s">
        <v>4952</v>
      </c>
      <c r="E2565" s="4" t="s">
        <v>18</v>
      </c>
      <c r="F2565" s="4" t="s">
        <v>8758</v>
      </c>
      <c r="G2565" s="4" t="s">
        <v>8759</v>
      </c>
      <c r="H2565" s="4">
        <v>0.28000000000000003</v>
      </c>
      <c r="I2565" s="4" t="s">
        <v>133</v>
      </c>
      <c r="J2565" s="4" t="s">
        <v>133</v>
      </c>
      <c r="K2565" s="4" t="b">
        <v>0</v>
      </c>
      <c r="L2565" s="4" t="b">
        <v>0</v>
      </c>
    </row>
    <row r="2566" spans="1:12" ht="13">
      <c r="A2566" s="4" t="s">
        <v>8781</v>
      </c>
      <c r="B2566" s="4" t="s">
        <v>4951</v>
      </c>
      <c r="C2566" s="4" t="s">
        <v>108</v>
      </c>
      <c r="D2566" s="4" t="s">
        <v>4952</v>
      </c>
      <c r="E2566" s="4" t="s">
        <v>18</v>
      </c>
      <c r="F2566" s="4" t="s">
        <v>8782</v>
      </c>
      <c r="G2566" s="4" t="s">
        <v>8783</v>
      </c>
      <c r="H2566" s="4">
        <v>0.31</v>
      </c>
      <c r="I2566" s="4" t="s">
        <v>133</v>
      </c>
      <c r="J2566" s="4" t="s">
        <v>133</v>
      </c>
      <c r="K2566" s="4" t="b">
        <v>0</v>
      </c>
      <c r="L2566" s="4" t="b">
        <v>0</v>
      </c>
    </row>
    <row r="2567" spans="1:12" ht="13">
      <c r="A2567" s="4" t="s">
        <v>8793</v>
      </c>
      <c r="B2567" s="4" t="s">
        <v>4951</v>
      </c>
      <c r="C2567" s="4" t="s">
        <v>108</v>
      </c>
      <c r="D2567" s="4" t="s">
        <v>4952</v>
      </c>
      <c r="E2567" s="4" t="s">
        <v>18</v>
      </c>
      <c r="F2567" s="4" t="s">
        <v>8794</v>
      </c>
      <c r="G2567" s="4" t="s">
        <v>8795</v>
      </c>
      <c r="H2567" s="4">
        <v>0.33</v>
      </c>
      <c r="I2567" s="4">
        <v>1.0900000000000001</v>
      </c>
      <c r="J2567" s="4" t="s">
        <v>133</v>
      </c>
      <c r="K2567" s="4" t="b">
        <v>0</v>
      </c>
      <c r="L2567" s="4" t="b">
        <v>0</v>
      </c>
    </row>
    <row r="2568" spans="1:12" ht="13">
      <c r="A2568" s="4" t="s">
        <v>8919</v>
      </c>
      <c r="B2568" s="4" t="s">
        <v>4951</v>
      </c>
      <c r="C2568" s="4" t="s">
        <v>108</v>
      </c>
      <c r="D2568" s="4" t="s">
        <v>4952</v>
      </c>
      <c r="E2568" s="4" t="s">
        <v>18</v>
      </c>
      <c r="F2568" s="41" t="s">
        <v>8920</v>
      </c>
      <c r="G2568" s="4" t="s">
        <v>8921</v>
      </c>
      <c r="H2568" s="4">
        <v>0.52</v>
      </c>
      <c r="I2568" s="4" t="s">
        <v>133</v>
      </c>
      <c r="J2568" s="4" t="s">
        <v>133</v>
      </c>
      <c r="K2568" s="4" t="b">
        <v>0</v>
      </c>
      <c r="L2568" s="4" t="b">
        <v>0</v>
      </c>
    </row>
    <row r="2569" spans="1:12" ht="13">
      <c r="A2569" s="4" t="s">
        <v>8976</v>
      </c>
      <c r="B2569" s="4" t="s">
        <v>4951</v>
      </c>
      <c r="C2569" s="4" t="s">
        <v>108</v>
      </c>
      <c r="D2569" s="4" t="s">
        <v>4952</v>
      </c>
      <c r="E2569" s="4" t="s">
        <v>18</v>
      </c>
      <c r="F2569" s="4" t="s">
        <v>8977</v>
      </c>
      <c r="G2569" s="4" t="s">
        <v>8978</v>
      </c>
      <c r="H2569" s="4">
        <v>0.61</v>
      </c>
      <c r="I2569" s="4">
        <v>1.1499999999999999</v>
      </c>
      <c r="J2569" s="4" t="s">
        <v>133</v>
      </c>
      <c r="K2569" s="4" t="b">
        <v>0</v>
      </c>
      <c r="L2569" s="4" t="b">
        <v>0</v>
      </c>
    </row>
    <row r="2570" spans="1:12" ht="13">
      <c r="A2570" s="4" t="s">
        <v>9042</v>
      </c>
      <c r="B2570" s="4" t="s">
        <v>4951</v>
      </c>
      <c r="C2570" s="4" t="s">
        <v>108</v>
      </c>
      <c r="D2570" s="4" t="s">
        <v>4952</v>
      </c>
      <c r="E2570" s="4" t="s">
        <v>18</v>
      </c>
      <c r="F2570" s="41" t="s">
        <v>9043</v>
      </c>
      <c r="G2570" s="4" t="s">
        <v>9044</v>
      </c>
      <c r="H2570" s="4">
        <v>0.8</v>
      </c>
      <c r="I2570" s="4">
        <v>1.34</v>
      </c>
      <c r="J2570" s="4" t="s">
        <v>133</v>
      </c>
      <c r="K2570" s="4" t="b">
        <v>0</v>
      </c>
      <c r="L2570" s="4" t="b">
        <v>0</v>
      </c>
    </row>
    <row r="2571" spans="1:12" ht="13">
      <c r="A2571" s="4" t="s">
        <v>9225</v>
      </c>
      <c r="B2571" s="4" t="s">
        <v>4951</v>
      </c>
      <c r="C2571" s="4" t="s">
        <v>108</v>
      </c>
      <c r="D2571" s="4" t="s">
        <v>4952</v>
      </c>
      <c r="E2571" s="4" t="s">
        <v>2911</v>
      </c>
      <c r="F2571" s="4" t="s">
        <v>9226</v>
      </c>
      <c r="G2571" s="4" t="s">
        <v>9227</v>
      </c>
      <c r="H2571" s="4">
        <v>1.65</v>
      </c>
      <c r="I2571" s="4" t="s">
        <v>133</v>
      </c>
      <c r="J2571" s="4" t="s">
        <v>133</v>
      </c>
      <c r="K2571" s="4" t="b">
        <v>0</v>
      </c>
      <c r="L2571" s="4" t="b">
        <v>0</v>
      </c>
    </row>
    <row r="2572" spans="1:12" ht="13">
      <c r="A2572" s="4" t="s">
        <v>9869</v>
      </c>
      <c r="B2572" s="4" t="s">
        <v>4951</v>
      </c>
      <c r="C2572" s="4" t="s">
        <v>108</v>
      </c>
      <c r="D2572" s="4" t="s">
        <v>4952</v>
      </c>
      <c r="E2572" s="4" t="s">
        <v>2911</v>
      </c>
      <c r="F2572" s="4" t="s">
        <v>9870</v>
      </c>
      <c r="G2572" s="4" t="s">
        <v>9871</v>
      </c>
      <c r="H2572" s="4">
        <v>2.54</v>
      </c>
      <c r="I2572" s="4" t="s">
        <v>133</v>
      </c>
      <c r="J2572" s="4" t="s">
        <v>133</v>
      </c>
      <c r="K2572" s="4" t="b">
        <v>0</v>
      </c>
      <c r="L2572" s="4" t="b">
        <v>0</v>
      </c>
    </row>
    <row r="2573" spans="1:12" ht="13">
      <c r="A2573" s="4" t="s">
        <v>9953</v>
      </c>
      <c r="B2573" s="4" t="s">
        <v>4951</v>
      </c>
      <c r="C2573" s="4" t="s">
        <v>108</v>
      </c>
      <c r="D2573" s="4" t="s">
        <v>4952</v>
      </c>
      <c r="E2573" s="4" t="s">
        <v>2911</v>
      </c>
      <c r="F2573" s="4" t="s">
        <v>9954</v>
      </c>
      <c r="G2573" s="4" t="s">
        <v>9955</v>
      </c>
      <c r="H2573" s="4">
        <v>1.56</v>
      </c>
      <c r="I2573" s="4">
        <v>3.6</v>
      </c>
      <c r="J2573" s="4" t="s">
        <v>133</v>
      </c>
      <c r="K2573" s="4" t="b">
        <v>0</v>
      </c>
      <c r="L2573" s="4" t="b">
        <v>0</v>
      </c>
    </row>
    <row r="2574" spans="1:12" ht="13">
      <c r="A2574" s="4" t="s">
        <v>9998</v>
      </c>
      <c r="B2574" s="4" t="s">
        <v>4951</v>
      </c>
      <c r="C2574" s="4" t="s">
        <v>108</v>
      </c>
      <c r="D2574" s="4" t="s">
        <v>4952</v>
      </c>
      <c r="E2574" s="4" t="s">
        <v>2911</v>
      </c>
      <c r="F2574" s="4" t="s">
        <v>9999</v>
      </c>
      <c r="G2574" s="4" t="s">
        <v>10000</v>
      </c>
      <c r="H2574" s="4">
        <v>1.73</v>
      </c>
      <c r="I2574" s="4">
        <v>1.1599999999999999</v>
      </c>
      <c r="J2574" s="4" t="s">
        <v>133</v>
      </c>
      <c r="K2574" s="4" t="b">
        <v>0</v>
      </c>
      <c r="L2574" s="4" t="b">
        <v>0</v>
      </c>
    </row>
    <row r="2575" spans="1:12" ht="13">
      <c r="A2575" s="4" t="s">
        <v>10100</v>
      </c>
      <c r="B2575" s="4" t="s">
        <v>4951</v>
      </c>
      <c r="C2575" s="4" t="s">
        <v>108</v>
      </c>
      <c r="D2575" s="4" t="s">
        <v>4952</v>
      </c>
      <c r="E2575" s="4" t="s">
        <v>2911</v>
      </c>
      <c r="F2575" s="4" t="s">
        <v>10101</v>
      </c>
      <c r="G2575" s="4" t="s">
        <v>10102</v>
      </c>
      <c r="H2575" s="4">
        <v>2.0499999999999998</v>
      </c>
      <c r="I2575" s="4">
        <v>1.08</v>
      </c>
      <c r="J2575" s="4" t="s">
        <v>133</v>
      </c>
      <c r="K2575" s="4" t="b">
        <v>0</v>
      </c>
      <c r="L2575" s="4" t="b">
        <v>0</v>
      </c>
    </row>
    <row r="2576" spans="1:12" ht="13">
      <c r="A2576" s="4" t="s">
        <v>10274</v>
      </c>
      <c r="B2576" s="4" t="s">
        <v>4951</v>
      </c>
      <c r="C2576" s="4" t="s">
        <v>108</v>
      </c>
      <c r="D2576" s="4" t="s">
        <v>4952</v>
      </c>
      <c r="E2576" s="4" t="s">
        <v>2911</v>
      </c>
      <c r="F2576" s="4" t="s">
        <v>10275</v>
      </c>
      <c r="G2576" s="4" t="s">
        <v>10276</v>
      </c>
      <c r="H2576" s="4">
        <v>2.67</v>
      </c>
      <c r="I2576" s="4" t="s">
        <v>133</v>
      </c>
      <c r="J2576" s="4" t="s">
        <v>133</v>
      </c>
      <c r="K2576" s="4" t="b">
        <v>0</v>
      </c>
      <c r="L2576" s="4" t="b">
        <v>0</v>
      </c>
    </row>
    <row r="2577" spans="1:12" ht="13">
      <c r="A2577" s="4" t="s">
        <v>10307</v>
      </c>
      <c r="B2577" s="4" t="s">
        <v>4951</v>
      </c>
      <c r="C2577" s="4" t="s">
        <v>108</v>
      </c>
      <c r="D2577" s="4" t="s">
        <v>4952</v>
      </c>
      <c r="E2577" s="4" t="s">
        <v>2911</v>
      </c>
      <c r="F2577" s="4" t="s">
        <v>10308</v>
      </c>
      <c r="G2577" s="4" t="s">
        <v>10309</v>
      </c>
      <c r="H2577" s="4">
        <v>2.77</v>
      </c>
      <c r="I2577" s="4" t="s">
        <v>133</v>
      </c>
      <c r="J2577" s="4" t="s">
        <v>133</v>
      </c>
      <c r="K2577" s="4" t="b">
        <v>0</v>
      </c>
      <c r="L2577" s="4" t="b">
        <v>0</v>
      </c>
    </row>
    <row r="2578" spans="1:12" ht="13">
      <c r="A2578" s="4" t="s">
        <v>10471</v>
      </c>
      <c r="B2578" s="4" t="s">
        <v>4951</v>
      </c>
      <c r="C2578" s="4" t="s">
        <v>108</v>
      </c>
      <c r="D2578" s="4" t="s">
        <v>4952</v>
      </c>
      <c r="E2578" s="4" t="s">
        <v>2911</v>
      </c>
      <c r="F2578" s="4" t="s">
        <v>10472</v>
      </c>
      <c r="G2578" s="4" t="s">
        <v>10473</v>
      </c>
      <c r="H2578" s="4">
        <v>2.14</v>
      </c>
      <c r="I2578" s="4">
        <v>2.2000000000000002</v>
      </c>
      <c r="J2578" s="4">
        <v>0.59094999999999998</v>
      </c>
      <c r="K2578" s="4" t="b">
        <v>0</v>
      </c>
      <c r="L2578" s="4" t="b">
        <v>0</v>
      </c>
    </row>
    <row r="2579" spans="1:12" ht="13">
      <c r="A2579" s="4" t="s">
        <v>10944</v>
      </c>
      <c r="B2579" s="4" t="s">
        <v>4951</v>
      </c>
      <c r="C2579" s="4" t="s">
        <v>108</v>
      </c>
      <c r="D2579" s="4" t="s">
        <v>4952</v>
      </c>
      <c r="E2579" s="4" t="s">
        <v>2911</v>
      </c>
      <c r="F2579" s="4" t="s">
        <v>10945</v>
      </c>
      <c r="G2579" s="4" t="s">
        <v>10946</v>
      </c>
      <c r="H2579" s="4">
        <v>2.2000000000000002</v>
      </c>
      <c r="I2579" s="4" t="s">
        <v>133</v>
      </c>
      <c r="J2579" s="4" t="s">
        <v>133</v>
      </c>
      <c r="K2579" s="4" t="b">
        <v>0</v>
      </c>
      <c r="L2579" s="4" t="b">
        <v>0</v>
      </c>
    </row>
    <row r="2580" spans="1:12" ht="13">
      <c r="A2580" s="4" t="s">
        <v>11214</v>
      </c>
      <c r="B2580" s="4" t="s">
        <v>4951</v>
      </c>
      <c r="C2580" s="4" t="s">
        <v>108</v>
      </c>
      <c r="D2580" s="4" t="s">
        <v>4952</v>
      </c>
      <c r="E2580" s="4" t="s">
        <v>23</v>
      </c>
      <c r="F2580" s="4" t="s">
        <v>11215</v>
      </c>
      <c r="G2580" s="4" t="s">
        <v>11216</v>
      </c>
      <c r="H2580" s="4">
        <v>2.16</v>
      </c>
      <c r="I2580" s="4" t="s">
        <v>133</v>
      </c>
      <c r="J2580" s="4" t="s">
        <v>133</v>
      </c>
      <c r="K2580" s="4" t="b">
        <v>0</v>
      </c>
      <c r="L2580" s="4" t="b">
        <v>0</v>
      </c>
    </row>
    <row r="2581" spans="1:12" ht="13">
      <c r="A2581" s="4" t="s">
        <v>11427</v>
      </c>
      <c r="B2581" s="4" t="s">
        <v>4951</v>
      </c>
      <c r="C2581" s="4" t="s">
        <v>108</v>
      </c>
      <c r="D2581" s="4" t="s">
        <v>4952</v>
      </c>
      <c r="E2581" s="4" t="s">
        <v>19</v>
      </c>
      <c r="F2581" s="4" t="s">
        <v>11428</v>
      </c>
      <c r="G2581" s="4" t="s">
        <v>11429</v>
      </c>
      <c r="H2581" s="4">
        <v>2.76</v>
      </c>
      <c r="I2581" s="4" t="s">
        <v>133</v>
      </c>
      <c r="J2581" s="4" t="s">
        <v>133</v>
      </c>
      <c r="K2581" s="4" t="b">
        <v>0</v>
      </c>
      <c r="L2581" s="4" t="b">
        <v>0</v>
      </c>
    </row>
    <row r="2582" spans="1:12" ht="13">
      <c r="A2582" s="4" t="s">
        <v>11514</v>
      </c>
      <c r="B2582" s="4" t="s">
        <v>4951</v>
      </c>
      <c r="C2582" s="4" t="s">
        <v>108</v>
      </c>
      <c r="D2582" s="4" t="s">
        <v>4952</v>
      </c>
      <c r="E2582" s="4" t="s">
        <v>19</v>
      </c>
      <c r="F2582" s="4" t="s">
        <v>11515</v>
      </c>
      <c r="G2582" s="4" t="s">
        <v>11516</v>
      </c>
      <c r="H2582" s="4">
        <v>1.64</v>
      </c>
      <c r="I2582" s="4">
        <v>1.08</v>
      </c>
      <c r="J2582" s="4" t="s">
        <v>133</v>
      </c>
      <c r="K2582" s="4" t="b">
        <v>0</v>
      </c>
      <c r="L2582" s="4" t="b">
        <v>0</v>
      </c>
    </row>
    <row r="2583" spans="1:12" ht="13">
      <c r="A2583" s="4" t="s">
        <v>11565</v>
      </c>
      <c r="B2583" s="4" t="s">
        <v>4951</v>
      </c>
      <c r="C2583" s="4" t="s">
        <v>108</v>
      </c>
      <c r="D2583" s="4" t="s">
        <v>4952</v>
      </c>
      <c r="E2583" s="4" t="s">
        <v>19</v>
      </c>
      <c r="F2583" s="4" t="s">
        <v>11566</v>
      </c>
      <c r="G2583" s="4" t="s">
        <v>11567</v>
      </c>
      <c r="H2583" s="4">
        <v>1.76</v>
      </c>
      <c r="I2583" s="4" t="s">
        <v>133</v>
      </c>
      <c r="J2583" s="4" t="s">
        <v>133</v>
      </c>
      <c r="K2583" s="4" t="b">
        <v>0</v>
      </c>
      <c r="L2583" s="4" t="b">
        <v>0</v>
      </c>
    </row>
    <row r="2584" spans="1:12" ht="13">
      <c r="A2584" s="4" t="s">
        <v>11577</v>
      </c>
      <c r="B2584" s="4" t="s">
        <v>4951</v>
      </c>
      <c r="C2584" s="4" t="s">
        <v>108</v>
      </c>
      <c r="D2584" s="4" t="s">
        <v>4952</v>
      </c>
      <c r="E2584" s="4" t="s">
        <v>19</v>
      </c>
      <c r="F2584" s="4" t="s">
        <v>11578</v>
      </c>
      <c r="G2584" s="4" t="s">
        <v>11579</v>
      </c>
      <c r="H2584" s="4">
        <v>1.79</v>
      </c>
      <c r="I2584" s="4" t="s">
        <v>133</v>
      </c>
      <c r="J2584" s="4" t="s">
        <v>133</v>
      </c>
      <c r="K2584" s="4" t="b">
        <v>0</v>
      </c>
      <c r="L2584" s="4" t="b">
        <v>0</v>
      </c>
    </row>
    <row r="2585" spans="1:12" ht="13">
      <c r="A2585" s="4" t="s">
        <v>5434</v>
      </c>
      <c r="B2585" s="4" t="s">
        <v>4951</v>
      </c>
      <c r="C2585" s="4" t="s">
        <v>108</v>
      </c>
      <c r="D2585" s="4" t="s">
        <v>4952</v>
      </c>
      <c r="E2585" s="4" t="s">
        <v>19</v>
      </c>
      <c r="F2585" s="41" t="s">
        <v>5435</v>
      </c>
      <c r="G2585" s="4" t="s">
        <v>5436</v>
      </c>
      <c r="H2585" s="4">
        <v>1.84</v>
      </c>
      <c r="I2585" s="4" t="s">
        <v>133</v>
      </c>
      <c r="J2585" s="4" t="s">
        <v>133</v>
      </c>
      <c r="K2585" s="4" t="b">
        <v>0</v>
      </c>
      <c r="L2585" s="4" t="b">
        <v>0</v>
      </c>
    </row>
    <row r="2586" spans="1:12" ht="13">
      <c r="A2586" s="4" t="s">
        <v>11826</v>
      </c>
      <c r="B2586" s="4" t="s">
        <v>4951</v>
      </c>
      <c r="C2586" s="4" t="s">
        <v>108</v>
      </c>
      <c r="D2586" s="4" t="s">
        <v>4952</v>
      </c>
      <c r="E2586" s="4" t="s">
        <v>22</v>
      </c>
      <c r="F2586" s="4" t="s">
        <v>11827</v>
      </c>
      <c r="G2586" s="4" t="s">
        <v>11828</v>
      </c>
      <c r="H2586" s="4">
        <v>2.62</v>
      </c>
      <c r="I2586" s="4" t="s">
        <v>133</v>
      </c>
      <c r="J2586" s="4" t="s">
        <v>133</v>
      </c>
      <c r="K2586" s="4" t="b">
        <v>0</v>
      </c>
      <c r="L2586" s="4" t="b">
        <v>0</v>
      </c>
    </row>
    <row r="2587" spans="1:12" ht="13">
      <c r="A2587" s="4" t="s">
        <v>12189</v>
      </c>
      <c r="B2587" s="4" t="s">
        <v>4951</v>
      </c>
      <c r="C2587" s="4" t="s">
        <v>108</v>
      </c>
      <c r="D2587" s="4" t="s">
        <v>4952</v>
      </c>
      <c r="E2587" s="4" t="s">
        <v>17</v>
      </c>
      <c r="F2587" s="41" t="s">
        <v>12190</v>
      </c>
      <c r="G2587" s="4" t="s">
        <v>12191</v>
      </c>
      <c r="H2587" s="4">
        <v>2.68</v>
      </c>
      <c r="I2587" s="4">
        <v>1.84</v>
      </c>
      <c r="J2587" s="4" t="s">
        <v>133</v>
      </c>
      <c r="K2587" s="4" t="b">
        <v>0</v>
      </c>
      <c r="L2587" s="4" t="b">
        <v>0</v>
      </c>
    </row>
    <row r="2588" spans="1:12" ht="13">
      <c r="A2588" s="4" t="s">
        <v>12228</v>
      </c>
      <c r="B2588" s="4" t="s">
        <v>4951</v>
      </c>
      <c r="C2588" s="4" t="s">
        <v>108</v>
      </c>
      <c r="D2588" s="4" t="s">
        <v>4952</v>
      </c>
      <c r="E2588" s="4" t="s">
        <v>17</v>
      </c>
      <c r="F2588" s="4" t="s">
        <v>12229</v>
      </c>
      <c r="G2588" s="4" t="s">
        <v>12230</v>
      </c>
      <c r="H2588" s="4">
        <v>2.78</v>
      </c>
      <c r="I2588" s="4" t="s">
        <v>133</v>
      </c>
      <c r="J2588" s="4" t="s">
        <v>133</v>
      </c>
      <c r="K2588" s="4" t="b">
        <v>0</v>
      </c>
      <c r="L2588" s="4" t="b">
        <v>0</v>
      </c>
    </row>
    <row r="2589" spans="1:12" ht="13">
      <c r="A2589" s="4" t="s">
        <v>12243</v>
      </c>
      <c r="B2589" s="4" t="s">
        <v>4951</v>
      </c>
      <c r="C2589" s="4" t="s">
        <v>108</v>
      </c>
      <c r="E2589" s="4" t="s">
        <v>18</v>
      </c>
      <c r="F2589" s="4" t="s">
        <v>12244</v>
      </c>
      <c r="G2589" s="4" t="s">
        <v>12245</v>
      </c>
      <c r="H2589" s="4">
        <v>1.05</v>
      </c>
      <c r="I2589" s="4" t="s">
        <v>133</v>
      </c>
      <c r="J2589" s="4" t="s">
        <v>133</v>
      </c>
      <c r="K2589" s="4" t="b">
        <v>0</v>
      </c>
      <c r="L2589" s="4" t="b">
        <v>0</v>
      </c>
    </row>
    <row r="2590" spans="1:12" ht="13">
      <c r="A2590" s="4" t="s">
        <v>12246</v>
      </c>
      <c r="B2590" s="4" t="s">
        <v>4951</v>
      </c>
      <c r="C2590" s="4" t="s">
        <v>108</v>
      </c>
      <c r="E2590" s="4" t="s">
        <v>18</v>
      </c>
      <c r="F2590" s="4" t="s">
        <v>12247</v>
      </c>
      <c r="G2590" s="4" t="s">
        <v>12248</v>
      </c>
      <c r="H2590" s="4">
        <v>0.84</v>
      </c>
      <c r="I2590" s="4" t="s">
        <v>133</v>
      </c>
      <c r="J2590" s="4" t="s">
        <v>133</v>
      </c>
      <c r="K2590" s="4" t="b">
        <v>0</v>
      </c>
      <c r="L2590" s="4" t="b">
        <v>0</v>
      </c>
    </row>
    <row r="2591" spans="1:12" ht="13">
      <c r="A2591" s="4" t="s">
        <v>12249</v>
      </c>
      <c r="B2591" s="4" t="s">
        <v>4926</v>
      </c>
      <c r="C2591" s="4" t="s">
        <v>108</v>
      </c>
      <c r="E2591" s="4" t="s">
        <v>8</v>
      </c>
      <c r="F2591" s="4" t="s">
        <v>12250</v>
      </c>
      <c r="G2591" s="4" t="s">
        <v>12251</v>
      </c>
      <c r="H2591" s="4" t="s">
        <v>133</v>
      </c>
      <c r="I2591" s="4" t="s">
        <v>133</v>
      </c>
      <c r="J2591" s="4" t="s">
        <v>133</v>
      </c>
      <c r="K2591" s="4" t="b">
        <v>0</v>
      </c>
      <c r="L2591" s="4" t="b">
        <v>0</v>
      </c>
    </row>
    <row r="2592" spans="1:12" ht="13">
      <c r="A2592" s="4" t="s">
        <v>12252</v>
      </c>
      <c r="B2592" s="4" t="s">
        <v>4926</v>
      </c>
      <c r="C2592" s="4" t="s">
        <v>108</v>
      </c>
      <c r="E2592" s="4" t="s">
        <v>8</v>
      </c>
      <c r="F2592" s="4" t="s">
        <v>12253</v>
      </c>
      <c r="G2592" s="4" t="s">
        <v>12254</v>
      </c>
      <c r="H2592" s="4" t="s">
        <v>133</v>
      </c>
      <c r="I2592" s="4" t="s">
        <v>133</v>
      </c>
      <c r="J2592" s="4" t="s">
        <v>133</v>
      </c>
      <c r="K2592" s="4" t="b">
        <v>0</v>
      </c>
      <c r="L2592" s="4" t="b">
        <v>0</v>
      </c>
    </row>
    <row r="2593" spans="1:12" ht="13">
      <c r="A2593" s="4" t="s">
        <v>12255</v>
      </c>
      <c r="B2593" s="4" t="s">
        <v>4926</v>
      </c>
      <c r="C2593" s="4" t="s">
        <v>108</v>
      </c>
      <c r="E2593" s="4" t="s">
        <v>9</v>
      </c>
      <c r="F2593" s="4" t="s">
        <v>5047</v>
      </c>
      <c r="G2593" s="4" t="s">
        <v>783</v>
      </c>
      <c r="H2593" s="4" t="s">
        <v>133</v>
      </c>
      <c r="I2593" s="4" t="s">
        <v>133</v>
      </c>
      <c r="J2593" s="4" t="s">
        <v>133</v>
      </c>
      <c r="K2593" s="4" t="b">
        <v>0</v>
      </c>
      <c r="L2593" s="4" t="b">
        <v>0</v>
      </c>
    </row>
    <row r="2594" spans="1:12" ht="13">
      <c r="A2594" s="4" t="s">
        <v>12256</v>
      </c>
      <c r="B2594" s="4" t="s">
        <v>4926</v>
      </c>
      <c r="C2594" s="4" t="s">
        <v>108</v>
      </c>
      <c r="E2594" s="4" t="s">
        <v>9</v>
      </c>
      <c r="F2594" s="4" t="s">
        <v>12257</v>
      </c>
      <c r="G2594" s="4" t="s">
        <v>12258</v>
      </c>
      <c r="H2594" s="4" t="s">
        <v>133</v>
      </c>
      <c r="I2594" s="4" t="s">
        <v>133</v>
      </c>
      <c r="J2594" s="4" t="s">
        <v>133</v>
      </c>
      <c r="K2594" s="4" t="b">
        <v>0</v>
      </c>
      <c r="L2594" s="4" t="b">
        <v>0</v>
      </c>
    </row>
    <row r="2595" spans="1:12" ht="13">
      <c r="A2595" s="4"/>
      <c r="F2595" s="4"/>
      <c r="H2595" s="4"/>
      <c r="I2595" s="4"/>
      <c r="K2595" s="4"/>
    </row>
    <row r="2596" spans="1:12" ht="13">
      <c r="A2596" s="4"/>
      <c r="F2596" s="4"/>
      <c r="H2596" s="4"/>
      <c r="I2596" s="4"/>
      <c r="K2596" s="4"/>
    </row>
    <row r="2597" spans="1:12" ht="13">
      <c r="A2597" s="4"/>
      <c r="B2597" s="4"/>
      <c r="C2597" s="4"/>
      <c r="D2597" s="4"/>
      <c r="E2597" s="4"/>
      <c r="F2597" s="4"/>
      <c r="H2597" s="4"/>
      <c r="I2597" s="4"/>
      <c r="K2597" s="4"/>
    </row>
    <row r="2598" spans="1:12" ht="13">
      <c r="A2598" s="4"/>
      <c r="B2598" s="4"/>
      <c r="C2598" s="4"/>
      <c r="D2598" s="4"/>
      <c r="E2598" s="4"/>
      <c r="F2598" s="4"/>
      <c r="H2598" s="4"/>
      <c r="I2598" s="4"/>
      <c r="K2598" s="4"/>
    </row>
    <row r="2599" spans="1:12" ht="13">
      <c r="A2599" s="4"/>
      <c r="B2599" s="4"/>
      <c r="C2599" s="4"/>
      <c r="D2599" s="4"/>
      <c r="E2599" s="4"/>
      <c r="F2599" s="4"/>
      <c r="H2599" s="4"/>
      <c r="I2599" s="4"/>
      <c r="K2599" s="4"/>
    </row>
    <row r="2600" spans="1:12" ht="13">
      <c r="A2600" s="4"/>
      <c r="B2600" s="4"/>
      <c r="C2600" s="4"/>
      <c r="D2600" s="4"/>
      <c r="E2600" s="4"/>
      <c r="F2600" s="4"/>
      <c r="H2600" s="4"/>
      <c r="I2600" s="4"/>
      <c r="K2600" s="4"/>
    </row>
    <row r="2601" spans="1:12" ht="13">
      <c r="A2601" s="4"/>
      <c r="B2601" s="4"/>
      <c r="C2601" s="4"/>
      <c r="D2601" s="4"/>
      <c r="E2601" s="4"/>
      <c r="F2601" s="4"/>
      <c r="H2601" s="4"/>
      <c r="I2601" s="4"/>
      <c r="K2601" s="4"/>
    </row>
    <row r="2602" spans="1:12" ht="13">
      <c r="A2602" s="4"/>
      <c r="B2602" s="4"/>
      <c r="C2602" s="4"/>
      <c r="D2602" s="4"/>
      <c r="E2602" s="4"/>
      <c r="F2602" s="4"/>
      <c r="H2602" s="4"/>
      <c r="I2602" s="4"/>
      <c r="K2602" s="4"/>
    </row>
    <row r="2603" spans="1:12" ht="13">
      <c r="A2603" s="4"/>
      <c r="B2603" s="4"/>
      <c r="C2603" s="4"/>
      <c r="D2603" s="4"/>
      <c r="E2603" s="4"/>
      <c r="F2603" s="4"/>
      <c r="H2603" s="4"/>
      <c r="I2603" s="4"/>
      <c r="K2603" s="4"/>
    </row>
    <row r="2604" spans="1:12" ht="13">
      <c r="A2604" s="4"/>
      <c r="B2604" s="4"/>
      <c r="C2604" s="4"/>
      <c r="D2604" s="4"/>
      <c r="E2604" s="4"/>
      <c r="F2604" s="4"/>
      <c r="H2604" s="4"/>
      <c r="I2604" s="4"/>
      <c r="K2604" s="4"/>
    </row>
    <row r="2605" spans="1:12" ht="13">
      <c r="A2605" s="4"/>
      <c r="B2605" s="4"/>
      <c r="C2605" s="4"/>
      <c r="D2605" s="4"/>
      <c r="E2605" s="4"/>
      <c r="F2605" s="4"/>
      <c r="H2605" s="4"/>
      <c r="I2605" s="4"/>
      <c r="K2605" s="4"/>
    </row>
    <row r="2606" spans="1:12" ht="13">
      <c r="A2606" s="4"/>
      <c r="B2606" s="4"/>
      <c r="C2606" s="4"/>
      <c r="D2606" s="4"/>
      <c r="E2606" s="4"/>
      <c r="F2606" s="4"/>
      <c r="H2606" s="4"/>
      <c r="I2606" s="4"/>
      <c r="K2606" s="4"/>
    </row>
    <row r="2607" spans="1:12" ht="13">
      <c r="A2607" s="4"/>
      <c r="B2607" s="4"/>
      <c r="C2607" s="4"/>
      <c r="D2607" s="4"/>
      <c r="E2607" s="4"/>
      <c r="F2607" s="4"/>
      <c r="H2607" s="4"/>
      <c r="I2607" s="4"/>
      <c r="K2607" s="4"/>
    </row>
    <row r="2608" spans="1:12" ht="13">
      <c r="A2608" s="4"/>
      <c r="B2608" s="4"/>
      <c r="C2608" s="4"/>
      <c r="D2608" s="4"/>
      <c r="E2608" s="4"/>
      <c r="F2608" s="4"/>
      <c r="H2608" s="4"/>
      <c r="I2608" s="4"/>
      <c r="K2608" s="4"/>
    </row>
    <row r="2609" spans="1:11" ht="13">
      <c r="A2609" s="4"/>
      <c r="B2609" s="4"/>
      <c r="C2609" s="4"/>
      <c r="D2609" s="4"/>
      <c r="E2609" s="4"/>
      <c r="F2609" s="4"/>
      <c r="H2609" s="4"/>
      <c r="I2609" s="4"/>
      <c r="K2609" s="4"/>
    </row>
    <row r="2610" spans="1:11" ht="13">
      <c r="A2610" s="4"/>
      <c r="B2610" s="4"/>
      <c r="C2610" s="4"/>
      <c r="D2610" s="4"/>
      <c r="E2610" s="4"/>
      <c r="F2610" s="4"/>
      <c r="H2610" s="4"/>
      <c r="I2610" s="4"/>
      <c r="K2610" s="4"/>
    </row>
    <row r="2611" spans="1:11" ht="13">
      <c r="A2611" s="4"/>
      <c r="B2611" s="4"/>
      <c r="C2611" s="4"/>
      <c r="D2611" s="4"/>
      <c r="E2611" s="4"/>
      <c r="F2611" s="4"/>
      <c r="H2611" s="4"/>
      <c r="I2611" s="4"/>
      <c r="K2611" s="4"/>
    </row>
    <row r="2612" spans="1:11" ht="13">
      <c r="A2612" s="4"/>
      <c r="B2612" s="4"/>
      <c r="C2612" s="4"/>
      <c r="D2612" s="4"/>
      <c r="E2612" s="4"/>
      <c r="F2612" s="4"/>
      <c r="H2612" s="4"/>
      <c r="I2612" s="4"/>
      <c r="K2612" s="4"/>
    </row>
    <row r="2613" spans="1:11" ht="13">
      <c r="A2613" s="4"/>
      <c r="B2613" s="4"/>
      <c r="C2613" s="4"/>
      <c r="D2613" s="4"/>
      <c r="E2613" s="4"/>
      <c r="F2613" s="4"/>
      <c r="H2613" s="4"/>
      <c r="I2613" s="4"/>
      <c r="K2613" s="4"/>
    </row>
    <row r="2614" spans="1:11" ht="13">
      <c r="A2614" s="4"/>
      <c r="B2614" s="4"/>
      <c r="C2614" s="4"/>
      <c r="D2614" s="4"/>
      <c r="E2614" s="4"/>
      <c r="F2614" s="4"/>
      <c r="H2614" s="4"/>
      <c r="I2614" s="4"/>
      <c r="K2614" s="4"/>
    </row>
    <row r="2615" spans="1:11" ht="13">
      <c r="A2615" s="4"/>
      <c r="B2615" s="4"/>
      <c r="C2615" s="4"/>
      <c r="D2615" s="4"/>
      <c r="E2615" s="4"/>
      <c r="F2615" s="4"/>
      <c r="H2615" s="4"/>
      <c r="I2615" s="4"/>
      <c r="K2615" s="4"/>
    </row>
    <row r="2616" spans="1:11" ht="13">
      <c r="A2616" s="4"/>
      <c r="B2616" s="4"/>
      <c r="C2616" s="4"/>
      <c r="D2616" s="4"/>
      <c r="E2616" s="4"/>
      <c r="F2616" s="4"/>
      <c r="H2616" s="4"/>
      <c r="I2616" s="4"/>
      <c r="K2616" s="4"/>
    </row>
    <row r="2617" spans="1:11" ht="13">
      <c r="A2617" s="4"/>
      <c r="B2617" s="4"/>
      <c r="C2617" s="4"/>
      <c r="D2617" s="4"/>
      <c r="E2617" s="4"/>
      <c r="F2617" s="4"/>
      <c r="H2617" s="4"/>
      <c r="I2617" s="4"/>
      <c r="K2617" s="4"/>
    </row>
    <row r="2618" spans="1:11" ht="13">
      <c r="A2618" s="4"/>
      <c r="B2618" s="4"/>
      <c r="C2618" s="4"/>
      <c r="D2618" s="4"/>
      <c r="E2618" s="4"/>
      <c r="F2618" s="4"/>
      <c r="H2618" s="4"/>
      <c r="I2618" s="4"/>
      <c r="K2618" s="4"/>
    </row>
    <row r="2619" spans="1:11" ht="13">
      <c r="A2619" s="4"/>
      <c r="B2619" s="4"/>
      <c r="C2619" s="4"/>
      <c r="D2619" s="4"/>
      <c r="E2619" s="4"/>
      <c r="F2619" s="4"/>
      <c r="H2619" s="4"/>
      <c r="I2619" s="4"/>
      <c r="K2619" s="4"/>
    </row>
    <row r="2620" spans="1:11" ht="13">
      <c r="A2620" s="4"/>
      <c r="B2620" s="4"/>
      <c r="C2620" s="4"/>
      <c r="D2620" s="4"/>
      <c r="E2620" s="4"/>
      <c r="F2620" s="4"/>
      <c r="H2620" s="4"/>
      <c r="I2620" s="4"/>
      <c r="K2620" s="4"/>
    </row>
    <row r="2621" spans="1:11" ht="13">
      <c r="A2621" s="4"/>
      <c r="B2621" s="4"/>
      <c r="C2621" s="4"/>
      <c r="D2621" s="4"/>
      <c r="E2621" s="4"/>
      <c r="F2621" s="4"/>
      <c r="H2621" s="4"/>
      <c r="I2621" s="4"/>
      <c r="K2621" s="4"/>
    </row>
    <row r="2622" spans="1:11" ht="13">
      <c r="A2622" s="4"/>
      <c r="B2622" s="4"/>
      <c r="C2622" s="4"/>
      <c r="D2622" s="4"/>
      <c r="E2622" s="4"/>
      <c r="F2622" s="4"/>
      <c r="H2622" s="4"/>
      <c r="I2622" s="4"/>
      <c r="K2622" s="4"/>
    </row>
    <row r="2623" spans="1:11" ht="13">
      <c r="A2623" s="4"/>
      <c r="B2623" s="4"/>
      <c r="C2623" s="4"/>
      <c r="D2623" s="4"/>
      <c r="E2623" s="4"/>
      <c r="F2623" s="4"/>
      <c r="H2623" s="4"/>
      <c r="I2623" s="4"/>
      <c r="K2623" s="4"/>
    </row>
    <row r="2624" spans="1:11" ht="13">
      <c r="A2624" s="4"/>
      <c r="B2624" s="4"/>
      <c r="C2624" s="4"/>
      <c r="D2624" s="4"/>
      <c r="E2624" s="4"/>
      <c r="F2624" s="4"/>
      <c r="H2624" s="4"/>
      <c r="I2624" s="4"/>
      <c r="K2624" s="4"/>
    </row>
    <row r="2625" spans="1:11" ht="13">
      <c r="A2625" s="4"/>
      <c r="B2625" s="4"/>
      <c r="C2625" s="4"/>
      <c r="D2625" s="4"/>
      <c r="E2625" s="4"/>
      <c r="F2625" s="4"/>
      <c r="H2625" s="4"/>
      <c r="I2625" s="4"/>
      <c r="K2625" s="4"/>
    </row>
    <row r="2626" spans="1:11" ht="13">
      <c r="A2626" s="4"/>
      <c r="B2626" s="4"/>
      <c r="C2626" s="4"/>
      <c r="D2626" s="4"/>
      <c r="E2626" s="4"/>
      <c r="F2626" s="4"/>
      <c r="H2626" s="4"/>
      <c r="I2626" s="4"/>
      <c r="K2626" s="4"/>
    </row>
    <row r="2627" spans="1:11" ht="13">
      <c r="A2627" s="4"/>
      <c r="B2627" s="4"/>
      <c r="C2627" s="4"/>
      <c r="D2627" s="4"/>
      <c r="E2627" s="4"/>
      <c r="F2627" s="4"/>
      <c r="H2627" s="4"/>
      <c r="I2627" s="4"/>
      <c r="K2627" s="4"/>
    </row>
    <row r="2628" spans="1:11" ht="13">
      <c r="A2628" s="4"/>
      <c r="B2628" s="4"/>
      <c r="C2628" s="4"/>
      <c r="D2628" s="4"/>
      <c r="E2628" s="4"/>
      <c r="F2628" s="4"/>
      <c r="H2628" s="4"/>
      <c r="I2628" s="4"/>
      <c r="K2628" s="4"/>
    </row>
    <row r="2629" spans="1:11" ht="13">
      <c r="A2629" s="4"/>
      <c r="B2629" s="4"/>
      <c r="C2629" s="4"/>
      <c r="D2629" s="4"/>
      <c r="E2629" s="4"/>
      <c r="F2629" s="4"/>
      <c r="H2629" s="4"/>
      <c r="I2629" s="4"/>
      <c r="K2629" s="4"/>
    </row>
    <row r="2630" spans="1:11" ht="13">
      <c r="A2630" s="4"/>
      <c r="B2630" s="4"/>
      <c r="C2630" s="4"/>
      <c r="D2630" s="4"/>
      <c r="E2630" s="4"/>
      <c r="F2630" s="4"/>
      <c r="H2630" s="4"/>
      <c r="I2630" s="4"/>
      <c r="K2630" s="4"/>
    </row>
    <row r="2631" spans="1:11" ht="13">
      <c r="A2631" s="4"/>
      <c r="B2631" s="4"/>
      <c r="C2631" s="4"/>
      <c r="D2631" s="4"/>
      <c r="E2631" s="4"/>
      <c r="F2631" s="4"/>
      <c r="H2631" s="4"/>
      <c r="I2631" s="4"/>
      <c r="K2631" s="4"/>
    </row>
    <row r="2632" spans="1:11" ht="13">
      <c r="A2632" s="4"/>
      <c r="B2632" s="4"/>
      <c r="C2632" s="4"/>
      <c r="D2632" s="4"/>
      <c r="E2632" s="4"/>
      <c r="F2632" s="4"/>
      <c r="H2632" s="4"/>
      <c r="I2632" s="4"/>
      <c r="K2632" s="4"/>
    </row>
    <row r="2633" spans="1:11" ht="13">
      <c r="A2633" s="4"/>
      <c r="B2633" s="4"/>
      <c r="C2633" s="4"/>
      <c r="D2633" s="4"/>
      <c r="E2633" s="4"/>
      <c r="F2633" s="4"/>
      <c r="H2633" s="4"/>
      <c r="I2633" s="4"/>
      <c r="K2633" s="4"/>
    </row>
    <row r="2634" spans="1:11" ht="13">
      <c r="A2634" s="4"/>
      <c r="B2634" s="4"/>
      <c r="C2634" s="4"/>
      <c r="D2634" s="4"/>
      <c r="E2634" s="4"/>
      <c r="F2634" s="4"/>
      <c r="H2634" s="4"/>
      <c r="I2634" s="4"/>
      <c r="K2634" s="4"/>
    </row>
    <row r="2635" spans="1:11" ht="13">
      <c r="A2635" s="4"/>
      <c r="B2635" s="4"/>
      <c r="C2635" s="4"/>
      <c r="D2635" s="4"/>
      <c r="E2635" s="4"/>
      <c r="F2635" s="4"/>
      <c r="H2635" s="4"/>
      <c r="I2635" s="4"/>
      <c r="K2635" s="4"/>
    </row>
    <row r="2636" spans="1:11" ht="13">
      <c r="A2636" s="4"/>
      <c r="B2636" s="4"/>
      <c r="C2636" s="4"/>
      <c r="D2636" s="4"/>
      <c r="E2636" s="4"/>
      <c r="F2636" s="4"/>
      <c r="H2636" s="4"/>
      <c r="I2636" s="4"/>
      <c r="K2636" s="4"/>
    </row>
    <row r="2637" spans="1:11" ht="13">
      <c r="A2637" s="4"/>
      <c r="B2637" s="4"/>
      <c r="C2637" s="4"/>
      <c r="D2637" s="4"/>
      <c r="E2637" s="4"/>
      <c r="F2637" s="4"/>
      <c r="H2637" s="4"/>
      <c r="I2637" s="4"/>
      <c r="K2637" s="4"/>
    </row>
    <row r="2638" spans="1:11" ht="13">
      <c r="A2638" s="4"/>
      <c r="B2638" s="4"/>
      <c r="C2638" s="4"/>
      <c r="D2638" s="4"/>
      <c r="E2638" s="4"/>
      <c r="F2638" s="4"/>
      <c r="H2638" s="4"/>
      <c r="I2638" s="4"/>
      <c r="K2638" s="4"/>
    </row>
    <row r="2639" spans="1:11" ht="13">
      <c r="A2639" s="4"/>
      <c r="B2639" s="4"/>
      <c r="C2639" s="4"/>
      <c r="D2639" s="4"/>
      <c r="E2639" s="4"/>
      <c r="F2639" s="4"/>
      <c r="H2639" s="4"/>
      <c r="I2639" s="4"/>
      <c r="K2639" s="4"/>
    </row>
    <row r="2640" spans="1:11" ht="13">
      <c r="A2640" s="4"/>
      <c r="B2640" s="4"/>
      <c r="C2640" s="4"/>
      <c r="D2640" s="4"/>
      <c r="E2640" s="4"/>
      <c r="F2640" s="4"/>
      <c r="H2640" s="4"/>
      <c r="I2640" s="4"/>
      <c r="K2640" s="4"/>
    </row>
    <row r="2641" spans="1:11" ht="13">
      <c r="A2641" s="4"/>
      <c r="B2641" s="4"/>
      <c r="C2641" s="4"/>
      <c r="D2641" s="4"/>
      <c r="E2641" s="4"/>
      <c r="F2641" s="4"/>
      <c r="H2641" s="4"/>
      <c r="I2641" s="4"/>
      <c r="K2641" s="4"/>
    </row>
    <row r="2642" spans="1:11" ht="13">
      <c r="A2642" s="4"/>
      <c r="B2642" s="4"/>
      <c r="C2642" s="4"/>
      <c r="D2642" s="4"/>
      <c r="E2642" s="4"/>
      <c r="F2642" s="4"/>
      <c r="H2642" s="4"/>
      <c r="I2642" s="4"/>
      <c r="K2642" s="4"/>
    </row>
    <row r="2643" spans="1:11" ht="13">
      <c r="A2643" s="4"/>
      <c r="B2643" s="4"/>
      <c r="C2643" s="4"/>
      <c r="D2643" s="4"/>
      <c r="E2643" s="4"/>
      <c r="F2643" s="4"/>
      <c r="H2643" s="4"/>
      <c r="I2643" s="4"/>
      <c r="K2643" s="4"/>
    </row>
    <row r="2644" spans="1:11" ht="13">
      <c r="A2644" s="4"/>
      <c r="B2644" s="4"/>
      <c r="C2644" s="4"/>
      <c r="D2644" s="4"/>
      <c r="E2644" s="4"/>
      <c r="F2644" s="4"/>
      <c r="H2644" s="4"/>
      <c r="I2644" s="4"/>
      <c r="K2644" s="4"/>
    </row>
    <row r="2645" spans="1:11" ht="13">
      <c r="A2645" s="4"/>
      <c r="B2645" s="4"/>
      <c r="C2645" s="4"/>
      <c r="D2645" s="4"/>
      <c r="E2645" s="4"/>
      <c r="F2645" s="4"/>
      <c r="H2645" s="4"/>
      <c r="I2645" s="4"/>
      <c r="K2645" s="4"/>
    </row>
    <row r="2646" spans="1:11" ht="13">
      <c r="A2646" s="4"/>
      <c r="B2646" s="4"/>
      <c r="C2646" s="4"/>
      <c r="D2646" s="4"/>
      <c r="E2646" s="4"/>
      <c r="F2646" s="4"/>
      <c r="H2646" s="4"/>
      <c r="I2646" s="4"/>
      <c r="K2646" s="4"/>
    </row>
    <row r="2647" spans="1:11" ht="13">
      <c r="A2647" s="4"/>
      <c r="B2647" s="4"/>
      <c r="C2647" s="4"/>
      <c r="D2647" s="4"/>
      <c r="E2647" s="4"/>
      <c r="F2647" s="4"/>
      <c r="H2647" s="4"/>
      <c r="I2647" s="4"/>
      <c r="K2647" s="4"/>
    </row>
    <row r="2648" spans="1:11" ht="13">
      <c r="A2648" s="4"/>
      <c r="B2648" s="4"/>
      <c r="C2648" s="4"/>
      <c r="D2648" s="4"/>
      <c r="E2648" s="4"/>
      <c r="F2648" s="4"/>
      <c r="H2648" s="4"/>
      <c r="I2648" s="4"/>
      <c r="K2648" s="4"/>
    </row>
    <row r="2649" spans="1:11" ht="13">
      <c r="A2649" s="4"/>
      <c r="B2649" s="4"/>
      <c r="C2649" s="4"/>
      <c r="D2649" s="4"/>
      <c r="E2649" s="4"/>
      <c r="F2649" s="4"/>
      <c r="H2649" s="4"/>
      <c r="I2649" s="4"/>
      <c r="K2649" s="4"/>
    </row>
    <row r="2650" spans="1:11" ht="13">
      <c r="A2650" s="4"/>
      <c r="B2650" s="4"/>
      <c r="C2650" s="4"/>
      <c r="D2650" s="4"/>
      <c r="E2650" s="4"/>
      <c r="F2650" s="4"/>
      <c r="H2650" s="4"/>
      <c r="I2650" s="4"/>
      <c r="K2650" s="4"/>
    </row>
    <row r="2651" spans="1:11" ht="13">
      <c r="A2651" s="4"/>
      <c r="B2651" s="4"/>
      <c r="C2651" s="4"/>
      <c r="D2651" s="4"/>
      <c r="E2651" s="4"/>
      <c r="F2651" s="4"/>
      <c r="H2651" s="4"/>
      <c r="I2651" s="4"/>
      <c r="K2651" s="4"/>
    </row>
    <row r="2652" spans="1:11" ht="13">
      <c r="A2652" s="4"/>
      <c r="B2652" s="4"/>
      <c r="C2652" s="4"/>
      <c r="D2652" s="4"/>
      <c r="E2652" s="4"/>
      <c r="F2652" s="4"/>
      <c r="H2652" s="4"/>
      <c r="I2652" s="4"/>
      <c r="K2652" s="4"/>
    </row>
    <row r="2653" spans="1:11" ht="13">
      <c r="A2653" s="4"/>
      <c r="B2653" s="4"/>
      <c r="C2653" s="4"/>
      <c r="D2653" s="4"/>
      <c r="E2653" s="4"/>
      <c r="F2653" s="4"/>
      <c r="H2653" s="4"/>
      <c r="I2653" s="4"/>
      <c r="K2653" s="4"/>
    </row>
    <row r="2654" spans="1:11" ht="13">
      <c r="A2654" s="4"/>
      <c r="B2654" s="4"/>
      <c r="C2654" s="4"/>
      <c r="D2654" s="4"/>
      <c r="E2654" s="4"/>
      <c r="F2654" s="4"/>
      <c r="H2654" s="4"/>
      <c r="I2654" s="4"/>
      <c r="K2654" s="4"/>
    </row>
    <row r="2655" spans="1:11" ht="13">
      <c r="A2655" s="4"/>
      <c r="B2655" s="4"/>
      <c r="C2655" s="4"/>
      <c r="D2655" s="4"/>
      <c r="E2655" s="4"/>
      <c r="F2655" s="4"/>
      <c r="H2655" s="4"/>
      <c r="I2655" s="4"/>
      <c r="K2655" s="4"/>
    </row>
    <row r="2656" spans="1:11" ht="13">
      <c r="A2656" s="4"/>
      <c r="B2656" s="4"/>
      <c r="C2656" s="4"/>
      <c r="D2656" s="4"/>
      <c r="E2656" s="4"/>
      <c r="F2656" s="4"/>
      <c r="H2656" s="4"/>
      <c r="I2656" s="4"/>
      <c r="K2656" s="4"/>
    </row>
    <row r="2657" spans="1:11" ht="13">
      <c r="A2657" s="4"/>
      <c r="B2657" s="4"/>
      <c r="C2657" s="4"/>
      <c r="D2657" s="4"/>
      <c r="E2657" s="4"/>
      <c r="F2657" s="4"/>
      <c r="H2657" s="4"/>
      <c r="I2657" s="4"/>
      <c r="K2657" s="4"/>
    </row>
    <row r="2658" spans="1:11" ht="13">
      <c r="A2658" s="4"/>
      <c r="B2658" s="4"/>
      <c r="C2658" s="4"/>
      <c r="D2658" s="4"/>
      <c r="E2658" s="4"/>
      <c r="F2658" s="4"/>
      <c r="H2658" s="4"/>
      <c r="I2658" s="4"/>
      <c r="K2658" s="4"/>
    </row>
    <row r="2659" spans="1:11" ht="13">
      <c r="A2659" s="4"/>
      <c r="B2659" s="4"/>
      <c r="C2659" s="4"/>
      <c r="D2659" s="4"/>
      <c r="E2659" s="4"/>
      <c r="F2659" s="4"/>
      <c r="H2659" s="4"/>
      <c r="I2659" s="4"/>
      <c r="K2659" s="4"/>
    </row>
    <row r="2660" spans="1:11" ht="13">
      <c r="A2660" s="4"/>
      <c r="B2660" s="4"/>
      <c r="C2660" s="4"/>
      <c r="D2660" s="4"/>
      <c r="E2660" s="4"/>
      <c r="F2660" s="4"/>
      <c r="H2660" s="4"/>
      <c r="I2660" s="4"/>
      <c r="K2660" s="4"/>
    </row>
    <row r="2661" spans="1:11" ht="13">
      <c r="A2661" s="4"/>
      <c r="B2661" s="4"/>
      <c r="C2661" s="4"/>
      <c r="D2661" s="4"/>
      <c r="E2661" s="4"/>
      <c r="F2661" s="4"/>
      <c r="H2661" s="4"/>
      <c r="I2661" s="4"/>
      <c r="K2661" s="4"/>
    </row>
    <row r="2662" spans="1:11" ht="13">
      <c r="A2662" s="4"/>
      <c r="B2662" s="4"/>
      <c r="C2662" s="4"/>
      <c r="D2662" s="4"/>
      <c r="E2662" s="4"/>
      <c r="F2662" s="4"/>
      <c r="H2662" s="4"/>
      <c r="I2662" s="4"/>
      <c r="K2662" s="4"/>
    </row>
    <row r="2663" spans="1:11" ht="13">
      <c r="A2663" s="4"/>
      <c r="B2663" s="4"/>
      <c r="C2663" s="4"/>
      <c r="D2663" s="4"/>
      <c r="E2663" s="4"/>
      <c r="F2663" s="4"/>
      <c r="H2663" s="4"/>
      <c r="I2663" s="4"/>
      <c r="K2663" s="4"/>
    </row>
    <row r="2664" spans="1:11" ht="13">
      <c r="A2664" s="4"/>
      <c r="B2664" s="4"/>
      <c r="C2664" s="4"/>
      <c r="D2664" s="4"/>
      <c r="E2664" s="4"/>
      <c r="F2664" s="4"/>
      <c r="H2664" s="4"/>
      <c r="I2664" s="4"/>
      <c r="K2664" s="4"/>
    </row>
    <row r="2665" spans="1:11" ht="13">
      <c r="A2665" s="4"/>
      <c r="B2665" s="4"/>
      <c r="C2665" s="4"/>
      <c r="D2665" s="4"/>
      <c r="E2665" s="4"/>
      <c r="F2665" s="4"/>
      <c r="H2665" s="4"/>
      <c r="I2665" s="4"/>
      <c r="K2665" s="4"/>
    </row>
    <row r="2666" spans="1:11" ht="13">
      <c r="A2666" s="4"/>
      <c r="B2666" s="4"/>
      <c r="C2666" s="4"/>
      <c r="D2666" s="4"/>
      <c r="E2666" s="4"/>
      <c r="F2666" s="4"/>
      <c r="H2666" s="4"/>
      <c r="I2666" s="4"/>
      <c r="K2666" s="4"/>
    </row>
    <row r="2667" spans="1:11" ht="13">
      <c r="A2667" s="4"/>
      <c r="B2667" s="4"/>
      <c r="C2667" s="4"/>
      <c r="D2667" s="4"/>
      <c r="E2667" s="4"/>
      <c r="F2667" s="4"/>
      <c r="H2667" s="4"/>
      <c r="I2667" s="4"/>
      <c r="K2667" s="4"/>
    </row>
    <row r="2668" spans="1:11" ht="13">
      <c r="A2668" s="4"/>
      <c r="B2668" s="4"/>
      <c r="C2668" s="4"/>
      <c r="D2668" s="4"/>
      <c r="E2668" s="4"/>
      <c r="F2668" s="4"/>
      <c r="H2668" s="4"/>
      <c r="I2668" s="4"/>
      <c r="K2668" s="4"/>
    </row>
    <row r="2669" spans="1:11" ht="13">
      <c r="A2669" s="4"/>
      <c r="B2669" s="4"/>
      <c r="C2669" s="4"/>
      <c r="D2669" s="4"/>
      <c r="E2669" s="4"/>
      <c r="F2669" s="4"/>
      <c r="H2669" s="4"/>
      <c r="I2669" s="4"/>
      <c r="K2669" s="4"/>
    </row>
    <row r="2670" spans="1:11" ht="13">
      <c r="A2670" s="4"/>
      <c r="B2670" s="4"/>
      <c r="C2670" s="4"/>
      <c r="D2670" s="4"/>
      <c r="E2670" s="4"/>
      <c r="F2670" s="4"/>
      <c r="H2670" s="4"/>
      <c r="I2670" s="4"/>
      <c r="K2670" s="4"/>
    </row>
    <row r="2671" spans="1:11" ht="13">
      <c r="A2671" s="4"/>
      <c r="B2671" s="4"/>
      <c r="C2671" s="4"/>
      <c r="D2671" s="4"/>
      <c r="E2671" s="4"/>
      <c r="F2671" s="4"/>
      <c r="H2671" s="4"/>
      <c r="I2671" s="4"/>
      <c r="K2671" s="4"/>
    </row>
    <row r="2672" spans="1:11" ht="13">
      <c r="A2672" s="4"/>
      <c r="B2672" s="4"/>
      <c r="C2672" s="4"/>
      <c r="D2672" s="4"/>
      <c r="E2672" s="4"/>
      <c r="F2672" s="4"/>
      <c r="H2672" s="4"/>
      <c r="I2672" s="4"/>
      <c r="K2672" s="4"/>
    </row>
    <row r="2673" spans="1:11" ht="13">
      <c r="A2673" s="4"/>
      <c r="B2673" s="4"/>
      <c r="C2673" s="4"/>
      <c r="D2673" s="4"/>
      <c r="E2673" s="4"/>
      <c r="F2673" s="4"/>
      <c r="H2673" s="4"/>
      <c r="I2673" s="4"/>
      <c r="K2673" s="4"/>
    </row>
    <row r="2674" spans="1:11" ht="13">
      <c r="A2674" s="4"/>
      <c r="B2674" s="4"/>
      <c r="C2674" s="4"/>
      <c r="D2674" s="4"/>
      <c r="E2674" s="4"/>
      <c r="F2674" s="4"/>
      <c r="H2674" s="4"/>
      <c r="I2674" s="4"/>
      <c r="K2674" s="4"/>
    </row>
    <row r="2675" spans="1:11" ht="13">
      <c r="A2675" s="4"/>
      <c r="B2675" s="4"/>
      <c r="C2675" s="4"/>
      <c r="D2675" s="4"/>
      <c r="E2675" s="4"/>
      <c r="F2675" s="4"/>
      <c r="H2675" s="4"/>
      <c r="I2675" s="4"/>
      <c r="K2675" s="4"/>
    </row>
    <row r="2676" spans="1:11" ht="13">
      <c r="A2676" s="4"/>
      <c r="B2676" s="4"/>
      <c r="C2676" s="4"/>
      <c r="D2676" s="4"/>
      <c r="E2676" s="4"/>
      <c r="F2676" s="4"/>
      <c r="H2676" s="4"/>
      <c r="I2676" s="4"/>
      <c r="K2676" s="4"/>
    </row>
    <row r="2677" spans="1:11" ht="13">
      <c r="A2677" s="4"/>
      <c r="B2677" s="4"/>
      <c r="C2677" s="4"/>
      <c r="D2677" s="4"/>
      <c r="E2677" s="4"/>
      <c r="F2677" s="4"/>
      <c r="H2677" s="4"/>
      <c r="I2677" s="4"/>
      <c r="K2677" s="4"/>
    </row>
    <row r="2678" spans="1:11" ht="13">
      <c r="A2678" s="4"/>
      <c r="B2678" s="4"/>
      <c r="C2678" s="4"/>
      <c r="D2678" s="4"/>
      <c r="E2678" s="4"/>
      <c r="F2678" s="4"/>
      <c r="H2678" s="4"/>
      <c r="I2678" s="4"/>
      <c r="K2678" s="4"/>
    </row>
    <row r="2679" spans="1:11" ht="13">
      <c r="A2679" s="4"/>
      <c r="B2679" s="4"/>
      <c r="C2679" s="4"/>
      <c r="D2679" s="4"/>
      <c r="E2679" s="4"/>
      <c r="F2679" s="4"/>
      <c r="H2679" s="4"/>
      <c r="I2679" s="4"/>
      <c r="K2679" s="4"/>
    </row>
    <row r="2680" spans="1:11" ht="13">
      <c r="A2680" s="4"/>
      <c r="B2680" s="4"/>
      <c r="C2680" s="4"/>
      <c r="D2680" s="4"/>
      <c r="E2680" s="4"/>
      <c r="F2680" s="4"/>
      <c r="H2680" s="4"/>
      <c r="I2680" s="4"/>
      <c r="K2680" s="4"/>
    </row>
    <row r="2681" spans="1:11" ht="13">
      <c r="A2681" s="4"/>
      <c r="B2681" s="4"/>
      <c r="C2681" s="4"/>
      <c r="D2681" s="4"/>
      <c r="E2681" s="4"/>
      <c r="F2681" s="4"/>
      <c r="H2681" s="4"/>
      <c r="I2681" s="4"/>
      <c r="K2681" s="4"/>
    </row>
    <row r="2682" spans="1:11" ht="13">
      <c r="A2682" s="4"/>
      <c r="B2682" s="4"/>
      <c r="C2682" s="4"/>
      <c r="D2682" s="4"/>
      <c r="E2682" s="4"/>
      <c r="F2682" s="4"/>
      <c r="H2682" s="4"/>
      <c r="I2682" s="4"/>
      <c r="K2682" s="4"/>
    </row>
    <row r="2683" spans="1:11" ht="13">
      <c r="A2683" s="4"/>
      <c r="B2683" s="4"/>
      <c r="C2683" s="4"/>
      <c r="D2683" s="4"/>
      <c r="E2683" s="4"/>
      <c r="F2683" s="4"/>
      <c r="H2683" s="4"/>
      <c r="I2683" s="4"/>
      <c r="K2683" s="4"/>
    </row>
    <row r="2684" spans="1:11" ht="13">
      <c r="A2684" s="4"/>
      <c r="B2684" s="4"/>
      <c r="C2684" s="4"/>
      <c r="D2684" s="4"/>
      <c r="E2684" s="4"/>
      <c r="F2684" s="4"/>
      <c r="H2684" s="4"/>
      <c r="I2684" s="4"/>
      <c r="K2684" s="4"/>
    </row>
    <row r="2685" spans="1:11" ht="13">
      <c r="A2685" s="4"/>
      <c r="B2685" s="4"/>
      <c r="C2685" s="4"/>
      <c r="D2685" s="4"/>
      <c r="E2685" s="4"/>
      <c r="F2685" s="4"/>
      <c r="H2685" s="4"/>
      <c r="I2685" s="4"/>
      <c r="K2685" s="4"/>
    </row>
    <row r="2686" spans="1:11" ht="13">
      <c r="A2686" s="4"/>
      <c r="B2686" s="4"/>
      <c r="C2686" s="4"/>
      <c r="D2686" s="4"/>
      <c r="E2686" s="4"/>
      <c r="F2686" s="4"/>
      <c r="H2686" s="4"/>
      <c r="I2686" s="4"/>
      <c r="K2686" s="4"/>
    </row>
    <row r="2687" spans="1:11" ht="13">
      <c r="A2687" s="4"/>
      <c r="B2687" s="4"/>
      <c r="C2687" s="4"/>
      <c r="D2687" s="4"/>
      <c r="E2687" s="4"/>
      <c r="F2687" s="4"/>
      <c r="H2687" s="4"/>
      <c r="I2687" s="4"/>
      <c r="K2687" s="4"/>
    </row>
    <row r="2688" spans="1:11" ht="13">
      <c r="A2688" s="4"/>
      <c r="B2688" s="4"/>
      <c r="C2688" s="4"/>
      <c r="D2688" s="4"/>
      <c r="E2688" s="4"/>
      <c r="F2688" s="4"/>
      <c r="H2688" s="4"/>
      <c r="I2688" s="4"/>
      <c r="K2688" s="4"/>
    </row>
    <row r="2689" spans="1:11" ht="13">
      <c r="A2689" s="4"/>
      <c r="B2689" s="4"/>
      <c r="C2689" s="4"/>
      <c r="D2689" s="4"/>
      <c r="E2689" s="4"/>
      <c r="F2689" s="4"/>
      <c r="H2689" s="4"/>
      <c r="I2689" s="4"/>
      <c r="K2689" s="4"/>
    </row>
    <row r="2690" spans="1:11" ht="13">
      <c r="A2690" s="4"/>
      <c r="B2690" s="4"/>
      <c r="C2690" s="4"/>
      <c r="D2690" s="4"/>
      <c r="E2690" s="4"/>
      <c r="F2690" s="4"/>
      <c r="H2690" s="4"/>
      <c r="I2690" s="4"/>
      <c r="K2690" s="4"/>
    </row>
    <row r="2691" spans="1:11" ht="13">
      <c r="A2691" s="4"/>
      <c r="B2691" s="4"/>
      <c r="C2691" s="4"/>
      <c r="D2691" s="4"/>
      <c r="E2691" s="4"/>
      <c r="F2691" s="4"/>
      <c r="H2691" s="4"/>
      <c r="I2691" s="4"/>
      <c r="K2691" s="4"/>
    </row>
    <row r="2692" spans="1:11" ht="13">
      <c r="A2692" s="4"/>
      <c r="B2692" s="4"/>
      <c r="C2692" s="4"/>
      <c r="D2692" s="4"/>
      <c r="E2692" s="4"/>
      <c r="F2692" s="4"/>
      <c r="H2692" s="4"/>
      <c r="I2692" s="4"/>
      <c r="K2692" s="4"/>
    </row>
    <row r="2693" spans="1:11" ht="13">
      <c r="A2693" s="4"/>
      <c r="B2693" s="4"/>
      <c r="C2693" s="4"/>
      <c r="D2693" s="4"/>
      <c r="E2693" s="4"/>
      <c r="F2693" s="4"/>
      <c r="H2693" s="4"/>
      <c r="I2693" s="4"/>
      <c r="K2693" s="4"/>
    </row>
    <row r="2694" spans="1:11" ht="13">
      <c r="A2694" s="4"/>
      <c r="B2694" s="4"/>
      <c r="C2694" s="4"/>
      <c r="D2694" s="4"/>
      <c r="E2694" s="4"/>
      <c r="F2694" s="4"/>
      <c r="H2694" s="4"/>
      <c r="I2694" s="4"/>
      <c r="K2694" s="4"/>
    </row>
    <row r="2695" spans="1:11" ht="13">
      <c r="A2695" s="4"/>
      <c r="B2695" s="4"/>
      <c r="C2695" s="4"/>
      <c r="D2695" s="4"/>
      <c r="E2695" s="4"/>
      <c r="F2695" s="4"/>
      <c r="H2695" s="4"/>
      <c r="I2695" s="4"/>
      <c r="K2695" s="4"/>
    </row>
    <row r="2696" spans="1:11" ht="13">
      <c r="A2696" s="4"/>
      <c r="B2696" s="4"/>
      <c r="C2696" s="4"/>
      <c r="D2696" s="4"/>
      <c r="E2696" s="4"/>
      <c r="F2696" s="4"/>
      <c r="H2696" s="4"/>
      <c r="I2696" s="4"/>
      <c r="K2696" s="4"/>
    </row>
    <row r="2697" spans="1:11" ht="13">
      <c r="A2697" s="4"/>
      <c r="B2697" s="4"/>
      <c r="C2697" s="4"/>
      <c r="D2697" s="4"/>
      <c r="E2697" s="4"/>
      <c r="F2697" s="4"/>
      <c r="H2697" s="4"/>
      <c r="I2697" s="4"/>
      <c r="K2697" s="4"/>
    </row>
    <row r="2698" spans="1:11" ht="13">
      <c r="A2698" s="4"/>
      <c r="B2698" s="4"/>
      <c r="C2698" s="4"/>
      <c r="D2698" s="4"/>
      <c r="E2698" s="4"/>
      <c r="F2698" s="4"/>
      <c r="H2698" s="4"/>
      <c r="I2698" s="4"/>
      <c r="K2698" s="4"/>
    </row>
    <row r="2699" spans="1:11" ht="13">
      <c r="A2699" s="4"/>
      <c r="B2699" s="4"/>
      <c r="C2699" s="4"/>
      <c r="D2699" s="4"/>
      <c r="E2699" s="4"/>
      <c r="F2699" s="4"/>
      <c r="H2699" s="4"/>
      <c r="I2699" s="4"/>
      <c r="K2699" s="4"/>
    </row>
    <row r="2700" spans="1:11" ht="13">
      <c r="A2700" s="4"/>
      <c r="B2700" s="4"/>
      <c r="C2700" s="4"/>
      <c r="D2700" s="4"/>
      <c r="E2700" s="4"/>
      <c r="F2700" s="4"/>
      <c r="H2700" s="4"/>
      <c r="I2700" s="4"/>
      <c r="K2700" s="4"/>
    </row>
    <row r="2701" spans="1:11" ht="13">
      <c r="A2701" s="4"/>
      <c r="B2701" s="4"/>
      <c r="C2701" s="4"/>
      <c r="D2701" s="4"/>
      <c r="E2701" s="4"/>
      <c r="F2701" s="4"/>
      <c r="H2701" s="4"/>
      <c r="I2701" s="4"/>
      <c r="K2701" s="4"/>
    </row>
    <row r="2702" spans="1:11" ht="13">
      <c r="A2702" s="4"/>
      <c r="B2702" s="4"/>
      <c r="C2702" s="4"/>
      <c r="D2702" s="4"/>
      <c r="E2702" s="4"/>
      <c r="F2702" s="4"/>
      <c r="H2702" s="4"/>
      <c r="I2702" s="4"/>
      <c r="K2702" s="4"/>
    </row>
    <row r="2703" spans="1:11" ht="13">
      <c r="A2703" s="4"/>
      <c r="B2703" s="4"/>
      <c r="C2703" s="4"/>
      <c r="D2703" s="4"/>
      <c r="E2703" s="4"/>
      <c r="F2703" s="4"/>
      <c r="H2703" s="4"/>
      <c r="I2703" s="4"/>
      <c r="K2703" s="4"/>
    </row>
    <row r="2704" spans="1:11" ht="13">
      <c r="A2704" s="4"/>
      <c r="B2704" s="4"/>
      <c r="C2704" s="4"/>
      <c r="D2704" s="4"/>
      <c r="E2704" s="4"/>
      <c r="F2704" s="4"/>
      <c r="H2704" s="4"/>
      <c r="I2704" s="4"/>
      <c r="K2704" s="4"/>
    </row>
    <row r="2705" spans="1:11" ht="13">
      <c r="A2705" s="4"/>
      <c r="B2705" s="4"/>
      <c r="C2705" s="4"/>
      <c r="D2705" s="4"/>
      <c r="E2705" s="4"/>
      <c r="F2705" s="4"/>
      <c r="H2705" s="4"/>
      <c r="I2705" s="4"/>
      <c r="K2705" s="4"/>
    </row>
    <row r="2706" spans="1:11" ht="13">
      <c r="A2706" s="4"/>
      <c r="B2706" s="4"/>
      <c r="C2706" s="4"/>
      <c r="D2706" s="4"/>
      <c r="E2706" s="4"/>
      <c r="F2706" s="4"/>
      <c r="H2706" s="4"/>
      <c r="I2706" s="4"/>
      <c r="K2706" s="4"/>
    </row>
    <row r="2707" spans="1:11" ht="13">
      <c r="A2707" s="4"/>
      <c r="B2707" s="4"/>
      <c r="C2707" s="4"/>
      <c r="D2707" s="4"/>
      <c r="E2707" s="4"/>
      <c r="F2707" s="4"/>
      <c r="H2707" s="4"/>
      <c r="I2707" s="4"/>
      <c r="K2707" s="4"/>
    </row>
    <row r="2708" spans="1:11" ht="13">
      <c r="A2708" s="4"/>
      <c r="B2708" s="4"/>
      <c r="C2708" s="4"/>
      <c r="D2708" s="4"/>
      <c r="E2708" s="4"/>
      <c r="F2708" s="4"/>
      <c r="H2708" s="4"/>
      <c r="I2708" s="4"/>
      <c r="K2708" s="4"/>
    </row>
    <row r="2709" spans="1:11" ht="13">
      <c r="A2709" s="4"/>
      <c r="B2709" s="4"/>
      <c r="C2709" s="4"/>
      <c r="D2709" s="4"/>
      <c r="E2709" s="4"/>
      <c r="F2709" s="4"/>
      <c r="H2709" s="4"/>
      <c r="I2709" s="4"/>
      <c r="K2709" s="4"/>
    </row>
    <row r="2710" spans="1:11" ht="13">
      <c r="A2710" s="4"/>
      <c r="B2710" s="4"/>
      <c r="C2710" s="4"/>
      <c r="D2710" s="4"/>
      <c r="E2710" s="4"/>
      <c r="F2710" s="4"/>
      <c r="H2710" s="4"/>
      <c r="I2710" s="4"/>
      <c r="K2710" s="4"/>
    </row>
    <row r="2711" spans="1:11" ht="13">
      <c r="A2711" s="4"/>
      <c r="B2711" s="4"/>
      <c r="C2711" s="4"/>
      <c r="D2711" s="4"/>
      <c r="E2711" s="4"/>
      <c r="F2711" s="4"/>
      <c r="H2711" s="4"/>
      <c r="I2711" s="4"/>
      <c r="K2711" s="4"/>
    </row>
    <row r="2712" spans="1:11" ht="13">
      <c r="A2712" s="4"/>
      <c r="B2712" s="4"/>
      <c r="C2712" s="4"/>
      <c r="D2712" s="4"/>
      <c r="E2712" s="4"/>
      <c r="F2712" s="4"/>
      <c r="H2712" s="4"/>
      <c r="I2712" s="4"/>
      <c r="K2712" s="4"/>
    </row>
    <row r="2713" spans="1:11" ht="13">
      <c r="A2713" s="4"/>
      <c r="B2713" s="4"/>
      <c r="C2713" s="4"/>
      <c r="D2713" s="4"/>
      <c r="E2713" s="4"/>
      <c r="F2713" s="4"/>
      <c r="H2713" s="4"/>
      <c r="I2713" s="4"/>
      <c r="K2713" s="4"/>
    </row>
    <row r="2714" spans="1:11" ht="13">
      <c r="A2714" s="4"/>
      <c r="B2714" s="4"/>
      <c r="C2714" s="4"/>
      <c r="D2714" s="4"/>
      <c r="E2714" s="4"/>
      <c r="F2714" s="4"/>
      <c r="H2714" s="4"/>
      <c r="I2714" s="4"/>
      <c r="K2714" s="4"/>
    </row>
    <row r="2715" spans="1:11" ht="13">
      <c r="A2715" s="4"/>
      <c r="B2715" s="4"/>
      <c r="C2715" s="4"/>
      <c r="D2715" s="4"/>
      <c r="E2715" s="4"/>
      <c r="F2715" s="4"/>
      <c r="H2715" s="4"/>
      <c r="I2715" s="4"/>
      <c r="K2715" s="4"/>
    </row>
    <row r="2716" spans="1:11" ht="13">
      <c r="A2716" s="4"/>
      <c r="B2716" s="4"/>
      <c r="C2716" s="4"/>
      <c r="D2716" s="4"/>
      <c r="E2716" s="4"/>
      <c r="F2716" s="4"/>
      <c r="H2716" s="4"/>
      <c r="I2716" s="4"/>
      <c r="K2716" s="4"/>
    </row>
    <row r="2717" spans="1:11" ht="13">
      <c r="A2717" s="4"/>
      <c r="B2717" s="4"/>
      <c r="C2717" s="4"/>
      <c r="D2717" s="4"/>
      <c r="E2717" s="4"/>
      <c r="F2717" s="4"/>
      <c r="H2717" s="4"/>
      <c r="I2717" s="4"/>
      <c r="K2717" s="4"/>
    </row>
    <row r="2718" spans="1:11" ht="13">
      <c r="A2718" s="4"/>
      <c r="B2718" s="4"/>
      <c r="C2718" s="4"/>
      <c r="D2718" s="4"/>
      <c r="E2718" s="4"/>
      <c r="F2718" s="4"/>
      <c r="H2718" s="4"/>
      <c r="I2718" s="4"/>
      <c r="K2718" s="4"/>
    </row>
    <row r="2719" spans="1:11" ht="13">
      <c r="A2719" s="4"/>
      <c r="B2719" s="4"/>
      <c r="C2719" s="4"/>
      <c r="D2719" s="4"/>
      <c r="E2719" s="4"/>
      <c r="F2719" s="4"/>
      <c r="H2719" s="4"/>
      <c r="I2719" s="4"/>
      <c r="K2719" s="4"/>
    </row>
    <row r="2720" spans="1:11" ht="13">
      <c r="A2720" s="4"/>
      <c r="B2720" s="4"/>
      <c r="C2720" s="4"/>
      <c r="D2720" s="4"/>
      <c r="E2720" s="4"/>
      <c r="F2720" s="4"/>
      <c r="H2720" s="4"/>
      <c r="I2720" s="4"/>
      <c r="K2720" s="4"/>
    </row>
    <row r="2721" spans="1:11" ht="13">
      <c r="A2721" s="4"/>
      <c r="B2721" s="4"/>
      <c r="C2721" s="4"/>
      <c r="D2721" s="4"/>
      <c r="E2721" s="4"/>
      <c r="F2721" s="4"/>
      <c r="H2721" s="4"/>
      <c r="I2721" s="4"/>
      <c r="K2721" s="4"/>
    </row>
    <row r="2722" spans="1:11" ht="13">
      <c r="A2722" s="4"/>
      <c r="B2722" s="4"/>
      <c r="C2722" s="4"/>
      <c r="D2722" s="4"/>
      <c r="E2722" s="4"/>
      <c r="F2722" s="4"/>
      <c r="H2722" s="4"/>
      <c r="I2722" s="4"/>
      <c r="K2722" s="4"/>
    </row>
    <row r="2723" spans="1:11" ht="13">
      <c r="A2723" s="4"/>
      <c r="B2723" s="4"/>
      <c r="C2723" s="4"/>
      <c r="D2723" s="4"/>
      <c r="E2723" s="4"/>
      <c r="F2723" s="4"/>
      <c r="H2723" s="4"/>
      <c r="I2723" s="4"/>
      <c r="K2723" s="4"/>
    </row>
    <row r="2724" spans="1:11" ht="13">
      <c r="A2724" s="4"/>
      <c r="B2724" s="4"/>
      <c r="C2724" s="4"/>
      <c r="D2724" s="4"/>
      <c r="E2724" s="4"/>
      <c r="F2724" s="4"/>
      <c r="H2724" s="4"/>
      <c r="I2724" s="4"/>
      <c r="K2724" s="4"/>
    </row>
    <row r="2725" spans="1:11" ht="13">
      <c r="A2725" s="4"/>
      <c r="B2725" s="4"/>
      <c r="C2725" s="4"/>
      <c r="D2725" s="4"/>
      <c r="E2725" s="4"/>
      <c r="F2725" s="4"/>
      <c r="H2725" s="4"/>
      <c r="I2725" s="4"/>
      <c r="K2725" s="4"/>
    </row>
    <row r="2726" spans="1:11" ht="13">
      <c r="A2726" s="4"/>
      <c r="B2726" s="4"/>
      <c r="C2726" s="4"/>
      <c r="D2726" s="4"/>
      <c r="E2726" s="4"/>
      <c r="F2726" s="4"/>
      <c r="H2726" s="4"/>
      <c r="I2726" s="4"/>
      <c r="K2726" s="4"/>
    </row>
    <row r="2727" spans="1:11" ht="13">
      <c r="A2727" s="4"/>
      <c r="B2727" s="4"/>
      <c r="C2727" s="4"/>
      <c r="D2727" s="4"/>
      <c r="E2727" s="4"/>
      <c r="F2727" s="4"/>
      <c r="H2727" s="4"/>
      <c r="I2727" s="4"/>
      <c r="K2727" s="4"/>
    </row>
    <row r="2728" spans="1:11" ht="13">
      <c r="A2728" s="4"/>
      <c r="B2728" s="4"/>
      <c r="C2728" s="4"/>
      <c r="D2728" s="4"/>
      <c r="E2728" s="4"/>
      <c r="F2728" s="4"/>
      <c r="H2728" s="4"/>
      <c r="I2728" s="4"/>
      <c r="K2728" s="4"/>
    </row>
    <row r="2729" spans="1:11" ht="13">
      <c r="A2729" s="4"/>
      <c r="B2729" s="4"/>
      <c r="C2729" s="4"/>
      <c r="D2729" s="4"/>
      <c r="E2729" s="4"/>
      <c r="F2729" s="4"/>
      <c r="H2729" s="4"/>
      <c r="I2729" s="4"/>
      <c r="K2729" s="4"/>
    </row>
    <row r="2730" spans="1:11" ht="13">
      <c r="A2730" s="4"/>
      <c r="B2730" s="4"/>
      <c r="C2730" s="4"/>
      <c r="D2730" s="4"/>
      <c r="E2730" s="4"/>
      <c r="F2730" s="4"/>
      <c r="H2730" s="4"/>
      <c r="I2730" s="4"/>
      <c r="K2730" s="4"/>
    </row>
    <row r="2731" spans="1:11" ht="13">
      <c r="A2731" s="4"/>
      <c r="B2731" s="4"/>
      <c r="C2731" s="4"/>
      <c r="D2731" s="4"/>
      <c r="E2731" s="4"/>
      <c r="F2731" s="4"/>
      <c r="H2731" s="4"/>
      <c r="I2731" s="4"/>
      <c r="K2731" s="4"/>
    </row>
    <row r="2732" spans="1:11" ht="13">
      <c r="A2732" s="4"/>
      <c r="B2732" s="4"/>
      <c r="C2732" s="4"/>
      <c r="D2732" s="4"/>
      <c r="E2732" s="4"/>
      <c r="F2732" s="4"/>
      <c r="H2732" s="4"/>
      <c r="I2732" s="4"/>
      <c r="K2732" s="4"/>
    </row>
    <row r="2733" spans="1:11" ht="13">
      <c r="A2733" s="4"/>
      <c r="B2733" s="4"/>
      <c r="C2733" s="4"/>
      <c r="D2733" s="4"/>
      <c r="E2733" s="4"/>
      <c r="F2733" s="4"/>
      <c r="H2733" s="4"/>
      <c r="I2733" s="4"/>
      <c r="K2733" s="4"/>
    </row>
    <row r="2734" spans="1:11" ht="13">
      <c r="A2734" s="4"/>
      <c r="B2734" s="4"/>
      <c r="C2734" s="4"/>
      <c r="D2734" s="4"/>
      <c r="E2734" s="4"/>
      <c r="F2734" s="4"/>
      <c r="H2734" s="4"/>
      <c r="I2734" s="4"/>
      <c r="K2734" s="4"/>
    </row>
    <row r="2735" spans="1:11" ht="13">
      <c r="A2735" s="4"/>
      <c r="B2735" s="4"/>
      <c r="C2735" s="4"/>
      <c r="D2735" s="4"/>
      <c r="E2735" s="4"/>
      <c r="F2735" s="4"/>
      <c r="H2735" s="4"/>
      <c r="I2735" s="4"/>
      <c r="K2735" s="4"/>
    </row>
    <row r="2736" spans="1:11" ht="13">
      <c r="A2736" s="4"/>
      <c r="B2736" s="4"/>
      <c r="C2736" s="4"/>
      <c r="D2736" s="4"/>
      <c r="E2736" s="4"/>
      <c r="F2736" s="4"/>
      <c r="H2736" s="4"/>
      <c r="I2736" s="4"/>
      <c r="K2736" s="4"/>
    </row>
    <row r="2737" spans="1:11" ht="13">
      <c r="A2737" s="4"/>
      <c r="B2737" s="4"/>
      <c r="C2737" s="4"/>
      <c r="D2737" s="4"/>
      <c r="E2737" s="4"/>
      <c r="F2737" s="4"/>
      <c r="H2737" s="4"/>
      <c r="I2737" s="4"/>
      <c r="K2737" s="4"/>
    </row>
    <row r="2738" spans="1:11" ht="13">
      <c r="A2738" s="4"/>
      <c r="B2738" s="4"/>
      <c r="C2738" s="4"/>
      <c r="D2738" s="4"/>
      <c r="E2738" s="4"/>
      <c r="F2738" s="4"/>
      <c r="H2738" s="4"/>
      <c r="I2738" s="4"/>
      <c r="K2738" s="4"/>
    </row>
    <row r="2739" spans="1:11" ht="13">
      <c r="A2739" s="4"/>
      <c r="B2739" s="4"/>
      <c r="C2739" s="4"/>
      <c r="D2739" s="4"/>
      <c r="E2739" s="4"/>
      <c r="F2739" s="4"/>
      <c r="H2739" s="4"/>
      <c r="I2739" s="4"/>
      <c r="K2739" s="4"/>
    </row>
    <row r="2740" spans="1:11" ht="13">
      <c r="A2740" s="4"/>
      <c r="B2740" s="4"/>
      <c r="C2740" s="4"/>
      <c r="D2740" s="4"/>
      <c r="E2740" s="4"/>
      <c r="F2740" s="4"/>
      <c r="H2740" s="4"/>
      <c r="I2740" s="4"/>
      <c r="K2740" s="4"/>
    </row>
    <row r="2741" spans="1:11" ht="13">
      <c r="A2741" s="4"/>
      <c r="B2741" s="4"/>
      <c r="C2741" s="4"/>
      <c r="D2741" s="4"/>
      <c r="E2741" s="4"/>
      <c r="F2741" s="4"/>
      <c r="H2741" s="4"/>
      <c r="I2741" s="4"/>
      <c r="K2741" s="4"/>
    </row>
    <row r="2742" spans="1:11" ht="13">
      <c r="A2742" s="4"/>
      <c r="B2742" s="4"/>
      <c r="C2742" s="4"/>
      <c r="D2742" s="4"/>
      <c r="E2742" s="4"/>
      <c r="F2742" s="4"/>
      <c r="H2742" s="4"/>
      <c r="I2742" s="4"/>
      <c r="K2742" s="4"/>
    </row>
    <row r="2743" spans="1:11" ht="13">
      <c r="A2743" s="4"/>
      <c r="B2743" s="4"/>
      <c r="C2743" s="4"/>
      <c r="D2743" s="4"/>
      <c r="E2743" s="4"/>
      <c r="F2743" s="4"/>
      <c r="H2743" s="4"/>
      <c r="I2743" s="4"/>
      <c r="K2743" s="4"/>
    </row>
    <row r="2744" spans="1:11" ht="13">
      <c r="A2744" s="4"/>
      <c r="B2744" s="4"/>
      <c r="C2744" s="4"/>
      <c r="D2744" s="4"/>
      <c r="E2744" s="4"/>
      <c r="F2744" s="4"/>
      <c r="H2744" s="4"/>
      <c r="I2744" s="4"/>
      <c r="K2744" s="4"/>
    </row>
    <row r="2745" spans="1:11" ht="13">
      <c r="A2745" s="4"/>
      <c r="B2745" s="4"/>
      <c r="C2745" s="4"/>
      <c r="D2745" s="4"/>
      <c r="E2745" s="4"/>
      <c r="F2745" s="4"/>
      <c r="H2745" s="4"/>
      <c r="I2745" s="4"/>
      <c r="K2745" s="4"/>
    </row>
    <row r="2746" spans="1:11" ht="13">
      <c r="A2746" s="4"/>
      <c r="B2746" s="4"/>
      <c r="C2746" s="4"/>
      <c r="D2746" s="4"/>
      <c r="E2746" s="4"/>
      <c r="F2746" s="4"/>
      <c r="H2746" s="4"/>
      <c r="I2746" s="4"/>
      <c r="K2746" s="4"/>
    </row>
    <row r="2747" spans="1:11" ht="13">
      <c r="A2747" s="4"/>
      <c r="B2747" s="4"/>
      <c r="C2747" s="4"/>
      <c r="D2747" s="4"/>
      <c r="E2747" s="4"/>
      <c r="F2747" s="4"/>
      <c r="H2747" s="4"/>
      <c r="I2747" s="4"/>
      <c r="K2747" s="4"/>
    </row>
    <row r="2748" spans="1:11" ht="13">
      <c r="A2748" s="4"/>
      <c r="B2748" s="4"/>
      <c r="C2748" s="4"/>
      <c r="D2748" s="4"/>
      <c r="E2748" s="4"/>
      <c r="F2748" s="4"/>
      <c r="H2748" s="4"/>
      <c r="I2748" s="4"/>
      <c r="K2748" s="4"/>
    </row>
    <row r="2749" spans="1:11" ht="13">
      <c r="A2749" s="4"/>
      <c r="B2749" s="4"/>
      <c r="C2749" s="4"/>
      <c r="D2749" s="4"/>
      <c r="E2749" s="4"/>
      <c r="F2749" s="4"/>
      <c r="H2749" s="4"/>
      <c r="I2749" s="4"/>
      <c r="K2749" s="4"/>
    </row>
    <row r="2750" spans="1:11" ht="13">
      <c r="A2750" s="4"/>
      <c r="B2750" s="4"/>
      <c r="C2750" s="4"/>
      <c r="D2750" s="4"/>
      <c r="E2750" s="4"/>
      <c r="F2750" s="4"/>
      <c r="H2750" s="4"/>
      <c r="I2750" s="4"/>
      <c r="K2750" s="4"/>
    </row>
    <row r="2751" spans="1:11" ht="13">
      <c r="A2751" s="4"/>
      <c r="B2751" s="4"/>
      <c r="C2751" s="4"/>
      <c r="D2751" s="4"/>
      <c r="E2751" s="4"/>
      <c r="F2751" s="4"/>
      <c r="H2751" s="4"/>
      <c r="I2751" s="4"/>
      <c r="K2751" s="4"/>
    </row>
    <row r="2752" spans="1:11" ht="13">
      <c r="A2752" s="4"/>
      <c r="B2752" s="4"/>
      <c r="C2752" s="4"/>
      <c r="D2752" s="4"/>
      <c r="E2752" s="4"/>
      <c r="F2752" s="4"/>
      <c r="H2752" s="4"/>
      <c r="I2752" s="4"/>
      <c r="K2752" s="4"/>
    </row>
    <row r="2753" spans="1:11" ht="13">
      <c r="A2753" s="4"/>
      <c r="B2753" s="4"/>
      <c r="C2753" s="4"/>
      <c r="D2753" s="4"/>
      <c r="E2753" s="4"/>
      <c r="F2753" s="4"/>
      <c r="H2753" s="4"/>
      <c r="I2753" s="4"/>
      <c r="K2753" s="4"/>
    </row>
    <row r="2754" spans="1:11" ht="13">
      <c r="A2754" s="4"/>
      <c r="B2754" s="4"/>
      <c r="C2754" s="4"/>
      <c r="D2754" s="4"/>
      <c r="E2754" s="4"/>
      <c r="F2754" s="4"/>
      <c r="H2754" s="4"/>
      <c r="I2754" s="4"/>
      <c r="K2754" s="4"/>
    </row>
    <row r="2755" spans="1:11" ht="13">
      <c r="A2755" s="4"/>
      <c r="B2755" s="4"/>
      <c r="C2755" s="4"/>
      <c r="D2755" s="4"/>
      <c r="E2755" s="4"/>
      <c r="F2755" s="4"/>
      <c r="H2755" s="4"/>
      <c r="I2755" s="4"/>
      <c r="K2755" s="4"/>
    </row>
    <row r="2756" spans="1:11" ht="13">
      <c r="A2756" s="4"/>
      <c r="B2756" s="4"/>
      <c r="C2756" s="4"/>
      <c r="D2756" s="4"/>
      <c r="E2756" s="4"/>
      <c r="F2756" s="4"/>
      <c r="H2756" s="4"/>
      <c r="I2756" s="4"/>
      <c r="K2756" s="4"/>
    </row>
    <row r="2757" spans="1:11" ht="13">
      <c r="A2757" s="4"/>
      <c r="B2757" s="4"/>
      <c r="C2757" s="4"/>
      <c r="D2757" s="4"/>
      <c r="E2757" s="4"/>
      <c r="F2757" s="4"/>
      <c r="H2757" s="4"/>
      <c r="I2757" s="4"/>
      <c r="K2757" s="4"/>
    </row>
    <row r="2758" spans="1:11" ht="13">
      <c r="A2758" s="4"/>
      <c r="B2758" s="4"/>
      <c r="C2758" s="4"/>
      <c r="D2758" s="4"/>
      <c r="E2758" s="4"/>
      <c r="F2758" s="4"/>
      <c r="H2758" s="4"/>
      <c r="I2758" s="4"/>
      <c r="K2758" s="4"/>
    </row>
    <row r="2759" spans="1:11" ht="13">
      <c r="A2759" s="4"/>
      <c r="B2759" s="4"/>
      <c r="C2759" s="4"/>
      <c r="D2759" s="4"/>
      <c r="E2759" s="4"/>
      <c r="F2759" s="4"/>
      <c r="H2759" s="4"/>
      <c r="I2759" s="4"/>
      <c r="K2759" s="4"/>
    </row>
    <row r="2760" spans="1:11" ht="13">
      <c r="A2760" s="4"/>
      <c r="B2760" s="4"/>
      <c r="C2760" s="4"/>
      <c r="D2760" s="4"/>
      <c r="E2760" s="4"/>
      <c r="F2760" s="4"/>
      <c r="H2760" s="4"/>
      <c r="I2760" s="4"/>
      <c r="K2760" s="4"/>
    </row>
    <row r="2761" spans="1:11" ht="13">
      <c r="A2761" s="4"/>
      <c r="B2761" s="4"/>
      <c r="C2761" s="4"/>
      <c r="D2761" s="4"/>
      <c r="E2761" s="4"/>
      <c r="F2761" s="4"/>
      <c r="H2761" s="4"/>
      <c r="I2761" s="4"/>
      <c r="K2761" s="4"/>
    </row>
    <row r="2762" spans="1:11" ht="13">
      <c r="A2762" s="4"/>
      <c r="B2762" s="4"/>
      <c r="C2762" s="4"/>
      <c r="D2762" s="4"/>
      <c r="E2762" s="4"/>
      <c r="F2762" s="4"/>
      <c r="H2762" s="4"/>
      <c r="I2762" s="4"/>
      <c r="K2762" s="4"/>
    </row>
    <row r="2763" spans="1:11" ht="13">
      <c r="A2763" s="4"/>
      <c r="B2763" s="4"/>
      <c r="C2763" s="4"/>
      <c r="D2763" s="4"/>
      <c r="E2763" s="4"/>
      <c r="F2763" s="4"/>
      <c r="H2763" s="4"/>
      <c r="I2763" s="4"/>
      <c r="K2763" s="4"/>
    </row>
    <row r="2764" spans="1:11" ht="13">
      <c r="A2764" s="4"/>
      <c r="B2764" s="4"/>
      <c r="C2764" s="4"/>
      <c r="D2764" s="4"/>
      <c r="E2764" s="4"/>
      <c r="F2764" s="4"/>
      <c r="H2764" s="4"/>
      <c r="I2764" s="4"/>
      <c r="K2764" s="4"/>
    </row>
    <row r="2765" spans="1:11" ht="13">
      <c r="A2765" s="4"/>
      <c r="B2765" s="4"/>
      <c r="C2765" s="4"/>
      <c r="D2765" s="4"/>
      <c r="E2765" s="4"/>
      <c r="F2765" s="4"/>
      <c r="H2765" s="4"/>
      <c r="I2765" s="4"/>
      <c r="K2765" s="4"/>
    </row>
    <row r="2766" spans="1:11" ht="13">
      <c r="A2766" s="4"/>
      <c r="B2766" s="4"/>
      <c r="C2766" s="4"/>
      <c r="D2766" s="4"/>
      <c r="E2766" s="4"/>
      <c r="F2766" s="4"/>
      <c r="H2766" s="4"/>
      <c r="I2766" s="4"/>
      <c r="K2766" s="4"/>
    </row>
    <row r="2767" spans="1:11" ht="13">
      <c r="A2767" s="4"/>
      <c r="B2767" s="4"/>
      <c r="C2767" s="4"/>
      <c r="D2767" s="4"/>
      <c r="E2767" s="4"/>
      <c r="F2767" s="4"/>
      <c r="H2767" s="4"/>
      <c r="I2767" s="4"/>
      <c r="K2767" s="4"/>
    </row>
    <row r="2768" spans="1:11" ht="13">
      <c r="A2768" s="4"/>
      <c r="B2768" s="4"/>
      <c r="C2768" s="4"/>
      <c r="D2768" s="4"/>
      <c r="E2768" s="4"/>
      <c r="F2768" s="4"/>
      <c r="H2768" s="4"/>
      <c r="I2768" s="4"/>
      <c r="K2768" s="4"/>
    </row>
    <row r="2769" spans="1:11" ht="13">
      <c r="A2769" s="4"/>
      <c r="B2769" s="4"/>
      <c r="C2769" s="4"/>
      <c r="D2769" s="4"/>
      <c r="E2769" s="4"/>
      <c r="F2769" s="4"/>
      <c r="H2769" s="4"/>
      <c r="I2769" s="4"/>
      <c r="K2769" s="4"/>
    </row>
    <row r="2770" spans="1:11" ht="13">
      <c r="A2770" s="4"/>
      <c r="B2770" s="4"/>
      <c r="C2770" s="4"/>
      <c r="D2770" s="4"/>
      <c r="E2770" s="4"/>
      <c r="F2770" s="4"/>
      <c r="H2770" s="4"/>
      <c r="I2770" s="4"/>
      <c r="K2770" s="4"/>
    </row>
    <row r="2771" spans="1:11" ht="13">
      <c r="A2771" s="4"/>
      <c r="B2771" s="4"/>
      <c r="C2771" s="4"/>
      <c r="D2771" s="4"/>
      <c r="E2771" s="4"/>
      <c r="F2771" s="4"/>
      <c r="H2771" s="4"/>
      <c r="I2771" s="4"/>
      <c r="K2771" s="4"/>
    </row>
    <row r="2772" spans="1:11" ht="13">
      <c r="A2772" s="4"/>
      <c r="B2772" s="4"/>
      <c r="C2772" s="4"/>
      <c r="D2772" s="4"/>
      <c r="E2772" s="4"/>
      <c r="F2772" s="4"/>
      <c r="H2772" s="4"/>
      <c r="I2772" s="4"/>
      <c r="K2772" s="4"/>
    </row>
    <row r="2773" spans="1:11" ht="13">
      <c r="A2773" s="4"/>
      <c r="B2773" s="4"/>
      <c r="C2773" s="4"/>
      <c r="D2773" s="4"/>
      <c r="E2773" s="4"/>
      <c r="F2773" s="4"/>
      <c r="H2773" s="4"/>
      <c r="I2773" s="4"/>
      <c r="K2773" s="4"/>
    </row>
    <row r="2774" spans="1:11" ht="13">
      <c r="A2774" s="4"/>
      <c r="B2774" s="4"/>
      <c r="C2774" s="4"/>
      <c r="D2774" s="4"/>
      <c r="E2774" s="4"/>
      <c r="F2774" s="4"/>
      <c r="H2774" s="4"/>
      <c r="I2774" s="4"/>
      <c r="K2774" s="4"/>
    </row>
    <row r="2775" spans="1:11" ht="13">
      <c r="A2775" s="4"/>
      <c r="B2775" s="4"/>
      <c r="C2775" s="4"/>
      <c r="D2775" s="4"/>
      <c r="E2775" s="4"/>
      <c r="F2775" s="4"/>
      <c r="H2775" s="4"/>
      <c r="I2775" s="4"/>
      <c r="K2775" s="4"/>
    </row>
    <row r="2776" spans="1:11" ht="13">
      <c r="A2776" s="4"/>
      <c r="B2776" s="4"/>
      <c r="C2776" s="4"/>
      <c r="D2776" s="4"/>
      <c r="E2776" s="4"/>
      <c r="F2776" s="4"/>
      <c r="H2776" s="4"/>
      <c r="I2776" s="4"/>
      <c r="K2776" s="4"/>
    </row>
    <row r="2777" spans="1:11" ht="13">
      <c r="A2777" s="4"/>
      <c r="B2777" s="4"/>
      <c r="C2777" s="4"/>
      <c r="D2777" s="4"/>
      <c r="E2777" s="4"/>
      <c r="F2777" s="4"/>
      <c r="H2777" s="4"/>
      <c r="I2777" s="4"/>
      <c r="K2777" s="4"/>
    </row>
    <row r="2778" spans="1:11" ht="13">
      <c r="A2778" s="4"/>
      <c r="B2778" s="4"/>
      <c r="C2778" s="4"/>
      <c r="D2778" s="4"/>
      <c r="E2778" s="4"/>
      <c r="F2778" s="4"/>
      <c r="H2778" s="4"/>
      <c r="I2778" s="4"/>
      <c r="K2778" s="4"/>
    </row>
    <row r="2779" spans="1:11" ht="13">
      <c r="A2779" s="4"/>
      <c r="B2779" s="4"/>
      <c r="C2779" s="4"/>
      <c r="D2779" s="4"/>
      <c r="E2779" s="4"/>
      <c r="F2779" s="4"/>
      <c r="H2779" s="4"/>
      <c r="I2779" s="4"/>
      <c r="K2779" s="4"/>
    </row>
    <row r="2780" spans="1:11" ht="13">
      <c r="A2780" s="4"/>
      <c r="B2780" s="4"/>
      <c r="C2780" s="4"/>
      <c r="D2780" s="4"/>
      <c r="E2780" s="4"/>
      <c r="F2780" s="4"/>
      <c r="H2780" s="4"/>
      <c r="I2780" s="4"/>
      <c r="K2780" s="4"/>
    </row>
    <row r="2781" spans="1:11" ht="13">
      <c r="A2781" s="4"/>
      <c r="B2781" s="4"/>
      <c r="C2781" s="4"/>
      <c r="D2781" s="4"/>
      <c r="E2781" s="4"/>
      <c r="F2781" s="4"/>
      <c r="H2781" s="4"/>
      <c r="I2781" s="4"/>
      <c r="K2781" s="4"/>
    </row>
    <row r="2782" spans="1:11" ht="13">
      <c r="A2782" s="4"/>
      <c r="B2782" s="4"/>
      <c r="C2782" s="4"/>
      <c r="D2782" s="4"/>
      <c r="E2782" s="4"/>
      <c r="F2782" s="4"/>
      <c r="H2782" s="4"/>
      <c r="I2782" s="4"/>
      <c r="K2782" s="4"/>
    </row>
    <row r="2783" spans="1:11" ht="13">
      <c r="A2783" s="4"/>
      <c r="B2783" s="4"/>
      <c r="C2783" s="4"/>
      <c r="D2783" s="4"/>
      <c r="E2783" s="4"/>
      <c r="F2783" s="4"/>
      <c r="H2783" s="4"/>
      <c r="I2783" s="4"/>
      <c r="K2783" s="4"/>
    </row>
    <row r="2784" spans="1:11" ht="13">
      <c r="A2784" s="4"/>
      <c r="B2784" s="4"/>
      <c r="C2784" s="4"/>
      <c r="D2784" s="4"/>
      <c r="E2784" s="4"/>
      <c r="F2784" s="4"/>
      <c r="H2784" s="4"/>
      <c r="I2784" s="4"/>
      <c r="K2784" s="4"/>
    </row>
    <row r="2785" spans="1:11" ht="13">
      <c r="A2785" s="4"/>
      <c r="B2785" s="4"/>
      <c r="C2785" s="4"/>
      <c r="D2785" s="4"/>
      <c r="E2785" s="4"/>
      <c r="F2785" s="4"/>
      <c r="H2785" s="4"/>
      <c r="I2785" s="4"/>
      <c r="K2785" s="4"/>
    </row>
    <row r="2786" spans="1:11" ht="13">
      <c r="A2786" s="4"/>
      <c r="B2786" s="4"/>
      <c r="C2786" s="4"/>
      <c r="D2786" s="4"/>
      <c r="E2786" s="4"/>
      <c r="F2786" s="4"/>
      <c r="H2786" s="4"/>
      <c r="I2786" s="4"/>
      <c r="K2786" s="4"/>
    </row>
    <row r="2787" spans="1:11" ht="13">
      <c r="A2787" s="4"/>
      <c r="B2787" s="4"/>
      <c r="C2787" s="4"/>
      <c r="D2787" s="4"/>
      <c r="E2787" s="4"/>
      <c r="F2787" s="4"/>
      <c r="H2787" s="4"/>
      <c r="I2787" s="4"/>
      <c r="K2787" s="4"/>
    </row>
    <row r="2788" spans="1:11" ht="13">
      <c r="A2788" s="4"/>
      <c r="B2788" s="4"/>
      <c r="C2788" s="4"/>
      <c r="D2788" s="4"/>
      <c r="E2788" s="4"/>
      <c r="F2788" s="4"/>
      <c r="H2788" s="4"/>
      <c r="I2788" s="4"/>
      <c r="K2788" s="4"/>
    </row>
    <row r="2789" spans="1:11" ht="13">
      <c r="A2789" s="4"/>
      <c r="B2789" s="4"/>
      <c r="C2789" s="4"/>
      <c r="D2789" s="4"/>
      <c r="E2789" s="4"/>
      <c r="F2789" s="4"/>
      <c r="H2789" s="4"/>
      <c r="I2789" s="4"/>
      <c r="K2789" s="4"/>
    </row>
    <row r="2790" spans="1:11" ht="13">
      <c r="A2790" s="4"/>
      <c r="B2790" s="4"/>
      <c r="C2790" s="4"/>
      <c r="D2790" s="4"/>
      <c r="E2790" s="4"/>
      <c r="F2790" s="4"/>
      <c r="H2790" s="4"/>
      <c r="I2790" s="4"/>
      <c r="K2790" s="4"/>
    </row>
    <row r="2791" spans="1:11" ht="13">
      <c r="A2791" s="4"/>
      <c r="B2791" s="4"/>
      <c r="C2791" s="4"/>
      <c r="D2791" s="4"/>
      <c r="E2791" s="4"/>
      <c r="F2791" s="4"/>
      <c r="H2791" s="4"/>
      <c r="I2791" s="4"/>
      <c r="K2791" s="4"/>
    </row>
    <row r="2792" spans="1:11" ht="13">
      <c r="A2792" s="4"/>
      <c r="B2792" s="4"/>
      <c r="C2792" s="4"/>
      <c r="D2792" s="4"/>
      <c r="E2792" s="4"/>
      <c r="F2792" s="4"/>
      <c r="H2792" s="4"/>
      <c r="I2792" s="4"/>
      <c r="K2792" s="4"/>
    </row>
    <row r="2793" spans="1:11" ht="13">
      <c r="A2793" s="4"/>
      <c r="B2793" s="4"/>
      <c r="C2793" s="4"/>
      <c r="D2793" s="4"/>
      <c r="E2793" s="4"/>
      <c r="F2793" s="4"/>
      <c r="H2793" s="4"/>
      <c r="I2793" s="4"/>
      <c r="K2793" s="4"/>
    </row>
    <row r="2794" spans="1:11" ht="13">
      <c r="A2794" s="4"/>
      <c r="B2794" s="4"/>
      <c r="C2794" s="4"/>
      <c r="D2794" s="4"/>
      <c r="E2794" s="4"/>
      <c r="F2794" s="4"/>
      <c r="H2794" s="4"/>
      <c r="I2794" s="4"/>
      <c r="K2794" s="4"/>
    </row>
    <row r="2795" spans="1:11" ht="13">
      <c r="A2795" s="4"/>
      <c r="B2795" s="4"/>
      <c r="C2795" s="4"/>
      <c r="D2795" s="4"/>
      <c r="E2795" s="4"/>
      <c r="F2795" s="4"/>
      <c r="H2795" s="4"/>
      <c r="I2795" s="4"/>
      <c r="K2795" s="4"/>
    </row>
    <row r="2796" spans="1:11" ht="13">
      <c r="A2796" s="4"/>
      <c r="B2796" s="4"/>
      <c r="C2796" s="4"/>
      <c r="D2796" s="4"/>
      <c r="E2796" s="4"/>
      <c r="F2796" s="4"/>
      <c r="H2796" s="4"/>
      <c r="I2796" s="4"/>
      <c r="K2796" s="4"/>
    </row>
    <row r="2797" spans="1:11" ht="13">
      <c r="A2797" s="4"/>
      <c r="B2797" s="4"/>
      <c r="C2797" s="4"/>
      <c r="D2797" s="4"/>
      <c r="E2797" s="4"/>
      <c r="F2797" s="4"/>
      <c r="H2797" s="4"/>
      <c r="I2797" s="4"/>
      <c r="K2797" s="4"/>
    </row>
    <row r="2798" spans="1:11" ht="13">
      <c r="A2798" s="4"/>
      <c r="B2798" s="4"/>
      <c r="C2798" s="4"/>
      <c r="D2798" s="4"/>
      <c r="E2798" s="4"/>
      <c r="F2798" s="4"/>
      <c r="H2798" s="4"/>
      <c r="I2798" s="4"/>
      <c r="K2798" s="4"/>
    </row>
    <row r="2799" spans="1:11" ht="13">
      <c r="A2799" s="4"/>
      <c r="B2799" s="4"/>
      <c r="C2799" s="4"/>
      <c r="D2799" s="4"/>
      <c r="E2799" s="4"/>
      <c r="F2799" s="4"/>
      <c r="H2799" s="4"/>
      <c r="I2799" s="4"/>
      <c r="K2799" s="4"/>
    </row>
    <row r="2800" spans="1:11" ht="13">
      <c r="A2800" s="4"/>
      <c r="B2800" s="4"/>
      <c r="C2800" s="4"/>
      <c r="D2800" s="4"/>
      <c r="E2800" s="4"/>
      <c r="F2800" s="4"/>
      <c r="H2800" s="4"/>
      <c r="I2800" s="4"/>
      <c r="K2800" s="4"/>
    </row>
    <row r="2801" spans="1:11" ht="13">
      <c r="A2801" s="4"/>
      <c r="B2801" s="4"/>
      <c r="C2801" s="4"/>
      <c r="D2801" s="4"/>
      <c r="E2801" s="4"/>
      <c r="F2801" s="4"/>
      <c r="H2801" s="4"/>
      <c r="I2801" s="4"/>
      <c r="K2801" s="4"/>
    </row>
    <row r="2802" spans="1:11" ht="13">
      <c r="A2802" s="4"/>
      <c r="B2802" s="4"/>
      <c r="C2802" s="4"/>
      <c r="D2802" s="4"/>
      <c r="E2802" s="4"/>
      <c r="F2802" s="4"/>
      <c r="H2802" s="4"/>
      <c r="I2802" s="4"/>
      <c r="K2802" s="4"/>
    </row>
    <row r="2803" spans="1:11" ht="13">
      <c r="A2803" s="4"/>
      <c r="B2803" s="4"/>
      <c r="C2803" s="4"/>
      <c r="D2803" s="4"/>
      <c r="E2803" s="4"/>
      <c r="F2803" s="4"/>
      <c r="H2803" s="4"/>
      <c r="I2803" s="4"/>
      <c r="K2803" s="4"/>
    </row>
    <row r="2804" spans="1:11" ht="13">
      <c r="A2804" s="4"/>
      <c r="B2804" s="4"/>
      <c r="C2804" s="4"/>
      <c r="D2804" s="4"/>
      <c r="E2804" s="4"/>
      <c r="F2804" s="4"/>
      <c r="H2804" s="4"/>
      <c r="I2804" s="4"/>
      <c r="K2804" s="4"/>
    </row>
    <row r="2805" spans="1:11" ht="13">
      <c r="A2805" s="4"/>
      <c r="B2805" s="4"/>
      <c r="C2805" s="4"/>
      <c r="D2805" s="4"/>
      <c r="E2805" s="4"/>
      <c r="F2805" s="4"/>
      <c r="H2805" s="4"/>
      <c r="I2805" s="4"/>
      <c r="K2805" s="4"/>
    </row>
    <row r="2806" spans="1:11" ht="13">
      <c r="A2806" s="4"/>
      <c r="B2806" s="4"/>
      <c r="C2806" s="4"/>
      <c r="D2806" s="4"/>
      <c r="E2806" s="4"/>
      <c r="F2806" s="4"/>
      <c r="H2806" s="4"/>
      <c r="I2806" s="4"/>
      <c r="K2806" s="4"/>
    </row>
    <row r="2807" spans="1:11" ht="13">
      <c r="A2807" s="4"/>
      <c r="B2807" s="4"/>
      <c r="C2807" s="4"/>
      <c r="D2807" s="4"/>
      <c r="E2807" s="4"/>
      <c r="F2807" s="4"/>
      <c r="H2807" s="4"/>
      <c r="I2807" s="4"/>
      <c r="K2807" s="4"/>
    </row>
    <row r="2808" spans="1:11" ht="13">
      <c r="A2808" s="4"/>
      <c r="B2808" s="4"/>
      <c r="C2808" s="4"/>
      <c r="D2808" s="4"/>
      <c r="E2808" s="4"/>
      <c r="F2808" s="4"/>
      <c r="H2808" s="4"/>
      <c r="I2808" s="4"/>
      <c r="K2808" s="4"/>
    </row>
    <row r="2809" spans="1:11" ht="13">
      <c r="A2809" s="4"/>
      <c r="B2809" s="4"/>
      <c r="C2809" s="4"/>
      <c r="D2809" s="4"/>
      <c r="E2809" s="4"/>
      <c r="F2809" s="4"/>
      <c r="H2809" s="4"/>
      <c r="I2809" s="4"/>
      <c r="K2809" s="4"/>
    </row>
    <row r="2810" spans="1:11" ht="13">
      <c r="A2810" s="4"/>
      <c r="B2810" s="4"/>
      <c r="C2810" s="4"/>
      <c r="D2810" s="4"/>
      <c r="E2810" s="4"/>
      <c r="F2810" s="4"/>
      <c r="H2810" s="4"/>
      <c r="I2810" s="4"/>
      <c r="K2810" s="4"/>
    </row>
    <row r="2811" spans="1:11" ht="13">
      <c r="A2811" s="4"/>
      <c r="B2811" s="4"/>
      <c r="C2811" s="4"/>
      <c r="D2811" s="4"/>
      <c r="E2811" s="4"/>
      <c r="F2811" s="4"/>
      <c r="H2811" s="4"/>
      <c r="I2811" s="4"/>
      <c r="K2811" s="4"/>
    </row>
    <row r="2812" spans="1:11" ht="13">
      <c r="A2812" s="4"/>
      <c r="B2812" s="4"/>
      <c r="C2812" s="4"/>
      <c r="D2812" s="4"/>
      <c r="E2812" s="4"/>
      <c r="F2812" s="4"/>
      <c r="H2812" s="4"/>
      <c r="I2812" s="4"/>
      <c r="K2812" s="4"/>
    </row>
    <row r="2813" spans="1:11" ht="13">
      <c r="A2813" s="4"/>
      <c r="B2813" s="4"/>
      <c r="C2813" s="4"/>
      <c r="D2813" s="4"/>
      <c r="E2813" s="4"/>
      <c r="F2813" s="4"/>
      <c r="H2813" s="4"/>
      <c r="I2813" s="4"/>
      <c r="K2813" s="4"/>
    </row>
    <row r="2814" spans="1:11" ht="13">
      <c r="A2814" s="4"/>
      <c r="B2814" s="4"/>
      <c r="C2814" s="4"/>
      <c r="D2814" s="4"/>
      <c r="E2814" s="4"/>
      <c r="F2814" s="4"/>
      <c r="H2814" s="4"/>
      <c r="I2814" s="4"/>
      <c r="K2814" s="4"/>
    </row>
    <row r="2815" spans="1:11" ht="13">
      <c r="A2815" s="4"/>
      <c r="B2815" s="4"/>
      <c r="C2815" s="4"/>
      <c r="D2815" s="4"/>
      <c r="E2815" s="4"/>
      <c r="F2815" s="4"/>
      <c r="H2815" s="4"/>
      <c r="I2815" s="4"/>
      <c r="K2815" s="4"/>
    </row>
    <row r="2816" spans="1:11" ht="13">
      <c r="A2816" s="4"/>
      <c r="B2816" s="4"/>
      <c r="C2816" s="4"/>
      <c r="D2816" s="4"/>
      <c r="E2816" s="4"/>
      <c r="F2816" s="4"/>
      <c r="H2816" s="4"/>
      <c r="I2816" s="4"/>
      <c r="K2816" s="4"/>
    </row>
    <row r="2817" spans="1:11" ht="13">
      <c r="A2817" s="4"/>
      <c r="B2817" s="4"/>
      <c r="C2817" s="4"/>
      <c r="D2817" s="4"/>
      <c r="E2817" s="4"/>
      <c r="F2817" s="4"/>
      <c r="H2817" s="4"/>
      <c r="I2817" s="4"/>
      <c r="K2817" s="4"/>
    </row>
    <row r="2818" spans="1:11" ht="13">
      <c r="A2818" s="4"/>
      <c r="B2818" s="4"/>
      <c r="C2818" s="4"/>
      <c r="D2818" s="4"/>
      <c r="E2818" s="4"/>
      <c r="F2818" s="4"/>
      <c r="H2818" s="4"/>
      <c r="I2818" s="4"/>
      <c r="K2818" s="4"/>
    </row>
    <row r="2819" spans="1:11" ht="13">
      <c r="A2819" s="4"/>
      <c r="B2819" s="4"/>
      <c r="C2819" s="4"/>
      <c r="D2819" s="4"/>
      <c r="E2819" s="4"/>
      <c r="F2819" s="4"/>
      <c r="H2819" s="4"/>
      <c r="I2819" s="4"/>
      <c r="K2819" s="4"/>
    </row>
    <row r="2820" spans="1:11" ht="13">
      <c r="A2820" s="4"/>
      <c r="B2820" s="4"/>
      <c r="C2820" s="4"/>
      <c r="D2820" s="4"/>
      <c r="E2820" s="4"/>
      <c r="F2820" s="4"/>
      <c r="H2820" s="4"/>
      <c r="I2820" s="4"/>
      <c r="K2820" s="4"/>
    </row>
    <row r="2821" spans="1:11" ht="13">
      <c r="A2821" s="4"/>
      <c r="B2821" s="4"/>
      <c r="C2821" s="4"/>
      <c r="D2821" s="4"/>
      <c r="E2821" s="4"/>
      <c r="F2821" s="4"/>
      <c r="H2821" s="4"/>
      <c r="I2821" s="4"/>
      <c r="K2821" s="4"/>
    </row>
    <row r="2822" spans="1:11" ht="13">
      <c r="A2822" s="4"/>
      <c r="B2822" s="4"/>
      <c r="C2822" s="4"/>
      <c r="D2822" s="4"/>
      <c r="E2822" s="4"/>
      <c r="F2822" s="4"/>
      <c r="H2822" s="4"/>
      <c r="I2822" s="4"/>
      <c r="K2822" s="4"/>
    </row>
    <row r="2823" spans="1:11" ht="13">
      <c r="A2823" s="4"/>
      <c r="B2823" s="4"/>
      <c r="C2823" s="4"/>
      <c r="D2823" s="4"/>
      <c r="E2823" s="4"/>
      <c r="F2823" s="4"/>
      <c r="H2823" s="4"/>
      <c r="I2823" s="4"/>
      <c r="K2823" s="4"/>
    </row>
    <row r="2824" spans="1:11" ht="13">
      <c r="A2824" s="4"/>
      <c r="B2824" s="4"/>
      <c r="C2824" s="4"/>
      <c r="D2824" s="4"/>
      <c r="E2824" s="4"/>
      <c r="F2824" s="4"/>
      <c r="H2824" s="4"/>
      <c r="I2824" s="4"/>
      <c r="K2824" s="4"/>
    </row>
    <row r="2825" spans="1:11" ht="13">
      <c r="A2825" s="4"/>
      <c r="B2825" s="4"/>
      <c r="C2825" s="4"/>
      <c r="D2825" s="4"/>
      <c r="E2825" s="4"/>
      <c r="F2825" s="4"/>
      <c r="H2825" s="4"/>
      <c r="I2825" s="4"/>
      <c r="K2825" s="4"/>
    </row>
    <row r="2826" spans="1:11" ht="13">
      <c r="A2826" s="4"/>
      <c r="B2826" s="4"/>
      <c r="C2826" s="4"/>
      <c r="D2826" s="4"/>
      <c r="E2826" s="4"/>
      <c r="F2826" s="4"/>
      <c r="H2826" s="4"/>
      <c r="I2826" s="4"/>
      <c r="K2826" s="4"/>
    </row>
    <row r="2827" spans="1:11" ht="13">
      <c r="A2827" s="4"/>
      <c r="B2827" s="4"/>
      <c r="C2827" s="4"/>
      <c r="D2827" s="4"/>
      <c r="E2827" s="4"/>
      <c r="F2827" s="4"/>
      <c r="H2827" s="4"/>
      <c r="I2827" s="4"/>
      <c r="K2827" s="4"/>
    </row>
    <row r="2828" spans="1:11" ht="13">
      <c r="A2828" s="4"/>
      <c r="B2828" s="4"/>
      <c r="C2828" s="4"/>
      <c r="D2828" s="4"/>
      <c r="E2828" s="4"/>
      <c r="F2828" s="4"/>
      <c r="H2828" s="4"/>
      <c r="I2828" s="4"/>
      <c r="K2828" s="4"/>
    </row>
    <row r="2829" spans="1:11" ht="13">
      <c r="A2829" s="4"/>
      <c r="B2829" s="4"/>
      <c r="C2829" s="4"/>
      <c r="D2829" s="4"/>
      <c r="E2829" s="4"/>
      <c r="F2829" s="4"/>
      <c r="H2829" s="4"/>
      <c r="I2829" s="4"/>
      <c r="K2829" s="4"/>
    </row>
    <row r="2830" spans="1:11" ht="13">
      <c r="A2830" s="4"/>
      <c r="B2830" s="4"/>
      <c r="C2830" s="4"/>
      <c r="D2830" s="4"/>
      <c r="E2830" s="4"/>
      <c r="F2830" s="4"/>
      <c r="H2830" s="4"/>
      <c r="I2830" s="4"/>
      <c r="K2830" s="4"/>
    </row>
    <row r="2831" spans="1:11" ht="13">
      <c r="A2831" s="4"/>
      <c r="B2831" s="4"/>
      <c r="C2831" s="4"/>
      <c r="D2831" s="4"/>
      <c r="E2831" s="4"/>
      <c r="F2831" s="4"/>
      <c r="H2831" s="4"/>
      <c r="I2831" s="4"/>
      <c r="K2831" s="4"/>
    </row>
    <row r="2832" spans="1:11" ht="13">
      <c r="A2832" s="4"/>
      <c r="B2832" s="4"/>
      <c r="C2832" s="4"/>
      <c r="D2832" s="4"/>
      <c r="E2832" s="4"/>
      <c r="F2832" s="4"/>
      <c r="H2832" s="4"/>
      <c r="I2832" s="4"/>
      <c r="K2832" s="4"/>
    </row>
    <row r="2833" spans="1:11" ht="13">
      <c r="A2833" s="4"/>
      <c r="B2833" s="4"/>
      <c r="C2833" s="4"/>
      <c r="D2833" s="4"/>
      <c r="E2833" s="4"/>
      <c r="F2833" s="4"/>
      <c r="H2833" s="4"/>
      <c r="I2833" s="4"/>
      <c r="K2833" s="4"/>
    </row>
    <row r="2834" spans="1:11" ht="13">
      <c r="A2834" s="4"/>
      <c r="B2834" s="4"/>
      <c r="C2834" s="4"/>
      <c r="D2834" s="4"/>
      <c r="E2834" s="4"/>
      <c r="F2834" s="4"/>
      <c r="H2834" s="4"/>
      <c r="I2834" s="4"/>
      <c r="K2834" s="4"/>
    </row>
    <row r="2835" spans="1:11" ht="13">
      <c r="A2835" s="4"/>
      <c r="B2835" s="4"/>
      <c r="C2835" s="4"/>
      <c r="D2835" s="4"/>
      <c r="E2835" s="4"/>
      <c r="F2835" s="4"/>
      <c r="H2835" s="4"/>
      <c r="I2835" s="4"/>
      <c r="K2835" s="4"/>
    </row>
    <row r="2836" spans="1:11" ht="13">
      <c r="A2836" s="4"/>
      <c r="B2836" s="4"/>
      <c r="C2836" s="4"/>
      <c r="D2836" s="4"/>
      <c r="E2836" s="4"/>
      <c r="F2836" s="4"/>
      <c r="H2836" s="4"/>
      <c r="I2836" s="4"/>
      <c r="K2836" s="4"/>
    </row>
    <row r="2837" spans="1:11" ht="13">
      <c r="A2837" s="4"/>
      <c r="B2837" s="4"/>
      <c r="C2837" s="4"/>
      <c r="D2837" s="4"/>
      <c r="E2837" s="4"/>
      <c r="F2837" s="4"/>
      <c r="H2837" s="4"/>
      <c r="I2837" s="4"/>
      <c r="K2837" s="4"/>
    </row>
    <row r="2838" spans="1:11" ht="13">
      <c r="A2838" s="4"/>
      <c r="B2838" s="4"/>
      <c r="C2838" s="4"/>
      <c r="D2838" s="4"/>
      <c r="E2838" s="4"/>
      <c r="F2838" s="4"/>
      <c r="H2838" s="4"/>
      <c r="I2838" s="4"/>
      <c r="K2838" s="4"/>
    </row>
    <row r="2839" spans="1:11" ht="13">
      <c r="A2839" s="4"/>
      <c r="B2839" s="4"/>
      <c r="C2839" s="4"/>
      <c r="D2839" s="4"/>
      <c r="E2839" s="4"/>
      <c r="F2839" s="4"/>
      <c r="H2839" s="4"/>
      <c r="I2839" s="4"/>
      <c r="K2839" s="4"/>
    </row>
    <row r="2840" spans="1:11" ht="13">
      <c r="A2840" s="4"/>
      <c r="B2840" s="4"/>
      <c r="C2840" s="4"/>
      <c r="D2840" s="4"/>
      <c r="E2840" s="4"/>
      <c r="F2840" s="4"/>
      <c r="H2840" s="4"/>
      <c r="I2840" s="4"/>
      <c r="K2840" s="4"/>
    </row>
    <row r="2841" spans="1:11" ht="13">
      <c r="A2841" s="4"/>
      <c r="B2841" s="4"/>
      <c r="C2841" s="4"/>
      <c r="D2841" s="4"/>
      <c r="E2841" s="4"/>
      <c r="F2841" s="4"/>
      <c r="H2841" s="4"/>
      <c r="I2841" s="4"/>
      <c r="K2841" s="4"/>
    </row>
    <row r="2842" spans="1:11" ht="13">
      <c r="A2842" s="4"/>
      <c r="B2842" s="4"/>
      <c r="C2842" s="4"/>
      <c r="D2842" s="4"/>
      <c r="E2842" s="4"/>
      <c r="F2842" s="4"/>
      <c r="H2842" s="4"/>
      <c r="I2842" s="4"/>
      <c r="K2842" s="4"/>
    </row>
    <row r="2843" spans="1:11" ht="13">
      <c r="A2843" s="4"/>
      <c r="B2843" s="4"/>
      <c r="C2843" s="4"/>
      <c r="D2843" s="4"/>
      <c r="E2843" s="4"/>
      <c r="F2843" s="4"/>
      <c r="H2843" s="4"/>
      <c r="I2843" s="4"/>
      <c r="K2843" s="4"/>
    </row>
    <row r="2844" spans="1:11" ht="13">
      <c r="A2844" s="4"/>
      <c r="B2844" s="4"/>
      <c r="C2844" s="4"/>
      <c r="D2844" s="4"/>
      <c r="E2844" s="4"/>
      <c r="F2844" s="4"/>
      <c r="H2844" s="4"/>
      <c r="I2844" s="4"/>
      <c r="K2844" s="4"/>
    </row>
    <row r="2845" spans="1:11" ht="13">
      <c r="A2845" s="4"/>
      <c r="B2845" s="4"/>
      <c r="C2845" s="4"/>
      <c r="D2845" s="4"/>
      <c r="E2845" s="4"/>
      <c r="F2845" s="4"/>
      <c r="H2845" s="4"/>
      <c r="I2845" s="4"/>
      <c r="K2845" s="4"/>
    </row>
    <row r="2846" spans="1:11" ht="13">
      <c r="A2846" s="4"/>
      <c r="B2846" s="4"/>
      <c r="C2846" s="4"/>
      <c r="D2846" s="4"/>
      <c r="E2846" s="4"/>
      <c r="F2846" s="4"/>
      <c r="H2846" s="4"/>
      <c r="I2846" s="4"/>
      <c r="K2846" s="4"/>
    </row>
    <row r="2847" spans="1:11" ht="13">
      <c r="A2847" s="4"/>
      <c r="B2847" s="4"/>
      <c r="C2847" s="4"/>
      <c r="D2847" s="4"/>
      <c r="E2847" s="4"/>
      <c r="F2847" s="4"/>
      <c r="H2847" s="4"/>
      <c r="I2847" s="4"/>
      <c r="K2847" s="4"/>
    </row>
    <row r="2848" spans="1:11" ht="13">
      <c r="A2848" s="4"/>
      <c r="B2848" s="4"/>
      <c r="C2848" s="4"/>
      <c r="D2848" s="4"/>
      <c r="E2848" s="4"/>
      <c r="F2848" s="4"/>
      <c r="H2848" s="4"/>
      <c r="I2848" s="4"/>
      <c r="K2848" s="4"/>
    </row>
    <row r="2849" spans="1:11" ht="13">
      <c r="A2849" s="4"/>
      <c r="B2849" s="4"/>
      <c r="C2849" s="4"/>
      <c r="D2849" s="4"/>
      <c r="E2849" s="4"/>
      <c r="F2849" s="4"/>
      <c r="H2849" s="4"/>
      <c r="I2849" s="4"/>
      <c r="K2849" s="4"/>
    </row>
    <row r="2850" spans="1:11" ht="13">
      <c r="A2850" s="4"/>
      <c r="B2850" s="4"/>
      <c r="C2850" s="4"/>
      <c r="D2850" s="4"/>
      <c r="E2850" s="4"/>
      <c r="F2850" s="4"/>
      <c r="H2850" s="4"/>
      <c r="I2850" s="4"/>
      <c r="K2850" s="4"/>
    </row>
    <row r="2851" spans="1:11" ht="13">
      <c r="A2851" s="4"/>
      <c r="B2851" s="4"/>
      <c r="C2851" s="4"/>
      <c r="D2851" s="4"/>
      <c r="E2851" s="4"/>
      <c r="F2851" s="4"/>
      <c r="H2851" s="4"/>
      <c r="I2851" s="4"/>
      <c r="K2851" s="4"/>
    </row>
    <row r="2852" spans="1:11" ht="13">
      <c r="A2852" s="4"/>
      <c r="B2852" s="4"/>
      <c r="C2852" s="4"/>
      <c r="D2852" s="4"/>
      <c r="E2852" s="4"/>
      <c r="F2852" s="4"/>
      <c r="H2852" s="4"/>
      <c r="I2852" s="4"/>
      <c r="K2852" s="4"/>
    </row>
    <row r="2853" spans="1:11" ht="13">
      <c r="A2853" s="4"/>
      <c r="B2853" s="4"/>
      <c r="C2853" s="4"/>
      <c r="D2853" s="4"/>
      <c r="E2853" s="4"/>
      <c r="F2853" s="4"/>
      <c r="H2853" s="4"/>
      <c r="I2853" s="4"/>
      <c r="K2853" s="4"/>
    </row>
    <row r="2854" spans="1:11" ht="13">
      <c r="A2854" s="4"/>
      <c r="B2854" s="4"/>
      <c r="C2854" s="4"/>
      <c r="D2854" s="4"/>
      <c r="E2854" s="4"/>
      <c r="F2854" s="4"/>
      <c r="H2854" s="4"/>
      <c r="I2854" s="4"/>
      <c r="K2854" s="4"/>
    </row>
    <row r="2855" spans="1:11" ht="13">
      <c r="A2855" s="4"/>
      <c r="B2855" s="4"/>
      <c r="C2855" s="4"/>
      <c r="D2855" s="4"/>
      <c r="E2855" s="4"/>
      <c r="F2855" s="4"/>
      <c r="H2855" s="4"/>
      <c r="I2855" s="4"/>
      <c r="K2855" s="4"/>
    </row>
    <row r="2856" spans="1:11" ht="13">
      <c r="A2856" s="4"/>
      <c r="B2856" s="4"/>
      <c r="C2856" s="4"/>
      <c r="D2856" s="4"/>
      <c r="E2856" s="4"/>
      <c r="F2856" s="4"/>
      <c r="H2856" s="4"/>
      <c r="I2856" s="4"/>
      <c r="K2856" s="4"/>
    </row>
    <row r="2857" spans="1:11" ht="13">
      <c r="A2857" s="4"/>
      <c r="B2857" s="4"/>
      <c r="C2857" s="4"/>
      <c r="D2857" s="4"/>
      <c r="E2857" s="4"/>
      <c r="F2857" s="4"/>
      <c r="H2857" s="4"/>
      <c r="I2857" s="4"/>
      <c r="K2857" s="4"/>
    </row>
    <row r="2858" spans="1:11" ht="13">
      <c r="A2858" s="4"/>
      <c r="B2858" s="4"/>
      <c r="C2858" s="4"/>
      <c r="D2858" s="4"/>
      <c r="E2858" s="4"/>
      <c r="F2858" s="4"/>
      <c r="H2858" s="4"/>
      <c r="I2858" s="4"/>
      <c r="K2858" s="4"/>
    </row>
    <row r="2859" spans="1:11" ht="13">
      <c r="A2859" s="4"/>
      <c r="B2859" s="4"/>
      <c r="C2859" s="4"/>
      <c r="D2859" s="4"/>
      <c r="E2859" s="4"/>
      <c r="F2859" s="4"/>
      <c r="H2859" s="4"/>
      <c r="I2859" s="4"/>
      <c r="K2859" s="4"/>
    </row>
    <row r="2860" spans="1:11" ht="13">
      <c r="A2860" s="4"/>
      <c r="B2860" s="4"/>
      <c r="C2860" s="4"/>
      <c r="D2860" s="4"/>
      <c r="E2860" s="4"/>
      <c r="F2860" s="4"/>
      <c r="H2860" s="4"/>
      <c r="I2860" s="4"/>
      <c r="K2860" s="4"/>
    </row>
    <row r="2861" spans="1:11" ht="13">
      <c r="A2861" s="4"/>
      <c r="B2861" s="4"/>
      <c r="C2861" s="4"/>
      <c r="D2861" s="4"/>
      <c r="E2861" s="4"/>
      <c r="F2861" s="4"/>
      <c r="H2861" s="4"/>
      <c r="I2861" s="4"/>
      <c r="K2861" s="4"/>
    </row>
    <row r="2862" spans="1:11" ht="13">
      <c r="A2862" s="4"/>
      <c r="B2862" s="4"/>
      <c r="C2862" s="4"/>
      <c r="D2862" s="4"/>
      <c r="E2862" s="4"/>
      <c r="F2862" s="4"/>
      <c r="H2862" s="4"/>
      <c r="I2862" s="4"/>
      <c r="K2862" s="4"/>
    </row>
    <row r="2863" spans="1:11" ht="13">
      <c r="A2863" s="4"/>
      <c r="B2863" s="4"/>
      <c r="C2863" s="4"/>
      <c r="D2863" s="4"/>
      <c r="E2863" s="4"/>
      <c r="F2863" s="4"/>
      <c r="H2863" s="4"/>
      <c r="I2863" s="4"/>
      <c r="K2863" s="4"/>
    </row>
    <row r="2864" spans="1:11" ht="13">
      <c r="A2864" s="4"/>
      <c r="B2864" s="4"/>
      <c r="C2864" s="4"/>
      <c r="D2864" s="4"/>
      <c r="E2864" s="4"/>
      <c r="F2864" s="4"/>
      <c r="H2864" s="4"/>
      <c r="I2864" s="4"/>
      <c r="K2864" s="4"/>
    </row>
    <row r="2865" spans="1:11" ht="13">
      <c r="A2865" s="4"/>
      <c r="B2865" s="4"/>
      <c r="C2865" s="4"/>
      <c r="D2865" s="4"/>
      <c r="E2865" s="4"/>
      <c r="F2865" s="4"/>
      <c r="H2865" s="4"/>
      <c r="I2865" s="4"/>
      <c r="K2865" s="4"/>
    </row>
    <row r="2866" spans="1:11" ht="13">
      <c r="A2866" s="4"/>
      <c r="B2866" s="4"/>
      <c r="C2866" s="4"/>
      <c r="D2866" s="4"/>
      <c r="E2866" s="4"/>
      <c r="F2866" s="4"/>
      <c r="H2866" s="4"/>
      <c r="I2866" s="4"/>
      <c r="K2866" s="4"/>
    </row>
    <row r="2867" spans="1:11" ht="13">
      <c r="A2867" s="4"/>
      <c r="B2867" s="4"/>
      <c r="C2867" s="4"/>
      <c r="D2867" s="4"/>
      <c r="E2867" s="4"/>
      <c r="F2867" s="4"/>
      <c r="H2867" s="4"/>
      <c r="I2867" s="4"/>
      <c r="K2867" s="4"/>
    </row>
    <row r="2868" spans="1:11" ht="13">
      <c r="A2868" s="4"/>
      <c r="B2868" s="4"/>
      <c r="C2868" s="4"/>
      <c r="D2868" s="4"/>
      <c r="E2868" s="4"/>
      <c r="F2868" s="4"/>
      <c r="H2868" s="4"/>
      <c r="I2868" s="4"/>
      <c r="K2868" s="4"/>
    </row>
    <row r="2869" spans="1:11" ht="13">
      <c r="A2869" s="4"/>
      <c r="B2869" s="4"/>
      <c r="C2869" s="4"/>
      <c r="D2869" s="4"/>
      <c r="E2869" s="4"/>
      <c r="F2869" s="4"/>
      <c r="H2869" s="4"/>
      <c r="I2869" s="4"/>
      <c r="K2869" s="4"/>
    </row>
    <row r="2870" spans="1:11" ht="13">
      <c r="A2870" s="4"/>
      <c r="B2870" s="4"/>
      <c r="C2870" s="4"/>
      <c r="D2870" s="4"/>
      <c r="E2870" s="4"/>
      <c r="F2870" s="4"/>
      <c r="H2870" s="4"/>
      <c r="I2870" s="4"/>
      <c r="K2870" s="4"/>
    </row>
    <row r="2871" spans="1:11" ht="13">
      <c r="A2871" s="4"/>
      <c r="B2871" s="4"/>
      <c r="C2871" s="4"/>
      <c r="D2871" s="4"/>
      <c r="E2871" s="4"/>
      <c r="F2871" s="4"/>
      <c r="H2871" s="4"/>
      <c r="I2871" s="4"/>
      <c r="K2871" s="4"/>
    </row>
    <row r="2872" spans="1:11" ht="13">
      <c r="A2872" s="4"/>
      <c r="B2872" s="4"/>
      <c r="C2872" s="4"/>
      <c r="D2872" s="4"/>
      <c r="E2872" s="4"/>
      <c r="F2872" s="4"/>
      <c r="H2872" s="4"/>
      <c r="I2872" s="4"/>
      <c r="K2872" s="4"/>
    </row>
    <row r="2873" spans="1:11" ht="13">
      <c r="A2873" s="4"/>
      <c r="B2873" s="4"/>
      <c r="C2873" s="4"/>
      <c r="D2873" s="4"/>
      <c r="E2873" s="4"/>
      <c r="F2873" s="4"/>
      <c r="H2873" s="4"/>
      <c r="I2873" s="4"/>
      <c r="K2873" s="4"/>
    </row>
    <row r="2874" spans="1:11" ht="13">
      <c r="A2874" s="4"/>
      <c r="B2874" s="4"/>
      <c r="C2874" s="4"/>
      <c r="D2874" s="4"/>
      <c r="E2874" s="4"/>
      <c r="F2874" s="4"/>
      <c r="H2874" s="4"/>
      <c r="I2874" s="4"/>
      <c r="K2874" s="4"/>
    </row>
    <row r="2875" spans="1:11" ht="13">
      <c r="A2875" s="4"/>
      <c r="B2875" s="4"/>
      <c r="C2875" s="4"/>
      <c r="D2875" s="4"/>
      <c r="E2875" s="4"/>
      <c r="F2875" s="4"/>
      <c r="H2875" s="4"/>
      <c r="I2875" s="4"/>
      <c r="K2875" s="4"/>
    </row>
    <row r="2876" spans="1:11" ht="13">
      <c r="A2876" s="4"/>
      <c r="B2876" s="4"/>
      <c r="C2876" s="4"/>
      <c r="D2876" s="4"/>
      <c r="E2876" s="4"/>
      <c r="F2876" s="4"/>
      <c r="H2876" s="4"/>
      <c r="I2876" s="4"/>
      <c r="K2876" s="4"/>
    </row>
    <row r="2877" spans="1:11" ht="13">
      <c r="A2877" s="4"/>
      <c r="B2877" s="4"/>
      <c r="C2877" s="4"/>
      <c r="D2877" s="4"/>
      <c r="E2877" s="4"/>
      <c r="F2877" s="4"/>
      <c r="H2877" s="4"/>
      <c r="I2877" s="4"/>
      <c r="K2877" s="4"/>
    </row>
    <row r="2878" spans="1:11" ht="13">
      <c r="A2878" s="4"/>
      <c r="B2878" s="4"/>
      <c r="C2878" s="4"/>
      <c r="D2878" s="4"/>
      <c r="E2878" s="4"/>
      <c r="F2878" s="4"/>
      <c r="H2878" s="4"/>
      <c r="I2878" s="4"/>
      <c r="K2878" s="4"/>
    </row>
    <row r="2879" spans="1:11" ht="13">
      <c r="A2879" s="4"/>
      <c r="B2879" s="4"/>
      <c r="C2879" s="4"/>
      <c r="D2879" s="4"/>
      <c r="E2879" s="4"/>
      <c r="F2879" s="4"/>
      <c r="H2879" s="4"/>
      <c r="I2879" s="4"/>
      <c r="K2879" s="4"/>
    </row>
    <row r="2880" spans="1:11" ht="13">
      <c r="A2880" s="4"/>
      <c r="B2880" s="4"/>
      <c r="C2880" s="4"/>
      <c r="D2880" s="4"/>
      <c r="E2880" s="4"/>
      <c r="F2880" s="4"/>
      <c r="H2880" s="4"/>
      <c r="I2880" s="4"/>
      <c r="K2880" s="4"/>
    </row>
    <row r="2881" spans="1:11" ht="13">
      <c r="A2881" s="4"/>
      <c r="B2881" s="4"/>
      <c r="C2881" s="4"/>
      <c r="D2881" s="4"/>
      <c r="E2881" s="4"/>
      <c r="F2881" s="4"/>
      <c r="H2881" s="4"/>
      <c r="I2881" s="4"/>
      <c r="K2881" s="4"/>
    </row>
    <row r="2882" spans="1:11" ht="13">
      <c r="A2882" s="4"/>
      <c r="B2882" s="4"/>
      <c r="C2882" s="4"/>
      <c r="D2882" s="4"/>
      <c r="E2882" s="4"/>
      <c r="F2882" s="4"/>
      <c r="H2882" s="4"/>
      <c r="I2882" s="4"/>
      <c r="K2882" s="4"/>
    </row>
    <row r="2883" spans="1:11" ht="13">
      <c r="A2883" s="4"/>
      <c r="B2883" s="4"/>
      <c r="C2883" s="4"/>
      <c r="D2883" s="4"/>
      <c r="E2883" s="4"/>
      <c r="F2883" s="4"/>
      <c r="H2883" s="4"/>
      <c r="I2883" s="4"/>
      <c r="K2883" s="4"/>
    </row>
    <row r="2884" spans="1:11" ht="13">
      <c r="A2884" s="4"/>
      <c r="B2884" s="4"/>
      <c r="C2884" s="4"/>
      <c r="D2884" s="4"/>
      <c r="E2884" s="4"/>
      <c r="F2884" s="4"/>
      <c r="H2884" s="4"/>
      <c r="I2884" s="4"/>
      <c r="K2884" s="4"/>
    </row>
    <row r="2885" spans="1:11" ht="13">
      <c r="A2885" s="4"/>
      <c r="B2885" s="4"/>
      <c r="C2885" s="4"/>
      <c r="D2885" s="4"/>
      <c r="E2885" s="4"/>
      <c r="F2885" s="4"/>
      <c r="H2885" s="4"/>
      <c r="I2885" s="4"/>
      <c r="K2885" s="4"/>
    </row>
    <row r="2886" spans="1:11" ht="13">
      <c r="A2886" s="4"/>
      <c r="B2886" s="4"/>
      <c r="C2886" s="4"/>
      <c r="D2886" s="4"/>
      <c r="E2886" s="4"/>
      <c r="F2886" s="4"/>
      <c r="H2886" s="4"/>
      <c r="I2886" s="4"/>
      <c r="K2886" s="4"/>
    </row>
    <row r="2887" spans="1:11" ht="13">
      <c r="A2887" s="4"/>
      <c r="B2887" s="4"/>
      <c r="C2887" s="4"/>
      <c r="D2887" s="4"/>
      <c r="E2887" s="4"/>
      <c r="F2887" s="4"/>
      <c r="H2887" s="4"/>
      <c r="I2887" s="4"/>
      <c r="K2887" s="4"/>
    </row>
    <row r="2888" spans="1:11" ht="13">
      <c r="A2888" s="4"/>
      <c r="B2888" s="4"/>
      <c r="C2888" s="4"/>
      <c r="D2888" s="4"/>
      <c r="E2888" s="4"/>
      <c r="F2888" s="4"/>
      <c r="H2888" s="4"/>
      <c r="I2888" s="4"/>
      <c r="K2888" s="4"/>
    </row>
    <row r="2889" spans="1:11" ht="13">
      <c r="A2889" s="4"/>
      <c r="B2889" s="4"/>
      <c r="C2889" s="4"/>
      <c r="D2889" s="4"/>
      <c r="E2889" s="4"/>
      <c r="F2889" s="4"/>
      <c r="H2889" s="4"/>
      <c r="I2889" s="4"/>
      <c r="K2889" s="4"/>
    </row>
    <row r="2890" spans="1:11" ht="13">
      <c r="A2890" s="4"/>
      <c r="B2890" s="4"/>
      <c r="C2890" s="4"/>
      <c r="D2890" s="4"/>
      <c r="E2890" s="4"/>
      <c r="F2890" s="4"/>
      <c r="H2890" s="4"/>
      <c r="I2890" s="4"/>
      <c r="K2890" s="4"/>
    </row>
    <row r="2891" spans="1:11" ht="13">
      <c r="A2891" s="4"/>
      <c r="B2891" s="4"/>
      <c r="C2891" s="4"/>
      <c r="D2891" s="4"/>
      <c r="E2891" s="4"/>
      <c r="F2891" s="4"/>
      <c r="H2891" s="4"/>
      <c r="I2891" s="4"/>
      <c r="K2891" s="4"/>
    </row>
    <row r="2892" spans="1:11" ht="13">
      <c r="A2892" s="4"/>
      <c r="B2892" s="4"/>
      <c r="C2892" s="4"/>
      <c r="D2892" s="4"/>
      <c r="E2892" s="4"/>
      <c r="F2892" s="4"/>
      <c r="H2892" s="4"/>
      <c r="I2892" s="4"/>
      <c r="K2892" s="4"/>
    </row>
    <row r="2893" spans="1:11" ht="13">
      <c r="A2893" s="4"/>
      <c r="B2893" s="4"/>
      <c r="C2893" s="4"/>
      <c r="D2893" s="4"/>
      <c r="E2893" s="4"/>
      <c r="F2893" s="4"/>
      <c r="H2893" s="4"/>
      <c r="I2893" s="4"/>
      <c r="K2893" s="4"/>
    </row>
    <row r="2894" spans="1:11" ht="13">
      <c r="A2894" s="4"/>
      <c r="B2894" s="4"/>
      <c r="C2894" s="4"/>
      <c r="D2894" s="4"/>
      <c r="E2894" s="4"/>
      <c r="F2894" s="4"/>
      <c r="H2894" s="4"/>
      <c r="I2894" s="4"/>
      <c r="K2894" s="4"/>
    </row>
    <row r="2895" spans="1:11" ht="13">
      <c r="A2895" s="4"/>
      <c r="B2895" s="4"/>
      <c r="C2895" s="4"/>
      <c r="D2895" s="4"/>
      <c r="E2895" s="4"/>
      <c r="F2895" s="4"/>
      <c r="H2895" s="4"/>
      <c r="I2895" s="4"/>
      <c r="K2895" s="4"/>
    </row>
    <row r="2896" spans="1:11" ht="13">
      <c r="A2896" s="4"/>
      <c r="B2896" s="4"/>
      <c r="C2896" s="4"/>
      <c r="D2896" s="4"/>
      <c r="E2896" s="4"/>
      <c r="F2896" s="4"/>
      <c r="H2896" s="4"/>
      <c r="I2896" s="4"/>
      <c r="K2896" s="4"/>
    </row>
    <row r="2897" spans="1:11" ht="13">
      <c r="A2897" s="4"/>
      <c r="B2897" s="4"/>
      <c r="C2897" s="4"/>
      <c r="D2897" s="4"/>
      <c r="E2897" s="4"/>
      <c r="F2897" s="4"/>
      <c r="H2897" s="4"/>
      <c r="I2897" s="4"/>
      <c r="K2897" s="4"/>
    </row>
    <row r="2898" spans="1:11" ht="13">
      <c r="A2898" s="4"/>
      <c r="B2898" s="4"/>
      <c r="C2898" s="4"/>
      <c r="D2898" s="4"/>
      <c r="E2898" s="4"/>
      <c r="F2898" s="4"/>
      <c r="H2898" s="4"/>
      <c r="I2898" s="4"/>
      <c r="K2898" s="4"/>
    </row>
    <row r="2899" spans="1:11" ht="13">
      <c r="A2899" s="4"/>
      <c r="B2899" s="4"/>
      <c r="C2899" s="4"/>
      <c r="D2899" s="4"/>
      <c r="E2899" s="4"/>
      <c r="F2899" s="4"/>
      <c r="H2899" s="4"/>
      <c r="I2899" s="4"/>
      <c r="K2899" s="4"/>
    </row>
    <row r="2900" spans="1:11" ht="13">
      <c r="A2900" s="4"/>
      <c r="B2900" s="4"/>
      <c r="C2900" s="4"/>
      <c r="D2900" s="4"/>
      <c r="E2900" s="4"/>
      <c r="F2900" s="4"/>
      <c r="H2900" s="4"/>
      <c r="I2900" s="4"/>
      <c r="K2900" s="4"/>
    </row>
    <row r="2901" spans="1:11" ht="13">
      <c r="A2901" s="4"/>
      <c r="B2901" s="4"/>
      <c r="C2901" s="4"/>
      <c r="D2901" s="4"/>
      <c r="E2901" s="4"/>
      <c r="F2901" s="4"/>
      <c r="H2901" s="4"/>
      <c r="I2901" s="4"/>
      <c r="K2901" s="4"/>
    </row>
    <row r="2902" spans="1:11" ht="13">
      <c r="A2902" s="4"/>
      <c r="B2902" s="4"/>
      <c r="C2902" s="4"/>
      <c r="D2902" s="4"/>
      <c r="E2902" s="4"/>
      <c r="F2902" s="4"/>
      <c r="H2902" s="4"/>
      <c r="I2902" s="4"/>
      <c r="K2902" s="4"/>
    </row>
    <row r="2903" spans="1:11" ht="13">
      <c r="A2903" s="4"/>
      <c r="B2903" s="4"/>
      <c r="C2903" s="4"/>
      <c r="D2903" s="4"/>
      <c r="E2903" s="4"/>
      <c r="F2903" s="4"/>
      <c r="H2903" s="4"/>
      <c r="I2903" s="4"/>
      <c r="K2903" s="4"/>
    </row>
    <row r="2904" spans="1:11" ht="13">
      <c r="A2904" s="4"/>
      <c r="B2904" s="4"/>
      <c r="C2904" s="4"/>
      <c r="D2904" s="4"/>
      <c r="E2904" s="4"/>
      <c r="F2904" s="4"/>
      <c r="H2904" s="4"/>
      <c r="I2904" s="4"/>
      <c r="K2904" s="4"/>
    </row>
    <row r="2905" spans="1:11" ht="13">
      <c r="A2905" s="4"/>
      <c r="B2905" s="4"/>
      <c r="C2905" s="4"/>
      <c r="D2905" s="4"/>
      <c r="E2905" s="4"/>
      <c r="F2905" s="4"/>
      <c r="H2905" s="4"/>
      <c r="I2905" s="4"/>
      <c r="K2905" s="4"/>
    </row>
    <row r="2906" spans="1:11" ht="13">
      <c r="A2906" s="4"/>
      <c r="B2906" s="4"/>
      <c r="C2906" s="4"/>
      <c r="D2906" s="4"/>
      <c r="E2906" s="4"/>
      <c r="F2906" s="4"/>
      <c r="H2906" s="4"/>
      <c r="I2906" s="4"/>
      <c r="K2906" s="4"/>
    </row>
    <row r="2907" spans="1:11" ht="13">
      <c r="A2907" s="4"/>
      <c r="B2907" s="4"/>
      <c r="C2907" s="4"/>
      <c r="D2907" s="4"/>
      <c r="E2907" s="4"/>
      <c r="F2907" s="4"/>
      <c r="H2907" s="4"/>
      <c r="I2907" s="4"/>
      <c r="K2907" s="4"/>
    </row>
    <row r="2908" spans="1:11" ht="13">
      <c r="A2908" s="4"/>
      <c r="B2908" s="4"/>
      <c r="C2908" s="4"/>
      <c r="D2908" s="4"/>
      <c r="E2908" s="4"/>
      <c r="F2908" s="4"/>
      <c r="H2908" s="4"/>
      <c r="I2908" s="4"/>
      <c r="K2908" s="4"/>
    </row>
    <row r="2909" spans="1:11" ht="13">
      <c r="A2909" s="4"/>
      <c r="B2909" s="4"/>
      <c r="C2909" s="4"/>
      <c r="D2909" s="4"/>
      <c r="E2909" s="4"/>
      <c r="F2909" s="4"/>
      <c r="H2909" s="4"/>
      <c r="I2909" s="4"/>
      <c r="K2909" s="4"/>
    </row>
    <row r="2910" spans="1:11" ht="13">
      <c r="A2910" s="4"/>
      <c r="B2910" s="4"/>
      <c r="C2910" s="4"/>
      <c r="D2910" s="4"/>
      <c r="E2910" s="4"/>
      <c r="F2910" s="4"/>
      <c r="H2910" s="4"/>
      <c r="I2910" s="4"/>
      <c r="K2910" s="4"/>
    </row>
    <row r="2911" spans="1:11" ht="13">
      <c r="A2911" s="4"/>
      <c r="B2911" s="4"/>
      <c r="C2911" s="4"/>
      <c r="D2911" s="4"/>
      <c r="E2911" s="4"/>
      <c r="F2911" s="4"/>
      <c r="H2911" s="4"/>
      <c r="I2911" s="4"/>
      <c r="K2911" s="4"/>
    </row>
    <row r="2912" spans="1:11" ht="13">
      <c r="A2912" s="4"/>
      <c r="B2912" s="4"/>
      <c r="C2912" s="4"/>
      <c r="D2912" s="4"/>
      <c r="E2912" s="4"/>
      <c r="F2912" s="4"/>
      <c r="H2912" s="4"/>
      <c r="I2912" s="4"/>
      <c r="K2912" s="4"/>
    </row>
    <row r="2913" spans="1:11" ht="13">
      <c r="A2913" s="4"/>
      <c r="B2913" s="4"/>
      <c r="C2913" s="4"/>
      <c r="D2913" s="4"/>
      <c r="E2913" s="4"/>
      <c r="F2913" s="4"/>
      <c r="H2913" s="4"/>
      <c r="I2913" s="4"/>
      <c r="K2913" s="4"/>
    </row>
    <row r="2914" spans="1:11" ht="13">
      <c r="A2914" s="4"/>
      <c r="B2914" s="4"/>
      <c r="C2914" s="4"/>
      <c r="D2914" s="4"/>
      <c r="E2914" s="4"/>
      <c r="F2914" s="4"/>
      <c r="H2914" s="4"/>
      <c r="I2914" s="4"/>
      <c r="K2914" s="4"/>
    </row>
    <row r="2915" spans="1:11" ht="13">
      <c r="A2915" s="4"/>
      <c r="B2915" s="4"/>
      <c r="C2915" s="4"/>
      <c r="D2915" s="4"/>
      <c r="E2915" s="4"/>
      <c r="F2915" s="4"/>
      <c r="H2915" s="4"/>
      <c r="I2915" s="4"/>
      <c r="K2915" s="4"/>
    </row>
    <row r="2916" spans="1:11" ht="13">
      <c r="A2916" s="4"/>
      <c r="B2916" s="4"/>
      <c r="C2916" s="4"/>
      <c r="D2916" s="4"/>
      <c r="E2916" s="4"/>
      <c r="F2916" s="4"/>
      <c r="H2916" s="4"/>
      <c r="I2916" s="4"/>
      <c r="K2916" s="4"/>
    </row>
    <row r="2917" spans="1:11" ht="13">
      <c r="A2917" s="4"/>
      <c r="B2917" s="4"/>
      <c r="C2917" s="4"/>
      <c r="D2917" s="4"/>
      <c r="E2917" s="4"/>
      <c r="F2917" s="4"/>
      <c r="H2917" s="4"/>
      <c r="I2917" s="4"/>
      <c r="K2917" s="4"/>
    </row>
    <row r="2918" spans="1:11" ht="13">
      <c r="A2918" s="4"/>
      <c r="B2918" s="4"/>
      <c r="C2918" s="4"/>
      <c r="D2918" s="4"/>
      <c r="E2918" s="4"/>
      <c r="F2918" s="4"/>
      <c r="H2918" s="4"/>
      <c r="I2918" s="4"/>
      <c r="K2918" s="4"/>
    </row>
    <row r="2919" spans="1:11" ht="13">
      <c r="A2919" s="4"/>
      <c r="B2919" s="4"/>
      <c r="C2919" s="4"/>
      <c r="D2919" s="4"/>
      <c r="E2919" s="4"/>
      <c r="F2919" s="4"/>
      <c r="H2919" s="4"/>
      <c r="I2919" s="4"/>
      <c r="K2919" s="4"/>
    </row>
    <row r="2920" spans="1:11" ht="13">
      <c r="A2920" s="4"/>
      <c r="B2920" s="4"/>
      <c r="C2920" s="4"/>
      <c r="D2920" s="4"/>
      <c r="E2920" s="4"/>
      <c r="F2920" s="4"/>
      <c r="H2920" s="4"/>
      <c r="I2920" s="4"/>
      <c r="K2920" s="4"/>
    </row>
    <row r="2921" spans="1:11" ht="13">
      <c r="A2921" s="4"/>
      <c r="B2921" s="4"/>
      <c r="C2921" s="4"/>
      <c r="D2921" s="4"/>
      <c r="E2921" s="4"/>
      <c r="F2921" s="4"/>
      <c r="H2921" s="4"/>
      <c r="I2921" s="4"/>
      <c r="K2921" s="4"/>
    </row>
    <row r="2922" spans="1:11" ht="13">
      <c r="A2922" s="4"/>
      <c r="B2922" s="4"/>
      <c r="C2922" s="4"/>
      <c r="D2922" s="4"/>
      <c r="E2922" s="4"/>
      <c r="F2922" s="4"/>
      <c r="H2922" s="4"/>
      <c r="I2922" s="4"/>
      <c r="K2922" s="4"/>
    </row>
    <row r="2923" spans="1:11" ht="13">
      <c r="A2923" s="4"/>
      <c r="B2923" s="4"/>
      <c r="C2923" s="4"/>
      <c r="D2923" s="4"/>
      <c r="E2923" s="4"/>
      <c r="F2923" s="4"/>
      <c r="H2923" s="4"/>
      <c r="I2923" s="4"/>
      <c r="K2923" s="4"/>
    </row>
    <row r="2924" spans="1:11" ht="13">
      <c r="A2924" s="4"/>
      <c r="B2924" s="4"/>
      <c r="C2924" s="4"/>
      <c r="D2924" s="4"/>
      <c r="E2924" s="4"/>
      <c r="F2924" s="4"/>
      <c r="H2924" s="4"/>
      <c r="I2924" s="4"/>
      <c r="K2924" s="4"/>
    </row>
    <row r="2925" spans="1:11" ht="13">
      <c r="A2925" s="4"/>
      <c r="B2925" s="4"/>
      <c r="C2925" s="4"/>
      <c r="D2925" s="4"/>
      <c r="E2925" s="4"/>
      <c r="F2925" s="4"/>
      <c r="H2925" s="4"/>
      <c r="I2925" s="4"/>
      <c r="K2925" s="4"/>
    </row>
    <row r="2926" spans="1:11" ht="13">
      <c r="A2926" s="4"/>
      <c r="B2926" s="4"/>
      <c r="C2926" s="4"/>
      <c r="D2926" s="4"/>
      <c r="E2926" s="4"/>
      <c r="F2926" s="4"/>
      <c r="H2926" s="4"/>
      <c r="I2926" s="4"/>
      <c r="K2926" s="4"/>
    </row>
    <row r="2927" spans="1:11" ht="13">
      <c r="A2927" s="4"/>
      <c r="B2927" s="4"/>
      <c r="C2927" s="4"/>
      <c r="D2927" s="4"/>
      <c r="E2927" s="4"/>
      <c r="F2927" s="4"/>
      <c r="H2927" s="4"/>
      <c r="I2927" s="4"/>
      <c r="K2927" s="4"/>
    </row>
    <row r="2928" spans="1:11" ht="13">
      <c r="A2928" s="4"/>
      <c r="B2928" s="4"/>
      <c r="C2928" s="4"/>
      <c r="D2928" s="4"/>
      <c r="E2928" s="4"/>
      <c r="F2928" s="4"/>
      <c r="H2928" s="4"/>
      <c r="I2928" s="4"/>
      <c r="K2928" s="4"/>
    </row>
    <row r="2929" spans="1:11" ht="13">
      <c r="A2929" s="4"/>
      <c r="B2929" s="4"/>
      <c r="C2929" s="4"/>
      <c r="D2929" s="4"/>
      <c r="E2929" s="4"/>
      <c r="F2929" s="4"/>
      <c r="H2929" s="4"/>
      <c r="I2929" s="4"/>
      <c r="K2929" s="4"/>
    </row>
    <row r="2930" spans="1:11" ht="13">
      <c r="A2930" s="4"/>
      <c r="B2930" s="4"/>
      <c r="C2930" s="4"/>
      <c r="D2930" s="4"/>
      <c r="E2930" s="4"/>
      <c r="F2930" s="4"/>
      <c r="H2930" s="4"/>
      <c r="I2930" s="4"/>
      <c r="K2930" s="4"/>
    </row>
    <row r="2931" spans="1:11" ht="13">
      <c r="A2931" s="4"/>
      <c r="B2931" s="4"/>
      <c r="C2931" s="4"/>
      <c r="D2931" s="4"/>
      <c r="E2931" s="4"/>
      <c r="F2931" s="4"/>
      <c r="H2931" s="4"/>
      <c r="I2931" s="4"/>
      <c r="K2931" s="4"/>
    </row>
    <row r="2932" spans="1:11" ht="13">
      <c r="A2932" s="4"/>
      <c r="B2932" s="4"/>
      <c r="C2932" s="4"/>
      <c r="D2932" s="4"/>
      <c r="E2932" s="4"/>
      <c r="F2932" s="4"/>
      <c r="H2932" s="4"/>
      <c r="I2932" s="4"/>
      <c r="K2932" s="4"/>
    </row>
    <row r="2933" spans="1:11" ht="13">
      <c r="A2933" s="4"/>
      <c r="B2933" s="4"/>
      <c r="C2933" s="4"/>
      <c r="D2933" s="4"/>
      <c r="E2933" s="4"/>
      <c r="F2933" s="4"/>
      <c r="H2933" s="4"/>
      <c r="I2933" s="4"/>
      <c r="K2933" s="4"/>
    </row>
    <row r="2934" spans="1:11" ht="13">
      <c r="A2934" s="4"/>
      <c r="B2934" s="4"/>
      <c r="C2934" s="4"/>
      <c r="D2934" s="4"/>
      <c r="E2934" s="4"/>
      <c r="F2934" s="4"/>
      <c r="H2934" s="4"/>
      <c r="I2934" s="4"/>
      <c r="K2934" s="4"/>
    </row>
    <row r="2935" spans="1:11" ht="13">
      <c r="A2935" s="4"/>
      <c r="B2935" s="4"/>
      <c r="C2935" s="4"/>
      <c r="D2935" s="4"/>
      <c r="E2935" s="4"/>
      <c r="F2935" s="4"/>
      <c r="H2935" s="4"/>
      <c r="I2935" s="4"/>
      <c r="K2935" s="4"/>
    </row>
    <row r="2936" spans="1:11" ht="13">
      <c r="A2936" s="4"/>
      <c r="B2936" s="4"/>
      <c r="C2936" s="4"/>
      <c r="D2936" s="4"/>
      <c r="E2936" s="4"/>
      <c r="F2936" s="4"/>
      <c r="H2936" s="4"/>
      <c r="I2936" s="4"/>
      <c r="K2936" s="4"/>
    </row>
    <row r="2937" spans="1:11" ht="13">
      <c r="A2937" s="4"/>
      <c r="B2937" s="4"/>
      <c r="C2937" s="4"/>
      <c r="D2937" s="4"/>
      <c r="E2937" s="4"/>
      <c r="F2937" s="4"/>
      <c r="H2937" s="4"/>
      <c r="I2937" s="4"/>
      <c r="K2937" s="4"/>
    </row>
    <row r="2938" spans="1:11" ht="13">
      <c r="A2938" s="4"/>
      <c r="B2938" s="4"/>
      <c r="C2938" s="4"/>
      <c r="D2938" s="4"/>
      <c r="E2938" s="4"/>
      <c r="F2938" s="4"/>
      <c r="H2938" s="4"/>
      <c r="I2938" s="4"/>
      <c r="K2938" s="4"/>
    </row>
    <row r="2939" spans="1:11" ht="13">
      <c r="A2939" s="4"/>
      <c r="B2939" s="4"/>
      <c r="C2939" s="4"/>
      <c r="D2939" s="4"/>
      <c r="E2939" s="4"/>
      <c r="F2939" s="4"/>
      <c r="H2939" s="4"/>
      <c r="I2939" s="4"/>
      <c r="K2939" s="4"/>
    </row>
    <row r="2940" spans="1:11" ht="13">
      <c r="A2940" s="4"/>
      <c r="B2940" s="4"/>
      <c r="C2940" s="4"/>
      <c r="D2940" s="4"/>
      <c r="E2940" s="4"/>
      <c r="F2940" s="4"/>
      <c r="H2940" s="4"/>
      <c r="I2940" s="4"/>
      <c r="K2940" s="4"/>
    </row>
    <row r="2941" spans="1:11" ht="13">
      <c r="A2941" s="4"/>
      <c r="B2941" s="4"/>
      <c r="C2941" s="4"/>
      <c r="D2941" s="4"/>
      <c r="E2941" s="4"/>
      <c r="F2941" s="4"/>
      <c r="H2941" s="4"/>
      <c r="I2941" s="4"/>
      <c r="K2941" s="4"/>
    </row>
    <row r="2942" spans="1:11" ht="13">
      <c r="A2942" s="4"/>
      <c r="B2942" s="4"/>
      <c r="C2942" s="4"/>
      <c r="D2942" s="4"/>
      <c r="E2942" s="4"/>
      <c r="F2942" s="4"/>
      <c r="H2942" s="4"/>
      <c r="I2942" s="4"/>
      <c r="K2942" s="4"/>
    </row>
    <row r="2943" spans="1:11" ht="13">
      <c r="A2943" s="4"/>
      <c r="B2943" s="4"/>
      <c r="C2943" s="4"/>
      <c r="D2943" s="4"/>
      <c r="E2943" s="4"/>
      <c r="F2943" s="4"/>
      <c r="H2943" s="4"/>
      <c r="I2943" s="4"/>
      <c r="K2943" s="4"/>
    </row>
    <row r="2944" spans="1:11" ht="13">
      <c r="A2944" s="4"/>
      <c r="B2944" s="4"/>
      <c r="C2944" s="4"/>
      <c r="D2944" s="4"/>
      <c r="E2944" s="4"/>
      <c r="F2944" s="4"/>
      <c r="H2944" s="4"/>
      <c r="I2944" s="4"/>
      <c r="K2944" s="4"/>
    </row>
    <row r="2945" spans="1:11" ht="13">
      <c r="A2945" s="4"/>
      <c r="B2945" s="4"/>
      <c r="C2945" s="4"/>
      <c r="D2945" s="4"/>
      <c r="E2945" s="4"/>
      <c r="F2945" s="4"/>
      <c r="H2945" s="4"/>
      <c r="I2945" s="4"/>
      <c r="K2945" s="4"/>
    </row>
    <row r="2946" spans="1:11" ht="13">
      <c r="A2946" s="4"/>
      <c r="B2946" s="4"/>
      <c r="C2946" s="4"/>
      <c r="D2946" s="4"/>
      <c r="E2946" s="4"/>
      <c r="F2946" s="4"/>
      <c r="H2946" s="4"/>
      <c r="I2946" s="4"/>
      <c r="K2946" s="4"/>
    </row>
    <row r="2947" spans="1:11" ht="13">
      <c r="A2947" s="4"/>
      <c r="B2947" s="4"/>
      <c r="C2947" s="4"/>
      <c r="D2947" s="4"/>
      <c r="E2947" s="4"/>
      <c r="F2947" s="4"/>
      <c r="H2947" s="4"/>
      <c r="I2947" s="4"/>
      <c r="K2947" s="4"/>
    </row>
    <row r="2948" spans="1:11" ht="13">
      <c r="A2948" s="4"/>
      <c r="B2948" s="4"/>
      <c r="C2948" s="4"/>
      <c r="D2948" s="4"/>
      <c r="E2948" s="4"/>
      <c r="F2948" s="4"/>
      <c r="H2948" s="4"/>
      <c r="I2948" s="4"/>
      <c r="K2948" s="4"/>
    </row>
    <row r="2949" spans="1:11" ht="13">
      <c r="A2949" s="4"/>
      <c r="B2949" s="4"/>
      <c r="C2949" s="4"/>
      <c r="D2949" s="4"/>
      <c r="E2949" s="4"/>
      <c r="F2949" s="4"/>
      <c r="H2949" s="4"/>
      <c r="I2949" s="4"/>
      <c r="K2949" s="4"/>
    </row>
    <row r="2950" spans="1:11" ht="13">
      <c r="A2950" s="4"/>
      <c r="B2950" s="4"/>
      <c r="C2950" s="4"/>
      <c r="D2950" s="4"/>
      <c r="E2950" s="4"/>
      <c r="F2950" s="4"/>
      <c r="H2950" s="4"/>
      <c r="I2950" s="4"/>
      <c r="K2950" s="4"/>
    </row>
    <row r="2951" spans="1:11" ht="13">
      <c r="A2951" s="4"/>
      <c r="B2951" s="4"/>
      <c r="C2951" s="4"/>
      <c r="D2951" s="4"/>
      <c r="E2951" s="4"/>
      <c r="F2951" s="4"/>
      <c r="H2951" s="4"/>
      <c r="I2951" s="4"/>
      <c r="K2951" s="4"/>
    </row>
    <row r="2952" spans="1:11" ht="13">
      <c r="A2952" s="4"/>
      <c r="B2952" s="4"/>
      <c r="C2952" s="4"/>
      <c r="D2952" s="4"/>
      <c r="E2952" s="4"/>
      <c r="F2952" s="4"/>
      <c r="H2952" s="4"/>
      <c r="I2952" s="4"/>
      <c r="K2952" s="4"/>
    </row>
    <row r="2953" spans="1:11" ht="13">
      <c r="A2953" s="4"/>
      <c r="B2953" s="4"/>
      <c r="C2953" s="4"/>
      <c r="D2953" s="4"/>
      <c r="E2953" s="4"/>
      <c r="F2953" s="4"/>
      <c r="H2953" s="4"/>
      <c r="I2953" s="4"/>
      <c r="K2953" s="4"/>
    </row>
    <row r="2954" spans="1:11" ht="13">
      <c r="A2954" s="4"/>
      <c r="B2954" s="4"/>
      <c r="C2954" s="4"/>
      <c r="D2954" s="4"/>
      <c r="E2954" s="4"/>
      <c r="F2954" s="4"/>
      <c r="H2954" s="4"/>
      <c r="I2954" s="4"/>
      <c r="K2954" s="4"/>
    </row>
    <row r="2955" spans="1:11" ht="13">
      <c r="A2955" s="4"/>
      <c r="B2955" s="4"/>
      <c r="C2955" s="4"/>
      <c r="D2955" s="4"/>
      <c r="E2955" s="4"/>
      <c r="F2955" s="4"/>
      <c r="H2955" s="4"/>
      <c r="I2955" s="4"/>
      <c r="K2955" s="4"/>
    </row>
    <row r="2956" spans="1:11" ht="13">
      <c r="A2956" s="4"/>
      <c r="B2956" s="4"/>
      <c r="C2956" s="4"/>
      <c r="D2956" s="4"/>
      <c r="E2956" s="4"/>
      <c r="F2956" s="4"/>
      <c r="H2956" s="4"/>
      <c r="I2956" s="4"/>
      <c r="K2956" s="4"/>
    </row>
    <row r="2957" spans="1:11" ht="13">
      <c r="A2957" s="4"/>
      <c r="B2957" s="4"/>
      <c r="C2957" s="4"/>
      <c r="D2957" s="4"/>
      <c r="E2957" s="4"/>
      <c r="F2957" s="4"/>
      <c r="H2957" s="4"/>
      <c r="I2957" s="4"/>
      <c r="K2957" s="4"/>
    </row>
    <row r="2958" spans="1:11" ht="13">
      <c r="A2958" s="4"/>
      <c r="B2958" s="4"/>
      <c r="C2958" s="4"/>
      <c r="D2958" s="4"/>
      <c r="E2958" s="4"/>
      <c r="F2958" s="4"/>
      <c r="H2958" s="4"/>
      <c r="I2958" s="4"/>
      <c r="K2958" s="4"/>
    </row>
    <row r="2959" spans="1:11" ht="13">
      <c r="A2959" s="4"/>
      <c r="B2959" s="4"/>
      <c r="C2959" s="4"/>
      <c r="D2959" s="4"/>
      <c r="E2959" s="4"/>
      <c r="F2959" s="4"/>
      <c r="H2959" s="4"/>
      <c r="I2959" s="4"/>
      <c r="K2959" s="4"/>
    </row>
    <row r="2960" spans="1:11" ht="13">
      <c r="A2960" s="4"/>
      <c r="B2960" s="4"/>
      <c r="C2960" s="4"/>
      <c r="D2960" s="4"/>
      <c r="E2960" s="4"/>
      <c r="F2960" s="4"/>
      <c r="H2960" s="4"/>
      <c r="I2960" s="4"/>
      <c r="K2960" s="4"/>
    </row>
    <row r="2961" spans="1:11" ht="13">
      <c r="A2961" s="4"/>
      <c r="B2961" s="4"/>
      <c r="C2961" s="4"/>
      <c r="D2961" s="4"/>
      <c r="E2961" s="4"/>
      <c r="F2961" s="4"/>
      <c r="H2961" s="4"/>
      <c r="I2961" s="4"/>
      <c r="K2961" s="4"/>
    </row>
    <row r="2962" spans="1:11" ht="13">
      <c r="A2962" s="4"/>
      <c r="B2962" s="4"/>
      <c r="C2962" s="4"/>
      <c r="D2962" s="4"/>
      <c r="E2962" s="4"/>
      <c r="F2962" s="4"/>
      <c r="H2962" s="4"/>
      <c r="I2962" s="4"/>
      <c r="K2962" s="4"/>
    </row>
    <row r="2963" spans="1:11" ht="13">
      <c r="A2963" s="4"/>
      <c r="B2963" s="4"/>
      <c r="C2963" s="4"/>
      <c r="D2963" s="4"/>
      <c r="E2963" s="4"/>
      <c r="F2963" s="4"/>
      <c r="H2963" s="4"/>
      <c r="I2963" s="4"/>
      <c r="K2963" s="4"/>
    </row>
    <row r="2964" spans="1:11" ht="13">
      <c r="A2964" s="4"/>
      <c r="B2964" s="4"/>
      <c r="C2964" s="4"/>
      <c r="D2964" s="4"/>
      <c r="E2964" s="4"/>
      <c r="F2964" s="4"/>
      <c r="H2964" s="4"/>
      <c r="I2964" s="4"/>
      <c r="K2964" s="4"/>
    </row>
    <row r="2965" spans="1:11" ht="13">
      <c r="A2965" s="4"/>
      <c r="B2965" s="4"/>
      <c r="C2965" s="4"/>
      <c r="D2965" s="4"/>
      <c r="E2965" s="4"/>
      <c r="F2965" s="4"/>
      <c r="H2965" s="4"/>
      <c r="I2965" s="4"/>
      <c r="K2965" s="4"/>
    </row>
    <row r="2966" spans="1:11" ht="13">
      <c r="A2966" s="4"/>
      <c r="B2966" s="4"/>
      <c r="C2966" s="4"/>
      <c r="D2966" s="4"/>
      <c r="E2966" s="4"/>
      <c r="F2966" s="4"/>
      <c r="H2966" s="4"/>
      <c r="I2966" s="4"/>
      <c r="K2966" s="4"/>
    </row>
    <row r="2967" spans="1:11" ht="13">
      <c r="A2967" s="4"/>
      <c r="B2967" s="4"/>
      <c r="C2967" s="4"/>
      <c r="D2967" s="4"/>
      <c r="E2967" s="4"/>
      <c r="F2967" s="4"/>
      <c r="H2967" s="4"/>
      <c r="I2967" s="4"/>
      <c r="K2967" s="4"/>
    </row>
    <row r="2968" spans="1:11" ht="13">
      <c r="A2968" s="4"/>
      <c r="B2968" s="4"/>
      <c r="C2968" s="4"/>
      <c r="D2968" s="4"/>
      <c r="E2968" s="4"/>
      <c r="F2968" s="4"/>
      <c r="H2968" s="4"/>
      <c r="I2968" s="4"/>
      <c r="K2968" s="4"/>
    </row>
    <row r="2969" spans="1:11" ht="13">
      <c r="A2969" s="4"/>
      <c r="B2969" s="4"/>
      <c r="C2969" s="4"/>
      <c r="D2969" s="4"/>
      <c r="E2969" s="4"/>
      <c r="F2969" s="4"/>
      <c r="H2969" s="4"/>
      <c r="I2969" s="4"/>
      <c r="K2969" s="4"/>
    </row>
    <row r="2970" spans="1:11" ht="13">
      <c r="A2970" s="4"/>
      <c r="B2970" s="4"/>
      <c r="C2970" s="4"/>
      <c r="D2970" s="4"/>
      <c r="E2970" s="4"/>
      <c r="F2970" s="4"/>
      <c r="H2970" s="4"/>
      <c r="I2970" s="4"/>
      <c r="K2970" s="4"/>
    </row>
    <row r="2971" spans="1:11" ht="13">
      <c r="A2971" s="4"/>
      <c r="B2971" s="4"/>
      <c r="C2971" s="4"/>
      <c r="D2971" s="4"/>
      <c r="E2971" s="4"/>
      <c r="F2971" s="4"/>
      <c r="H2971" s="4"/>
      <c r="I2971" s="4"/>
      <c r="K2971" s="4"/>
    </row>
    <row r="2972" spans="1:11" ht="13">
      <c r="A2972" s="4"/>
      <c r="B2972" s="4"/>
      <c r="C2972" s="4"/>
      <c r="D2972" s="4"/>
      <c r="E2972" s="4"/>
      <c r="F2972" s="4"/>
      <c r="H2972" s="4"/>
      <c r="I2972" s="4"/>
      <c r="K2972" s="4"/>
    </row>
    <row r="2973" spans="1:11" ht="13">
      <c r="A2973" s="4"/>
      <c r="B2973" s="4"/>
      <c r="C2973" s="4"/>
      <c r="D2973" s="4"/>
      <c r="E2973" s="4"/>
      <c r="F2973" s="4"/>
      <c r="H2973" s="4"/>
      <c r="I2973" s="4"/>
      <c r="K2973" s="4"/>
    </row>
    <row r="2974" spans="1:11" ht="13">
      <c r="A2974" s="4"/>
      <c r="B2974" s="4"/>
      <c r="C2974" s="4"/>
      <c r="D2974" s="4"/>
      <c r="E2974" s="4"/>
      <c r="F2974" s="4"/>
      <c r="H2974" s="4"/>
      <c r="I2974" s="4"/>
      <c r="K2974" s="4"/>
    </row>
    <row r="2975" spans="1:11" ht="13">
      <c r="A2975" s="4"/>
      <c r="B2975" s="4"/>
      <c r="C2975" s="4"/>
      <c r="D2975" s="4"/>
      <c r="E2975" s="4"/>
      <c r="F2975" s="4"/>
      <c r="H2975" s="4"/>
      <c r="I2975" s="4"/>
      <c r="K2975" s="4"/>
    </row>
    <row r="2976" spans="1:11" ht="13">
      <c r="A2976" s="4"/>
      <c r="B2976" s="4"/>
      <c r="C2976" s="4"/>
      <c r="D2976" s="4"/>
      <c r="E2976" s="4"/>
      <c r="F2976" s="4"/>
      <c r="H2976" s="4"/>
      <c r="I2976" s="4"/>
      <c r="K2976" s="4"/>
    </row>
    <row r="2977" spans="1:11" ht="13">
      <c r="A2977" s="4"/>
      <c r="B2977" s="4"/>
      <c r="C2977" s="4"/>
      <c r="D2977" s="4"/>
      <c r="E2977" s="4"/>
      <c r="F2977" s="4"/>
      <c r="H2977" s="4"/>
      <c r="I2977" s="4"/>
      <c r="K2977" s="4"/>
    </row>
    <row r="2978" spans="1:11" ht="13">
      <c r="A2978" s="4"/>
      <c r="B2978" s="4"/>
      <c r="C2978" s="4"/>
      <c r="D2978" s="4"/>
      <c r="E2978" s="4"/>
      <c r="F2978" s="4"/>
      <c r="H2978" s="4"/>
      <c r="I2978" s="4"/>
      <c r="K2978" s="4"/>
    </row>
    <row r="2979" spans="1:11" ht="13">
      <c r="A2979" s="4"/>
      <c r="B2979" s="4"/>
      <c r="C2979" s="4"/>
      <c r="D2979" s="4"/>
      <c r="E2979" s="4"/>
      <c r="F2979" s="4"/>
      <c r="H2979" s="4"/>
      <c r="I2979" s="4"/>
      <c r="K2979" s="4"/>
    </row>
    <row r="2980" spans="1:11" ht="13">
      <c r="A2980" s="4"/>
      <c r="B2980" s="4"/>
      <c r="C2980" s="4"/>
      <c r="D2980" s="4"/>
      <c r="E2980" s="4"/>
      <c r="F2980" s="4"/>
      <c r="H2980" s="4"/>
      <c r="I2980" s="4"/>
      <c r="K2980" s="4"/>
    </row>
    <row r="2981" spans="1:11" ht="13">
      <c r="A2981" s="4"/>
      <c r="B2981" s="4"/>
      <c r="C2981" s="4"/>
      <c r="D2981" s="4"/>
      <c r="E2981" s="4"/>
      <c r="F2981" s="4"/>
      <c r="H2981" s="4"/>
      <c r="I2981" s="4"/>
      <c r="K2981" s="4"/>
    </row>
    <row r="2982" spans="1:11" ht="13">
      <c r="A2982" s="4"/>
      <c r="B2982" s="4"/>
      <c r="C2982" s="4"/>
      <c r="D2982" s="4"/>
      <c r="E2982" s="4"/>
      <c r="F2982" s="4"/>
      <c r="H2982" s="4"/>
      <c r="I2982" s="4"/>
      <c r="K2982" s="4"/>
    </row>
    <row r="2983" spans="1:11" ht="13">
      <c r="A2983" s="4"/>
      <c r="B2983" s="4"/>
      <c r="C2983" s="4"/>
      <c r="D2983" s="4"/>
      <c r="E2983" s="4"/>
      <c r="F2983" s="4"/>
      <c r="H2983" s="4"/>
      <c r="I2983" s="4"/>
      <c r="K2983" s="4"/>
    </row>
    <row r="2984" spans="1:11" ht="13">
      <c r="A2984" s="4"/>
      <c r="B2984" s="4"/>
      <c r="C2984" s="4"/>
      <c r="D2984" s="4"/>
      <c r="E2984" s="4"/>
      <c r="F2984" s="4"/>
      <c r="H2984" s="4"/>
      <c r="I2984" s="4"/>
      <c r="K2984" s="4"/>
    </row>
    <row r="2985" spans="1:11" ht="13">
      <c r="A2985" s="4"/>
      <c r="B2985" s="4"/>
      <c r="C2985" s="4"/>
      <c r="D2985" s="4"/>
      <c r="E2985" s="4"/>
      <c r="F2985" s="4"/>
      <c r="H2985" s="4"/>
      <c r="I2985" s="4"/>
      <c r="K2985" s="4"/>
    </row>
    <row r="2986" spans="1:11" ht="13">
      <c r="A2986" s="4"/>
      <c r="B2986" s="4"/>
      <c r="C2986" s="4"/>
      <c r="D2986" s="4"/>
      <c r="E2986" s="4"/>
      <c r="F2986" s="4"/>
      <c r="H2986" s="4"/>
      <c r="I2986" s="4"/>
      <c r="K2986" s="4"/>
    </row>
    <row r="2987" spans="1:11" ht="13">
      <c r="A2987" s="4"/>
      <c r="B2987" s="4"/>
      <c r="C2987" s="4"/>
      <c r="D2987" s="4"/>
      <c r="E2987" s="4"/>
      <c r="F2987" s="4"/>
      <c r="H2987" s="4"/>
      <c r="I2987" s="4"/>
      <c r="K2987" s="4"/>
    </row>
    <row r="2988" spans="1:11" ht="13">
      <c r="A2988" s="4"/>
      <c r="B2988" s="4"/>
      <c r="C2988" s="4"/>
      <c r="D2988" s="4"/>
      <c r="E2988" s="4"/>
      <c r="F2988" s="4"/>
      <c r="H2988" s="4"/>
      <c r="I2988" s="4"/>
      <c r="K2988" s="4"/>
    </row>
    <row r="2989" spans="1:11" ht="13">
      <c r="A2989" s="4"/>
      <c r="B2989" s="4"/>
      <c r="C2989" s="4"/>
      <c r="D2989" s="4"/>
      <c r="E2989" s="4"/>
      <c r="F2989" s="4"/>
      <c r="H2989" s="4"/>
      <c r="I2989" s="4"/>
      <c r="K2989" s="4"/>
    </row>
    <row r="2990" spans="1:11" ht="13">
      <c r="A2990" s="4"/>
      <c r="B2990" s="4"/>
      <c r="C2990" s="4"/>
      <c r="D2990" s="4"/>
      <c r="E2990" s="4"/>
      <c r="F2990" s="4"/>
      <c r="H2990" s="4"/>
      <c r="I2990" s="4"/>
      <c r="K2990" s="4"/>
    </row>
    <row r="2991" spans="1:11" ht="13">
      <c r="A2991" s="4"/>
      <c r="B2991" s="4"/>
      <c r="C2991" s="4"/>
      <c r="D2991" s="4"/>
      <c r="E2991" s="4"/>
      <c r="F2991" s="4"/>
      <c r="H2991" s="4"/>
      <c r="I2991" s="4"/>
      <c r="K2991" s="4"/>
    </row>
    <row r="2992" spans="1:11" ht="13">
      <c r="A2992" s="4"/>
      <c r="B2992" s="4"/>
      <c r="C2992" s="4"/>
      <c r="D2992" s="4"/>
      <c r="E2992" s="4"/>
      <c r="F2992" s="4"/>
      <c r="H2992" s="4"/>
      <c r="I2992" s="4"/>
      <c r="K2992" s="4"/>
    </row>
    <row r="2993" spans="1:11" ht="13">
      <c r="A2993" s="4"/>
      <c r="B2993" s="4"/>
      <c r="C2993" s="4"/>
      <c r="D2993" s="4"/>
      <c r="E2993" s="4"/>
      <c r="F2993" s="4"/>
      <c r="H2993" s="4"/>
      <c r="I2993" s="4"/>
      <c r="K2993" s="4"/>
    </row>
    <row r="2994" spans="1:11" ht="13">
      <c r="A2994" s="4"/>
      <c r="B2994" s="4"/>
      <c r="C2994" s="4"/>
      <c r="D2994" s="4"/>
      <c r="E2994" s="4"/>
      <c r="F2994" s="4"/>
      <c r="H2994" s="4"/>
      <c r="I2994" s="4"/>
      <c r="K2994" s="4"/>
    </row>
    <row r="2995" spans="1:11" ht="13">
      <c r="A2995" s="4"/>
      <c r="B2995" s="4"/>
      <c r="C2995" s="4"/>
      <c r="D2995" s="4"/>
      <c r="E2995" s="4"/>
      <c r="F2995" s="4"/>
      <c r="H2995" s="4"/>
      <c r="I2995" s="4"/>
      <c r="K2995" s="4"/>
    </row>
    <row r="2996" spans="1:11" ht="13">
      <c r="A2996" s="4"/>
      <c r="B2996" s="4"/>
      <c r="C2996" s="4"/>
      <c r="D2996" s="4"/>
      <c r="E2996" s="4"/>
      <c r="F2996" s="4"/>
      <c r="H2996" s="4"/>
      <c r="I2996" s="4"/>
      <c r="K2996" s="4"/>
    </row>
    <row r="2997" spans="1:11" ht="13">
      <c r="A2997" s="4"/>
      <c r="B2997" s="4"/>
      <c r="C2997" s="4"/>
      <c r="D2997" s="4"/>
      <c r="E2997" s="4"/>
      <c r="F2997" s="4"/>
      <c r="H2997" s="4"/>
      <c r="I2997" s="4"/>
      <c r="K2997" s="4"/>
    </row>
    <row r="2998" spans="1:11" ht="13">
      <c r="A2998" s="4"/>
      <c r="B2998" s="4"/>
      <c r="C2998" s="4"/>
      <c r="D2998" s="4"/>
      <c r="E2998" s="4"/>
      <c r="F2998" s="4"/>
      <c r="H2998" s="4"/>
      <c r="I2998" s="4"/>
      <c r="K2998" s="4"/>
    </row>
    <row r="2999" spans="1:11" ht="13">
      <c r="A2999" s="4"/>
      <c r="B2999" s="4"/>
      <c r="C2999" s="4"/>
      <c r="D2999" s="4"/>
      <c r="E2999" s="4"/>
      <c r="F2999" s="4"/>
      <c r="H2999" s="4"/>
      <c r="I2999" s="4"/>
      <c r="K2999" s="4"/>
    </row>
    <row r="3000" spans="1:11" ht="13">
      <c r="A3000" s="4"/>
      <c r="B3000" s="4"/>
      <c r="C3000" s="4"/>
      <c r="D3000" s="4"/>
      <c r="E3000" s="4"/>
      <c r="F3000" s="4"/>
      <c r="H3000" s="4"/>
      <c r="I3000" s="4"/>
      <c r="K3000" s="4"/>
    </row>
    <row r="3001" spans="1:11" ht="13">
      <c r="A3001" s="4"/>
      <c r="B3001" s="4"/>
      <c r="C3001" s="4"/>
      <c r="D3001" s="4"/>
      <c r="E3001" s="4"/>
      <c r="F3001" s="4"/>
      <c r="H3001" s="4"/>
      <c r="I3001" s="4"/>
      <c r="K3001" s="4"/>
    </row>
    <row r="3002" spans="1:11" ht="13">
      <c r="A3002" s="4"/>
      <c r="B3002" s="4"/>
      <c r="C3002" s="4"/>
      <c r="D3002" s="4"/>
      <c r="E3002" s="4"/>
      <c r="F3002" s="4"/>
      <c r="H3002" s="4"/>
      <c r="I3002" s="4"/>
      <c r="K3002" s="4"/>
    </row>
    <row r="3003" spans="1:11" ht="13">
      <c r="A3003" s="4"/>
      <c r="B3003" s="4"/>
      <c r="C3003" s="4"/>
      <c r="D3003" s="4"/>
      <c r="E3003" s="4"/>
      <c r="F3003" s="4"/>
      <c r="H3003" s="4"/>
      <c r="I3003" s="4"/>
      <c r="K3003" s="4"/>
    </row>
    <row r="3004" spans="1:11" ht="13">
      <c r="A3004" s="4"/>
      <c r="B3004" s="4"/>
      <c r="C3004" s="4"/>
      <c r="D3004" s="4"/>
      <c r="E3004" s="4"/>
      <c r="F3004" s="4"/>
      <c r="H3004" s="4"/>
      <c r="I3004" s="4"/>
      <c r="K3004" s="4"/>
    </row>
    <row r="3005" spans="1:11" ht="13">
      <c r="A3005" s="4"/>
      <c r="B3005" s="4"/>
      <c r="C3005" s="4"/>
      <c r="D3005" s="4"/>
      <c r="E3005" s="4"/>
      <c r="F3005" s="4"/>
      <c r="H3005" s="4"/>
      <c r="I3005" s="4"/>
      <c r="K3005" s="4"/>
    </row>
    <row r="3006" spans="1:11" ht="13">
      <c r="A3006" s="4"/>
      <c r="B3006" s="4"/>
      <c r="C3006" s="4"/>
      <c r="D3006" s="4"/>
      <c r="E3006" s="4"/>
      <c r="F3006" s="4"/>
      <c r="H3006" s="4"/>
      <c r="I3006" s="4"/>
      <c r="K3006" s="4"/>
    </row>
    <row r="3007" spans="1:11" ht="13">
      <c r="A3007" s="4"/>
      <c r="B3007" s="4"/>
      <c r="C3007" s="4"/>
      <c r="D3007" s="4"/>
      <c r="E3007" s="4"/>
      <c r="F3007" s="4"/>
      <c r="H3007" s="4"/>
      <c r="I3007" s="4"/>
      <c r="K3007" s="4"/>
    </row>
    <row r="3008" spans="1:11" ht="13">
      <c r="A3008" s="4"/>
      <c r="B3008" s="4"/>
      <c r="C3008" s="4"/>
      <c r="D3008" s="4"/>
      <c r="E3008" s="4"/>
      <c r="F3008" s="4"/>
      <c r="H3008" s="4"/>
      <c r="I3008" s="4"/>
      <c r="K3008" s="4"/>
    </row>
    <row r="3009" spans="1:11" ht="13">
      <c r="A3009" s="4"/>
      <c r="B3009" s="4"/>
      <c r="C3009" s="4"/>
      <c r="D3009" s="4"/>
      <c r="E3009" s="4"/>
      <c r="F3009" s="4"/>
      <c r="H3009" s="4"/>
      <c r="I3009" s="4"/>
      <c r="K3009" s="4"/>
    </row>
    <row r="3010" spans="1:11" ht="13">
      <c r="A3010" s="4"/>
      <c r="B3010" s="4"/>
      <c r="C3010" s="4"/>
      <c r="D3010" s="4"/>
      <c r="E3010" s="4"/>
      <c r="F3010" s="4"/>
      <c r="H3010" s="4"/>
      <c r="I3010" s="4"/>
      <c r="K3010" s="4"/>
    </row>
    <row r="3011" spans="1:11" ht="13">
      <c r="A3011" s="4"/>
      <c r="B3011" s="4"/>
      <c r="C3011" s="4"/>
      <c r="D3011" s="4"/>
      <c r="E3011" s="4"/>
      <c r="F3011" s="4"/>
      <c r="H3011" s="4"/>
      <c r="I3011" s="4"/>
      <c r="K3011" s="4"/>
    </row>
    <row r="3012" spans="1:11" ht="13">
      <c r="A3012" s="4"/>
      <c r="B3012" s="4"/>
      <c r="C3012" s="4"/>
      <c r="D3012" s="4"/>
      <c r="E3012" s="4"/>
      <c r="F3012" s="4"/>
      <c r="H3012" s="4"/>
      <c r="I3012" s="4"/>
      <c r="K3012" s="4"/>
    </row>
    <row r="3013" spans="1:11" ht="13">
      <c r="A3013" s="4"/>
      <c r="B3013" s="4"/>
      <c r="C3013" s="4"/>
      <c r="D3013" s="4"/>
      <c r="E3013" s="4"/>
      <c r="F3013" s="4"/>
      <c r="H3013" s="4"/>
      <c r="I3013" s="4"/>
      <c r="K3013" s="4"/>
    </row>
    <row r="3014" spans="1:11" ht="13">
      <c r="A3014" s="4"/>
      <c r="B3014" s="4"/>
      <c r="C3014" s="4"/>
      <c r="D3014" s="4"/>
      <c r="E3014" s="4"/>
      <c r="F3014" s="4"/>
      <c r="H3014" s="4"/>
      <c r="I3014" s="4"/>
      <c r="K3014" s="4"/>
    </row>
    <row r="3015" spans="1:11" ht="13">
      <c r="A3015" s="4"/>
      <c r="B3015" s="4"/>
      <c r="C3015" s="4"/>
      <c r="D3015" s="4"/>
      <c r="E3015" s="4"/>
      <c r="F3015" s="4"/>
      <c r="H3015" s="4"/>
      <c r="I3015" s="4"/>
      <c r="K3015" s="4"/>
    </row>
    <row r="3016" spans="1:11" ht="13">
      <c r="A3016" s="4"/>
      <c r="B3016" s="4"/>
      <c r="C3016" s="4"/>
      <c r="D3016" s="4"/>
      <c r="E3016" s="4"/>
      <c r="F3016" s="4"/>
      <c r="H3016" s="4"/>
      <c r="I3016" s="4"/>
      <c r="K3016" s="4"/>
    </row>
    <row r="3017" spans="1:11" ht="13">
      <c r="A3017" s="4"/>
      <c r="B3017" s="4"/>
      <c r="C3017" s="4"/>
      <c r="D3017" s="4"/>
      <c r="E3017" s="4"/>
      <c r="F3017" s="4"/>
      <c r="H3017" s="4"/>
      <c r="I3017" s="4"/>
      <c r="K3017" s="4"/>
    </row>
    <row r="3018" spans="1:11" ht="13">
      <c r="A3018" s="4"/>
      <c r="B3018" s="4"/>
      <c r="C3018" s="4"/>
      <c r="D3018" s="4"/>
      <c r="E3018" s="4"/>
      <c r="F3018" s="4"/>
      <c r="H3018" s="4"/>
      <c r="I3018" s="4"/>
      <c r="K3018" s="4"/>
    </row>
    <row r="3019" spans="1:11" ht="13">
      <c r="A3019" s="4"/>
      <c r="B3019" s="4"/>
      <c r="C3019" s="4"/>
      <c r="D3019" s="4"/>
      <c r="E3019" s="4"/>
      <c r="F3019" s="4"/>
      <c r="H3019" s="4"/>
      <c r="I3019" s="4"/>
      <c r="K3019" s="4"/>
    </row>
    <row r="3020" spans="1:11" ht="13">
      <c r="A3020" s="4"/>
      <c r="B3020" s="4"/>
      <c r="C3020" s="4"/>
      <c r="D3020" s="4"/>
      <c r="E3020" s="4"/>
      <c r="F3020" s="4"/>
      <c r="H3020" s="4"/>
      <c r="I3020" s="4"/>
      <c r="K3020" s="4"/>
    </row>
    <row r="3021" spans="1:11" ht="13">
      <c r="A3021" s="4"/>
      <c r="B3021" s="4"/>
      <c r="C3021" s="4"/>
      <c r="D3021" s="4"/>
      <c r="E3021" s="4"/>
      <c r="F3021" s="4"/>
      <c r="H3021" s="4"/>
      <c r="I3021" s="4"/>
      <c r="K3021" s="4"/>
    </row>
    <row r="3022" spans="1:11" ht="13">
      <c r="A3022" s="4"/>
      <c r="B3022" s="4"/>
      <c r="C3022" s="4"/>
      <c r="D3022" s="4"/>
      <c r="E3022" s="4"/>
      <c r="F3022" s="4"/>
      <c r="H3022" s="4"/>
      <c r="I3022" s="4"/>
      <c r="K3022" s="4"/>
    </row>
    <row r="3023" spans="1:11" ht="13">
      <c r="A3023" s="4"/>
      <c r="B3023" s="4"/>
      <c r="C3023" s="4"/>
      <c r="D3023" s="4"/>
      <c r="E3023" s="4"/>
      <c r="F3023" s="4"/>
      <c r="H3023" s="4"/>
      <c r="I3023" s="4"/>
      <c r="K3023" s="4"/>
    </row>
    <row r="3024" spans="1:11" ht="13">
      <c r="A3024" s="4"/>
      <c r="B3024" s="4"/>
      <c r="C3024" s="4"/>
      <c r="D3024" s="4"/>
      <c r="E3024" s="4"/>
      <c r="F3024" s="4"/>
      <c r="H3024" s="4"/>
      <c r="I3024" s="4"/>
      <c r="K3024" s="4"/>
    </row>
    <row r="3025" spans="1:11" ht="13">
      <c r="A3025" s="4"/>
      <c r="B3025" s="4"/>
      <c r="C3025" s="4"/>
      <c r="D3025" s="4"/>
      <c r="E3025" s="4"/>
      <c r="F3025" s="4"/>
      <c r="H3025" s="4"/>
      <c r="I3025" s="4"/>
      <c r="K3025" s="4"/>
    </row>
    <row r="3026" spans="1:11" ht="13">
      <c r="A3026" s="4"/>
      <c r="B3026" s="4"/>
      <c r="C3026" s="4"/>
      <c r="D3026" s="4"/>
      <c r="E3026" s="4"/>
      <c r="F3026" s="4"/>
      <c r="H3026" s="4"/>
      <c r="I3026" s="4"/>
      <c r="K3026" s="4"/>
    </row>
    <row r="3027" spans="1:11" ht="13">
      <c r="A3027" s="4"/>
      <c r="B3027" s="4"/>
      <c r="C3027" s="4"/>
      <c r="D3027" s="4"/>
      <c r="E3027" s="4"/>
      <c r="F3027" s="4"/>
      <c r="H3027" s="4"/>
      <c r="I3027" s="4"/>
      <c r="K3027" s="4"/>
    </row>
    <row r="3028" spans="1:11" ht="13">
      <c r="A3028" s="4"/>
      <c r="B3028" s="4"/>
      <c r="C3028" s="4"/>
      <c r="D3028" s="4"/>
      <c r="E3028" s="4"/>
      <c r="F3028" s="4"/>
      <c r="H3028" s="4"/>
      <c r="I3028" s="4"/>
      <c r="K3028" s="4"/>
    </row>
    <row r="3029" spans="1:11" ht="13">
      <c r="A3029" s="4"/>
      <c r="B3029" s="4"/>
      <c r="C3029" s="4"/>
      <c r="D3029" s="4"/>
      <c r="E3029" s="4"/>
      <c r="F3029" s="4"/>
      <c r="H3029" s="4"/>
      <c r="I3029" s="4"/>
      <c r="K3029" s="4"/>
    </row>
    <row r="3030" spans="1:11" ht="13">
      <c r="A3030" s="4"/>
      <c r="B3030" s="4"/>
      <c r="C3030" s="4"/>
      <c r="D3030" s="4"/>
      <c r="E3030" s="4"/>
      <c r="F3030" s="4"/>
      <c r="H3030" s="4"/>
      <c r="I3030" s="4"/>
      <c r="K3030" s="4"/>
    </row>
    <row r="3031" spans="1:11" ht="13">
      <c r="A3031" s="4"/>
      <c r="B3031" s="4"/>
      <c r="C3031" s="4"/>
      <c r="D3031" s="4"/>
      <c r="E3031" s="4"/>
      <c r="F3031" s="4"/>
      <c r="H3031" s="4"/>
      <c r="I3031" s="4"/>
      <c r="K3031" s="4"/>
    </row>
    <row r="3032" spans="1:11" ht="13">
      <c r="A3032" s="4"/>
      <c r="B3032" s="4"/>
      <c r="C3032" s="4"/>
      <c r="D3032" s="4"/>
      <c r="E3032" s="4"/>
      <c r="F3032" s="4"/>
      <c r="H3032" s="4"/>
      <c r="I3032" s="4"/>
      <c r="K3032" s="4"/>
    </row>
    <row r="3033" spans="1:11" ht="13">
      <c r="A3033" s="4"/>
      <c r="B3033" s="4"/>
      <c r="C3033" s="4"/>
      <c r="D3033" s="4"/>
      <c r="E3033" s="4"/>
      <c r="F3033" s="4"/>
      <c r="H3033" s="4"/>
      <c r="I3033" s="4"/>
      <c r="K3033" s="4"/>
    </row>
    <row r="3034" spans="1:11" ht="13">
      <c r="A3034" s="4"/>
      <c r="B3034" s="4"/>
      <c r="C3034" s="4"/>
      <c r="D3034" s="4"/>
      <c r="E3034" s="4"/>
      <c r="F3034" s="4"/>
      <c r="H3034" s="4"/>
      <c r="I3034" s="4"/>
      <c r="K3034" s="4"/>
    </row>
    <row r="3035" spans="1:11" ht="13">
      <c r="A3035" s="4"/>
      <c r="B3035" s="4"/>
      <c r="C3035" s="4"/>
      <c r="D3035" s="4"/>
      <c r="E3035" s="4"/>
      <c r="F3035" s="4"/>
      <c r="H3035" s="4"/>
      <c r="I3035" s="4"/>
      <c r="K3035" s="4"/>
    </row>
    <row r="3036" spans="1:11" ht="13">
      <c r="A3036" s="4"/>
      <c r="B3036" s="4"/>
      <c r="C3036" s="4"/>
      <c r="D3036" s="4"/>
      <c r="E3036" s="4"/>
      <c r="F3036" s="4"/>
      <c r="H3036" s="4"/>
      <c r="I3036" s="4"/>
      <c r="K3036" s="4"/>
    </row>
    <row r="3037" spans="1:11" ht="13">
      <c r="A3037" s="4"/>
      <c r="B3037" s="4"/>
      <c r="C3037" s="4"/>
      <c r="D3037" s="4"/>
      <c r="E3037" s="4"/>
      <c r="F3037" s="4"/>
      <c r="H3037" s="4"/>
      <c r="I3037" s="4"/>
      <c r="K3037" s="4"/>
    </row>
    <row r="3038" spans="1:11" ht="13">
      <c r="A3038" s="4"/>
      <c r="B3038" s="4"/>
      <c r="C3038" s="4"/>
      <c r="D3038" s="4"/>
      <c r="E3038" s="4"/>
      <c r="F3038" s="4"/>
      <c r="H3038" s="4"/>
      <c r="I3038" s="4"/>
      <c r="K3038" s="4"/>
    </row>
    <row r="3039" spans="1:11" ht="13">
      <c r="A3039" s="4"/>
      <c r="B3039" s="4"/>
      <c r="C3039" s="4"/>
      <c r="D3039" s="4"/>
      <c r="E3039" s="4"/>
      <c r="F3039" s="4"/>
      <c r="H3039" s="4"/>
      <c r="I3039" s="4"/>
      <c r="K3039" s="4"/>
    </row>
    <row r="3040" spans="1:11" ht="13">
      <c r="A3040" s="4"/>
      <c r="B3040" s="4"/>
      <c r="C3040" s="4"/>
      <c r="D3040" s="4"/>
      <c r="E3040" s="4"/>
      <c r="F3040" s="4"/>
      <c r="H3040" s="4"/>
      <c r="I3040" s="4"/>
      <c r="K3040" s="4"/>
    </row>
    <row r="3041" spans="1:11" ht="13">
      <c r="A3041" s="4"/>
      <c r="B3041" s="4"/>
      <c r="C3041" s="4"/>
      <c r="D3041" s="4"/>
      <c r="E3041" s="4"/>
      <c r="F3041" s="4"/>
      <c r="H3041" s="4"/>
      <c r="I3041" s="4"/>
      <c r="K3041" s="4"/>
    </row>
    <row r="3042" spans="1:11" ht="13">
      <c r="A3042" s="4"/>
      <c r="B3042" s="4"/>
      <c r="C3042" s="4"/>
      <c r="D3042" s="4"/>
      <c r="E3042" s="4"/>
      <c r="F3042" s="4"/>
      <c r="H3042" s="4"/>
      <c r="I3042" s="4"/>
      <c r="K3042" s="4"/>
    </row>
    <row r="3043" spans="1:11" ht="13">
      <c r="A3043" s="4"/>
      <c r="B3043" s="4"/>
      <c r="C3043" s="4"/>
      <c r="D3043" s="4"/>
      <c r="E3043" s="4"/>
      <c r="F3043" s="4"/>
      <c r="H3043" s="4"/>
      <c r="I3043" s="4"/>
      <c r="K3043" s="4"/>
    </row>
    <row r="3044" spans="1:11" ht="13">
      <c r="A3044" s="4"/>
      <c r="B3044" s="4"/>
      <c r="C3044" s="4"/>
      <c r="D3044" s="4"/>
      <c r="E3044" s="4"/>
      <c r="F3044" s="4"/>
      <c r="H3044" s="4"/>
      <c r="I3044" s="4"/>
      <c r="K3044" s="4"/>
    </row>
    <row r="3045" spans="1:11" ht="13">
      <c r="A3045" s="4"/>
      <c r="B3045" s="4"/>
      <c r="C3045" s="4"/>
      <c r="D3045" s="4"/>
      <c r="E3045" s="4"/>
      <c r="F3045" s="4"/>
      <c r="H3045" s="4"/>
      <c r="I3045" s="4"/>
      <c r="K3045" s="4"/>
    </row>
    <row r="3046" spans="1:11" ht="13">
      <c r="A3046" s="4"/>
      <c r="B3046" s="4"/>
      <c r="C3046" s="4"/>
      <c r="D3046" s="4"/>
      <c r="E3046" s="4"/>
      <c r="F3046" s="4"/>
      <c r="H3046" s="4"/>
      <c r="I3046" s="4"/>
      <c r="K3046" s="4"/>
    </row>
    <row r="3047" spans="1:11" ht="13">
      <c r="A3047" s="4"/>
      <c r="B3047" s="4"/>
      <c r="C3047" s="4"/>
      <c r="D3047" s="4"/>
      <c r="E3047" s="4"/>
      <c r="F3047" s="4"/>
      <c r="H3047" s="4"/>
      <c r="I3047" s="4"/>
      <c r="K3047" s="4"/>
    </row>
    <row r="3048" spans="1:11" ht="13">
      <c r="A3048" s="4"/>
      <c r="B3048" s="4"/>
      <c r="C3048" s="4"/>
      <c r="D3048" s="4"/>
      <c r="E3048" s="4"/>
      <c r="F3048" s="4"/>
      <c r="H3048" s="4"/>
      <c r="I3048" s="4"/>
      <c r="K3048" s="4"/>
    </row>
    <row r="3049" spans="1:11" ht="13">
      <c r="A3049" s="4"/>
      <c r="B3049" s="4"/>
      <c r="C3049" s="4"/>
      <c r="D3049" s="4"/>
      <c r="E3049" s="4"/>
      <c r="F3049" s="4"/>
      <c r="H3049" s="4"/>
      <c r="I3049" s="4"/>
      <c r="K3049" s="4"/>
    </row>
    <row r="3050" spans="1:11" ht="13">
      <c r="A3050" s="4"/>
      <c r="B3050" s="4"/>
      <c r="C3050" s="4"/>
      <c r="D3050" s="4"/>
      <c r="E3050" s="4"/>
      <c r="F3050" s="4"/>
      <c r="H3050" s="4"/>
      <c r="I3050" s="4"/>
      <c r="K3050" s="4"/>
    </row>
    <row r="3051" spans="1:11" ht="13">
      <c r="A3051" s="4"/>
      <c r="B3051" s="4"/>
      <c r="C3051" s="4"/>
      <c r="D3051" s="4"/>
      <c r="E3051" s="4"/>
      <c r="F3051" s="4"/>
      <c r="H3051" s="4"/>
      <c r="I3051" s="4"/>
      <c r="K3051" s="4"/>
    </row>
    <row r="3052" spans="1:11" ht="13">
      <c r="A3052" s="4"/>
      <c r="B3052" s="4"/>
      <c r="C3052" s="4"/>
      <c r="D3052" s="4"/>
      <c r="E3052" s="4"/>
      <c r="F3052" s="4"/>
      <c r="H3052" s="4"/>
      <c r="I3052" s="4"/>
      <c r="K3052" s="4"/>
    </row>
    <row r="3053" spans="1:11" ht="13">
      <c r="A3053" s="4"/>
      <c r="B3053" s="4"/>
      <c r="C3053" s="4"/>
      <c r="D3053" s="4"/>
      <c r="E3053" s="4"/>
      <c r="F3053" s="4"/>
      <c r="H3053" s="4"/>
      <c r="I3053" s="4"/>
      <c r="K3053" s="4"/>
    </row>
    <row r="3054" spans="1:11" ht="13">
      <c r="A3054" s="4"/>
      <c r="B3054" s="4"/>
      <c r="C3054" s="4"/>
      <c r="D3054" s="4"/>
      <c r="E3054" s="4"/>
      <c r="F3054" s="4"/>
      <c r="H3054" s="4"/>
      <c r="I3054" s="4"/>
      <c r="K3054" s="4"/>
    </row>
    <row r="3055" spans="1:11" ht="13">
      <c r="A3055" s="4"/>
      <c r="B3055" s="4"/>
      <c r="C3055" s="4"/>
      <c r="D3055" s="4"/>
      <c r="E3055" s="4"/>
      <c r="F3055" s="4"/>
      <c r="H3055" s="4"/>
      <c r="I3055" s="4"/>
      <c r="K3055" s="4"/>
    </row>
    <row r="3056" spans="1:11" ht="13">
      <c r="A3056" s="4"/>
      <c r="B3056" s="4"/>
      <c r="C3056" s="4"/>
      <c r="D3056" s="4"/>
      <c r="E3056" s="4"/>
      <c r="F3056" s="4"/>
      <c r="H3056" s="4"/>
      <c r="I3056" s="4"/>
      <c r="K3056" s="4"/>
    </row>
    <row r="3057" spans="1:11" ht="13">
      <c r="A3057" s="4"/>
      <c r="B3057" s="4"/>
      <c r="C3057" s="4"/>
      <c r="D3057" s="4"/>
      <c r="E3057" s="4"/>
      <c r="F3057" s="4"/>
      <c r="H3057" s="4"/>
      <c r="I3057" s="4"/>
      <c r="K3057" s="4"/>
    </row>
    <row r="3058" spans="1:11" ht="13">
      <c r="A3058" s="4"/>
      <c r="B3058" s="4"/>
      <c r="C3058" s="4"/>
      <c r="D3058" s="4"/>
      <c r="E3058" s="4"/>
      <c r="F3058" s="4"/>
      <c r="H3058" s="4"/>
      <c r="I3058" s="4"/>
      <c r="K3058" s="4"/>
    </row>
    <row r="3059" spans="1:11" ht="13">
      <c r="A3059" s="4"/>
      <c r="B3059" s="4"/>
      <c r="C3059" s="4"/>
      <c r="D3059" s="4"/>
      <c r="E3059" s="4"/>
      <c r="F3059" s="4"/>
      <c r="H3059" s="4"/>
      <c r="I3059" s="4"/>
      <c r="K3059" s="4"/>
    </row>
    <row r="3060" spans="1:11" ht="13">
      <c r="A3060" s="4"/>
      <c r="B3060" s="4"/>
      <c r="C3060" s="4"/>
      <c r="D3060" s="4"/>
      <c r="E3060" s="4"/>
      <c r="F3060" s="4"/>
      <c r="H3060" s="4"/>
      <c r="I3060" s="4"/>
      <c r="K3060" s="4"/>
    </row>
    <row r="3061" spans="1:11" ht="13">
      <c r="A3061" s="4"/>
      <c r="B3061" s="4"/>
      <c r="C3061" s="4"/>
      <c r="D3061" s="4"/>
      <c r="E3061" s="4"/>
      <c r="F3061" s="4"/>
      <c r="H3061" s="4"/>
      <c r="I3061" s="4"/>
      <c r="K3061" s="4"/>
    </row>
    <row r="3062" spans="1:11" ht="13">
      <c r="A3062" s="4"/>
      <c r="B3062" s="4"/>
      <c r="C3062" s="4"/>
      <c r="D3062" s="4"/>
      <c r="E3062" s="4"/>
      <c r="F3062" s="4"/>
      <c r="H3062" s="4"/>
      <c r="I3062" s="4"/>
      <c r="K3062" s="4"/>
    </row>
    <row r="3063" spans="1:11" ht="13">
      <c r="A3063" s="4"/>
      <c r="B3063" s="4"/>
      <c r="C3063" s="4"/>
      <c r="D3063" s="4"/>
      <c r="E3063" s="4"/>
      <c r="F3063" s="4"/>
      <c r="H3063" s="4"/>
      <c r="I3063" s="4"/>
      <c r="K3063" s="4"/>
    </row>
    <row r="3064" spans="1:11" ht="13">
      <c r="A3064" s="4"/>
      <c r="B3064" s="4"/>
      <c r="C3064" s="4"/>
      <c r="D3064" s="4"/>
      <c r="E3064" s="4"/>
      <c r="F3064" s="4"/>
      <c r="H3064" s="4"/>
      <c r="I3064" s="4"/>
      <c r="K3064" s="4"/>
    </row>
    <row r="3065" spans="1:11" ht="13">
      <c r="A3065" s="4"/>
      <c r="B3065" s="4"/>
      <c r="C3065" s="4"/>
      <c r="D3065" s="4"/>
      <c r="E3065" s="4"/>
      <c r="F3065" s="4"/>
      <c r="H3065" s="4"/>
      <c r="I3065" s="4"/>
      <c r="K3065" s="4"/>
    </row>
    <row r="3066" spans="1:11" ht="13">
      <c r="A3066" s="4"/>
      <c r="B3066" s="4"/>
      <c r="C3066" s="4"/>
      <c r="D3066" s="4"/>
      <c r="E3066" s="4"/>
      <c r="F3066" s="4"/>
      <c r="H3066" s="4"/>
      <c r="I3066" s="4"/>
      <c r="K3066" s="4"/>
    </row>
    <row r="3067" spans="1:11" ht="13">
      <c r="A3067" s="4"/>
      <c r="B3067" s="4"/>
      <c r="C3067" s="4"/>
      <c r="D3067" s="4"/>
      <c r="E3067" s="4"/>
      <c r="F3067" s="4"/>
      <c r="H3067" s="4"/>
      <c r="I3067" s="4"/>
      <c r="K3067" s="4"/>
    </row>
    <row r="3068" spans="1:11" ht="13">
      <c r="A3068" s="4"/>
      <c r="B3068" s="4"/>
      <c r="C3068" s="4"/>
      <c r="D3068" s="4"/>
      <c r="E3068" s="4"/>
      <c r="F3068" s="4"/>
      <c r="H3068" s="4"/>
      <c r="I3068" s="4"/>
      <c r="K3068" s="4"/>
    </row>
    <row r="3069" spans="1:11" ht="13">
      <c r="A3069" s="4"/>
      <c r="B3069" s="4"/>
      <c r="C3069" s="4"/>
      <c r="D3069" s="4"/>
      <c r="E3069" s="4"/>
      <c r="F3069" s="4"/>
      <c r="H3069" s="4"/>
      <c r="I3069" s="4"/>
      <c r="K3069" s="4"/>
    </row>
    <row r="3070" spans="1:11" ht="13">
      <c r="A3070" s="4"/>
      <c r="B3070" s="4"/>
      <c r="C3070" s="4"/>
      <c r="D3070" s="4"/>
      <c r="E3070" s="4"/>
      <c r="F3070" s="4"/>
      <c r="H3070" s="4"/>
      <c r="I3070" s="4"/>
      <c r="K3070" s="4"/>
    </row>
    <row r="3071" spans="1:11" ht="13">
      <c r="A3071" s="4"/>
      <c r="B3071" s="4"/>
      <c r="C3071" s="4"/>
      <c r="D3071" s="4"/>
      <c r="E3071" s="4"/>
      <c r="F3071" s="4"/>
      <c r="H3071" s="4"/>
      <c r="I3071" s="4"/>
      <c r="K3071" s="4"/>
    </row>
    <row r="3072" spans="1:11" ht="13">
      <c r="A3072" s="4"/>
      <c r="B3072" s="4"/>
      <c r="C3072" s="4"/>
      <c r="D3072" s="4"/>
      <c r="E3072" s="4"/>
      <c r="F3072" s="4"/>
      <c r="H3072" s="4"/>
      <c r="I3072" s="4"/>
      <c r="K3072" s="4"/>
    </row>
    <row r="3073" spans="1:11" ht="13">
      <c r="A3073" s="4"/>
      <c r="B3073" s="4"/>
      <c r="C3073" s="4"/>
      <c r="D3073" s="4"/>
      <c r="E3073" s="4"/>
      <c r="F3073" s="4"/>
      <c r="H3073" s="4"/>
      <c r="I3073" s="4"/>
      <c r="K3073" s="4"/>
    </row>
    <row r="3074" spans="1:11" ht="13">
      <c r="A3074" s="4"/>
      <c r="B3074" s="4"/>
      <c r="C3074" s="4"/>
      <c r="D3074" s="4"/>
      <c r="E3074" s="4"/>
      <c r="F3074" s="4"/>
      <c r="H3074" s="4"/>
      <c r="I3074" s="4"/>
      <c r="K3074" s="4"/>
    </row>
    <row r="3075" spans="1:11" ht="13">
      <c r="A3075" s="4"/>
      <c r="B3075" s="4"/>
      <c r="C3075" s="4"/>
      <c r="D3075" s="4"/>
      <c r="E3075" s="4"/>
      <c r="F3075" s="4"/>
      <c r="H3075" s="4"/>
      <c r="I3075" s="4"/>
      <c r="K3075" s="4"/>
    </row>
    <row r="3076" spans="1:11" ht="13">
      <c r="A3076" s="4"/>
      <c r="B3076" s="4"/>
      <c r="C3076" s="4"/>
      <c r="D3076" s="4"/>
      <c r="E3076" s="4"/>
      <c r="F3076" s="4"/>
      <c r="H3076" s="4"/>
      <c r="I3076" s="4"/>
      <c r="K3076" s="4"/>
    </row>
    <row r="3077" spans="1:11" ht="13">
      <c r="A3077" s="4"/>
      <c r="B3077" s="4"/>
      <c r="C3077" s="4"/>
      <c r="D3077" s="4"/>
      <c r="E3077" s="4"/>
      <c r="F3077" s="4"/>
      <c r="H3077" s="4"/>
      <c r="I3077" s="4"/>
      <c r="K3077" s="4"/>
    </row>
    <row r="3078" spans="1:11" ht="13">
      <c r="A3078" s="4"/>
      <c r="B3078" s="4"/>
      <c r="C3078" s="4"/>
      <c r="D3078" s="4"/>
      <c r="E3078" s="4"/>
      <c r="F3078" s="4"/>
      <c r="H3078" s="4"/>
      <c r="I3078" s="4"/>
      <c r="K3078" s="4"/>
    </row>
    <row r="3079" spans="1:11" ht="13">
      <c r="A3079" s="4"/>
      <c r="B3079" s="4"/>
      <c r="C3079" s="4"/>
      <c r="D3079" s="4"/>
      <c r="E3079" s="4"/>
      <c r="F3079" s="4"/>
      <c r="H3079" s="4"/>
      <c r="I3079" s="4"/>
      <c r="K3079" s="4"/>
    </row>
    <row r="3080" spans="1:11" ht="13">
      <c r="A3080" s="4"/>
      <c r="B3080" s="4"/>
      <c r="C3080" s="4"/>
      <c r="D3080" s="4"/>
      <c r="E3080" s="4"/>
      <c r="F3080" s="4"/>
      <c r="H3080" s="4"/>
      <c r="I3080" s="4"/>
      <c r="K3080" s="4"/>
    </row>
    <row r="3081" spans="1:11" ht="13">
      <c r="A3081" s="4"/>
      <c r="B3081" s="4"/>
      <c r="C3081" s="4"/>
      <c r="D3081" s="4"/>
      <c r="E3081" s="4"/>
      <c r="F3081" s="4"/>
      <c r="H3081" s="4"/>
      <c r="I3081" s="4"/>
      <c r="K3081" s="4"/>
    </row>
    <row r="3082" spans="1:11" ht="13">
      <c r="A3082" s="4"/>
      <c r="B3082" s="4"/>
      <c r="C3082" s="4"/>
      <c r="D3082" s="4"/>
      <c r="E3082" s="4"/>
      <c r="F3082" s="4"/>
      <c r="H3082" s="4"/>
      <c r="I3082" s="4"/>
      <c r="K3082" s="4"/>
    </row>
    <row r="3083" spans="1:11" ht="13">
      <c r="A3083" s="4"/>
      <c r="B3083" s="4"/>
      <c r="C3083" s="4"/>
      <c r="D3083" s="4"/>
      <c r="E3083" s="4"/>
      <c r="F3083" s="4"/>
      <c r="H3083" s="4"/>
      <c r="I3083" s="4"/>
      <c r="K3083" s="4"/>
    </row>
    <row r="3084" spans="1:11" ht="13">
      <c r="A3084" s="4"/>
      <c r="B3084" s="4"/>
      <c r="C3084" s="4"/>
      <c r="D3084" s="4"/>
      <c r="E3084" s="4"/>
      <c r="F3084" s="4"/>
      <c r="H3084" s="4"/>
      <c r="I3084" s="4"/>
      <c r="K3084" s="4"/>
    </row>
    <row r="3085" spans="1:11" ht="13">
      <c r="A3085" s="4"/>
      <c r="B3085" s="4"/>
      <c r="C3085" s="4"/>
      <c r="D3085" s="4"/>
      <c r="E3085" s="4"/>
      <c r="F3085" s="4"/>
      <c r="H3085" s="4"/>
      <c r="I3085" s="4"/>
      <c r="K3085" s="4"/>
    </row>
    <row r="3086" spans="1:11" ht="13">
      <c r="A3086" s="4"/>
      <c r="B3086" s="4"/>
      <c r="C3086" s="4"/>
      <c r="D3086" s="4"/>
      <c r="E3086" s="4"/>
      <c r="F3086" s="4"/>
      <c r="H3086" s="4"/>
      <c r="I3086" s="4"/>
      <c r="K3086" s="4"/>
    </row>
    <row r="3087" spans="1:11" ht="13">
      <c r="A3087" s="4"/>
      <c r="B3087" s="4"/>
      <c r="C3087" s="4"/>
      <c r="D3087" s="4"/>
      <c r="E3087" s="4"/>
      <c r="F3087" s="4"/>
      <c r="H3087" s="4"/>
      <c r="I3087" s="4"/>
      <c r="K3087" s="4"/>
    </row>
    <row r="3088" spans="1:11" ht="13">
      <c r="A3088" s="4"/>
      <c r="B3088" s="4"/>
      <c r="C3088" s="4"/>
      <c r="D3088" s="4"/>
      <c r="E3088" s="4"/>
      <c r="F3088" s="4"/>
      <c r="H3088" s="4"/>
      <c r="I3088" s="4"/>
      <c r="K3088" s="4"/>
    </row>
    <row r="3089" spans="1:11" ht="13">
      <c r="A3089" s="4"/>
      <c r="B3089" s="4"/>
      <c r="C3089" s="4"/>
      <c r="D3089" s="4"/>
      <c r="E3089" s="4"/>
      <c r="F3089" s="4"/>
      <c r="H3089" s="4"/>
      <c r="I3089" s="4"/>
      <c r="K3089" s="4"/>
    </row>
    <row r="3090" spans="1:11" ht="13">
      <c r="A3090" s="4"/>
      <c r="B3090" s="4"/>
      <c r="C3090" s="4"/>
      <c r="D3090" s="4"/>
      <c r="E3090" s="4"/>
      <c r="F3090" s="4"/>
      <c r="H3090" s="4"/>
      <c r="I3090" s="4"/>
      <c r="K3090" s="4"/>
    </row>
    <row r="3091" spans="1:11" ht="13">
      <c r="A3091" s="4"/>
      <c r="B3091" s="4"/>
      <c r="C3091" s="4"/>
      <c r="D3091" s="4"/>
      <c r="E3091" s="4"/>
      <c r="F3091" s="4"/>
      <c r="H3091" s="4"/>
      <c r="I3091" s="4"/>
      <c r="K3091" s="4"/>
    </row>
    <row r="3092" spans="1:11" ht="13">
      <c r="A3092" s="4"/>
      <c r="B3092" s="4"/>
      <c r="C3092" s="4"/>
      <c r="D3092" s="4"/>
      <c r="E3092" s="4"/>
      <c r="F3092" s="4"/>
      <c r="H3092" s="4"/>
      <c r="I3092" s="4"/>
      <c r="K3092" s="4"/>
    </row>
    <row r="3093" spans="1:11" ht="13">
      <c r="A3093" s="4"/>
      <c r="B3093" s="4"/>
      <c r="C3093" s="4"/>
      <c r="D3093" s="4"/>
      <c r="E3093" s="4"/>
      <c r="F3093" s="4"/>
      <c r="H3093" s="4"/>
      <c r="I3093" s="4"/>
      <c r="K3093" s="4"/>
    </row>
    <row r="3094" spans="1:11" ht="13">
      <c r="A3094" s="4"/>
      <c r="B3094" s="4"/>
      <c r="C3094" s="4"/>
      <c r="D3094" s="4"/>
      <c r="E3094" s="4"/>
      <c r="F3094" s="4"/>
      <c r="H3094" s="4"/>
      <c r="I3094" s="4"/>
      <c r="K3094" s="4"/>
    </row>
    <row r="3095" spans="1:11" ht="13">
      <c r="A3095" s="4"/>
      <c r="B3095" s="4"/>
      <c r="C3095" s="4"/>
      <c r="D3095" s="4"/>
      <c r="E3095" s="4"/>
      <c r="F3095" s="4"/>
      <c r="H3095" s="4"/>
      <c r="I3095" s="4"/>
      <c r="K3095" s="4"/>
    </row>
    <row r="3096" spans="1:11" ht="13">
      <c r="A3096" s="4"/>
      <c r="B3096" s="4"/>
      <c r="C3096" s="4"/>
      <c r="D3096" s="4"/>
      <c r="E3096" s="4"/>
      <c r="F3096" s="4"/>
      <c r="H3096" s="4"/>
      <c r="I3096" s="4"/>
      <c r="K3096" s="4"/>
    </row>
    <row r="3097" spans="1:11" ht="13">
      <c r="A3097" s="4"/>
      <c r="B3097" s="4"/>
      <c r="C3097" s="4"/>
      <c r="D3097" s="4"/>
      <c r="E3097" s="4"/>
      <c r="F3097" s="4"/>
      <c r="H3097" s="4"/>
      <c r="I3097" s="4"/>
      <c r="K3097" s="4"/>
    </row>
    <row r="3098" spans="1:11" ht="13">
      <c r="A3098" s="4"/>
      <c r="B3098" s="4"/>
      <c r="C3098" s="4"/>
      <c r="D3098" s="4"/>
      <c r="E3098" s="4"/>
      <c r="F3098" s="4"/>
      <c r="H3098" s="4"/>
      <c r="I3098" s="4"/>
      <c r="K3098" s="4"/>
    </row>
    <row r="3099" spans="1:11" ht="13">
      <c r="A3099" s="4"/>
      <c r="B3099" s="4"/>
      <c r="C3099" s="4"/>
      <c r="D3099" s="4"/>
      <c r="E3099" s="4"/>
      <c r="F3099" s="4"/>
      <c r="H3099" s="4"/>
      <c r="I3099" s="4"/>
      <c r="K3099" s="4"/>
    </row>
    <row r="3100" spans="1:11" ht="13">
      <c r="A3100" s="4"/>
      <c r="B3100" s="4"/>
      <c r="C3100" s="4"/>
      <c r="D3100" s="4"/>
      <c r="E3100" s="4"/>
      <c r="F3100" s="4"/>
      <c r="H3100" s="4"/>
      <c r="I3100" s="4"/>
      <c r="K3100" s="4"/>
    </row>
    <row r="3101" spans="1:11" ht="13">
      <c r="A3101" s="4"/>
      <c r="B3101" s="4"/>
      <c r="C3101" s="4"/>
      <c r="D3101" s="4"/>
      <c r="E3101" s="4"/>
      <c r="F3101" s="4"/>
      <c r="H3101" s="4"/>
      <c r="I3101" s="4"/>
      <c r="K3101" s="4"/>
    </row>
    <row r="3102" spans="1:11" ht="13">
      <c r="A3102" s="4"/>
      <c r="B3102" s="4"/>
      <c r="C3102" s="4"/>
      <c r="D3102" s="4"/>
      <c r="E3102" s="4"/>
      <c r="F3102" s="4"/>
      <c r="H3102" s="4"/>
      <c r="I3102" s="4"/>
      <c r="K3102" s="4"/>
    </row>
    <row r="3103" spans="1:11" ht="13">
      <c r="A3103" s="4"/>
      <c r="B3103" s="4"/>
      <c r="C3103" s="4"/>
      <c r="D3103" s="4"/>
      <c r="E3103" s="4"/>
      <c r="F3103" s="4"/>
      <c r="H3103" s="4"/>
      <c r="I3103" s="4"/>
      <c r="K3103" s="4"/>
    </row>
    <row r="3104" spans="1:11" ht="13">
      <c r="A3104" s="4"/>
      <c r="B3104" s="4"/>
      <c r="C3104" s="4"/>
      <c r="D3104" s="4"/>
      <c r="E3104" s="4"/>
      <c r="F3104" s="4"/>
      <c r="H3104" s="4"/>
      <c r="I3104" s="4"/>
      <c r="K3104" s="4"/>
    </row>
    <row r="3105" spans="1:11" ht="13">
      <c r="A3105" s="4"/>
      <c r="B3105" s="4"/>
      <c r="C3105" s="4"/>
      <c r="D3105" s="4"/>
      <c r="E3105" s="4"/>
      <c r="F3105" s="4"/>
      <c r="H3105" s="4"/>
      <c r="I3105" s="4"/>
      <c r="K3105" s="4"/>
    </row>
    <row r="3106" spans="1:11" ht="13">
      <c r="A3106" s="4"/>
      <c r="B3106" s="4"/>
      <c r="C3106" s="4"/>
      <c r="D3106" s="4"/>
      <c r="E3106" s="4"/>
      <c r="F3106" s="4"/>
      <c r="H3106" s="4"/>
      <c r="I3106" s="4"/>
      <c r="K3106" s="4"/>
    </row>
    <row r="3107" spans="1:11" ht="13">
      <c r="A3107" s="4"/>
      <c r="B3107" s="4"/>
      <c r="C3107" s="4"/>
      <c r="D3107" s="4"/>
      <c r="E3107" s="4"/>
      <c r="F3107" s="4"/>
      <c r="H3107" s="4"/>
      <c r="I3107" s="4"/>
      <c r="K3107" s="4"/>
    </row>
    <row r="3108" spans="1:11" ht="13">
      <c r="A3108" s="4"/>
      <c r="B3108" s="4"/>
      <c r="C3108" s="4"/>
      <c r="D3108" s="4"/>
      <c r="E3108" s="4"/>
      <c r="F3108" s="4"/>
      <c r="H3108" s="4"/>
      <c r="I3108" s="4"/>
      <c r="K3108" s="4"/>
    </row>
    <row r="3109" spans="1:11" ht="13">
      <c r="A3109" s="4"/>
      <c r="B3109" s="4"/>
      <c r="C3109" s="4"/>
      <c r="D3109" s="4"/>
      <c r="E3109" s="4"/>
      <c r="F3109" s="4"/>
      <c r="H3109" s="4"/>
      <c r="I3109" s="4"/>
      <c r="K3109" s="4"/>
    </row>
    <row r="3110" spans="1:11" ht="13">
      <c r="A3110" s="4"/>
      <c r="B3110" s="4"/>
      <c r="C3110" s="4"/>
      <c r="D3110" s="4"/>
      <c r="E3110" s="4"/>
      <c r="F3110" s="4"/>
      <c r="H3110" s="4"/>
      <c r="I3110" s="4"/>
      <c r="K3110" s="4"/>
    </row>
    <row r="3111" spans="1:11" ht="13">
      <c r="A3111" s="4"/>
      <c r="B3111" s="4"/>
      <c r="C3111" s="4"/>
      <c r="D3111" s="4"/>
      <c r="E3111" s="4"/>
      <c r="F3111" s="4"/>
      <c r="H3111" s="4"/>
      <c r="I3111" s="4"/>
      <c r="K3111" s="4"/>
    </row>
    <row r="3112" spans="1:11" ht="13">
      <c r="A3112" s="4"/>
      <c r="B3112" s="4"/>
      <c r="C3112" s="4"/>
      <c r="D3112" s="4"/>
      <c r="E3112" s="4"/>
      <c r="F3112" s="4"/>
      <c r="H3112" s="4"/>
      <c r="I3112" s="4"/>
      <c r="K3112" s="4"/>
    </row>
    <row r="3113" spans="1:11" ht="13">
      <c r="A3113" s="4"/>
      <c r="B3113" s="4"/>
      <c r="C3113" s="4"/>
      <c r="D3113" s="4"/>
      <c r="E3113" s="4"/>
      <c r="F3113" s="4"/>
      <c r="H3113" s="4"/>
      <c r="I3113" s="4"/>
      <c r="K3113" s="4"/>
    </row>
    <row r="3114" spans="1:11" ht="13">
      <c r="A3114" s="4"/>
      <c r="B3114" s="4"/>
      <c r="C3114" s="4"/>
      <c r="D3114" s="4"/>
      <c r="E3114" s="4"/>
      <c r="F3114" s="4"/>
      <c r="H3114" s="4"/>
      <c r="I3114" s="4"/>
      <c r="K3114" s="4"/>
    </row>
    <row r="3115" spans="1:11" ht="13">
      <c r="A3115" s="4"/>
      <c r="B3115" s="4"/>
      <c r="C3115" s="4"/>
      <c r="D3115" s="4"/>
      <c r="E3115" s="4"/>
      <c r="F3115" s="4"/>
      <c r="H3115" s="4"/>
      <c r="I3115" s="4"/>
      <c r="K3115" s="4"/>
    </row>
    <row r="3116" spans="1:11" ht="13">
      <c r="A3116" s="4"/>
      <c r="B3116" s="4"/>
      <c r="C3116" s="4"/>
      <c r="D3116" s="4"/>
      <c r="E3116" s="4"/>
      <c r="F3116" s="4"/>
      <c r="H3116" s="4"/>
      <c r="I3116" s="4"/>
      <c r="K3116" s="4"/>
    </row>
    <row r="3117" spans="1:11" ht="13">
      <c r="A3117" s="4"/>
      <c r="B3117" s="4"/>
      <c r="C3117" s="4"/>
      <c r="D3117" s="4"/>
      <c r="E3117" s="4"/>
      <c r="F3117" s="4"/>
      <c r="H3117" s="4"/>
      <c r="I3117" s="4"/>
      <c r="K3117" s="4"/>
    </row>
    <row r="3118" spans="1:11" ht="13">
      <c r="A3118" s="4"/>
      <c r="B3118" s="4"/>
      <c r="C3118" s="4"/>
      <c r="D3118" s="4"/>
      <c r="E3118" s="4"/>
      <c r="F3118" s="4"/>
      <c r="H3118" s="4"/>
      <c r="I3118" s="4"/>
      <c r="K3118" s="4"/>
    </row>
    <row r="3119" spans="1:11" ht="13">
      <c r="A3119" s="4"/>
      <c r="B3119" s="4"/>
      <c r="C3119" s="4"/>
      <c r="D3119" s="4"/>
      <c r="E3119" s="4"/>
      <c r="F3119" s="4"/>
      <c r="H3119" s="4"/>
      <c r="I3119" s="4"/>
      <c r="K3119" s="4"/>
    </row>
    <row r="3120" spans="1:11" ht="13">
      <c r="A3120" s="4"/>
      <c r="B3120" s="4"/>
      <c r="C3120" s="4"/>
      <c r="D3120" s="4"/>
      <c r="E3120" s="4"/>
      <c r="F3120" s="4"/>
      <c r="H3120" s="4"/>
      <c r="I3120" s="4"/>
      <c r="K3120" s="4"/>
    </row>
    <row r="3121" spans="1:11" ht="13">
      <c r="A3121" s="4"/>
      <c r="B3121" s="4"/>
      <c r="C3121" s="4"/>
      <c r="D3121" s="4"/>
      <c r="E3121" s="4"/>
      <c r="F3121" s="4"/>
      <c r="H3121" s="4"/>
      <c r="I3121" s="4"/>
      <c r="K3121" s="4"/>
    </row>
    <row r="3122" spans="1:11" ht="13">
      <c r="A3122" s="4"/>
      <c r="B3122" s="4"/>
      <c r="C3122" s="4"/>
      <c r="D3122" s="4"/>
      <c r="E3122" s="4"/>
      <c r="F3122" s="4"/>
      <c r="H3122" s="4"/>
      <c r="I3122" s="4"/>
      <c r="K3122" s="4"/>
    </row>
    <row r="3123" spans="1:11" ht="13">
      <c r="A3123" s="4"/>
      <c r="B3123" s="4"/>
      <c r="C3123" s="4"/>
      <c r="D3123" s="4"/>
      <c r="E3123" s="4"/>
      <c r="F3123" s="4"/>
      <c r="H3123" s="4"/>
      <c r="I3123" s="4"/>
      <c r="K3123" s="4"/>
    </row>
    <row r="3124" spans="1:11" ht="13">
      <c r="A3124" s="4"/>
      <c r="B3124" s="4"/>
      <c r="C3124" s="4"/>
      <c r="D3124" s="4"/>
      <c r="E3124" s="4"/>
      <c r="F3124" s="4"/>
      <c r="H3124" s="4"/>
      <c r="I3124" s="4"/>
      <c r="K3124" s="4"/>
    </row>
    <row r="3125" spans="1:11" ht="13">
      <c r="A3125" s="4"/>
      <c r="B3125" s="4"/>
      <c r="C3125" s="4"/>
      <c r="D3125" s="4"/>
      <c r="E3125" s="4"/>
      <c r="F3125" s="4"/>
      <c r="H3125" s="4"/>
      <c r="I3125" s="4"/>
      <c r="K3125" s="4"/>
    </row>
    <row r="3126" spans="1:11" ht="13">
      <c r="A3126" s="4"/>
      <c r="B3126" s="4"/>
      <c r="C3126" s="4"/>
      <c r="D3126" s="4"/>
      <c r="E3126" s="4"/>
      <c r="F3126" s="4"/>
      <c r="H3126" s="4"/>
      <c r="I3126" s="4"/>
      <c r="K3126" s="4"/>
    </row>
    <row r="3127" spans="1:11" ht="13">
      <c r="A3127" s="4"/>
      <c r="B3127" s="4"/>
      <c r="C3127" s="4"/>
      <c r="D3127" s="4"/>
      <c r="E3127" s="4"/>
      <c r="F3127" s="4"/>
      <c r="H3127" s="4"/>
      <c r="I3127" s="4"/>
      <c r="K3127" s="4"/>
    </row>
    <row r="3128" spans="1:11" ht="13">
      <c r="A3128" s="4"/>
      <c r="B3128" s="4"/>
      <c r="C3128" s="4"/>
      <c r="D3128" s="4"/>
      <c r="E3128" s="4"/>
      <c r="F3128" s="4"/>
      <c r="H3128" s="4"/>
      <c r="I3128" s="4"/>
      <c r="K3128" s="4"/>
    </row>
    <row r="3129" spans="1:11" ht="13">
      <c r="A3129" s="4"/>
      <c r="B3129" s="4"/>
      <c r="C3129" s="4"/>
      <c r="D3129" s="4"/>
      <c r="E3129" s="4"/>
      <c r="F3129" s="4"/>
      <c r="H3129" s="4"/>
      <c r="I3129" s="4"/>
      <c r="K3129" s="4"/>
    </row>
    <row r="3130" spans="1:11" ht="13">
      <c r="A3130" s="4"/>
      <c r="B3130" s="4"/>
      <c r="C3130" s="4"/>
      <c r="D3130" s="4"/>
      <c r="E3130" s="4"/>
      <c r="F3130" s="4"/>
      <c r="H3130" s="4"/>
      <c r="I3130" s="4"/>
      <c r="K3130" s="4"/>
    </row>
    <row r="3131" spans="1:11" ht="13">
      <c r="A3131" s="4"/>
      <c r="B3131" s="4"/>
      <c r="C3131" s="4"/>
      <c r="D3131" s="4"/>
      <c r="E3131" s="4"/>
      <c r="F3131" s="4"/>
      <c r="H3131" s="4"/>
      <c r="I3131" s="4"/>
      <c r="K3131" s="4"/>
    </row>
    <row r="3132" spans="1:11" ht="13">
      <c r="A3132" s="4"/>
      <c r="B3132" s="4"/>
      <c r="C3132" s="4"/>
      <c r="D3132" s="4"/>
      <c r="E3132" s="4"/>
      <c r="F3132" s="4"/>
      <c r="H3132" s="4"/>
      <c r="I3132" s="4"/>
      <c r="K3132" s="4"/>
    </row>
    <row r="3133" spans="1:11" ht="13">
      <c r="A3133" s="4"/>
      <c r="B3133" s="4"/>
      <c r="C3133" s="4"/>
      <c r="D3133" s="4"/>
      <c r="E3133" s="4"/>
      <c r="F3133" s="4"/>
      <c r="H3133" s="4"/>
      <c r="I3133" s="4"/>
      <c r="K3133" s="4"/>
    </row>
    <row r="3134" spans="1:11" ht="13">
      <c r="A3134" s="4"/>
      <c r="B3134" s="4"/>
      <c r="C3134" s="4"/>
      <c r="D3134" s="4"/>
      <c r="E3134" s="4"/>
      <c r="F3134" s="4"/>
      <c r="H3134" s="4"/>
      <c r="I3134" s="4"/>
      <c r="K3134" s="4"/>
    </row>
    <row r="3135" spans="1:11" ht="13">
      <c r="A3135" s="4"/>
      <c r="B3135" s="4"/>
      <c r="C3135" s="4"/>
      <c r="D3135" s="4"/>
      <c r="E3135" s="4"/>
      <c r="F3135" s="4"/>
      <c r="H3135" s="4"/>
      <c r="I3135" s="4"/>
      <c r="K3135" s="4"/>
    </row>
    <row r="3136" spans="1:11" ht="13">
      <c r="A3136" s="4"/>
      <c r="B3136" s="4"/>
      <c r="C3136" s="4"/>
      <c r="D3136" s="4"/>
      <c r="E3136" s="4"/>
      <c r="F3136" s="4"/>
      <c r="H3136" s="4"/>
      <c r="I3136" s="4"/>
      <c r="K3136" s="4"/>
    </row>
    <row r="3137" spans="1:11" ht="13">
      <c r="A3137" s="4"/>
      <c r="B3137" s="4"/>
      <c r="C3137" s="4"/>
      <c r="D3137" s="4"/>
      <c r="E3137" s="4"/>
      <c r="F3137" s="4"/>
      <c r="H3137" s="4"/>
      <c r="I3137" s="4"/>
      <c r="K3137" s="4"/>
    </row>
    <row r="3138" spans="1:11" ht="13">
      <c r="A3138" s="4"/>
      <c r="B3138" s="4"/>
      <c r="C3138" s="4"/>
      <c r="D3138" s="4"/>
      <c r="E3138" s="4"/>
      <c r="F3138" s="4"/>
      <c r="H3138" s="4"/>
      <c r="I3138" s="4"/>
      <c r="K3138" s="4"/>
    </row>
    <row r="3139" spans="1:11" ht="13">
      <c r="A3139" s="4"/>
      <c r="B3139" s="4"/>
      <c r="C3139" s="4"/>
      <c r="D3139" s="4"/>
      <c r="E3139" s="4"/>
      <c r="F3139" s="4"/>
      <c r="H3139" s="4"/>
      <c r="I3139" s="4"/>
      <c r="K3139" s="4"/>
    </row>
    <row r="3140" spans="1:11" ht="13">
      <c r="A3140" s="4"/>
      <c r="B3140" s="4"/>
      <c r="C3140" s="4"/>
      <c r="D3140" s="4"/>
      <c r="E3140" s="4"/>
      <c r="F3140" s="4"/>
      <c r="H3140" s="4"/>
      <c r="I3140" s="4"/>
      <c r="K3140" s="4"/>
    </row>
    <row r="3141" spans="1:11" ht="13">
      <c r="A3141" s="4"/>
      <c r="B3141" s="4"/>
      <c r="C3141" s="4"/>
      <c r="D3141" s="4"/>
      <c r="E3141" s="4"/>
      <c r="F3141" s="4"/>
      <c r="H3141" s="4"/>
      <c r="I3141" s="4"/>
      <c r="K3141" s="4"/>
    </row>
    <row r="3142" spans="1:11" ht="13">
      <c r="A3142" s="4"/>
      <c r="B3142" s="4"/>
      <c r="C3142" s="4"/>
      <c r="D3142" s="4"/>
      <c r="E3142" s="4"/>
      <c r="F3142" s="4"/>
      <c r="H3142" s="4"/>
      <c r="I3142" s="4"/>
      <c r="K3142" s="4"/>
    </row>
    <row r="3143" spans="1:11" ht="13">
      <c r="A3143" s="4"/>
      <c r="B3143" s="4"/>
      <c r="C3143" s="4"/>
      <c r="D3143" s="4"/>
      <c r="E3143" s="4"/>
      <c r="F3143" s="4"/>
      <c r="H3143" s="4"/>
      <c r="I3143" s="4"/>
      <c r="K3143" s="4"/>
    </row>
    <row r="3144" spans="1:11" ht="13">
      <c r="A3144" s="4"/>
      <c r="B3144" s="4"/>
      <c r="C3144" s="4"/>
      <c r="D3144" s="4"/>
      <c r="E3144" s="4"/>
      <c r="F3144" s="4"/>
      <c r="H3144" s="4"/>
      <c r="I3144" s="4"/>
      <c r="K3144" s="4"/>
    </row>
    <row r="3145" spans="1:11" ht="13">
      <c r="A3145" s="4"/>
      <c r="B3145" s="4"/>
      <c r="C3145" s="4"/>
      <c r="D3145" s="4"/>
      <c r="E3145" s="4"/>
      <c r="F3145" s="4"/>
      <c r="H3145" s="4"/>
      <c r="I3145" s="4"/>
      <c r="K3145" s="4"/>
    </row>
    <row r="3146" spans="1:11" ht="13">
      <c r="A3146" s="4"/>
      <c r="B3146" s="4"/>
      <c r="C3146" s="4"/>
      <c r="D3146" s="4"/>
      <c r="E3146" s="4"/>
      <c r="F3146" s="4"/>
      <c r="H3146" s="4"/>
      <c r="I3146" s="4"/>
      <c r="K3146" s="4"/>
    </row>
    <row r="3147" spans="1:11" ht="13">
      <c r="A3147" s="4"/>
      <c r="B3147" s="4"/>
      <c r="C3147" s="4"/>
      <c r="D3147" s="4"/>
      <c r="E3147" s="4"/>
      <c r="F3147" s="4"/>
      <c r="H3147" s="4"/>
      <c r="I3147" s="4"/>
      <c r="K3147" s="4"/>
    </row>
    <row r="3148" spans="1:11" ht="13">
      <c r="A3148" s="4"/>
      <c r="B3148" s="4"/>
      <c r="C3148" s="4"/>
      <c r="D3148" s="4"/>
      <c r="E3148" s="4"/>
      <c r="F3148" s="4"/>
      <c r="H3148" s="4"/>
      <c r="I3148" s="4"/>
      <c r="K3148" s="4"/>
    </row>
    <row r="3149" spans="1:11" ht="13">
      <c r="A3149" s="4"/>
      <c r="B3149" s="4"/>
      <c r="C3149" s="4"/>
      <c r="D3149" s="4"/>
      <c r="E3149" s="4"/>
      <c r="F3149" s="4"/>
      <c r="H3149" s="4"/>
      <c r="I3149" s="4"/>
      <c r="K3149" s="4"/>
    </row>
    <row r="3150" spans="1:11" ht="13">
      <c r="A3150" s="4"/>
      <c r="B3150" s="4"/>
      <c r="C3150" s="4"/>
      <c r="D3150" s="4"/>
      <c r="E3150" s="4"/>
      <c r="F3150" s="4"/>
      <c r="H3150" s="4"/>
      <c r="I3150" s="4"/>
      <c r="K3150" s="4"/>
    </row>
    <row r="3151" spans="1:11" ht="13">
      <c r="A3151" s="4"/>
      <c r="B3151" s="4"/>
      <c r="C3151" s="4"/>
      <c r="D3151" s="4"/>
      <c r="E3151" s="4"/>
      <c r="F3151" s="4"/>
      <c r="H3151" s="4"/>
      <c r="I3151" s="4"/>
      <c r="K3151" s="4"/>
    </row>
    <row r="3152" spans="1:11" ht="13">
      <c r="A3152" s="4"/>
      <c r="B3152" s="4"/>
      <c r="C3152" s="4"/>
      <c r="D3152" s="4"/>
      <c r="E3152" s="4"/>
      <c r="F3152" s="4"/>
      <c r="H3152" s="4"/>
      <c r="I3152" s="4"/>
      <c r="K3152" s="4"/>
    </row>
    <row r="3153" spans="1:11" ht="13">
      <c r="A3153" s="4"/>
      <c r="B3153" s="4"/>
      <c r="C3153" s="4"/>
      <c r="D3153" s="4"/>
      <c r="E3153" s="4"/>
      <c r="F3153" s="4"/>
      <c r="H3153" s="4"/>
      <c r="I3153" s="4"/>
      <c r="K3153" s="4"/>
    </row>
    <row r="3154" spans="1:11" ht="13">
      <c r="A3154" s="4"/>
      <c r="B3154" s="4"/>
      <c r="C3154" s="4"/>
      <c r="D3154" s="4"/>
      <c r="E3154" s="4"/>
      <c r="F3154" s="4"/>
      <c r="H3154" s="4"/>
      <c r="I3154" s="4"/>
      <c r="K3154" s="4"/>
    </row>
    <row r="3155" spans="1:11" ht="13">
      <c r="A3155" s="4"/>
      <c r="B3155" s="4"/>
      <c r="C3155" s="4"/>
      <c r="D3155" s="4"/>
      <c r="E3155" s="4"/>
      <c r="F3155" s="4"/>
      <c r="H3155" s="4"/>
      <c r="I3155" s="4"/>
      <c r="K3155" s="4"/>
    </row>
    <row r="3156" spans="1:11" ht="13">
      <c r="A3156" s="4"/>
      <c r="B3156" s="4"/>
      <c r="C3156" s="4"/>
      <c r="D3156" s="4"/>
      <c r="E3156" s="4"/>
      <c r="F3156" s="4"/>
      <c r="H3156" s="4"/>
      <c r="I3156" s="4"/>
      <c r="K3156" s="4"/>
    </row>
    <row r="3157" spans="1:11" ht="13">
      <c r="A3157" s="4"/>
      <c r="B3157" s="4"/>
      <c r="C3157" s="4"/>
      <c r="D3157" s="4"/>
      <c r="E3157" s="4"/>
      <c r="F3157" s="4"/>
      <c r="H3157" s="4"/>
      <c r="I3157" s="4"/>
      <c r="K3157" s="4"/>
    </row>
    <row r="3158" spans="1:11" ht="13">
      <c r="A3158" s="4"/>
      <c r="B3158" s="4"/>
      <c r="C3158" s="4"/>
      <c r="D3158" s="4"/>
      <c r="E3158" s="4"/>
      <c r="F3158" s="4"/>
      <c r="H3158" s="4"/>
      <c r="I3158" s="4"/>
      <c r="K3158" s="4"/>
    </row>
    <row r="3159" spans="1:11" ht="13">
      <c r="A3159" s="4"/>
      <c r="B3159" s="4"/>
      <c r="C3159" s="4"/>
      <c r="D3159" s="4"/>
      <c r="E3159" s="4"/>
      <c r="F3159" s="4"/>
      <c r="H3159" s="4"/>
      <c r="I3159" s="4"/>
      <c r="K3159" s="4"/>
    </row>
    <row r="3160" spans="1:11" ht="13">
      <c r="A3160" s="4"/>
      <c r="B3160" s="4"/>
      <c r="C3160" s="4"/>
      <c r="D3160" s="4"/>
      <c r="E3160" s="4"/>
      <c r="F3160" s="4"/>
      <c r="H3160" s="4"/>
      <c r="I3160" s="4"/>
      <c r="K3160" s="4"/>
    </row>
    <row r="3161" spans="1:11" ht="13">
      <c r="A3161" s="4"/>
      <c r="B3161" s="4"/>
      <c r="C3161" s="4"/>
      <c r="D3161" s="4"/>
      <c r="E3161" s="4"/>
      <c r="F3161" s="4"/>
      <c r="H3161" s="4"/>
      <c r="I3161" s="4"/>
      <c r="K3161" s="4"/>
    </row>
    <row r="3162" spans="1:11" ht="13">
      <c r="A3162" s="4"/>
      <c r="B3162" s="4"/>
      <c r="C3162" s="4"/>
      <c r="D3162" s="4"/>
      <c r="E3162" s="4"/>
      <c r="F3162" s="4"/>
      <c r="H3162" s="4"/>
      <c r="I3162" s="4"/>
      <c r="K3162" s="4"/>
    </row>
    <row r="3163" spans="1:11" ht="13">
      <c r="A3163" s="4"/>
      <c r="B3163" s="4"/>
      <c r="C3163" s="4"/>
      <c r="D3163" s="4"/>
      <c r="E3163" s="4"/>
      <c r="F3163" s="4"/>
      <c r="H3163" s="4"/>
      <c r="I3163" s="4"/>
      <c r="K3163" s="4"/>
    </row>
    <row r="3164" spans="1:11" ht="13">
      <c r="A3164" s="4"/>
      <c r="B3164" s="4"/>
      <c r="C3164" s="4"/>
      <c r="D3164" s="4"/>
      <c r="E3164" s="4"/>
      <c r="F3164" s="4"/>
      <c r="H3164" s="4"/>
      <c r="I3164" s="4"/>
      <c r="K3164" s="4"/>
    </row>
    <row r="3165" spans="1:11" ht="13">
      <c r="A3165" s="4"/>
      <c r="B3165" s="4"/>
      <c r="C3165" s="4"/>
      <c r="D3165" s="4"/>
      <c r="E3165" s="4"/>
      <c r="F3165" s="4"/>
      <c r="H3165" s="4"/>
      <c r="I3165" s="4"/>
      <c r="K3165" s="4"/>
    </row>
    <row r="3166" spans="1:11" ht="13">
      <c r="A3166" s="4"/>
      <c r="B3166" s="4"/>
      <c r="C3166" s="4"/>
      <c r="D3166" s="4"/>
      <c r="E3166" s="4"/>
      <c r="F3166" s="4"/>
      <c r="H3166" s="4"/>
      <c r="I3166" s="4"/>
      <c r="K3166" s="4"/>
    </row>
    <row r="3167" spans="1:11" ht="13">
      <c r="A3167" s="4"/>
      <c r="B3167" s="4"/>
      <c r="C3167" s="4"/>
      <c r="D3167" s="4"/>
      <c r="E3167" s="4"/>
      <c r="F3167" s="4"/>
      <c r="H3167" s="4"/>
      <c r="I3167" s="4"/>
      <c r="K3167" s="4"/>
    </row>
    <row r="3168" spans="1:11" ht="13">
      <c r="A3168" s="4"/>
      <c r="B3168" s="4"/>
      <c r="C3168" s="4"/>
      <c r="D3168" s="4"/>
      <c r="E3168" s="4"/>
      <c r="F3168" s="4"/>
      <c r="H3168" s="4"/>
      <c r="I3168" s="4"/>
      <c r="K3168" s="4"/>
    </row>
    <row r="3169" spans="1:11" ht="13">
      <c r="A3169" s="4"/>
      <c r="B3169" s="4"/>
      <c r="C3169" s="4"/>
      <c r="D3169" s="4"/>
      <c r="E3169" s="4"/>
      <c r="F3169" s="4"/>
      <c r="H3169" s="4"/>
      <c r="I3169" s="4"/>
      <c r="K3169" s="4"/>
    </row>
    <row r="3170" spans="1:11" ht="13">
      <c r="A3170" s="4"/>
      <c r="B3170" s="4"/>
      <c r="C3170" s="4"/>
      <c r="D3170" s="4"/>
      <c r="E3170" s="4"/>
      <c r="F3170" s="4"/>
      <c r="H3170" s="4"/>
      <c r="I3170" s="4"/>
      <c r="K3170" s="4"/>
    </row>
    <row r="3171" spans="1:11" ht="13">
      <c r="A3171" s="4"/>
      <c r="B3171" s="4"/>
      <c r="C3171" s="4"/>
      <c r="D3171" s="4"/>
      <c r="E3171" s="4"/>
      <c r="F3171" s="4"/>
      <c r="H3171" s="4"/>
      <c r="I3171" s="4"/>
      <c r="K3171" s="4"/>
    </row>
    <row r="3172" spans="1:11" ht="13">
      <c r="A3172" s="4"/>
      <c r="B3172" s="4"/>
      <c r="C3172" s="4"/>
      <c r="D3172" s="4"/>
      <c r="E3172" s="4"/>
      <c r="F3172" s="4"/>
      <c r="H3172" s="4"/>
      <c r="I3172" s="4"/>
      <c r="K3172" s="4"/>
    </row>
    <row r="3173" spans="1:11" ht="13">
      <c r="A3173" s="4"/>
      <c r="B3173" s="4"/>
      <c r="C3173" s="4"/>
      <c r="D3173" s="4"/>
      <c r="E3173" s="4"/>
      <c r="F3173" s="4"/>
      <c r="H3173" s="4"/>
      <c r="I3173" s="4"/>
      <c r="K3173" s="4"/>
    </row>
    <row r="3174" spans="1:11" ht="13">
      <c r="A3174" s="4"/>
      <c r="B3174" s="4"/>
      <c r="C3174" s="4"/>
      <c r="D3174" s="4"/>
      <c r="E3174" s="4"/>
      <c r="F3174" s="4"/>
      <c r="H3174" s="4"/>
      <c r="I3174" s="4"/>
      <c r="K3174" s="4"/>
    </row>
    <row r="3175" spans="1:11" ht="13">
      <c r="A3175" s="4"/>
      <c r="B3175" s="4"/>
      <c r="C3175" s="4"/>
      <c r="D3175" s="4"/>
      <c r="E3175" s="4"/>
      <c r="F3175" s="4"/>
      <c r="H3175" s="4"/>
      <c r="I3175" s="4"/>
      <c r="K3175" s="4"/>
    </row>
    <row r="3176" spans="1:11" ht="13">
      <c r="A3176" s="4"/>
      <c r="B3176" s="4"/>
      <c r="C3176" s="4"/>
      <c r="D3176" s="4"/>
      <c r="E3176" s="4"/>
      <c r="F3176" s="4"/>
      <c r="H3176" s="4"/>
      <c r="I3176" s="4"/>
      <c r="K3176" s="4"/>
    </row>
    <row r="3177" spans="1:11" ht="13">
      <c r="A3177" s="4"/>
      <c r="B3177" s="4"/>
      <c r="C3177" s="4"/>
      <c r="D3177" s="4"/>
      <c r="E3177" s="4"/>
      <c r="F3177" s="4"/>
      <c r="H3177" s="4"/>
      <c r="I3177" s="4"/>
      <c r="K3177" s="4"/>
    </row>
    <row r="3178" spans="1:11" ht="13">
      <c r="A3178" s="4"/>
      <c r="B3178" s="4"/>
      <c r="C3178" s="4"/>
      <c r="D3178" s="4"/>
      <c r="E3178" s="4"/>
      <c r="F3178" s="4"/>
      <c r="H3178" s="4"/>
      <c r="I3178" s="4"/>
      <c r="K3178" s="4"/>
    </row>
    <row r="3179" spans="1:11" ht="13">
      <c r="A3179" s="4"/>
      <c r="B3179" s="4"/>
      <c r="C3179" s="4"/>
      <c r="D3179" s="4"/>
      <c r="E3179" s="4"/>
      <c r="F3179" s="4"/>
      <c r="H3179" s="4"/>
      <c r="I3179" s="4"/>
      <c r="K3179" s="4"/>
    </row>
    <row r="3180" spans="1:11" ht="13">
      <c r="A3180" s="4"/>
      <c r="B3180" s="4"/>
      <c r="C3180" s="4"/>
      <c r="D3180" s="4"/>
      <c r="E3180" s="4"/>
      <c r="F3180" s="4"/>
      <c r="H3180" s="4"/>
      <c r="I3180" s="4"/>
      <c r="K3180" s="4"/>
    </row>
    <row r="3181" spans="1:11" ht="13">
      <c r="A3181" s="4"/>
      <c r="B3181" s="4"/>
      <c r="C3181" s="4"/>
      <c r="D3181" s="4"/>
      <c r="E3181" s="4"/>
      <c r="F3181" s="4"/>
      <c r="H3181" s="4"/>
      <c r="I3181" s="4"/>
      <c r="K3181" s="4"/>
    </row>
    <row r="3182" spans="1:11" ht="13">
      <c r="A3182" s="4"/>
      <c r="B3182" s="4"/>
      <c r="C3182" s="4"/>
      <c r="D3182" s="4"/>
      <c r="E3182" s="4"/>
      <c r="F3182" s="4"/>
      <c r="H3182" s="4"/>
      <c r="I3182" s="4"/>
      <c r="K3182" s="4"/>
    </row>
    <row r="3183" spans="1:11" ht="13">
      <c r="A3183" s="4"/>
      <c r="B3183" s="4"/>
      <c r="C3183" s="4"/>
      <c r="D3183" s="4"/>
      <c r="E3183" s="4"/>
      <c r="F3183" s="4"/>
      <c r="H3183" s="4"/>
      <c r="I3183" s="4"/>
      <c r="K3183" s="4"/>
    </row>
    <row r="3184" spans="1:11" ht="13">
      <c r="A3184" s="4"/>
      <c r="B3184" s="4"/>
      <c r="C3184" s="4"/>
      <c r="D3184" s="4"/>
      <c r="E3184" s="4"/>
      <c r="F3184" s="4"/>
      <c r="H3184" s="4"/>
      <c r="I3184" s="4"/>
      <c r="K3184" s="4"/>
    </row>
    <row r="3185" spans="1:11" ht="13">
      <c r="A3185" s="4"/>
      <c r="B3185" s="4"/>
      <c r="C3185" s="4"/>
      <c r="D3185" s="4"/>
      <c r="E3185" s="4"/>
      <c r="F3185" s="4"/>
      <c r="H3185" s="4"/>
      <c r="I3185" s="4"/>
      <c r="K3185" s="4"/>
    </row>
    <row r="3186" spans="1:11" ht="13">
      <c r="A3186" s="4"/>
      <c r="B3186" s="4"/>
      <c r="C3186" s="4"/>
      <c r="D3186" s="4"/>
      <c r="E3186" s="4"/>
      <c r="F3186" s="4"/>
      <c r="H3186" s="4"/>
      <c r="I3186" s="4"/>
      <c r="K3186" s="4"/>
    </row>
    <row r="3187" spans="1:11" ht="13">
      <c r="A3187" s="4"/>
      <c r="B3187" s="4"/>
      <c r="C3187" s="4"/>
      <c r="D3187" s="4"/>
      <c r="E3187" s="4"/>
      <c r="F3187" s="4"/>
      <c r="H3187" s="4"/>
      <c r="I3187" s="4"/>
      <c r="K3187" s="4"/>
    </row>
    <row r="3188" spans="1:11" ht="13">
      <c r="A3188" s="4"/>
      <c r="B3188" s="4"/>
      <c r="C3188" s="4"/>
      <c r="D3188" s="4"/>
      <c r="E3188" s="4"/>
      <c r="F3188" s="4"/>
      <c r="H3188" s="4"/>
      <c r="I3188" s="4"/>
      <c r="K3188" s="4"/>
    </row>
    <row r="3189" spans="1:11" ht="13">
      <c r="A3189" s="4"/>
      <c r="B3189" s="4"/>
      <c r="C3189" s="4"/>
      <c r="D3189" s="4"/>
      <c r="E3189" s="4"/>
      <c r="F3189" s="4"/>
      <c r="H3189" s="4"/>
      <c r="I3189" s="4"/>
      <c r="K3189" s="4"/>
    </row>
    <row r="3190" spans="1:11" ht="13">
      <c r="A3190" s="4"/>
      <c r="B3190" s="4"/>
      <c r="C3190" s="4"/>
      <c r="D3190" s="4"/>
      <c r="E3190" s="4"/>
      <c r="F3190" s="4"/>
      <c r="H3190" s="4"/>
      <c r="I3190" s="4"/>
      <c r="K3190" s="4"/>
    </row>
    <row r="3191" spans="1:11" ht="13">
      <c r="A3191" s="4"/>
      <c r="B3191" s="4"/>
      <c r="C3191" s="4"/>
      <c r="D3191" s="4"/>
      <c r="E3191" s="4"/>
      <c r="F3191" s="4"/>
      <c r="H3191" s="4"/>
      <c r="I3191" s="4"/>
      <c r="K3191" s="4"/>
    </row>
    <row r="3192" spans="1:11" ht="13">
      <c r="A3192" s="4"/>
      <c r="B3192" s="4"/>
      <c r="C3192" s="4"/>
      <c r="D3192" s="4"/>
      <c r="E3192" s="4"/>
      <c r="F3192" s="4"/>
      <c r="H3192" s="4"/>
      <c r="I3192" s="4"/>
      <c r="K3192" s="4"/>
    </row>
    <row r="3193" spans="1:11" ht="13">
      <c r="A3193" s="4"/>
      <c r="B3193" s="4"/>
      <c r="C3193" s="4"/>
      <c r="D3193" s="4"/>
      <c r="E3193" s="4"/>
      <c r="F3193" s="4"/>
      <c r="H3193" s="4"/>
      <c r="I3193" s="4"/>
      <c r="K3193" s="4"/>
    </row>
    <row r="3194" spans="1:11" ht="13">
      <c r="A3194" s="4"/>
      <c r="B3194" s="4"/>
      <c r="C3194" s="4"/>
      <c r="D3194" s="4"/>
      <c r="E3194" s="4"/>
      <c r="F3194" s="4"/>
      <c r="H3194" s="4"/>
      <c r="I3194" s="4"/>
      <c r="K3194" s="4"/>
    </row>
    <row r="3195" spans="1:11" ht="13">
      <c r="A3195" s="4"/>
      <c r="B3195" s="4"/>
      <c r="C3195" s="4"/>
      <c r="D3195" s="4"/>
      <c r="E3195" s="4"/>
      <c r="F3195" s="4"/>
      <c r="H3195" s="4"/>
      <c r="I3195" s="4"/>
      <c r="K3195" s="4"/>
    </row>
    <row r="3196" spans="1:11" ht="13">
      <c r="A3196" s="4"/>
      <c r="B3196" s="4"/>
      <c r="C3196" s="4"/>
      <c r="D3196" s="4"/>
      <c r="E3196" s="4"/>
      <c r="F3196" s="4"/>
      <c r="H3196" s="4"/>
      <c r="I3196" s="4"/>
      <c r="K3196" s="4"/>
    </row>
    <row r="3197" spans="1:11" ht="13">
      <c r="A3197" s="4"/>
      <c r="B3197" s="4"/>
      <c r="C3197" s="4"/>
      <c r="D3197" s="4"/>
      <c r="E3197" s="4"/>
      <c r="F3197" s="4"/>
      <c r="H3197" s="4"/>
      <c r="I3197" s="4"/>
      <c r="K3197" s="4"/>
    </row>
    <row r="3198" spans="1:11" ht="13">
      <c r="A3198" s="4"/>
      <c r="B3198" s="4"/>
      <c r="C3198" s="4"/>
      <c r="D3198" s="4"/>
      <c r="E3198" s="4"/>
      <c r="F3198" s="4"/>
      <c r="H3198" s="4"/>
      <c r="I3198" s="4"/>
      <c r="K3198" s="4"/>
    </row>
    <row r="3199" spans="1:11" ht="13">
      <c r="A3199" s="4"/>
      <c r="B3199" s="4"/>
      <c r="C3199" s="4"/>
      <c r="D3199" s="4"/>
      <c r="E3199" s="4"/>
      <c r="F3199" s="4"/>
      <c r="H3199" s="4"/>
      <c r="I3199" s="4"/>
      <c r="K3199" s="4"/>
    </row>
    <row r="3200" spans="1:11" ht="13">
      <c r="A3200" s="4"/>
      <c r="B3200" s="4"/>
      <c r="C3200" s="4"/>
      <c r="D3200" s="4"/>
      <c r="E3200" s="4"/>
      <c r="F3200" s="4"/>
      <c r="H3200" s="4"/>
      <c r="I3200" s="4"/>
      <c r="K3200" s="4"/>
    </row>
    <row r="3201" spans="1:11" ht="13">
      <c r="A3201" s="4"/>
      <c r="B3201" s="4"/>
      <c r="C3201" s="4"/>
      <c r="D3201" s="4"/>
      <c r="E3201" s="4"/>
      <c r="F3201" s="4"/>
      <c r="H3201" s="4"/>
      <c r="I3201" s="4"/>
      <c r="K3201" s="4"/>
    </row>
    <row r="3202" spans="1:11" ht="13">
      <c r="A3202" s="4"/>
      <c r="B3202" s="4"/>
      <c r="C3202" s="4"/>
      <c r="D3202" s="4"/>
      <c r="E3202" s="4"/>
      <c r="F3202" s="4"/>
      <c r="H3202" s="4"/>
      <c r="I3202" s="4"/>
      <c r="K3202" s="4"/>
    </row>
    <row r="3203" spans="1:11" ht="13">
      <c r="A3203" s="4"/>
      <c r="B3203" s="4"/>
      <c r="C3203" s="4"/>
      <c r="D3203" s="4"/>
      <c r="E3203" s="4"/>
      <c r="F3203" s="4"/>
      <c r="H3203" s="4"/>
      <c r="I3203" s="4"/>
      <c r="K3203" s="4"/>
    </row>
    <row r="3204" spans="1:11" ht="13">
      <c r="A3204" s="4"/>
      <c r="B3204" s="4"/>
      <c r="C3204" s="4"/>
      <c r="D3204" s="4"/>
      <c r="E3204" s="4"/>
      <c r="F3204" s="4"/>
      <c r="H3204" s="4"/>
      <c r="I3204" s="4"/>
      <c r="K3204" s="4"/>
    </row>
    <row r="3205" spans="1:11" ht="13">
      <c r="A3205" s="4"/>
      <c r="B3205" s="4"/>
      <c r="C3205" s="4"/>
      <c r="D3205" s="4"/>
      <c r="E3205" s="4"/>
      <c r="F3205" s="4"/>
      <c r="H3205" s="4"/>
      <c r="I3205" s="4"/>
      <c r="K3205" s="4"/>
    </row>
    <row r="3206" spans="1:11" ht="13">
      <c r="A3206" s="4"/>
      <c r="B3206" s="4"/>
      <c r="C3206" s="4"/>
      <c r="D3206" s="4"/>
      <c r="E3206" s="4"/>
      <c r="F3206" s="4"/>
      <c r="H3206" s="4"/>
      <c r="I3206" s="4"/>
      <c r="K3206" s="4"/>
    </row>
    <row r="3207" spans="1:11" ht="13">
      <c r="A3207" s="4"/>
      <c r="B3207" s="4"/>
      <c r="C3207" s="4"/>
      <c r="D3207" s="4"/>
      <c r="E3207" s="4"/>
      <c r="F3207" s="4"/>
      <c r="H3207" s="4"/>
      <c r="I3207" s="4"/>
      <c r="K3207" s="4"/>
    </row>
    <row r="3208" spans="1:11" ht="13">
      <c r="A3208" s="4"/>
      <c r="B3208" s="4"/>
      <c r="C3208" s="4"/>
      <c r="D3208" s="4"/>
      <c r="E3208" s="4"/>
      <c r="F3208" s="4"/>
      <c r="H3208" s="4"/>
      <c r="I3208" s="4"/>
      <c r="K3208" s="4"/>
    </row>
    <row r="3209" spans="1:11" ht="13">
      <c r="A3209" s="4"/>
      <c r="B3209" s="4"/>
      <c r="C3209" s="4"/>
      <c r="D3209" s="4"/>
      <c r="E3209" s="4"/>
      <c r="F3209" s="4"/>
      <c r="H3209" s="4"/>
      <c r="I3209" s="4"/>
      <c r="K3209" s="4"/>
    </row>
    <row r="3210" spans="1:11" ht="13">
      <c r="A3210" s="4"/>
      <c r="B3210" s="4"/>
      <c r="C3210" s="4"/>
      <c r="D3210" s="4"/>
      <c r="E3210" s="4"/>
      <c r="F3210" s="4"/>
      <c r="H3210" s="4"/>
      <c r="I3210" s="4"/>
      <c r="K3210" s="4"/>
    </row>
    <row r="3211" spans="1:11" ht="13">
      <c r="A3211" s="4"/>
      <c r="B3211" s="4"/>
      <c r="C3211" s="4"/>
      <c r="D3211" s="4"/>
      <c r="E3211" s="4"/>
      <c r="F3211" s="4"/>
      <c r="H3211" s="4"/>
      <c r="I3211" s="4"/>
      <c r="K3211" s="4"/>
    </row>
    <row r="3212" spans="1:11" ht="13">
      <c r="A3212" s="4"/>
      <c r="B3212" s="4"/>
      <c r="C3212" s="4"/>
      <c r="D3212" s="4"/>
      <c r="E3212" s="4"/>
      <c r="F3212" s="4"/>
      <c r="H3212" s="4"/>
      <c r="I3212" s="4"/>
      <c r="K3212" s="4"/>
    </row>
    <row r="3213" spans="1:11" ht="13">
      <c r="A3213" s="4"/>
      <c r="B3213" s="4"/>
      <c r="C3213" s="4"/>
      <c r="D3213" s="4"/>
      <c r="E3213" s="4"/>
      <c r="F3213" s="4"/>
      <c r="H3213" s="4"/>
      <c r="I3213" s="4"/>
      <c r="K3213" s="4"/>
    </row>
    <row r="3214" spans="1:11" ht="13">
      <c r="A3214" s="4"/>
      <c r="B3214" s="4"/>
      <c r="C3214" s="4"/>
      <c r="D3214" s="4"/>
      <c r="E3214" s="4"/>
      <c r="F3214" s="4"/>
      <c r="H3214" s="4"/>
      <c r="I3214" s="4"/>
      <c r="K3214" s="4"/>
    </row>
    <row r="3215" spans="1:11" ht="13">
      <c r="A3215" s="4"/>
      <c r="B3215" s="4"/>
      <c r="C3215" s="4"/>
      <c r="D3215" s="4"/>
      <c r="E3215" s="4"/>
      <c r="F3215" s="4"/>
      <c r="H3215" s="4"/>
      <c r="I3215" s="4"/>
      <c r="K3215" s="4"/>
    </row>
    <row r="3216" spans="1:11" ht="13">
      <c r="A3216" s="4"/>
      <c r="B3216" s="4"/>
      <c r="C3216" s="4"/>
      <c r="D3216" s="4"/>
      <c r="E3216" s="4"/>
      <c r="F3216" s="4"/>
      <c r="H3216" s="4"/>
      <c r="I3216" s="4"/>
      <c r="K3216" s="4"/>
    </row>
    <row r="3217" spans="1:11" ht="13">
      <c r="A3217" s="4"/>
      <c r="B3217" s="4"/>
      <c r="C3217" s="4"/>
      <c r="D3217" s="4"/>
      <c r="E3217" s="4"/>
      <c r="F3217" s="4"/>
      <c r="H3217" s="4"/>
      <c r="I3217" s="4"/>
      <c r="K3217" s="4"/>
    </row>
    <row r="3218" spans="1:11" ht="13">
      <c r="A3218" s="4"/>
      <c r="B3218" s="4"/>
      <c r="C3218" s="4"/>
      <c r="D3218" s="4"/>
      <c r="E3218" s="4"/>
      <c r="F3218" s="4"/>
      <c r="H3218" s="4"/>
      <c r="I3218" s="4"/>
      <c r="K3218" s="4"/>
    </row>
    <row r="3219" spans="1:11" ht="13">
      <c r="A3219" s="4"/>
      <c r="B3219" s="4"/>
      <c r="C3219" s="4"/>
      <c r="D3219" s="4"/>
      <c r="E3219" s="4"/>
      <c r="F3219" s="4"/>
      <c r="H3219" s="4"/>
      <c r="I3219" s="4"/>
      <c r="K3219" s="4"/>
    </row>
    <row r="3220" spans="1:11" ht="13">
      <c r="A3220" s="4"/>
      <c r="B3220" s="4"/>
      <c r="C3220" s="4"/>
      <c r="D3220" s="4"/>
      <c r="E3220" s="4"/>
      <c r="F3220" s="4"/>
      <c r="H3220" s="4"/>
      <c r="I3220" s="4"/>
      <c r="K3220" s="4"/>
    </row>
    <row r="3221" spans="1:11" ht="13">
      <c r="A3221" s="4"/>
      <c r="B3221" s="4"/>
      <c r="C3221" s="4"/>
      <c r="D3221" s="4"/>
      <c r="E3221" s="4"/>
      <c r="F3221" s="4"/>
      <c r="H3221" s="4"/>
      <c r="I3221" s="4"/>
      <c r="K3221" s="4"/>
    </row>
    <row r="3222" spans="1:11" ht="13">
      <c r="A3222" s="4"/>
      <c r="B3222" s="4"/>
      <c r="C3222" s="4"/>
      <c r="D3222" s="4"/>
      <c r="E3222" s="4"/>
      <c r="F3222" s="4"/>
      <c r="H3222" s="4"/>
      <c r="I3222" s="4"/>
      <c r="K3222" s="4"/>
    </row>
    <row r="3223" spans="1:11" ht="13">
      <c r="A3223" s="4"/>
      <c r="B3223" s="4"/>
      <c r="C3223" s="4"/>
      <c r="D3223" s="4"/>
      <c r="E3223" s="4"/>
      <c r="F3223" s="4"/>
      <c r="H3223" s="4"/>
      <c r="I3223" s="4"/>
      <c r="K3223" s="4"/>
    </row>
    <row r="3224" spans="1:11" ht="13">
      <c r="A3224" s="4"/>
      <c r="B3224" s="4"/>
      <c r="C3224" s="4"/>
      <c r="D3224" s="4"/>
      <c r="E3224" s="4"/>
      <c r="F3224" s="4"/>
      <c r="H3224" s="4"/>
      <c r="I3224" s="4"/>
      <c r="K3224" s="4"/>
    </row>
    <row r="3225" spans="1:11" ht="13">
      <c r="A3225" s="4"/>
      <c r="B3225" s="4"/>
      <c r="C3225" s="4"/>
      <c r="D3225" s="4"/>
      <c r="E3225" s="4"/>
      <c r="F3225" s="4"/>
      <c r="H3225" s="4"/>
      <c r="I3225" s="4"/>
      <c r="K3225" s="4"/>
    </row>
    <row r="3226" spans="1:11" ht="13">
      <c r="A3226" s="4"/>
      <c r="B3226" s="4"/>
      <c r="C3226" s="4"/>
      <c r="D3226" s="4"/>
      <c r="E3226" s="4"/>
      <c r="F3226" s="4"/>
      <c r="H3226" s="4"/>
      <c r="I3226" s="4"/>
      <c r="K3226" s="4"/>
    </row>
    <row r="3227" spans="1:11" ht="13">
      <c r="A3227" s="4"/>
      <c r="B3227" s="4"/>
      <c r="C3227" s="4"/>
      <c r="D3227" s="4"/>
      <c r="E3227" s="4"/>
      <c r="F3227" s="4"/>
      <c r="H3227" s="4"/>
      <c r="I3227" s="4"/>
      <c r="K3227" s="4"/>
    </row>
    <row r="3228" spans="1:11" ht="13">
      <c r="A3228" s="4"/>
      <c r="B3228" s="4"/>
      <c r="C3228" s="4"/>
      <c r="D3228" s="4"/>
      <c r="E3228" s="4"/>
      <c r="F3228" s="4"/>
      <c r="H3228" s="4"/>
      <c r="I3228" s="4"/>
      <c r="K3228" s="4"/>
    </row>
    <row r="3229" spans="1:11" ht="13">
      <c r="A3229" s="4"/>
      <c r="B3229" s="4"/>
      <c r="C3229" s="4"/>
      <c r="D3229" s="4"/>
      <c r="E3229" s="4"/>
      <c r="F3229" s="4"/>
      <c r="H3229" s="4"/>
      <c r="I3229" s="4"/>
      <c r="K3229" s="4"/>
    </row>
    <row r="3230" spans="1:11" ht="13">
      <c r="A3230" s="4"/>
      <c r="B3230" s="4"/>
      <c r="C3230" s="4"/>
      <c r="D3230" s="4"/>
      <c r="E3230" s="4"/>
      <c r="F3230" s="4"/>
      <c r="H3230" s="4"/>
      <c r="I3230" s="4"/>
      <c r="K3230" s="4"/>
    </row>
    <row r="3231" spans="1:11" ht="13">
      <c r="A3231" s="4"/>
      <c r="B3231" s="4"/>
      <c r="C3231" s="4"/>
      <c r="D3231" s="4"/>
      <c r="E3231" s="4"/>
      <c r="F3231" s="4"/>
      <c r="H3231" s="4"/>
      <c r="I3231" s="4"/>
      <c r="K3231" s="4"/>
    </row>
    <row r="3232" spans="1:11" ht="13">
      <c r="A3232" s="4"/>
      <c r="B3232" s="4"/>
      <c r="C3232" s="4"/>
      <c r="D3232" s="4"/>
      <c r="E3232" s="4"/>
      <c r="F3232" s="4"/>
      <c r="H3232" s="4"/>
      <c r="I3232" s="4"/>
      <c r="K3232" s="4"/>
    </row>
    <row r="3233" spans="1:11" ht="13">
      <c r="A3233" s="4"/>
      <c r="B3233" s="4"/>
      <c r="C3233" s="4"/>
      <c r="D3233" s="4"/>
      <c r="E3233" s="4"/>
      <c r="F3233" s="4"/>
      <c r="H3233" s="4"/>
      <c r="I3233" s="4"/>
      <c r="K3233" s="4"/>
    </row>
    <row r="3234" spans="1:11" ht="13">
      <c r="A3234" s="4"/>
      <c r="B3234" s="4"/>
      <c r="C3234" s="4"/>
      <c r="D3234" s="4"/>
      <c r="E3234" s="4"/>
      <c r="F3234" s="4"/>
      <c r="H3234" s="4"/>
      <c r="I3234" s="4"/>
      <c r="K3234" s="4"/>
    </row>
    <row r="3235" spans="1:11" ht="13">
      <c r="A3235" s="4"/>
      <c r="B3235" s="4"/>
      <c r="C3235" s="4"/>
      <c r="D3235" s="4"/>
      <c r="E3235" s="4"/>
      <c r="F3235" s="4"/>
      <c r="H3235" s="4"/>
      <c r="I3235" s="4"/>
      <c r="K3235" s="4"/>
    </row>
    <row r="3236" spans="1:11" ht="13">
      <c r="A3236" s="4"/>
      <c r="B3236" s="4"/>
      <c r="C3236" s="4"/>
      <c r="D3236" s="4"/>
      <c r="E3236" s="4"/>
      <c r="F3236" s="4"/>
      <c r="H3236" s="4"/>
      <c r="I3236" s="4"/>
      <c r="K3236" s="4"/>
    </row>
    <row r="3237" spans="1:11" ht="13">
      <c r="A3237" s="4"/>
      <c r="B3237" s="4"/>
      <c r="C3237" s="4"/>
      <c r="D3237" s="4"/>
      <c r="E3237" s="4"/>
      <c r="F3237" s="4"/>
      <c r="H3237" s="4"/>
      <c r="I3237" s="4"/>
      <c r="K3237" s="4"/>
    </row>
    <row r="3238" spans="1:11" ht="13">
      <c r="A3238" s="4"/>
      <c r="B3238" s="4"/>
      <c r="C3238" s="4"/>
      <c r="D3238" s="4"/>
      <c r="E3238" s="4"/>
      <c r="F3238" s="4"/>
      <c r="H3238" s="4"/>
      <c r="I3238" s="4"/>
      <c r="K3238" s="4"/>
    </row>
    <row r="3239" spans="1:11" ht="13">
      <c r="A3239" s="4"/>
      <c r="B3239" s="4"/>
      <c r="C3239" s="4"/>
      <c r="D3239" s="4"/>
      <c r="E3239" s="4"/>
      <c r="F3239" s="4"/>
      <c r="H3239" s="4"/>
      <c r="I3239" s="4"/>
      <c r="K3239" s="4"/>
    </row>
    <row r="3240" spans="1:11" ht="13">
      <c r="A3240" s="4"/>
      <c r="B3240" s="4"/>
      <c r="C3240" s="4"/>
      <c r="D3240" s="4"/>
      <c r="E3240" s="4"/>
      <c r="F3240" s="4"/>
      <c r="H3240" s="4"/>
      <c r="I3240" s="4"/>
      <c r="K3240" s="4"/>
    </row>
    <row r="3241" spans="1:11" ht="13">
      <c r="A3241" s="4"/>
      <c r="B3241" s="4"/>
      <c r="C3241" s="4"/>
      <c r="D3241" s="4"/>
      <c r="E3241" s="4"/>
      <c r="F3241" s="4"/>
      <c r="H3241" s="4"/>
      <c r="I3241" s="4"/>
      <c r="K3241" s="4"/>
    </row>
    <row r="3242" spans="1:11" ht="13">
      <c r="A3242" s="4"/>
      <c r="B3242" s="4"/>
      <c r="C3242" s="4"/>
      <c r="D3242" s="4"/>
      <c r="E3242" s="4"/>
      <c r="F3242" s="4"/>
      <c r="H3242" s="4"/>
      <c r="I3242" s="4"/>
      <c r="K3242" s="4"/>
    </row>
    <row r="3243" spans="1:11" ht="13">
      <c r="A3243" s="4"/>
      <c r="B3243" s="4"/>
      <c r="C3243" s="4"/>
      <c r="D3243" s="4"/>
      <c r="E3243" s="4"/>
      <c r="F3243" s="4"/>
      <c r="H3243" s="4"/>
      <c r="I3243" s="4"/>
      <c r="K3243" s="4"/>
    </row>
    <row r="3244" spans="1:11" ht="13">
      <c r="A3244" s="4"/>
      <c r="B3244" s="4"/>
      <c r="C3244" s="4"/>
      <c r="D3244" s="4"/>
      <c r="E3244" s="4"/>
      <c r="F3244" s="4"/>
      <c r="H3244" s="4"/>
      <c r="I3244" s="4"/>
      <c r="K3244" s="4"/>
    </row>
    <row r="3245" spans="1:11" ht="13">
      <c r="A3245" s="4"/>
      <c r="B3245" s="4"/>
      <c r="C3245" s="4"/>
      <c r="D3245" s="4"/>
      <c r="E3245" s="4"/>
      <c r="F3245" s="4"/>
      <c r="H3245" s="4"/>
      <c r="I3245" s="4"/>
      <c r="K3245" s="4"/>
    </row>
    <row r="3246" spans="1:11" ht="13">
      <c r="A3246" s="4"/>
      <c r="B3246" s="4"/>
      <c r="C3246" s="4"/>
      <c r="D3246" s="4"/>
      <c r="E3246" s="4"/>
      <c r="F3246" s="4"/>
      <c r="H3246" s="4"/>
      <c r="I3246" s="4"/>
      <c r="K3246" s="4"/>
    </row>
    <row r="3247" spans="1:11" ht="13">
      <c r="A3247" s="4"/>
      <c r="B3247" s="4"/>
      <c r="C3247" s="4"/>
      <c r="D3247" s="4"/>
      <c r="E3247" s="4"/>
      <c r="F3247" s="4"/>
      <c r="H3247" s="4"/>
      <c r="I3247" s="4"/>
      <c r="K3247" s="4"/>
    </row>
    <row r="3248" spans="1:11" ht="13">
      <c r="A3248" s="4"/>
      <c r="B3248" s="4"/>
      <c r="C3248" s="4"/>
      <c r="D3248" s="4"/>
      <c r="E3248" s="4"/>
      <c r="F3248" s="4"/>
      <c r="H3248" s="4"/>
      <c r="I3248" s="4"/>
      <c r="K3248" s="4"/>
    </row>
    <row r="3249" spans="1:11" ht="13">
      <c r="A3249" s="4"/>
      <c r="B3249" s="4"/>
      <c r="C3249" s="4"/>
      <c r="D3249" s="4"/>
      <c r="E3249" s="4"/>
      <c r="F3249" s="4"/>
      <c r="H3249" s="4"/>
      <c r="I3249" s="4"/>
      <c r="K3249" s="4"/>
    </row>
    <row r="3250" spans="1:11" ht="13">
      <c r="A3250" s="4"/>
      <c r="B3250" s="4"/>
      <c r="C3250" s="4"/>
      <c r="D3250" s="4"/>
      <c r="E3250" s="4"/>
      <c r="F3250" s="4"/>
      <c r="H3250" s="4"/>
      <c r="I3250" s="4"/>
      <c r="K3250" s="4"/>
    </row>
    <row r="3251" spans="1:11" ht="13">
      <c r="A3251" s="4"/>
      <c r="B3251" s="4"/>
      <c r="C3251" s="4"/>
      <c r="D3251" s="4"/>
      <c r="E3251" s="4"/>
      <c r="F3251" s="4"/>
      <c r="H3251" s="4"/>
      <c r="I3251" s="4"/>
      <c r="K3251" s="4"/>
    </row>
    <row r="3252" spans="1:11" ht="13">
      <c r="A3252" s="4"/>
      <c r="B3252" s="4"/>
      <c r="C3252" s="4"/>
      <c r="D3252" s="4"/>
      <c r="E3252" s="4"/>
      <c r="F3252" s="4"/>
      <c r="H3252" s="4"/>
      <c r="I3252" s="4"/>
      <c r="K3252" s="4"/>
    </row>
    <row r="3253" spans="1:11" ht="13">
      <c r="A3253" s="4"/>
      <c r="B3253" s="4"/>
      <c r="C3253" s="4"/>
      <c r="D3253" s="4"/>
      <c r="E3253" s="4"/>
      <c r="F3253" s="4"/>
      <c r="H3253" s="4"/>
      <c r="I3253" s="4"/>
      <c r="K3253" s="4"/>
    </row>
    <row r="3254" spans="1:11" ht="13">
      <c r="A3254" s="4"/>
      <c r="B3254" s="4"/>
      <c r="C3254" s="4"/>
      <c r="D3254" s="4"/>
      <c r="E3254" s="4"/>
      <c r="F3254" s="4"/>
      <c r="H3254" s="4"/>
      <c r="I3254" s="4"/>
      <c r="K3254" s="4"/>
    </row>
    <row r="3255" spans="1:11" ht="13">
      <c r="A3255" s="4"/>
      <c r="B3255" s="4"/>
      <c r="C3255" s="4"/>
      <c r="D3255" s="4"/>
      <c r="E3255" s="4"/>
      <c r="F3255" s="4"/>
      <c r="H3255" s="4"/>
      <c r="I3255" s="4"/>
      <c r="K3255" s="4"/>
    </row>
    <row r="3256" spans="1:11" ht="13">
      <c r="A3256" s="4"/>
      <c r="B3256" s="4"/>
      <c r="C3256" s="4"/>
      <c r="D3256" s="4"/>
      <c r="E3256" s="4"/>
      <c r="F3256" s="4"/>
      <c r="H3256" s="4"/>
      <c r="I3256" s="4"/>
      <c r="K3256" s="4"/>
    </row>
    <row r="3257" spans="1:11" ht="13">
      <c r="A3257" s="4"/>
      <c r="B3257" s="4"/>
      <c r="C3257" s="4"/>
      <c r="D3257" s="4"/>
      <c r="E3257" s="4"/>
      <c r="F3257" s="4"/>
      <c r="H3257" s="4"/>
      <c r="I3257" s="4"/>
      <c r="K3257" s="4"/>
    </row>
    <row r="3258" spans="1:11" ht="13">
      <c r="A3258" s="4"/>
      <c r="B3258" s="4"/>
      <c r="C3258" s="4"/>
      <c r="D3258" s="4"/>
      <c r="E3258" s="4"/>
      <c r="F3258" s="4"/>
      <c r="H3258" s="4"/>
      <c r="I3258" s="4"/>
      <c r="K3258" s="4"/>
    </row>
    <row r="3259" spans="1:11" ht="13">
      <c r="A3259" s="4"/>
      <c r="B3259" s="4"/>
      <c r="C3259" s="4"/>
      <c r="D3259" s="4"/>
      <c r="E3259" s="4"/>
      <c r="F3259" s="4"/>
      <c r="H3259" s="4"/>
      <c r="I3259" s="4"/>
      <c r="K3259" s="4"/>
    </row>
    <row r="3260" spans="1:11" ht="13">
      <c r="A3260" s="4"/>
      <c r="B3260" s="4"/>
      <c r="C3260" s="4"/>
      <c r="D3260" s="4"/>
      <c r="E3260" s="4"/>
      <c r="F3260" s="4"/>
      <c r="H3260" s="4"/>
      <c r="I3260" s="4"/>
      <c r="K3260" s="4"/>
    </row>
    <row r="3261" spans="1:11" ht="13">
      <c r="A3261" s="4"/>
      <c r="B3261" s="4"/>
      <c r="C3261" s="4"/>
      <c r="D3261" s="4"/>
      <c r="E3261" s="4"/>
      <c r="F3261" s="4"/>
      <c r="H3261" s="4"/>
      <c r="I3261" s="4"/>
      <c r="K3261" s="4"/>
    </row>
    <row r="3262" spans="1:11" ht="13">
      <c r="A3262" s="4"/>
      <c r="B3262" s="4"/>
      <c r="C3262" s="4"/>
      <c r="D3262" s="4"/>
      <c r="E3262" s="4"/>
      <c r="F3262" s="4"/>
      <c r="H3262" s="4"/>
      <c r="I3262" s="4"/>
      <c r="K3262" s="4"/>
    </row>
    <row r="3263" spans="1:11" ht="13">
      <c r="A3263" s="4"/>
      <c r="B3263" s="4"/>
      <c r="C3263" s="4"/>
      <c r="D3263" s="4"/>
      <c r="E3263" s="4"/>
      <c r="F3263" s="4"/>
      <c r="H3263" s="4"/>
      <c r="I3263" s="4"/>
      <c r="K3263" s="4"/>
    </row>
    <row r="3264" spans="1:11" ht="13">
      <c r="A3264" s="4"/>
      <c r="B3264" s="4"/>
      <c r="C3264" s="4"/>
      <c r="D3264" s="4"/>
      <c r="E3264" s="4"/>
      <c r="F3264" s="4"/>
      <c r="H3264" s="4"/>
      <c r="I3264" s="4"/>
      <c r="K3264" s="4"/>
    </row>
    <row r="3265" spans="1:11" ht="13">
      <c r="A3265" s="4"/>
      <c r="B3265" s="4"/>
      <c r="C3265" s="4"/>
      <c r="D3265" s="4"/>
      <c r="E3265" s="4"/>
      <c r="F3265" s="4"/>
      <c r="H3265" s="4"/>
      <c r="I3265" s="4"/>
      <c r="K3265" s="4"/>
    </row>
    <row r="3266" spans="1:11" ht="13">
      <c r="A3266" s="4"/>
      <c r="B3266" s="4"/>
      <c r="C3266" s="4"/>
      <c r="D3266" s="4"/>
      <c r="E3266" s="4"/>
      <c r="F3266" s="4"/>
      <c r="H3266" s="4"/>
      <c r="I3266" s="4"/>
      <c r="K3266" s="4"/>
    </row>
    <row r="3267" spans="1:11" ht="13">
      <c r="A3267" s="4"/>
      <c r="B3267" s="4"/>
      <c r="C3267" s="4"/>
      <c r="D3267" s="4"/>
      <c r="E3267" s="4"/>
      <c r="F3267" s="4"/>
      <c r="H3267" s="4"/>
      <c r="I3267" s="4"/>
      <c r="K3267" s="4"/>
    </row>
    <row r="3268" spans="1:11" ht="13">
      <c r="A3268" s="4"/>
      <c r="B3268" s="4"/>
      <c r="C3268" s="4"/>
      <c r="D3268" s="4"/>
      <c r="E3268" s="4"/>
      <c r="F3268" s="4"/>
      <c r="H3268" s="4"/>
      <c r="I3268" s="4"/>
      <c r="K3268" s="4"/>
    </row>
    <row r="3269" spans="1:11" ht="13">
      <c r="A3269" s="4"/>
      <c r="B3269" s="4"/>
      <c r="C3269" s="4"/>
      <c r="D3269" s="4"/>
      <c r="E3269" s="4"/>
      <c r="F3269" s="4"/>
      <c r="H3269" s="4"/>
      <c r="I3269" s="4"/>
      <c r="K3269" s="4"/>
    </row>
    <row r="3270" spans="1:11" ht="13">
      <c r="A3270" s="4"/>
      <c r="B3270" s="4"/>
      <c r="C3270" s="4"/>
      <c r="D3270" s="4"/>
      <c r="E3270" s="4"/>
      <c r="F3270" s="4"/>
      <c r="H3270" s="4"/>
      <c r="I3270" s="4"/>
      <c r="K3270" s="4"/>
    </row>
    <row r="3271" spans="1:11" ht="13">
      <c r="A3271" s="4"/>
      <c r="B3271" s="4"/>
      <c r="C3271" s="4"/>
      <c r="D3271" s="4"/>
      <c r="E3271" s="4"/>
      <c r="F3271" s="4"/>
      <c r="H3271" s="4"/>
      <c r="I3271" s="4"/>
      <c r="K3271" s="4"/>
    </row>
    <row r="3272" spans="1:11" ht="13">
      <c r="A3272" s="4"/>
      <c r="B3272" s="4"/>
      <c r="C3272" s="4"/>
      <c r="D3272" s="4"/>
      <c r="E3272" s="4"/>
      <c r="F3272" s="4"/>
      <c r="H3272" s="4"/>
      <c r="I3272" s="4"/>
      <c r="K3272" s="4"/>
    </row>
    <row r="3273" spans="1:11" ht="13">
      <c r="A3273" s="4"/>
      <c r="B3273" s="4"/>
      <c r="C3273" s="4"/>
      <c r="D3273" s="4"/>
      <c r="E3273" s="4"/>
      <c r="F3273" s="4"/>
      <c r="H3273" s="4"/>
      <c r="I3273" s="4"/>
      <c r="K3273" s="4"/>
    </row>
    <row r="3274" spans="1:11" ht="13">
      <c r="A3274" s="4"/>
      <c r="B3274" s="4"/>
      <c r="C3274" s="4"/>
      <c r="D3274" s="4"/>
      <c r="E3274" s="4"/>
      <c r="F3274" s="4"/>
      <c r="H3274" s="4"/>
      <c r="I3274" s="4"/>
      <c r="K3274" s="4"/>
    </row>
    <row r="3275" spans="1:11" ht="13">
      <c r="A3275" s="4"/>
      <c r="B3275" s="4"/>
      <c r="C3275" s="4"/>
      <c r="D3275" s="4"/>
      <c r="E3275" s="4"/>
      <c r="F3275" s="4"/>
      <c r="H3275" s="4"/>
      <c r="I3275" s="4"/>
      <c r="K3275" s="4"/>
    </row>
    <row r="3276" spans="1:11" ht="13">
      <c r="A3276" s="4"/>
      <c r="B3276" s="4"/>
      <c r="C3276" s="4"/>
      <c r="D3276" s="4"/>
      <c r="E3276" s="4"/>
      <c r="F3276" s="4"/>
      <c r="H3276" s="4"/>
      <c r="I3276" s="4"/>
      <c r="K3276" s="4"/>
    </row>
    <row r="3277" spans="1:11" ht="13">
      <c r="A3277" s="4"/>
      <c r="B3277" s="4"/>
      <c r="C3277" s="4"/>
      <c r="D3277" s="4"/>
      <c r="E3277" s="4"/>
      <c r="F3277" s="4"/>
      <c r="H3277" s="4"/>
      <c r="I3277" s="4"/>
      <c r="K3277" s="4"/>
    </row>
    <row r="3278" spans="1:11" ht="13">
      <c r="A3278" s="4"/>
      <c r="B3278" s="4"/>
      <c r="C3278" s="4"/>
      <c r="D3278" s="4"/>
      <c r="E3278" s="4"/>
      <c r="F3278" s="4"/>
      <c r="H3278" s="4"/>
      <c r="I3278" s="4"/>
      <c r="K3278" s="4"/>
    </row>
    <row r="3279" spans="1:11" ht="13">
      <c r="A3279" s="4"/>
      <c r="B3279" s="4"/>
      <c r="C3279" s="4"/>
      <c r="D3279" s="4"/>
      <c r="E3279" s="4"/>
      <c r="F3279" s="4"/>
      <c r="H3279" s="4"/>
      <c r="I3279" s="4"/>
      <c r="K3279" s="4"/>
    </row>
    <row r="3280" spans="1:11" ht="13">
      <c r="A3280" s="4"/>
      <c r="B3280" s="4"/>
      <c r="C3280" s="4"/>
      <c r="D3280" s="4"/>
      <c r="E3280" s="4"/>
      <c r="F3280" s="4"/>
      <c r="H3280" s="4"/>
      <c r="I3280" s="4"/>
      <c r="K3280" s="4"/>
    </row>
    <row r="3281" spans="1:11" ht="13">
      <c r="A3281" s="4"/>
      <c r="B3281" s="4"/>
      <c r="C3281" s="4"/>
      <c r="D3281" s="4"/>
      <c r="E3281" s="4"/>
      <c r="F3281" s="4"/>
      <c r="H3281" s="4"/>
      <c r="I3281" s="4"/>
      <c r="K3281" s="4"/>
    </row>
    <row r="3282" spans="1:11" ht="13">
      <c r="A3282" s="4"/>
      <c r="B3282" s="4"/>
      <c r="C3282" s="4"/>
      <c r="D3282" s="4"/>
      <c r="E3282" s="4"/>
      <c r="F3282" s="4"/>
      <c r="H3282" s="4"/>
      <c r="I3282" s="4"/>
      <c r="K3282" s="4"/>
    </row>
    <row r="3283" spans="1:11" ht="13">
      <c r="A3283" s="4"/>
      <c r="B3283" s="4"/>
      <c r="C3283" s="4"/>
      <c r="D3283" s="4"/>
      <c r="E3283" s="4"/>
      <c r="F3283" s="4"/>
      <c r="H3283" s="4"/>
      <c r="I3283" s="4"/>
      <c r="K3283" s="4"/>
    </row>
    <row r="3284" spans="1:11" ht="13">
      <c r="A3284" s="4"/>
      <c r="B3284" s="4"/>
      <c r="C3284" s="4"/>
      <c r="D3284" s="4"/>
      <c r="E3284" s="4"/>
      <c r="F3284" s="4"/>
      <c r="H3284" s="4"/>
      <c r="I3284" s="4"/>
      <c r="K3284" s="4"/>
    </row>
    <row r="3285" spans="1:11" ht="13">
      <c r="A3285" s="4"/>
      <c r="B3285" s="4"/>
      <c r="C3285" s="4"/>
      <c r="D3285" s="4"/>
      <c r="E3285" s="4"/>
      <c r="F3285" s="4"/>
      <c r="H3285" s="4"/>
      <c r="I3285" s="4"/>
      <c r="K3285" s="4"/>
    </row>
    <row r="3286" spans="1:11" ht="13">
      <c r="A3286" s="4"/>
      <c r="B3286" s="4"/>
      <c r="C3286" s="4"/>
      <c r="D3286" s="4"/>
      <c r="E3286" s="4"/>
      <c r="F3286" s="4"/>
      <c r="H3286" s="4"/>
      <c r="I3286" s="4"/>
      <c r="K3286" s="4"/>
    </row>
    <row r="3287" spans="1:11" ht="13">
      <c r="A3287" s="4"/>
      <c r="B3287" s="4"/>
      <c r="C3287" s="4"/>
      <c r="D3287" s="4"/>
      <c r="E3287" s="4"/>
      <c r="F3287" s="4"/>
      <c r="H3287" s="4"/>
      <c r="I3287" s="4"/>
      <c r="K3287" s="4"/>
    </row>
    <row r="3288" spans="1:11" ht="13">
      <c r="A3288" s="4"/>
      <c r="B3288" s="4"/>
      <c r="C3288" s="4"/>
      <c r="D3288" s="4"/>
      <c r="E3288" s="4"/>
      <c r="F3288" s="4"/>
      <c r="H3288" s="4"/>
      <c r="I3288" s="4"/>
      <c r="K3288" s="4"/>
    </row>
    <row r="3289" spans="1:11" ht="13">
      <c r="A3289" s="4"/>
      <c r="B3289" s="4"/>
      <c r="C3289" s="4"/>
      <c r="D3289" s="4"/>
      <c r="E3289" s="4"/>
      <c r="F3289" s="4"/>
      <c r="H3289" s="4"/>
      <c r="I3289" s="4"/>
      <c r="K3289" s="4"/>
    </row>
    <row r="3290" spans="1:11" ht="13">
      <c r="A3290" s="4"/>
      <c r="B3290" s="4"/>
      <c r="C3290" s="4"/>
      <c r="D3290" s="4"/>
      <c r="E3290" s="4"/>
      <c r="F3290" s="4"/>
      <c r="H3290" s="4"/>
      <c r="I3290" s="4"/>
      <c r="K3290" s="4"/>
    </row>
    <row r="3291" spans="1:11" ht="13">
      <c r="A3291" s="4"/>
      <c r="B3291" s="4"/>
      <c r="C3291" s="4"/>
      <c r="D3291" s="4"/>
      <c r="E3291" s="4"/>
      <c r="F3291" s="4"/>
      <c r="H3291" s="4"/>
      <c r="I3291" s="4"/>
      <c r="K3291" s="4"/>
    </row>
    <row r="3292" spans="1:11" ht="13">
      <c r="A3292" s="4"/>
      <c r="B3292" s="4"/>
      <c r="C3292" s="4"/>
      <c r="D3292" s="4"/>
      <c r="E3292" s="4"/>
      <c r="F3292" s="4"/>
      <c r="H3292" s="4"/>
      <c r="I3292" s="4"/>
      <c r="K3292" s="4"/>
    </row>
    <row r="3293" spans="1:11" ht="13">
      <c r="A3293" s="4"/>
      <c r="B3293" s="4"/>
      <c r="C3293" s="4"/>
      <c r="D3293" s="4"/>
      <c r="E3293" s="4"/>
      <c r="F3293" s="4"/>
      <c r="H3293" s="4"/>
      <c r="I3293" s="4"/>
      <c r="K3293" s="4"/>
    </row>
    <row r="3294" spans="1:11" ht="13">
      <c r="A3294" s="4"/>
      <c r="B3294" s="4"/>
      <c r="C3294" s="4"/>
      <c r="D3294" s="4"/>
      <c r="E3294" s="4"/>
      <c r="F3294" s="4"/>
      <c r="H3294" s="4"/>
      <c r="I3294" s="4"/>
      <c r="K3294" s="4"/>
    </row>
    <row r="3295" spans="1:11" ht="13">
      <c r="A3295" s="4"/>
      <c r="B3295" s="4"/>
      <c r="C3295" s="4"/>
      <c r="D3295" s="4"/>
      <c r="E3295" s="4"/>
      <c r="F3295" s="4"/>
      <c r="H3295" s="4"/>
      <c r="I3295" s="4"/>
      <c r="K3295" s="4"/>
    </row>
    <row r="3296" spans="1:11" ht="13">
      <c r="A3296" s="4"/>
      <c r="B3296" s="4"/>
      <c r="C3296" s="4"/>
      <c r="D3296" s="4"/>
      <c r="E3296" s="4"/>
      <c r="F3296" s="4"/>
      <c r="H3296" s="4"/>
      <c r="I3296" s="4"/>
      <c r="K3296" s="4"/>
    </row>
    <row r="3297" spans="1:11" ht="13">
      <c r="A3297" s="4"/>
      <c r="B3297" s="4"/>
      <c r="C3297" s="4"/>
      <c r="D3297" s="4"/>
      <c r="E3297" s="4"/>
      <c r="F3297" s="4"/>
      <c r="H3297" s="4"/>
      <c r="I3297" s="4"/>
      <c r="K3297" s="4"/>
    </row>
    <row r="3298" spans="1:11" ht="13">
      <c r="A3298" s="4"/>
      <c r="B3298" s="4"/>
      <c r="C3298" s="4"/>
      <c r="D3298" s="4"/>
      <c r="E3298" s="4"/>
      <c r="F3298" s="4"/>
      <c r="H3298" s="4"/>
      <c r="I3298" s="4"/>
      <c r="K3298" s="4"/>
    </row>
    <row r="3299" spans="1:11" ht="13">
      <c r="A3299" s="4"/>
      <c r="B3299" s="4"/>
      <c r="C3299" s="4"/>
      <c r="D3299" s="4"/>
      <c r="E3299" s="4"/>
      <c r="F3299" s="4"/>
      <c r="H3299" s="4"/>
      <c r="I3299" s="4"/>
      <c r="K3299" s="4"/>
    </row>
    <row r="3300" spans="1:11" ht="13">
      <c r="A3300" s="4"/>
      <c r="B3300" s="4"/>
      <c r="C3300" s="4"/>
      <c r="D3300" s="4"/>
      <c r="E3300" s="4"/>
      <c r="F3300" s="4"/>
      <c r="H3300" s="4"/>
      <c r="I3300" s="4"/>
      <c r="K3300" s="4"/>
    </row>
    <row r="3301" spans="1:11" ht="13">
      <c r="A3301" s="4"/>
      <c r="B3301" s="4"/>
      <c r="C3301" s="4"/>
      <c r="D3301" s="4"/>
      <c r="E3301" s="4"/>
      <c r="F3301" s="4"/>
      <c r="H3301" s="4"/>
      <c r="I3301" s="4"/>
      <c r="K3301" s="4"/>
    </row>
    <row r="3302" spans="1:11" ht="13">
      <c r="A3302" s="4"/>
      <c r="B3302" s="4"/>
      <c r="C3302" s="4"/>
      <c r="D3302" s="4"/>
      <c r="E3302" s="4"/>
      <c r="F3302" s="4"/>
      <c r="H3302" s="4"/>
      <c r="I3302" s="4"/>
      <c r="K3302" s="4"/>
    </row>
    <row r="3303" spans="1:11" ht="13">
      <c r="A3303" s="4"/>
      <c r="B3303" s="4"/>
      <c r="C3303" s="4"/>
      <c r="D3303" s="4"/>
      <c r="E3303" s="4"/>
      <c r="F3303" s="4"/>
      <c r="H3303" s="4"/>
      <c r="I3303" s="4"/>
      <c r="K3303" s="4"/>
    </row>
    <row r="3304" spans="1:11" ht="13">
      <c r="A3304" s="4"/>
      <c r="B3304" s="4"/>
      <c r="C3304" s="4"/>
      <c r="D3304" s="4"/>
      <c r="E3304" s="4"/>
      <c r="F3304" s="4"/>
      <c r="H3304" s="4"/>
      <c r="I3304" s="4"/>
      <c r="K3304" s="4"/>
    </row>
    <row r="3305" spans="1:11" ht="13">
      <c r="A3305" s="4"/>
      <c r="B3305" s="4"/>
      <c r="C3305" s="4"/>
      <c r="D3305" s="4"/>
      <c r="E3305" s="4"/>
      <c r="F3305" s="4"/>
      <c r="H3305" s="4"/>
      <c r="I3305" s="4"/>
      <c r="K3305" s="4"/>
    </row>
    <row r="3306" spans="1:11" ht="13">
      <c r="A3306" s="4"/>
      <c r="B3306" s="4"/>
      <c r="C3306" s="4"/>
      <c r="D3306" s="4"/>
      <c r="E3306" s="4"/>
      <c r="F3306" s="4"/>
      <c r="H3306" s="4"/>
      <c r="I3306" s="4"/>
      <c r="K3306" s="4"/>
    </row>
    <row r="3307" spans="1:11" ht="13">
      <c r="A3307" s="4"/>
      <c r="B3307" s="4"/>
      <c r="C3307" s="4"/>
      <c r="D3307" s="4"/>
      <c r="E3307" s="4"/>
      <c r="F3307" s="4"/>
      <c r="H3307" s="4"/>
      <c r="I3307" s="4"/>
      <c r="K3307" s="4"/>
    </row>
    <row r="3308" spans="1:11" ht="13">
      <c r="A3308" s="4"/>
      <c r="B3308" s="4"/>
      <c r="C3308" s="4"/>
      <c r="D3308" s="4"/>
      <c r="E3308" s="4"/>
      <c r="F3308" s="4"/>
      <c r="H3308" s="4"/>
      <c r="I3308" s="4"/>
      <c r="K3308" s="4"/>
    </row>
    <row r="3309" spans="1:11" ht="13">
      <c r="A3309" s="4"/>
      <c r="B3309" s="4"/>
      <c r="C3309" s="4"/>
      <c r="D3309" s="4"/>
      <c r="E3309" s="4"/>
      <c r="F3309" s="4"/>
      <c r="H3309" s="4"/>
      <c r="I3309" s="4"/>
      <c r="K3309" s="4"/>
    </row>
    <row r="3310" spans="1:11" ht="13">
      <c r="A3310" s="4"/>
      <c r="B3310" s="4"/>
      <c r="C3310" s="4"/>
      <c r="D3310" s="4"/>
      <c r="E3310" s="4"/>
      <c r="F3310" s="4"/>
      <c r="H3310" s="4"/>
      <c r="I3310" s="4"/>
      <c r="K3310" s="4"/>
    </row>
    <row r="3311" spans="1:11" ht="13">
      <c r="A3311" s="4"/>
      <c r="B3311" s="4"/>
      <c r="C3311" s="4"/>
      <c r="D3311" s="4"/>
      <c r="E3311" s="4"/>
      <c r="F3311" s="4"/>
      <c r="H3311" s="4"/>
      <c r="I3311" s="4"/>
      <c r="K3311" s="4"/>
    </row>
    <row r="3312" spans="1:11" ht="13">
      <c r="A3312" s="4"/>
      <c r="B3312" s="4"/>
      <c r="C3312" s="4"/>
      <c r="D3312" s="4"/>
      <c r="E3312" s="4"/>
      <c r="F3312" s="4"/>
      <c r="H3312" s="4"/>
      <c r="I3312" s="4"/>
      <c r="K3312" s="4"/>
    </row>
    <row r="3313" spans="1:11" ht="13">
      <c r="A3313" s="4"/>
      <c r="B3313" s="4"/>
      <c r="C3313" s="4"/>
      <c r="D3313" s="4"/>
      <c r="E3313" s="4"/>
      <c r="F3313" s="4"/>
      <c r="H3313" s="4"/>
      <c r="I3313" s="4"/>
      <c r="K3313" s="4"/>
    </row>
    <row r="3314" spans="1:11" ht="13">
      <c r="A3314" s="4"/>
      <c r="B3314" s="4"/>
      <c r="C3314" s="4"/>
      <c r="D3314" s="4"/>
      <c r="E3314" s="4"/>
      <c r="F3314" s="4"/>
      <c r="H3314" s="4"/>
      <c r="I3314" s="4"/>
      <c r="K3314" s="4"/>
    </row>
    <row r="3315" spans="1:11" ht="13">
      <c r="A3315" s="4"/>
      <c r="B3315" s="4"/>
      <c r="C3315" s="4"/>
      <c r="D3315" s="4"/>
      <c r="E3315" s="4"/>
      <c r="F3315" s="4"/>
      <c r="H3315" s="4"/>
      <c r="I3315" s="4"/>
      <c r="K3315" s="4"/>
    </row>
    <row r="3316" spans="1:11" ht="13">
      <c r="A3316" s="4"/>
      <c r="B3316" s="4"/>
      <c r="C3316" s="4"/>
      <c r="D3316" s="4"/>
      <c r="E3316" s="4"/>
      <c r="F3316" s="4"/>
      <c r="H3316" s="4"/>
      <c r="I3316" s="4"/>
      <c r="K3316" s="4"/>
    </row>
    <row r="3317" spans="1:11" ht="13">
      <c r="A3317" s="4"/>
      <c r="B3317" s="4"/>
      <c r="C3317" s="4"/>
      <c r="D3317" s="4"/>
      <c r="E3317" s="4"/>
      <c r="F3317" s="4"/>
      <c r="H3317" s="4"/>
      <c r="I3317" s="4"/>
      <c r="K3317" s="4"/>
    </row>
    <row r="3318" spans="1:11" ht="13">
      <c r="A3318" s="4"/>
      <c r="B3318" s="4"/>
      <c r="C3318" s="4"/>
      <c r="D3318" s="4"/>
      <c r="E3318" s="4"/>
      <c r="F3318" s="4"/>
      <c r="H3318" s="4"/>
      <c r="I3318" s="4"/>
      <c r="K3318" s="4"/>
    </row>
    <row r="3319" spans="1:11" ht="13">
      <c r="A3319" s="4"/>
      <c r="B3319" s="4"/>
      <c r="C3319" s="4"/>
      <c r="D3319" s="4"/>
      <c r="E3319" s="4"/>
      <c r="F3319" s="4"/>
      <c r="H3319" s="4"/>
      <c r="I3319" s="4"/>
      <c r="K3319" s="4"/>
    </row>
    <row r="3320" spans="1:11" ht="13">
      <c r="A3320" s="4"/>
      <c r="B3320" s="4"/>
      <c r="C3320" s="4"/>
      <c r="D3320" s="4"/>
      <c r="E3320" s="4"/>
      <c r="F3320" s="4"/>
      <c r="H3320" s="4"/>
      <c r="I3320" s="4"/>
      <c r="K3320" s="4"/>
    </row>
    <row r="3321" spans="1:11" ht="13">
      <c r="A3321" s="4"/>
      <c r="B3321" s="4"/>
      <c r="C3321" s="4"/>
      <c r="D3321" s="4"/>
      <c r="E3321" s="4"/>
      <c r="F3321" s="4"/>
      <c r="H3321" s="4"/>
      <c r="I3321" s="4"/>
      <c r="K3321" s="4"/>
    </row>
    <row r="3322" spans="1:11" ht="13">
      <c r="A3322" s="4"/>
      <c r="B3322" s="4"/>
      <c r="C3322" s="4"/>
      <c r="D3322" s="4"/>
      <c r="E3322" s="4"/>
      <c r="F3322" s="4"/>
      <c r="H3322" s="4"/>
      <c r="I3322" s="4"/>
      <c r="K3322" s="4"/>
    </row>
    <row r="3323" spans="1:11" ht="13">
      <c r="A3323" s="4"/>
      <c r="B3323" s="4"/>
      <c r="C3323" s="4"/>
      <c r="D3323" s="4"/>
      <c r="E3323" s="4"/>
      <c r="F3323" s="4"/>
      <c r="H3323" s="4"/>
      <c r="I3323" s="4"/>
      <c r="K3323" s="4"/>
    </row>
    <row r="3324" spans="1:11" ht="13">
      <c r="A3324" s="4"/>
      <c r="B3324" s="4"/>
      <c r="C3324" s="4"/>
      <c r="D3324" s="4"/>
      <c r="E3324" s="4"/>
      <c r="F3324" s="4"/>
      <c r="H3324" s="4"/>
      <c r="I3324" s="4"/>
      <c r="K3324" s="4"/>
    </row>
    <row r="3325" spans="1:11" ht="13">
      <c r="A3325" s="4"/>
      <c r="B3325" s="4"/>
      <c r="C3325" s="4"/>
      <c r="D3325" s="4"/>
      <c r="E3325" s="4"/>
      <c r="F3325" s="4"/>
      <c r="H3325" s="4"/>
      <c r="I3325" s="4"/>
      <c r="K3325" s="4"/>
    </row>
    <row r="3326" spans="1:11" ht="13">
      <c r="A3326" s="4"/>
      <c r="B3326" s="4"/>
      <c r="C3326" s="4"/>
      <c r="D3326" s="4"/>
      <c r="E3326" s="4"/>
      <c r="F3326" s="4"/>
      <c r="H3326" s="4"/>
      <c r="I3326" s="4"/>
      <c r="K3326" s="4"/>
    </row>
    <row r="3327" spans="1:11" ht="13">
      <c r="A3327" s="4"/>
      <c r="B3327" s="4"/>
      <c r="C3327" s="4"/>
      <c r="D3327" s="4"/>
      <c r="E3327" s="4"/>
      <c r="F3327" s="4"/>
      <c r="H3327" s="4"/>
      <c r="I3327" s="4"/>
      <c r="K3327" s="4"/>
    </row>
    <row r="3328" spans="1:11" ht="13">
      <c r="A3328" s="4"/>
      <c r="B3328" s="4"/>
      <c r="C3328" s="4"/>
      <c r="D3328" s="4"/>
      <c r="E3328" s="4"/>
      <c r="F3328" s="4"/>
      <c r="H3328" s="4"/>
      <c r="I3328" s="4"/>
      <c r="K3328" s="4"/>
    </row>
    <row r="3329" spans="1:11" ht="13">
      <c r="A3329" s="4"/>
      <c r="B3329" s="4"/>
      <c r="C3329" s="4"/>
      <c r="D3329" s="4"/>
      <c r="E3329" s="4"/>
      <c r="F3329" s="4"/>
      <c r="H3329" s="4"/>
      <c r="I3329" s="4"/>
      <c r="K3329" s="4"/>
    </row>
    <row r="3330" spans="1:11" ht="13">
      <c r="A3330" s="4"/>
      <c r="B3330" s="4"/>
      <c r="C3330" s="4"/>
      <c r="D3330" s="4"/>
      <c r="E3330" s="4"/>
      <c r="F3330" s="4"/>
      <c r="H3330" s="4"/>
      <c r="I3330" s="4"/>
      <c r="K3330" s="4"/>
    </row>
    <row r="3331" spans="1:11" ht="13">
      <c r="A3331" s="4"/>
      <c r="B3331" s="4"/>
      <c r="C3331" s="4"/>
      <c r="D3331" s="4"/>
      <c r="E3331" s="4"/>
      <c r="F3331" s="4"/>
      <c r="H3331" s="4"/>
      <c r="I3331" s="4"/>
      <c r="K3331" s="4"/>
    </row>
    <row r="3332" spans="1:11" ht="13">
      <c r="A3332" s="4"/>
      <c r="B3332" s="4"/>
      <c r="C3332" s="4"/>
      <c r="D3332" s="4"/>
      <c r="E3332" s="4"/>
      <c r="F3332" s="4"/>
      <c r="H3332" s="4"/>
      <c r="I3332" s="4"/>
      <c r="K3332" s="4"/>
    </row>
    <row r="3333" spans="1:11" ht="13">
      <c r="A3333" s="4"/>
      <c r="B3333" s="4"/>
      <c r="C3333" s="4"/>
      <c r="D3333" s="4"/>
      <c r="E3333" s="4"/>
      <c r="F3333" s="4"/>
      <c r="H3333" s="4"/>
      <c r="I3333" s="4"/>
      <c r="K3333" s="4"/>
    </row>
    <row r="3334" spans="1:11" ht="13">
      <c r="A3334" s="4"/>
      <c r="B3334" s="4"/>
      <c r="C3334" s="4"/>
      <c r="D3334" s="4"/>
      <c r="E3334" s="4"/>
      <c r="F3334" s="4"/>
      <c r="H3334" s="4"/>
      <c r="I3334" s="4"/>
      <c r="K3334" s="4"/>
    </row>
    <row r="3335" spans="1:11" ht="13">
      <c r="A3335" s="4"/>
      <c r="B3335" s="4"/>
      <c r="C3335" s="4"/>
      <c r="D3335" s="4"/>
      <c r="E3335" s="4"/>
      <c r="F3335" s="4"/>
      <c r="H3335" s="4"/>
      <c r="I3335" s="4"/>
      <c r="K3335" s="4"/>
    </row>
    <row r="3336" spans="1:11" ht="13">
      <c r="A3336" s="4"/>
      <c r="B3336" s="4"/>
      <c r="C3336" s="4"/>
      <c r="D3336" s="4"/>
      <c r="E3336" s="4"/>
      <c r="F3336" s="4"/>
      <c r="H3336" s="4"/>
      <c r="I3336" s="4"/>
      <c r="K3336" s="4"/>
    </row>
    <row r="3337" spans="1:11" ht="13">
      <c r="A3337" s="4"/>
      <c r="B3337" s="4"/>
      <c r="C3337" s="4"/>
      <c r="D3337" s="4"/>
      <c r="E3337" s="4"/>
      <c r="F3337" s="4"/>
      <c r="H3337" s="4"/>
      <c r="I3337" s="4"/>
      <c r="K3337" s="4"/>
    </row>
    <row r="3338" spans="1:11" ht="13">
      <c r="A3338" s="4"/>
      <c r="B3338" s="4"/>
      <c r="C3338" s="4"/>
      <c r="D3338" s="4"/>
      <c r="E3338" s="4"/>
      <c r="F3338" s="4"/>
      <c r="H3338" s="4"/>
      <c r="I3338" s="4"/>
      <c r="K3338" s="4"/>
    </row>
    <row r="3339" spans="1:11" ht="13">
      <c r="A3339" s="4"/>
      <c r="B3339" s="4"/>
      <c r="C3339" s="4"/>
      <c r="D3339" s="4"/>
      <c r="E3339" s="4"/>
      <c r="F3339" s="4"/>
      <c r="H3339" s="4"/>
      <c r="I3339" s="4"/>
      <c r="K3339" s="4"/>
    </row>
    <row r="3340" spans="1:11" ht="13">
      <c r="A3340" s="4"/>
      <c r="B3340" s="4"/>
      <c r="C3340" s="4"/>
      <c r="D3340" s="4"/>
      <c r="E3340" s="4"/>
      <c r="F3340" s="4"/>
      <c r="H3340" s="4"/>
      <c r="I3340" s="4"/>
      <c r="K3340" s="4"/>
    </row>
    <row r="3341" spans="1:11" ht="13">
      <c r="A3341" s="4"/>
      <c r="B3341" s="4"/>
      <c r="C3341" s="4"/>
      <c r="D3341" s="4"/>
      <c r="E3341" s="4"/>
      <c r="F3341" s="4"/>
      <c r="H3341" s="4"/>
      <c r="I3341" s="4"/>
      <c r="K3341" s="4"/>
    </row>
    <row r="3342" spans="1:11" ht="13">
      <c r="A3342" s="4"/>
      <c r="B3342" s="4"/>
      <c r="C3342" s="4"/>
      <c r="D3342" s="4"/>
      <c r="E3342" s="4"/>
      <c r="F3342" s="4"/>
      <c r="H3342" s="4"/>
      <c r="I3342" s="4"/>
      <c r="K3342" s="4"/>
    </row>
    <row r="3343" spans="1:11" ht="13">
      <c r="A3343" s="4"/>
      <c r="B3343" s="4"/>
      <c r="C3343" s="4"/>
      <c r="D3343" s="4"/>
      <c r="E3343" s="4"/>
      <c r="F3343" s="4"/>
      <c r="H3343" s="4"/>
      <c r="I3343" s="4"/>
      <c r="K3343" s="4"/>
    </row>
    <row r="3344" spans="1:11" ht="13">
      <c r="A3344" s="4"/>
      <c r="B3344" s="4"/>
      <c r="C3344" s="4"/>
      <c r="D3344" s="4"/>
      <c r="E3344" s="4"/>
      <c r="F3344" s="4"/>
      <c r="H3344" s="4"/>
      <c r="I3344" s="4"/>
      <c r="K3344" s="4"/>
    </row>
    <row r="3345" spans="1:11" ht="13">
      <c r="A3345" s="4"/>
      <c r="B3345" s="4"/>
      <c r="C3345" s="4"/>
      <c r="D3345" s="4"/>
      <c r="E3345" s="4"/>
      <c r="F3345" s="4"/>
      <c r="H3345" s="4"/>
      <c r="I3345" s="4"/>
      <c r="K3345" s="4"/>
    </row>
    <row r="3346" spans="1:11" ht="13">
      <c r="A3346" s="4"/>
      <c r="B3346" s="4"/>
      <c r="C3346" s="4"/>
      <c r="D3346" s="4"/>
      <c r="E3346" s="4"/>
      <c r="F3346" s="4"/>
      <c r="H3346" s="4"/>
      <c r="I3346" s="4"/>
      <c r="K3346" s="4"/>
    </row>
    <row r="3347" spans="1:11" ht="13">
      <c r="A3347" s="4"/>
      <c r="B3347" s="4"/>
      <c r="C3347" s="4"/>
      <c r="D3347" s="4"/>
      <c r="E3347" s="4"/>
      <c r="F3347" s="4"/>
      <c r="H3347" s="4"/>
      <c r="I3347" s="4"/>
      <c r="K3347" s="4"/>
    </row>
    <row r="3348" spans="1:11" ht="13">
      <c r="A3348" s="4"/>
      <c r="B3348" s="4"/>
      <c r="C3348" s="4"/>
      <c r="D3348" s="4"/>
      <c r="E3348" s="4"/>
      <c r="F3348" s="4"/>
      <c r="H3348" s="4"/>
      <c r="I3348" s="4"/>
      <c r="K3348" s="4"/>
    </row>
    <row r="3349" spans="1:11" ht="13">
      <c r="A3349" s="4"/>
      <c r="B3349" s="4"/>
      <c r="C3349" s="4"/>
      <c r="D3349" s="4"/>
      <c r="E3349" s="4"/>
      <c r="F3349" s="4"/>
      <c r="H3349" s="4"/>
      <c r="I3349" s="4"/>
      <c r="K3349" s="4"/>
    </row>
    <row r="3350" spans="1:11" ht="13">
      <c r="A3350" s="4"/>
      <c r="B3350" s="4"/>
      <c r="C3350" s="4"/>
      <c r="D3350" s="4"/>
      <c r="E3350" s="4"/>
      <c r="F3350" s="4"/>
      <c r="H3350" s="4"/>
      <c r="I3350" s="4"/>
      <c r="K3350" s="4"/>
    </row>
    <row r="3351" spans="1:11" ht="13">
      <c r="A3351" s="4"/>
      <c r="B3351" s="4"/>
      <c r="C3351" s="4"/>
      <c r="D3351" s="4"/>
      <c r="E3351" s="4"/>
      <c r="F3351" s="4"/>
      <c r="H3351" s="4"/>
      <c r="I3351" s="4"/>
      <c r="K3351" s="4"/>
    </row>
    <row r="3352" spans="1:11" ht="13">
      <c r="A3352" s="4"/>
      <c r="B3352" s="4"/>
      <c r="C3352" s="4"/>
      <c r="D3352" s="4"/>
      <c r="E3352" s="4"/>
      <c r="F3352" s="4"/>
      <c r="H3352" s="4"/>
      <c r="I3352" s="4"/>
      <c r="K3352" s="4"/>
    </row>
    <row r="3353" spans="1:11" ht="13">
      <c r="A3353" s="4"/>
      <c r="B3353" s="4"/>
      <c r="C3353" s="4"/>
      <c r="D3353" s="4"/>
      <c r="E3353" s="4"/>
      <c r="F3353" s="4"/>
      <c r="H3353" s="4"/>
      <c r="I3353" s="4"/>
      <c r="K3353" s="4"/>
    </row>
    <row r="3354" spans="1:11" ht="13">
      <c r="A3354" s="4"/>
      <c r="B3354" s="4"/>
      <c r="C3354" s="4"/>
      <c r="D3354" s="4"/>
      <c r="E3354" s="4"/>
      <c r="F3354" s="4"/>
      <c r="H3354" s="4"/>
      <c r="I3354" s="4"/>
      <c r="K3354" s="4"/>
    </row>
    <row r="3355" spans="1:11" ht="13">
      <c r="A3355" s="4"/>
      <c r="B3355" s="4"/>
      <c r="C3355" s="4"/>
      <c r="D3355" s="4"/>
      <c r="E3355" s="4"/>
      <c r="F3355" s="4"/>
      <c r="H3355" s="4"/>
      <c r="I3355" s="4"/>
      <c r="K3355" s="4"/>
    </row>
    <row r="3356" spans="1:11" ht="13">
      <c r="A3356" s="4"/>
      <c r="B3356" s="4"/>
      <c r="C3356" s="4"/>
      <c r="D3356" s="4"/>
      <c r="E3356" s="4"/>
      <c r="F3356" s="4"/>
      <c r="H3356" s="4"/>
      <c r="I3356" s="4"/>
      <c r="K3356" s="4"/>
    </row>
    <row r="3357" spans="1:11" ht="13">
      <c r="A3357" s="4"/>
      <c r="B3357" s="4"/>
      <c r="C3357" s="4"/>
      <c r="D3357" s="4"/>
      <c r="E3357" s="4"/>
      <c r="F3357" s="4"/>
      <c r="H3357" s="4"/>
      <c r="I3357" s="4"/>
      <c r="K3357" s="4"/>
    </row>
    <row r="3358" spans="1:11" ht="13">
      <c r="A3358" s="4"/>
      <c r="B3358" s="4"/>
      <c r="C3358" s="4"/>
      <c r="D3358" s="4"/>
      <c r="E3358" s="4"/>
      <c r="F3358" s="4"/>
      <c r="H3358" s="4"/>
      <c r="I3358" s="4"/>
      <c r="K3358" s="4"/>
    </row>
    <row r="3359" spans="1:11" ht="13">
      <c r="A3359" s="4"/>
      <c r="B3359" s="4"/>
      <c r="C3359" s="4"/>
      <c r="D3359" s="4"/>
      <c r="E3359" s="4"/>
      <c r="F3359" s="4"/>
      <c r="H3359" s="4"/>
      <c r="I3359" s="4"/>
      <c r="K3359" s="4"/>
    </row>
    <row r="3360" spans="1:11" ht="13">
      <c r="A3360" s="4"/>
      <c r="B3360" s="4"/>
      <c r="C3360" s="4"/>
      <c r="D3360" s="4"/>
      <c r="E3360" s="4"/>
      <c r="F3360" s="4"/>
      <c r="H3360" s="4"/>
      <c r="I3360" s="4"/>
      <c r="K3360" s="4"/>
    </row>
    <row r="3361" spans="1:11" ht="13">
      <c r="A3361" s="4"/>
      <c r="B3361" s="4"/>
      <c r="C3361" s="4"/>
      <c r="D3361" s="4"/>
      <c r="E3361" s="4"/>
      <c r="F3361" s="4"/>
      <c r="H3361" s="4"/>
      <c r="I3361" s="4"/>
      <c r="K3361" s="4"/>
    </row>
    <row r="3362" spans="1:11" ht="13">
      <c r="A3362" s="4"/>
      <c r="B3362" s="4"/>
      <c r="C3362" s="4"/>
      <c r="D3362" s="4"/>
      <c r="E3362" s="4"/>
      <c r="F3362" s="4"/>
      <c r="H3362" s="4"/>
      <c r="I3362" s="4"/>
      <c r="K3362" s="4"/>
    </row>
    <row r="3363" spans="1:11" ht="13">
      <c r="A3363" s="4"/>
      <c r="B3363" s="4"/>
      <c r="C3363" s="4"/>
      <c r="D3363" s="4"/>
      <c r="E3363" s="4"/>
      <c r="F3363" s="4"/>
      <c r="H3363" s="4"/>
      <c r="I3363" s="4"/>
      <c r="K3363" s="4"/>
    </row>
    <row r="3364" spans="1:11" ht="13">
      <c r="A3364" s="4"/>
      <c r="B3364" s="4"/>
      <c r="C3364" s="4"/>
      <c r="D3364" s="4"/>
      <c r="E3364" s="4"/>
      <c r="F3364" s="4"/>
      <c r="H3364" s="4"/>
      <c r="I3364" s="4"/>
      <c r="K3364" s="4"/>
    </row>
    <row r="3365" spans="1:11" ht="13">
      <c r="A3365" s="4"/>
      <c r="B3365" s="4"/>
      <c r="C3365" s="4"/>
      <c r="D3365" s="4"/>
      <c r="E3365" s="4"/>
      <c r="F3365" s="4"/>
      <c r="H3365" s="4"/>
      <c r="I3365" s="4"/>
      <c r="K3365" s="4"/>
    </row>
    <row r="3366" spans="1:11" ht="13">
      <c r="A3366" s="4"/>
      <c r="B3366" s="4"/>
      <c r="C3366" s="4"/>
      <c r="D3366" s="4"/>
      <c r="E3366" s="4"/>
      <c r="F3366" s="4"/>
      <c r="H3366" s="4"/>
      <c r="I3366" s="4"/>
      <c r="K3366" s="4"/>
    </row>
    <row r="3367" spans="1:11" ht="13">
      <c r="A3367" s="4"/>
      <c r="B3367" s="4"/>
      <c r="C3367" s="4"/>
      <c r="D3367" s="4"/>
      <c r="E3367" s="4"/>
      <c r="F3367" s="4"/>
      <c r="H3367" s="4"/>
      <c r="I3367" s="4"/>
      <c r="K3367" s="4"/>
    </row>
    <row r="3368" spans="1:11" ht="13">
      <c r="A3368" s="4"/>
      <c r="B3368" s="4"/>
      <c r="C3368" s="4"/>
      <c r="D3368" s="4"/>
      <c r="E3368" s="4"/>
      <c r="F3368" s="4"/>
      <c r="H3368" s="4"/>
      <c r="I3368" s="4"/>
      <c r="K3368" s="4"/>
    </row>
    <row r="3369" spans="1:11" ht="13">
      <c r="A3369" s="4"/>
      <c r="B3369" s="4"/>
      <c r="C3369" s="4"/>
      <c r="D3369" s="4"/>
      <c r="E3369" s="4"/>
      <c r="F3369" s="4"/>
      <c r="H3369" s="4"/>
      <c r="I3369" s="4"/>
      <c r="K3369" s="4"/>
    </row>
    <row r="3370" spans="1:11" ht="13">
      <c r="A3370" s="4"/>
      <c r="B3370" s="4"/>
      <c r="C3370" s="4"/>
      <c r="D3370" s="4"/>
      <c r="E3370" s="4"/>
      <c r="F3370" s="4"/>
      <c r="H3370" s="4"/>
      <c r="I3370" s="4"/>
      <c r="K3370" s="4"/>
    </row>
    <row r="3371" spans="1:11" ht="13">
      <c r="A3371" s="4"/>
      <c r="B3371" s="4"/>
      <c r="C3371" s="4"/>
      <c r="D3371" s="4"/>
      <c r="E3371" s="4"/>
      <c r="F3371" s="4"/>
      <c r="H3371" s="4"/>
      <c r="I3371" s="4"/>
      <c r="K3371" s="4"/>
    </row>
    <row r="3372" spans="1:11" ht="13">
      <c r="A3372" s="4"/>
      <c r="B3372" s="4"/>
      <c r="C3372" s="4"/>
      <c r="D3372" s="4"/>
      <c r="E3372" s="4"/>
      <c r="F3372" s="4"/>
      <c r="H3372" s="4"/>
      <c r="I3372" s="4"/>
      <c r="K3372" s="4"/>
    </row>
    <row r="3373" spans="1:11" ht="13">
      <c r="A3373" s="4"/>
      <c r="B3373" s="4"/>
      <c r="C3373" s="4"/>
      <c r="D3373" s="4"/>
      <c r="E3373" s="4"/>
      <c r="F3373" s="4"/>
      <c r="H3373" s="4"/>
      <c r="I3373" s="4"/>
      <c r="K3373" s="4"/>
    </row>
    <row r="3374" spans="1:11" ht="13">
      <c r="A3374" s="4"/>
      <c r="B3374" s="4"/>
      <c r="C3374" s="4"/>
      <c r="D3374" s="4"/>
      <c r="E3374" s="4"/>
      <c r="F3374" s="4"/>
      <c r="H3374" s="4"/>
      <c r="I3374" s="4"/>
      <c r="K3374" s="4"/>
    </row>
    <row r="3375" spans="1:11" ht="13">
      <c r="A3375" s="4"/>
      <c r="B3375" s="4"/>
      <c r="C3375" s="4"/>
      <c r="D3375" s="4"/>
      <c r="E3375" s="4"/>
      <c r="F3375" s="4"/>
      <c r="H3375" s="4"/>
      <c r="I3375" s="4"/>
      <c r="K3375" s="4"/>
    </row>
    <row r="3376" spans="1:11" ht="13">
      <c r="A3376" s="4"/>
      <c r="B3376" s="4"/>
      <c r="C3376" s="4"/>
      <c r="D3376" s="4"/>
      <c r="E3376" s="4"/>
      <c r="F3376" s="4"/>
      <c r="H3376" s="4"/>
      <c r="I3376" s="4"/>
      <c r="K3376" s="4"/>
    </row>
    <row r="3377" spans="1:11" ht="13">
      <c r="A3377" s="4"/>
      <c r="B3377" s="4"/>
      <c r="C3377" s="4"/>
      <c r="D3377" s="4"/>
      <c r="E3377" s="4"/>
      <c r="F3377" s="4"/>
      <c r="H3377" s="4"/>
      <c r="I3377" s="4"/>
      <c r="K3377" s="4"/>
    </row>
    <row r="3378" spans="1:11" ht="13">
      <c r="A3378" s="4"/>
      <c r="B3378" s="4"/>
      <c r="C3378" s="4"/>
      <c r="D3378" s="4"/>
      <c r="E3378" s="4"/>
      <c r="F3378" s="4"/>
      <c r="H3378" s="4"/>
      <c r="I3378" s="4"/>
      <c r="K3378" s="4"/>
    </row>
    <row r="3379" spans="1:11" ht="13">
      <c r="A3379" s="4"/>
      <c r="B3379" s="4"/>
      <c r="C3379" s="4"/>
      <c r="D3379" s="4"/>
      <c r="E3379" s="4"/>
      <c r="F3379" s="4"/>
      <c r="H3379" s="4"/>
      <c r="I3379" s="4"/>
      <c r="K3379" s="4"/>
    </row>
    <row r="3380" spans="1:11" ht="13">
      <c r="A3380" s="4"/>
      <c r="B3380" s="4"/>
      <c r="C3380" s="4"/>
      <c r="D3380" s="4"/>
      <c r="E3380" s="4"/>
      <c r="F3380" s="4"/>
      <c r="H3380" s="4"/>
      <c r="I3380" s="4"/>
      <c r="K3380" s="4"/>
    </row>
    <row r="3381" spans="1:11" ht="13">
      <c r="A3381" s="4"/>
      <c r="B3381" s="4"/>
      <c r="C3381" s="4"/>
      <c r="D3381" s="4"/>
      <c r="E3381" s="4"/>
      <c r="F3381" s="4"/>
      <c r="H3381" s="4"/>
      <c r="I3381" s="4"/>
      <c r="K3381" s="4"/>
    </row>
    <row r="3382" spans="1:11" ht="13">
      <c r="A3382" s="4"/>
      <c r="B3382" s="4"/>
      <c r="C3382" s="4"/>
      <c r="D3382" s="4"/>
      <c r="E3382" s="4"/>
      <c r="F3382" s="4"/>
      <c r="H3382" s="4"/>
      <c r="I3382" s="4"/>
      <c r="K3382" s="4"/>
    </row>
    <row r="3383" spans="1:11" ht="13">
      <c r="A3383" s="4"/>
      <c r="B3383" s="4"/>
      <c r="C3383" s="4"/>
      <c r="D3383" s="4"/>
      <c r="E3383" s="4"/>
      <c r="F3383" s="4"/>
      <c r="H3383" s="4"/>
      <c r="I3383" s="4"/>
      <c r="K3383" s="4"/>
    </row>
    <row r="3384" spans="1:11" ht="13">
      <c r="A3384" s="4"/>
      <c r="B3384" s="4"/>
      <c r="C3384" s="4"/>
      <c r="D3384" s="4"/>
      <c r="E3384" s="4"/>
      <c r="F3384" s="4"/>
      <c r="H3384" s="4"/>
      <c r="I3384" s="4"/>
      <c r="K3384" s="4"/>
    </row>
    <row r="3385" spans="1:11" ht="13">
      <c r="A3385" s="4"/>
      <c r="B3385" s="4"/>
      <c r="C3385" s="4"/>
      <c r="D3385" s="4"/>
      <c r="E3385" s="4"/>
      <c r="F3385" s="4"/>
      <c r="H3385" s="4"/>
      <c r="I3385" s="4"/>
      <c r="K3385" s="4"/>
    </row>
    <row r="3386" spans="1:11" ht="13">
      <c r="A3386" s="4"/>
      <c r="B3386" s="4"/>
      <c r="C3386" s="4"/>
      <c r="D3386" s="4"/>
      <c r="E3386" s="4"/>
      <c r="F3386" s="4"/>
      <c r="H3386" s="4"/>
      <c r="I3386" s="4"/>
      <c r="K3386" s="4"/>
    </row>
    <row r="3387" spans="1:11" ht="13">
      <c r="A3387" s="4"/>
      <c r="B3387" s="4"/>
      <c r="C3387" s="4"/>
      <c r="D3387" s="4"/>
      <c r="E3387" s="4"/>
      <c r="F3387" s="4"/>
      <c r="H3387" s="4"/>
      <c r="I3387" s="4"/>
      <c r="K3387" s="4"/>
    </row>
    <row r="3388" spans="1:11" ht="13">
      <c r="A3388" s="4"/>
      <c r="B3388" s="4"/>
      <c r="C3388" s="4"/>
      <c r="D3388" s="4"/>
      <c r="E3388" s="4"/>
      <c r="F3388" s="4"/>
      <c r="H3388" s="4"/>
      <c r="I3388" s="4"/>
      <c r="K3388" s="4"/>
    </row>
    <row r="3389" spans="1:11" ht="13">
      <c r="A3389" s="4"/>
      <c r="B3389" s="4"/>
      <c r="C3389" s="4"/>
      <c r="D3389" s="4"/>
      <c r="E3389" s="4"/>
      <c r="F3389" s="4"/>
      <c r="H3389" s="4"/>
      <c r="I3389" s="4"/>
      <c r="K3389" s="4"/>
    </row>
    <row r="3390" spans="1:11" ht="13">
      <c r="A3390" s="4"/>
      <c r="B3390" s="4"/>
      <c r="C3390" s="4"/>
      <c r="D3390" s="4"/>
      <c r="E3390" s="4"/>
      <c r="F3390" s="4"/>
      <c r="H3390" s="4"/>
      <c r="I3390" s="4"/>
      <c r="K3390" s="4"/>
    </row>
    <row r="3391" spans="1:11" ht="13">
      <c r="A3391" s="4"/>
      <c r="B3391" s="4"/>
      <c r="C3391" s="4"/>
      <c r="D3391" s="4"/>
      <c r="E3391" s="4"/>
      <c r="F3391" s="4"/>
      <c r="H3391" s="4"/>
      <c r="I3391" s="4"/>
      <c r="K3391" s="4"/>
    </row>
    <row r="3392" spans="1:11" ht="13">
      <c r="A3392" s="4"/>
      <c r="B3392" s="4"/>
      <c r="C3392" s="4"/>
      <c r="D3392" s="4"/>
      <c r="E3392" s="4"/>
      <c r="F3392" s="4"/>
      <c r="H3392" s="4"/>
      <c r="I3392" s="4"/>
      <c r="K3392" s="4"/>
    </row>
    <row r="3393" spans="1:11" ht="13">
      <c r="A3393" s="4"/>
      <c r="B3393" s="4"/>
      <c r="C3393" s="4"/>
      <c r="D3393" s="4"/>
      <c r="E3393" s="4"/>
      <c r="F3393" s="4"/>
      <c r="H3393" s="4"/>
      <c r="I3393" s="4"/>
      <c r="K3393" s="4"/>
    </row>
    <row r="3394" spans="1:11" ht="13">
      <c r="A3394" s="4"/>
      <c r="B3394" s="4"/>
      <c r="C3394" s="4"/>
      <c r="D3394" s="4"/>
      <c r="E3394" s="4"/>
      <c r="F3394" s="4"/>
      <c r="H3394" s="4"/>
      <c r="I3394" s="4"/>
      <c r="K3394" s="4"/>
    </row>
    <row r="3395" spans="1:11" ht="13">
      <c r="A3395" s="4"/>
      <c r="B3395" s="4"/>
      <c r="C3395" s="4"/>
      <c r="D3395" s="4"/>
      <c r="E3395" s="4"/>
      <c r="F3395" s="4"/>
      <c r="H3395" s="4"/>
      <c r="I3395" s="4"/>
      <c r="K3395" s="4"/>
    </row>
    <row r="3396" spans="1:11" ht="13">
      <c r="A3396" s="4"/>
      <c r="B3396" s="4"/>
      <c r="C3396" s="4"/>
      <c r="D3396" s="4"/>
      <c r="E3396" s="4"/>
      <c r="F3396" s="4"/>
      <c r="H3396" s="4"/>
      <c r="I3396" s="4"/>
      <c r="K3396" s="4"/>
    </row>
    <row r="3397" spans="1:11" ht="13">
      <c r="A3397" s="4"/>
      <c r="B3397" s="4"/>
      <c r="C3397" s="4"/>
      <c r="D3397" s="4"/>
      <c r="E3397" s="4"/>
      <c r="F3397" s="4"/>
      <c r="H3397" s="4"/>
      <c r="I3397" s="4"/>
      <c r="K3397" s="4"/>
    </row>
    <row r="3398" spans="1:11" ht="13">
      <c r="A3398" s="4"/>
      <c r="B3398" s="4"/>
      <c r="C3398" s="4"/>
      <c r="D3398" s="4"/>
      <c r="E3398" s="4"/>
      <c r="F3398" s="4"/>
      <c r="H3398" s="4"/>
      <c r="I3398" s="4"/>
      <c r="K3398" s="4"/>
    </row>
    <row r="3399" spans="1:11" ht="13">
      <c r="A3399" s="4"/>
      <c r="B3399" s="4"/>
      <c r="C3399" s="4"/>
      <c r="D3399" s="4"/>
      <c r="E3399" s="4"/>
      <c r="F3399" s="4"/>
      <c r="H3399" s="4"/>
      <c r="I3399" s="4"/>
      <c r="K3399" s="4"/>
    </row>
    <row r="3400" spans="1:11" ht="13">
      <c r="A3400" s="4"/>
      <c r="B3400" s="4"/>
      <c r="C3400" s="4"/>
      <c r="D3400" s="4"/>
      <c r="E3400" s="4"/>
      <c r="F3400" s="4"/>
      <c r="H3400" s="4"/>
      <c r="I3400" s="4"/>
      <c r="K3400" s="4"/>
    </row>
    <row r="3401" spans="1:11" ht="13">
      <c r="A3401" s="4"/>
      <c r="B3401" s="4"/>
      <c r="C3401" s="4"/>
      <c r="D3401" s="4"/>
      <c r="E3401" s="4"/>
      <c r="F3401" s="4"/>
      <c r="H3401" s="4"/>
      <c r="I3401" s="4"/>
      <c r="K3401" s="4"/>
    </row>
    <row r="3402" spans="1:11" ht="13">
      <c r="A3402" s="4"/>
      <c r="B3402" s="4"/>
      <c r="C3402" s="4"/>
      <c r="D3402" s="4"/>
      <c r="E3402" s="4"/>
      <c r="F3402" s="4"/>
      <c r="H3402" s="4"/>
      <c r="I3402" s="4"/>
      <c r="K3402" s="4"/>
    </row>
    <row r="3403" spans="1:11" ht="13">
      <c r="A3403" s="4"/>
      <c r="B3403" s="4"/>
      <c r="C3403" s="4"/>
      <c r="D3403" s="4"/>
      <c r="E3403" s="4"/>
      <c r="F3403" s="4"/>
      <c r="H3403" s="4"/>
      <c r="I3403" s="4"/>
      <c r="K3403" s="4"/>
    </row>
    <row r="3404" spans="1:11" ht="13">
      <c r="A3404" s="4"/>
      <c r="B3404" s="4"/>
      <c r="C3404" s="4"/>
      <c r="D3404" s="4"/>
      <c r="E3404" s="4"/>
      <c r="F3404" s="4"/>
      <c r="H3404" s="4"/>
      <c r="I3404" s="4"/>
      <c r="K3404" s="4"/>
    </row>
    <row r="3405" spans="1:11" ht="13">
      <c r="A3405" s="4"/>
      <c r="B3405" s="4"/>
      <c r="C3405" s="4"/>
      <c r="D3405" s="4"/>
      <c r="E3405" s="4"/>
      <c r="F3405" s="4"/>
      <c r="H3405" s="4"/>
      <c r="I3405" s="4"/>
      <c r="K3405" s="4"/>
    </row>
    <row r="3406" spans="1:11" ht="13">
      <c r="A3406" s="4"/>
      <c r="B3406" s="4"/>
      <c r="C3406" s="4"/>
      <c r="D3406" s="4"/>
      <c r="E3406" s="4"/>
      <c r="F3406" s="4"/>
      <c r="H3406" s="4"/>
      <c r="I3406" s="4"/>
      <c r="K3406" s="4"/>
    </row>
    <row r="3407" spans="1:11" ht="13">
      <c r="A3407" s="4"/>
      <c r="B3407" s="4"/>
      <c r="C3407" s="4"/>
      <c r="D3407" s="4"/>
      <c r="E3407" s="4"/>
      <c r="F3407" s="4"/>
      <c r="H3407" s="4"/>
      <c r="I3407" s="4"/>
      <c r="K3407" s="4"/>
    </row>
    <row r="3408" spans="1:11" ht="13">
      <c r="A3408" s="4"/>
      <c r="B3408" s="4"/>
      <c r="C3408" s="4"/>
      <c r="D3408" s="4"/>
      <c r="E3408" s="4"/>
      <c r="F3408" s="4"/>
      <c r="H3408" s="4"/>
      <c r="I3408" s="4"/>
      <c r="K3408" s="4"/>
    </row>
    <row r="3409" spans="1:11" ht="13">
      <c r="A3409" s="4"/>
      <c r="B3409" s="4"/>
      <c r="C3409" s="4"/>
      <c r="D3409" s="4"/>
      <c r="E3409" s="4"/>
      <c r="F3409" s="4"/>
      <c r="H3409" s="4"/>
      <c r="I3409" s="4"/>
      <c r="K3409" s="4"/>
    </row>
    <row r="3410" spans="1:11" ht="13">
      <c r="A3410" s="4"/>
      <c r="B3410" s="4"/>
      <c r="C3410" s="4"/>
      <c r="D3410" s="4"/>
      <c r="E3410" s="4"/>
      <c r="F3410" s="4"/>
      <c r="H3410" s="4"/>
      <c r="I3410" s="4"/>
      <c r="K3410" s="4"/>
    </row>
    <row r="3411" spans="1:11" ht="13">
      <c r="A3411" s="4"/>
      <c r="B3411" s="4"/>
      <c r="C3411" s="4"/>
      <c r="D3411" s="4"/>
      <c r="E3411" s="4"/>
      <c r="F3411" s="4"/>
      <c r="H3411" s="4"/>
      <c r="I3411" s="4"/>
      <c r="K3411" s="4"/>
    </row>
    <row r="3412" spans="1:11" ht="13">
      <c r="A3412" s="4"/>
      <c r="B3412" s="4"/>
      <c r="C3412" s="4"/>
      <c r="D3412" s="4"/>
      <c r="E3412" s="4"/>
      <c r="F3412" s="4"/>
      <c r="H3412" s="4"/>
      <c r="I3412" s="4"/>
      <c r="K3412" s="4"/>
    </row>
    <row r="3413" spans="1:11" ht="13">
      <c r="A3413" s="4"/>
      <c r="B3413" s="4"/>
      <c r="C3413" s="4"/>
      <c r="D3413" s="4"/>
      <c r="E3413" s="4"/>
      <c r="F3413" s="4"/>
      <c r="H3413" s="4"/>
      <c r="I3413" s="4"/>
      <c r="K3413" s="4"/>
    </row>
    <row r="3414" spans="1:11" ht="13">
      <c r="A3414" s="4"/>
      <c r="B3414" s="4"/>
      <c r="C3414" s="4"/>
      <c r="D3414" s="4"/>
      <c r="E3414" s="4"/>
      <c r="F3414" s="4"/>
      <c r="H3414" s="4"/>
      <c r="I3414" s="4"/>
      <c r="K3414" s="4"/>
    </row>
    <row r="3415" spans="1:11" ht="13">
      <c r="A3415" s="4"/>
      <c r="B3415" s="4"/>
      <c r="C3415" s="4"/>
      <c r="D3415" s="4"/>
      <c r="E3415" s="4"/>
      <c r="F3415" s="4"/>
      <c r="H3415" s="4"/>
      <c r="I3415" s="4"/>
      <c r="K3415" s="4"/>
    </row>
    <row r="3416" spans="1:11" ht="13">
      <c r="A3416" s="4"/>
      <c r="B3416" s="4"/>
      <c r="C3416" s="4"/>
      <c r="D3416" s="4"/>
      <c r="E3416" s="4"/>
      <c r="F3416" s="4"/>
      <c r="H3416" s="4"/>
      <c r="I3416" s="4"/>
      <c r="K3416" s="4"/>
    </row>
    <row r="3417" spans="1:11" ht="13">
      <c r="A3417" s="4"/>
      <c r="B3417" s="4"/>
      <c r="C3417" s="4"/>
      <c r="D3417" s="4"/>
      <c r="E3417" s="4"/>
      <c r="F3417" s="4"/>
      <c r="H3417" s="4"/>
      <c r="I3417" s="4"/>
      <c r="K3417" s="4"/>
    </row>
    <row r="3418" spans="1:11" ht="13">
      <c r="A3418" s="4"/>
      <c r="B3418" s="4"/>
      <c r="C3418" s="4"/>
      <c r="D3418" s="4"/>
      <c r="E3418" s="4"/>
      <c r="F3418" s="4"/>
      <c r="H3418" s="4"/>
      <c r="I3418" s="4"/>
      <c r="K3418" s="4"/>
    </row>
    <row r="3419" spans="1:11" ht="13">
      <c r="A3419" s="4"/>
      <c r="B3419" s="4"/>
      <c r="C3419" s="4"/>
      <c r="D3419" s="4"/>
      <c r="E3419" s="4"/>
      <c r="F3419" s="4"/>
      <c r="H3419" s="4"/>
      <c r="I3419" s="4"/>
      <c r="K3419" s="4"/>
    </row>
    <row r="3420" spans="1:11" ht="13">
      <c r="A3420" s="4"/>
      <c r="B3420" s="4"/>
      <c r="C3420" s="4"/>
      <c r="D3420" s="4"/>
      <c r="E3420" s="4"/>
      <c r="F3420" s="4"/>
      <c r="H3420" s="4"/>
      <c r="I3420" s="4"/>
      <c r="K3420" s="4"/>
    </row>
    <row r="3421" spans="1:11" ht="13">
      <c r="A3421" s="4"/>
      <c r="B3421" s="4"/>
      <c r="C3421" s="4"/>
      <c r="D3421" s="4"/>
      <c r="E3421" s="4"/>
      <c r="F3421" s="4"/>
      <c r="H3421" s="4"/>
      <c r="I3421" s="4"/>
      <c r="K3421" s="4"/>
    </row>
    <row r="3422" spans="1:11" ht="13">
      <c r="A3422" s="4"/>
      <c r="B3422" s="4"/>
      <c r="C3422" s="4"/>
      <c r="D3422" s="4"/>
      <c r="E3422" s="4"/>
      <c r="F3422" s="4"/>
      <c r="H3422" s="4"/>
      <c r="I3422" s="4"/>
      <c r="K3422" s="4"/>
    </row>
    <row r="3423" spans="1:11" ht="13">
      <c r="A3423" s="4"/>
      <c r="B3423" s="4"/>
      <c r="C3423" s="4"/>
      <c r="D3423" s="4"/>
      <c r="E3423" s="4"/>
      <c r="F3423" s="4"/>
      <c r="H3423" s="4"/>
      <c r="I3423" s="4"/>
      <c r="K3423" s="4"/>
    </row>
    <row r="3424" spans="1:11" ht="13">
      <c r="A3424" s="4"/>
      <c r="B3424" s="4"/>
      <c r="C3424" s="4"/>
      <c r="D3424" s="4"/>
      <c r="E3424" s="4"/>
      <c r="F3424" s="4"/>
      <c r="H3424" s="4"/>
      <c r="I3424" s="4"/>
      <c r="K3424" s="4"/>
    </row>
    <row r="3425" spans="1:11" ht="13">
      <c r="A3425" s="4"/>
      <c r="B3425" s="4"/>
      <c r="C3425" s="4"/>
      <c r="D3425" s="4"/>
      <c r="E3425" s="4"/>
      <c r="F3425" s="4"/>
      <c r="H3425" s="4"/>
      <c r="I3425" s="4"/>
      <c r="K3425" s="4"/>
    </row>
    <row r="3426" spans="1:11" ht="13">
      <c r="A3426" s="4"/>
      <c r="B3426" s="4"/>
      <c r="C3426" s="4"/>
      <c r="D3426" s="4"/>
      <c r="E3426" s="4"/>
      <c r="F3426" s="4"/>
      <c r="H3426" s="4"/>
      <c r="I3426" s="4"/>
      <c r="K3426" s="4"/>
    </row>
    <row r="3427" spans="1:11" ht="13">
      <c r="A3427" s="4"/>
      <c r="B3427" s="4"/>
      <c r="C3427" s="4"/>
      <c r="D3427" s="4"/>
      <c r="E3427" s="4"/>
      <c r="F3427" s="4"/>
      <c r="H3427" s="4"/>
      <c r="I3427" s="4"/>
      <c r="K3427" s="4"/>
    </row>
    <row r="3428" spans="1:11" ht="13">
      <c r="A3428" s="4"/>
      <c r="B3428" s="4"/>
      <c r="C3428" s="4"/>
      <c r="D3428" s="4"/>
      <c r="E3428" s="4"/>
      <c r="F3428" s="4"/>
      <c r="H3428" s="4"/>
      <c r="I3428" s="4"/>
      <c r="K3428" s="4"/>
    </row>
    <row r="3429" spans="1:11" ht="13">
      <c r="A3429" s="4"/>
      <c r="B3429" s="4"/>
      <c r="C3429" s="4"/>
      <c r="D3429" s="4"/>
      <c r="E3429" s="4"/>
      <c r="F3429" s="4"/>
      <c r="H3429" s="4"/>
      <c r="I3429" s="4"/>
      <c r="K3429" s="4"/>
    </row>
    <row r="3430" spans="1:11" ht="13">
      <c r="A3430" s="4"/>
      <c r="B3430" s="4"/>
      <c r="C3430" s="4"/>
      <c r="D3430" s="4"/>
      <c r="E3430" s="4"/>
      <c r="F3430" s="4"/>
      <c r="H3430" s="4"/>
      <c r="I3430" s="4"/>
      <c r="K3430" s="4"/>
    </row>
    <row r="3431" spans="1:11" ht="13">
      <c r="A3431" s="4"/>
      <c r="B3431" s="4"/>
      <c r="C3431" s="4"/>
      <c r="D3431" s="4"/>
      <c r="E3431" s="4"/>
      <c r="F3431" s="4"/>
      <c r="H3431" s="4"/>
      <c r="I3431" s="4"/>
      <c r="K3431" s="4"/>
    </row>
    <row r="3432" spans="1:11" ht="13">
      <c r="A3432" s="4"/>
      <c r="B3432" s="4"/>
      <c r="C3432" s="4"/>
      <c r="D3432" s="4"/>
      <c r="E3432" s="4"/>
      <c r="F3432" s="4"/>
      <c r="H3432" s="4"/>
      <c r="I3432" s="4"/>
      <c r="K3432" s="4"/>
    </row>
    <row r="3433" spans="1:11" ht="13">
      <c r="A3433" s="4"/>
      <c r="B3433" s="4"/>
      <c r="C3433" s="4"/>
      <c r="D3433" s="4"/>
      <c r="E3433" s="4"/>
      <c r="F3433" s="4"/>
      <c r="H3433" s="4"/>
      <c r="I3433" s="4"/>
      <c r="K3433" s="4"/>
    </row>
    <row r="3434" spans="1:11" ht="13">
      <c r="A3434" s="4"/>
      <c r="B3434" s="4"/>
      <c r="C3434" s="4"/>
      <c r="D3434" s="4"/>
      <c r="E3434" s="4"/>
      <c r="F3434" s="4"/>
      <c r="H3434" s="4"/>
      <c r="I3434" s="4"/>
      <c r="K3434" s="4"/>
    </row>
    <row r="3435" spans="1:11" ht="13">
      <c r="A3435" s="4"/>
      <c r="B3435" s="4"/>
      <c r="C3435" s="4"/>
      <c r="D3435" s="4"/>
      <c r="E3435" s="4"/>
      <c r="F3435" s="4"/>
      <c r="H3435" s="4"/>
      <c r="I3435" s="4"/>
      <c r="K3435" s="4"/>
    </row>
    <row r="3436" spans="1:11" ht="13">
      <c r="A3436" s="4"/>
      <c r="B3436" s="4"/>
      <c r="C3436" s="4"/>
      <c r="D3436" s="4"/>
      <c r="E3436" s="4"/>
      <c r="F3436" s="4"/>
      <c r="H3436" s="4"/>
      <c r="I3436" s="4"/>
      <c r="K3436" s="4"/>
    </row>
    <row r="3437" spans="1:11" ht="13">
      <c r="A3437" s="4"/>
      <c r="B3437" s="4"/>
      <c r="C3437" s="4"/>
      <c r="D3437" s="4"/>
      <c r="E3437" s="4"/>
      <c r="F3437" s="4"/>
      <c r="H3437" s="4"/>
      <c r="I3437" s="4"/>
      <c r="K3437" s="4"/>
    </row>
    <row r="3438" spans="1:11" ht="13">
      <c r="A3438" s="4"/>
      <c r="B3438" s="4"/>
      <c r="C3438" s="4"/>
      <c r="D3438" s="4"/>
      <c r="E3438" s="4"/>
      <c r="F3438" s="4"/>
      <c r="H3438" s="4"/>
      <c r="I3438" s="4"/>
      <c r="K3438" s="4"/>
    </row>
    <row r="3439" spans="1:11" ht="13">
      <c r="A3439" s="4"/>
      <c r="B3439" s="4"/>
      <c r="C3439" s="4"/>
      <c r="D3439" s="4"/>
      <c r="E3439" s="4"/>
      <c r="F3439" s="4"/>
      <c r="H3439" s="4"/>
      <c r="I3439" s="4"/>
      <c r="K3439" s="4"/>
    </row>
    <row r="3440" spans="1:11" ht="13">
      <c r="A3440" s="4"/>
      <c r="B3440" s="4"/>
      <c r="C3440" s="4"/>
      <c r="D3440" s="4"/>
      <c r="E3440" s="4"/>
      <c r="F3440" s="4"/>
      <c r="H3440" s="4"/>
      <c r="I3440" s="4"/>
      <c r="K3440" s="4"/>
    </row>
    <row r="3441" spans="1:11" ht="13">
      <c r="A3441" s="4"/>
      <c r="B3441" s="4"/>
      <c r="C3441" s="4"/>
      <c r="D3441" s="4"/>
      <c r="E3441" s="4"/>
      <c r="F3441" s="4"/>
      <c r="H3441" s="4"/>
      <c r="I3441" s="4"/>
      <c r="K3441" s="4"/>
    </row>
    <row r="3442" spans="1:11" ht="13">
      <c r="A3442" s="4"/>
      <c r="B3442" s="4"/>
      <c r="C3442" s="4"/>
      <c r="D3442" s="4"/>
      <c r="E3442" s="4"/>
      <c r="F3442" s="4"/>
      <c r="H3442" s="4"/>
      <c r="I3442" s="4"/>
      <c r="K3442" s="4"/>
    </row>
    <row r="3443" spans="1:11" ht="13">
      <c r="A3443" s="4"/>
      <c r="B3443" s="4"/>
      <c r="C3443" s="4"/>
      <c r="D3443" s="4"/>
      <c r="E3443" s="4"/>
      <c r="F3443" s="4"/>
      <c r="H3443" s="4"/>
      <c r="I3443" s="4"/>
      <c r="K3443" s="4"/>
    </row>
    <row r="3444" spans="1:11" ht="13">
      <c r="A3444" s="4"/>
      <c r="B3444" s="4"/>
      <c r="C3444" s="4"/>
      <c r="D3444" s="4"/>
      <c r="E3444" s="4"/>
      <c r="F3444" s="4"/>
      <c r="H3444" s="4"/>
      <c r="I3444" s="4"/>
      <c r="K3444" s="4"/>
    </row>
    <row r="3445" spans="1:11" ht="13">
      <c r="A3445" s="4"/>
      <c r="B3445" s="4"/>
      <c r="C3445" s="4"/>
      <c r="D3445" s="4"/>
      <c r="E3445" s="4"/>
      <c r="F3445" s="4"/>
      <c r="H3445" s="4"/>
      <c r="I3445" s="4"/>
      <c r="K3445" s="4"/>
    </row>
    <row r="3446" spans="1:11" ht="13">
      <c r="A3446" s="4"/>
      <c r="B3446" s="4"/>
      <c r="C3446" s="4"/>
      <c r="D3446" s="4"/>
      <c r="E3446" s="4"/>
      <c r="F3446" s="4"/>
      <c r="H3446" s="4"/>
      <c r="I3446" s="4"/>
      <c r="K3446" s="4"/>
    </row>
    <row r="3447" spans="1:11" ht="13">
      <c r="A3447" s="4"/>
      <c r="B3447" s="4"/>
      <c r="C3447" s="4"/>
      <c r="D3447" s="4"/>
      <c r="E3447" s="4"/>
      <c r="F3447" s="4"/>
      <c r="H3447" s="4"/>
      <c r="I3447" s="4"/>
      <c r="K3447" s="4"/>
    </row>
    <row r="3448" spans="1:11" ht="13">
      <c r="A3448" s="4"/>
      <c r="B3448" s="4"/>
      <c r="C3448" s="4"/>
      <c r="D3448" s="4"/>
      <c r="E3448" s="4"/>
      <c r="F3448" s="4"/>
      <c r="H3448" s="4"/>
      <c r="I3448" s="4"/>
      <c r="K3448" s="4"/>
    </row>
    <row r="3449" spans="1:11" ht="13">
      <c r="A3449" s="4"/>
      <c r="B3449" s="4"/>
      <c r="C3449" s="4"/>
      <c r="D3449" s="4"/>
      <c r="E3449" s="4"/>
      <c r="F3449" s="4"/>
      <c r="H3449" s="4"/>
      <c r="I3449" s="4"/>
      <c r="K3449" s="4"/>
    </row>
    <row r="3450" spans="1:11" ht="13">
      <c r="A3450" s="4"/>
      <c r="B3450" s="4"/>
      <c r="C3450" s="4"/>
      <c r="D3450" s="4"/>
      <c r="E3450" s="4"/>
      <c r="F3450" s="4"/>
      <c r="H3450" s="4"/>
      <c r="I3450" s="4"/>
      <c r="K3450" s="4"/>
    </row>
    <row r="3451" spans="1:11" ht="13">
      <c r="A3451" s="4"/>
      <c r="B3451" s="4"/>
      <c r="C3451" s="4"/>
      <c r="D3451" s="4"/>
      <c r="E3451" s="4"/>
      <c r="F3451" s="4"/>
      <c r="H3451" s="4"/>
      <c r="I3451" s="4"/>
      <c r="K3451" s="4"/>
    </row>
    <row r="3452" spans="1:11" ht="13">
      <c r="A3452" s="4"/>
      <c r="B3452" s="4"/>
      <c r="C3452" s="4"/>
      <c r="D3452" s="4"/>
      <c r="E3452" s="4"/>
      <c r="F3452" s="4"/>
      <c r="H3452" s="4"/>
      <c r="I3452" s="4"/>
      <c r="K3452" s="4"/>
    </row>
    <row r="3453" spans="1:11" ht="13">
      <c r="A3453" s="4"/>
      <c r="B3453" s="4"/>
      <c r="C3453" s="4"/>
      <c r="D3453" s="4"/>
      <c r="E3453" s="4"/>
      <c r="F3453" s="4"/>
      <c r="H3453" s="4"/>
      <c r="I3453" s="4"/>
      <c r="K3453" s="4"/>
    </row>
    <row r="3454" spans="1:11" ht="13">
      <c r="A3454" s="4"/>
      <c r="B3454" s="4"/>
      <c r="C3454" s="4"/>
      <c r="D3454" s="4"/>
      <c r="E3454" s="4"/>
      <c r="F3454" s="4"/>
      <c r="H3454" s="4"/>
      <c r="I3454" s="4"/>
      <c r="K3454" s="4"/>
    </row>
    <row r="3455" spans="1:11" ht="13">
      <c r="A3455" s="4"/>
      <c r="B3455" s="4"/>
      <c r="C3455" s="4"/>
      <c r="D3455" s="4"/>
      <c r="E3455" s="4"/>
      <c r="F3455" s="4"/>
      <c r="H3455" s="4"/>
      <c r="I3455" s="4"/>
      <c r="K3455" s="4"/>
    </row>
    <row r="3456" spans="1:11" ht="13">
      <c r="A3456" s="4"/>
      <c r="B3456" s="4"/>
      <c r="C3456" s="4"/>
      <c r="D3456" s="4"/>
      <c r="E3456" s="4"/>
      <c r="F3456" s="4"/>
      <c r="H3456" s="4"/>
      <c r="I3456" s="4"/>
      <c r="K3456" s="4"/>
    </row>
    <row r="3457" spans="1:11" ht="13">
      <c r="A3457" s="4"/>
      <c r="B3457" s="4"/>
      <c r="C3457" s="4"/>
      <c r="D3457" s="4"/>
      <c r="E3457" s="4"/>
      <c r="F3457" s="4"/>
      <c r="H3457" s="4"/>
      <c r="I3457" s="4"/>
      <c r="K3457" s="4"/>
    </row>
    <row r="3458" spans="1:11" ht="13">
      <c r="A3458" s="4"/>
      <c r="B3458" s="4"/>
      <c r="C3458" s="4"/>
      <c r="D3458" s="4"/>
      <c r="E3458" s="4"/>
      <c r="F3458" s="4"/>
      <c r="H3458" s="4"/>
      <c r="I3458" s="4"/>
      <c r="K3458" s="4"/>
    </row>
    <row r="3459" spans="1:11" ht="13">
      <c r="A3459" s="4"/>
      <c r="B3459" s="4"/>
      <c r="C3459" s="4"/>
      <c r="D3459" s="4"/>
      <c r="E3459" s="4"/>
      <c r="F3459" s="4"/>
      <c r="H3459" s="4"/>
      <c r="I3459" s="4"/>
      <c r="K3459" s="4"/>
    </row>
    <row r="3460" spans="1:11" ht="13">
      <c r="A3460" s="4"/>
      <c r="B3460" s="4"/>
      <c r="C3460" s="4"/>
      <c r="D3460" s="4"/>
      <c r="E3460" s="4"/>
      <c r="F3460" s="4"/>
      <c r="H3460" s="4"/>
      <c r="I3460" s="4"/>
      <c r="K3460" s="4"/>
    </row>
    <row r="3461" spans="1:11" ht="13">
      <c r="A3461" s="4"/>
      <c r="B3461" s="4"/>
      <c r="C3461" s="4"/>
      <c r="D3461" s="4"/>
      <c r="E3461" s="4"/>
      <c r="F3461" s="4"/>
      <c r="H3461" s="4"/>
      <c r="I3461" s="4"/>
      <c r="K3461" s="4"/>
    </row>
    <row r="3462" spans="1:11" ht="13">
      <c r="A3462" s="4"/>
      <c r="B3462" s="4"/>
      <c r="C3462" s="4"/>
      <c r="D3462" s="4"/>
      <c r="E3462" s="4"/>
      <c r="F3462" s="4"/>
      <c r="H3462" s="4"/>
      <c r="I3462" s="4"/>
      <c r="K3462" s="4"/>
    </row>
    <row r="3463" spans="1:11" ht="13">
      <c r="A3463" s="4"/>
      <c r="B3463" s="4"/>
      <c r="C3463" s="4"/>
      <c r="D3463" s="4"/>
      <c r="E3463" s="4"/>
      <c r="F3463" s="4"/>
      <c r="H3463" s="4"/>
      <c r="I3463" s="4"/>
      <c r="K3463" s="4"/>
    </row>
    <row r="3464" spans="1:11" ht="13">
      <c r="A3464" s="4"/>
      <c r="B3464" s="4"/>
      <c r="C3464" s="4"/>
      <c r="D3464" s="4"/>
      <c r="E3464" s="4"/>
      <c r="F3464" s="4"/>
      <c r="H3464" s="4"/>
      <c r="I3464" s="4"/>
      <c r="K3464" s="4"/>
    </row>
    <row r="3465" spans="1:11" ht="13">
      <c r="A3465" s="4"/>
      <c r="B3465" s="4"/>
      <c r="C3465" s="4"/>
      <c r="D3465" s="4"/>
      <c r="E3465" s="4"/>
      <c r="F3465" s="4"/>
      <c r="H3465" s="4"/>
      <c r="I3465" s="4"/>
      <c r="K3465" s="4"/>
    </row>
    <row r="3466" spans="1:11" ht="13">
      <c r="A3466" s="4"/>
      <c r="B3466" s="4"/>
      <c r="C3466" s="4"/>
      <c r="D3466" s="4"/>
      <c r="E3466" s="4"/>
      <c r="F3466" s="4"/>
      <c r="H3466" s="4"/>
      <c r="I3466" s="4"/>
      <c r="K3466" s="4"/>
    </row>
    <row r="3467" spans="1:11" ht="13">
      <c r="A3467" s="4"/>
      <c r="B3467" s="4"/>
      <c r="C3467" s="4"/>
      <c r="D3467" s="4"/>
      <c r="E3467" s="4"/>
      <c r="F3467" s="4"/>
      <c r="H3467" s="4"/>
      <c r="I3467" s="4"/>
      <c r="K3467" s="4"/>
    </row>
    <row r="3468" spans="1:11" ht="13">
      <c r="A3468" s="4"/>
      <c r="B3468" s="4"/>
      <c r="C3468" s="4"/>
      <c r="D3468" s="4"/>
      <c r="E3468" s="4"/>
      <c r="F3468" s="4"/>
      <c r="H3468" s="4"/>
      <c r="I3468" s="4"/>
      <c r="K3468" s="4"/>
    </row>
    <row r="3469" spans="1:11" ht="13">
      <c r="A3469" s="4"/>
      <c r="B3469" s="4"/>
      <c r="C3469" s="4"/>
      <c r="D3469" s="4"/>
      <c r="E3469" s="4"/>
      <c r="F3469" s="4"/>
      <c r="H3469" s="4"/>
      <c r="I3469" s="4"/>
      <c r="K3469" s="4"/>
    </row>
    <row r="3470" spans="1:11" ht="13">
      <c r="A3470" s="4"/>
      <c r="B3470" s="4"/>
      <c r="C3470" s="4"/>
      <c r="D3470" s="4"/>
      <c r="E3470" s="4"/>
      <c r="F3470" s="4"/>
      <c r="H3470" s="4"/>
      <c r="I3470" s="4"/>
      <c r="K3470" s="4"/>
    </row>
    <row r="3471" spans="1:11" ht="13">
      <c r="A3471" s="4"/>
      <c r="B3471" s="4"/>
      <c r="C3471" s="4"/>
      <c r="D3471" s="4"/>
      <c r="E3471" s="4"/>
      <c r="F3471" s="4"/>
      <c r="H3471" s="4"/>
      <c r="I3471" s="4"/>
      <c r="K3471" s="4"/>
    </row>
    <row r="3472" spans="1:11" ht="13">
      <c r="A3472" s="4"/>
      <c r="B3472" s="4"/>
      <c r="C3472" s="4"/>
      <c r="D3472" s="4"/>
      <c r="E3472" s="4"/>
      <c r="F3472" s="4"/>
      <c r="H3472" s="4"/>
      <c r="I3472" s="4"/>
      <c r="K3472" s="4"/>
    </row>
    <row r="3473" spans="1:11" ht="13">
      <c r="A3473" s="4"/>
      <c r="B3473" s="4"/>
      <c r="C3473" s="4"/>
      <c r="D3473" s="4"/>
      <c r="E3473" s="4"/>
      <c r="F3473" s="4"/>
      <c r="H3473" s="4"/>
      <c r="I3473" s="4"/>
      <c r="K3473" s="4"/>
    </row>
    <row r="3474" spans="1:11" ht="13">
      <c r="A3474" s="4"/>
      <c r="B3474" s="4"/>
      <c r="C3474" s="4"/>
      <c r="D3474" s="4"/>
      <c r="E3474" s="4"/>
      <c r="F3474" s="4"/>
      <c r="H3474" s="4"/>
      <c r="I3474" s="4"/>
      <c r="K3474" s="4"/>
    </row>
    <row r="3475" spans="1:11" ht="13">
      <c r="A3475" s="4"/>
      <c r="B3475" s="4"/>
      <c r="C3475" s="4"/>
      <c r="D3475" s="4"/>
      <c r="E3475" s="4"/>
      <c r="F3475" s="4"/>
      <c r="H3475" s="4"/>
      <c r="I3475" s="4"/>
      <c r="K3475" s="4"/>
    </row>
    <row r="3476" spans="1:11" ht="13">
      <c r="A3476" s="4"/>
      <c r="B3476" s="4"/>
      <c r="C3476" s="4"/>
      <c r="D3476" s="4"/>
      <c r="E3476" s="4"/>
      <c r="F3476" s="4"/>
      <c r="H3476" s="4"/>
      <c r="I3476" s="4"/>
      <c r="K3476" s="4"/>
    </row>
    <row r="3477" spans="1:11" ht="13">
      <c r="A3477" s="4"/>
      <c r="B3477" s="4"/>
      <c r="C3477" s="4"/>
      <c r="D3477" s="4"/>
      <c r="E3477" s="4"/>
      <c r="F3477" s="4"/>
      <c r="H3477" s="4"/>
      <c r="I3477" s="4"/>
      <c r="K3477" s="4"/>
    </row>
    <row r="3478" spans="1:11" ht="13">
      <c r="A3478" s="4"/>
      <c r="B3478" s="4"/>
      <c r="C3478" s="4"/>
      <c r="D3478" s="4"/>
      <c r="E3478" s="4"/>
      <c r="F3478" s="4"/>
      <c r="H3478" s="4"/>
      <c r="I3478" s="4"/>
      <c r="K3478" s="4"/>
    </row>
    <row r="3479" spans="1:11" ht="13">
      <c r="A3479" s="4"/>
      <c r="B3479" s="4"/>
      <c r="C3479" s="4"/>
      <c r="D3479" s="4"/>
      <c r="E3479" s="4"/>
      <c r="F3479" s="4"/>
      <c r="H3479" s="4"/>
      <c r="I3479" s="4"/>
      <c r="K3479" s="4"/>
    </row>
    <row r="3480" spans="1:11" ht="13">
      <c r="A3480" s="4"/>
      <c r="B3480" s="4"/>
      <c r="C3480" s="4"/>
      <c r="D3480" s="4"/>
      <c r="E3480" s="4"/>
      <c r="F3480" s="4"/>
      <c r="H3480" s="4"/>
      <c r="I3480" s="4"/>
      <c r="K3480" s="4"/>
    </row>
    <row r="3481" spans="1:11" ht="13">
      <c r="A3481" s="4"/>
      <c r="B3481" s="4"/>
      <c r="C3481" s="4"/>
      <c r="D3481" s="4"/>
      <c r="E3481" s="4"/>
      <c r="F3481" s="4"/>
      <c r="H3481" s="4"/>
      <c r="I3481" s="4"/>
      <c r="K3481" s="4"/>
    </row>
    <row r="3482" spans="1:11" ht="13">
      <c r="A3482" s="4"/>
      <c r="B3482" s="4"/>
      <c r="C3482" s="4"/>
      <c r="D3482" s="4"/>
      <c r="E3482" s="4"/>
      <c r="F3482" s="4"/>
      <c r="H3482" s="4"/>
      <c r="I3482" s="4"/>
      <c r="K3482" s="4"/>
    </row>
    <row r="3483" spans="1:11" ht="13">
      <c r="A3483" s="4"/>
      <c r="B3483" s="4"/>
      <c r="C3483" s="4"/>
      <c r="D3483" s="4"/>
      <c r="E3483" s="4"/>
      <c r="F3483" s="4"/>
      <c r="H3483" s="4"/>
      <c r="I3483" s="4"/>
      <c r="K3483" s="4"/>
    </row>
    <row r="3484" spans="1:11" ht="13">
      <c r="A3484" s="4"/>
      <c r="B3484" s="4"/>
      <c r="C3484" s="4"/>
      <c r="D3484" s="4"/>
      <c r="E3484" s="4"/>
      <c r="F3484" s="4"/>
      <c r="H3484" s="4"/>
      <c r="I3484" s="4"/>
      <c r="K3484" s="4"/>
    </row>
    <row r="3485" spans="1:11" ht="13">
      <c r="A3485" s="4"/>
      <c r="B3485" s="4"/>
      <c r="C3485" s="4"/>
      <c r="D3485" s="4"/>
      <c r="E3485" s="4"/>
      <c r="F3485" s="4"/>
      <c r="H3485" s="4"/>
      <c r="I3485" s="4"/>
      <c r="K3485" s="4"/>
    </row>
    <row r="3486" spans="1:11" ht="13">
      <c r="A3486" s="4"/>
      <c r="B3486" s="4"/>
      <c r="C3486" s="4"/>
      <c r="D3486" s="4"/>
      <c r="E3486" s="4"/>
      <c r="F3486" s="4"/>
      <c r="H3486" s="4"/>
      <c r="I3486" s="4"/>
      <c r="K3486" s="4"/>
    </row>
    <row r="3487" spans="1:11" ht="13">
      <c r="A3487" s="4"/>
      <c r="B3487" s="4"/>
      <c r="C3487" s="4"/>
      <c r="D3487" s="4"/>
      <c r="E3487" s="4"/>
      <c r="F3487" s="4"/>
      <c r="H3487" s="4"/>
      <c r="I3487" s="4"/>
      <c r="K3487" s="4"/>
    </row>
    <row r="3488" spans="1:11" ht="13">
      <c r="A3488" s="4"/>
      <c r="B3488" s="4"/>
      <c r="C3488" s="4"/>
      <c r="D3488" s="4"/>
      <c r="E3488" s="4"/>
      <c r="F3488" s="4"/>
      <c r="H3488" s="4"/>
      <c r="I3488" s="4"/>
      <c r="K3488" s="4"/>
    </row>
    <row r="3489" spans="1:11" ht="13">
      <c r="A3489" s="4"/>
      <c r="B3489" s="4"/>
      <c r="C3489" s="4"/>
      <c r="D3489" s="4"/>
      <c r="E3489" s="4"/>
      <c r="F3489" s="4"/>
      <c r="H3489" s="4"/>
      <c r="I3489" s="4"/>
      <c r="K3489" s="4"/>
    </row>
    <row r="3490" spans="1:11" ht="13">
      <c r="A3490" s="4"/>
      <c r="B3490" s="4"/>
      <c r="C3490" s="4"/>
      <c r="D3490" s="4"/>
      <c r="E3490" s="4"/>
      <c r="F3490" s="4"/>
      <c r="H3490" s="4"/>
      <c r="I3490" s="4"/>
      <c r="K3490" s="4"/>
    </row>
    <row r="3491" spans="1:11" ht="13">
      <c r="A3491" s="4"/>
      <c r="B3491" s="4"/>
      <c r="C3491" s="4"/>
      <c r="D3491" s="4"/>
      <c r="E3491" s="4"/>
      <c r="F3491" s="4"/>
      <c r="H3491" s="4"/>
      <c r="I3491" s="4"/>
      <c r="K3491" s="4"/>
    </row>
    <row r="3492" spans="1:11" ht="13">
      <c r="A3492" s="4"/>
      <c r="B3492" s="4"/>
      <c r="C3492" s="4"/>
      <c r="D3492" s="4"/>
      <c r="E3492" s="4"/>
      <c r="F3492" s="4"/>
      <c r="H3492" s="4"/>
      <c r="I3492" s="4"/>
      <c r="K3492" s="4"/>
    </row>
    <row r="3493" spans="1:11" ht="13">
      <c r="A3493" s="4"/>
      <c r="B3493" s="4"/>
      <c r="C3493" s="4"/>
      <c r="D3493" s="4"/>
      <c r="E3493" s="4"/>
      <c r="F3493" s="4"/>
      <c r="H3493" s="4"/>
      <c r="I3493" s="4"/>
      <c r="K3493" s="4"/>
    </row>
    <row r="3494" spans="1:11" ht="13">
      <c r="A3494" s="4"/>
      <c r="B3494" s="4"/>
      <c r="C3494" s="4"/>
      <c r="D3494" s="4"/>
      <c r="E3494" s="4"/>
      <c r="F3494" s="4"/>
      <c r="H3494" s="4"/>
      <c r="I3494" s="4"/>
      <c r="K3494" s="4"/>
    </row>
    <row r="3495" spans="1:11" ht="13">
      <c r="A3495" s="4"/>
      <c r="B3495" s="4"/>
      <c r="C3495" s="4"/>
      <c r="D3495" s="4"/>
      <c r="E3495" s="4"/>
      <c r="F3495" s="4"/>
      <c r="H3495" s="4"/>
      <c r="I3495" s="4"/>
      <c r="K3495" s="4"/>
    </row>
    <row r="3496" spans="1:11" ht="13">
      <c r="A3496" s="4"/>
      <c r="B3496" s="4"/>
      <c r="C3496" s="4"/>
      <c r="D3496" s="4"/>
      <c r="E3496" s="4"/>
      <c r="F3496" s="4"/>
      <c r="H3496" s="4"/>
      <c r="I3496" s="4"/>
      <c r="K3496" s="4"/>
    </row>
    <row r="3497" spans="1:11" ht="13">
      <c r="A3497" s="4"/>
      <c r="B3497" s="4"/>
      <c r="C3497" s="4"/>
      <c r="D3497" s="4"/>
      <c r="E3497" s="4"/>
      <c r="F3497" s="4"/>
      <c r="H3497" s="4"/>
      <c r="I3497" s="4"/>
      <c r="K3497" s="4"/>
    </row>
    <row r="3498" spans="1:11" ht="13">
      <c r="A3498" s="4"/>
      <c r="B3498" s="4"/>
      <c r="C3498" s="4"/>
      <c r="D3498" s="4"/>
      <c r="E3498" s="4"/>
      <c r="F3498" s="4"/>
      <c r="H3498" s="4"/>
      <c r="I3498" s="4"/>
      <c r="K3498" s="4"/>
    </row>
    <row r="3499" spans="1:11" ht="13">
      <c r="A3499" s="4"/>
      <c r="B3499" s="4"/>
      <c r="C3499" s="4"/>
      <c r="D3499" s="4"/>
      <c r="E3499" s="4"/>
      <c r="F3499" s="4"/>
      <c r="H3499" s="4"/>
      <c r="I3499" s="4"/>
      <c r="K3499" s="4"/>
    </row>
    <row r="3500" spans="1:11" ht="13">
      <c r="A3500" s="4"/>
      <c r="B3500" s="4"/>
      <c r="C3500" s="4"/>
      <c r="D3500" s="4"/>
      <c r="E3500" s="4"/>
      <c r="F3500" s="4"/>
      <c r="H3500" s="4"/>
      <c r="I3500" s="4"/>
      <c r="K3500" s="4"/>
    </row>
    <row r="3501" spans="1:11" ht="13">
      <c r="A3501" s="4"/>
      <c r="B3501" s="4"/>
      <c r="C3501" s="4"/>
      <c r="D3501" s="4"/>
      <c r="E3501" s="4"/>
      <c r="F3501" s="4"/>
      <c r="H3501" s="4"/>
      <c r="I3501" s="4"/>
      <c r="K3501" s="4"/>
    </row>
    <row r="3502" spans="1:11" ht="13">
      <c r="A3502" s="4"/>
      <c r="B3502" s="4"/>
      <c r="C3502" s="4"/>
      <c r="D3502" s="4"/>
      <c r="E3502" s="4"/>
      <c r="F3502" s="4"/>
      <c r="H3502" s="4"/>
      <c r="I3502" s="4"/>
      <c r="K3502" s="4"/>
    </row>
    <row r="3503" spans="1:11" ht="13">
      <c r="A3503" s="4"/>
      <c r="B3503" s="4"/>
      <c r="C3503" s="4"/>
      <c r="D3503" s="4"/>
      <c r="E3503" s="4"/>
      <c r="F3503" s="4"/>
      <c r="H3503" s="4"/>
      <c r="I3503" s="4"/>
      <c r="K3503" s="4"/>
    </row>
    <row r="3504" spans="1:11" ht="13">
      <c r="A3504" s="4"/>
      <c r="B3504" s="4"/>
      <c r="C3504" s="4"/>
      <c r="D3504" s="4"/>
      <c r="E3504" s="4"/>
      <c r="F3504" s="4"/>
      <c r="H3504" s="4"/>
      <c r="I3504" s="4"/>
      <c r="K3504" s="4"/>
    </row>
    <row r="3505" spans="1:11" ht="13">
      <c r="A3505" s="4"/>
      <c r="B3505" s="4"/>
      <c r="C3505" s="4"/>
      <c r="D3505" s="4"/>
      <c r="E3505" s="4"/>
      <c r="F3505" s="4"/>
      <c r="H3505" s="4"/>
      <c r="I3505" s="4"/>
      <c r="K3505" s="4"/>
    </row>
    <row r="3506" spans="1:11" ht="13">
      <c r="A3506" s="4"/>
      <c r="B3506" s="4"/>
      <c r="C3506" s="4"/>
      <c r="D3506" s="4"/>
      <c r="E3506" s="4"/>
      <c r="F3506" s="4"/>
      <c r="H3506" s="4"/>
      <c r="I3506" s="4"/>
      <c r="K3506" s="4"/>
    </row>
    <row r="3507" spans="1:11" ht="13">
      <c r="A3507" s="4"/>
      <c r="B3507" s="4"/>
      <c r="C3507" s="4"/>
      <c r="D3507" s="4"/>
      <c r="E3507" s="4"/>
      <c r="F3507" s="4"/>
      <c r="H3507" s="4"/>
      <c r="I3507" s="4"/>
      <c r="K3507" s="4"/>
    </row>
    <row r="3508" spans="1:11" ht="13">
      <c r="A3508" s="4"/>
      <c r="B3508" s="4"/>
      <c r="C3508" s="4"/>
      <c r="D3508" s="4"/>
      <c r="E3508" s="4"/>
      <c r="F3508" s="4"/>
      <c r="H3508" s="4"/>
      <c r="I3508" s="4"/>
      <c r="K3508" s="4"/>
    </row>
    <row r="3509" spans="1:11" ht="13">
      <c r="A3509" s="4"/>
      <c r="B3509" s="4"/>
      <c r="C3509" s="4"/>
      <c r="D3509" s="4"/>
      <c r="E3509" s="4"/>
      <c r="F3509" s="4"/>
      <c r="H3509" s="4"/>
      <c r="I3509" s="4"/>
      <c r="K3509" s="4"/>
    </row>
    <row r="3510" spans="1:11" ht="13">
      <c r="A3510" s="4"/>
      <c r="B3510" s="4"/>
      <c r="C3510" s="4"/>
      <c r="D3510" s="4"/>
      <c r="E3510" s="4"/>
      <c r="F3510" s="4"/>
      <c r="H3510" s="4"/>
      <c r="I3510" s="4"/>
      <c r="K3510" s="4"/>
    </row>
    <row r="3511" spans="1:11" ht="13">
      <c r="A3511" s="4"/>
      <c r="B3511" s="4"/>
      <c r="C3511" s="4"/>
      <c r="D3511" s="4"/>
      <c r="E3511" s="4"/>
      <c r="F3511" s="4"/>
      <c r="H3511" s="4"/>
      <c r="I3511" s="4"/>
      <c r="K3511" s="4"/>
    </row>
    <row r="3512" spans="1:11" ht="13">
      <c r="A3512" s="4"/>
      <c r="B3512" s="4"/>
      <c r="C3512" s="4"/>
      <c r="D3512" s="4"/>
      <c r="E3512" s="4"/>
      <c r="F3512" s="4"/>
      <c r="H3512" s="4"/>
      <c r="I3512" s="4"/>
      <c r="K3512" s="4"/>
    </row>
    <row r="3513" spans="1:11" ht="13">
      <c r="A3513" s="4"/>
      <c r="B3513" s="4"/>
      <c r="C3513" s="4"/>
      <c r="D3513" s="4"/>
      <c r="E3513" s="4"/>
      <c r="F3513" s="4"/>
      <c r="H3513" s="4"/>
      <c r="I3513" s="4"/>
      <c r="K3513" s="4"/>
    </row>
    <row r="3514" spans="1:11" ht="13">
      <c r="A3514" s="4"/>
      <c r="B3514" s="4"/>
      <c r="C3514" s="4"/>
      <c r="D3514" s="4"/>
      <c r="E3514" s="4"/>
      <c r="F3514" s="4"/>
      <c r="H3514" s="4"/>
      <c r="I3514" s="4"/>
      <c r="K3514" s="4"/>
    </row>
    <row r="3515" spans="1:11" ht="13">
      <c r="A3515" s="4"/>
      <c r="B3515" s="4"/>
      <c r="C3515" s="4"/>
      <c r="D3515" s="4"/>
      <c r="E3515" s="4"/>
      <c r="F3515" s="4"/>
      <c r="H3515" s="4"/>
      <c r="I3515" s="4"/>
      <c r="K3515" s="4"/>
    </row>
    <row r="3516" spans="1:11" ht="13">
      <c r="A3516" s="4"/>
      <c r="B3516" s="4"/>
      <c r="C3516" s="4"/>
      <c r="D3516" s="4"/>
      <c r="E3516" s="4"/>
      <c r="F3516" s="4"/>
      <c r="H3516" s="4"/>
      <c r="I3516" s="4"/>
      <c r="K3516" s="4"/>
    </row>
    <row r="3517" spans="1:11" ht="13">
      <c r="A3517" s="4"/>
      <c r="B3517" s="4"/>
      <c r="C3517" s="4"/>
      <c r="D3517" s="4"/>
      <c r="E3517" s="4"/>
      <c r="F3517" s="4"/>
      <c r="H3517" s="4"/>
      <c r="I3517" s="4"/>
      <c r="K3517" s="4"/>
    </row>
    <row r="3518" spans="1:11" ht="13">
      <c r="A3518" s="4"/>
      <c r="B3518" s="4"/>
      <c r="C3518" s="4"/>
      <c r="D3518" s="4"/>
      <c r="E3518" s="4"/>
      <c r="F3518" s="4"/>
      <c r="H3518" s="4"/>
      <c r="I3518" s="4"/>
      <c r="K3518" s="4"/>
    </row>
    <row r="3519" spans="1:11" ht="13">
      <c r="A3519" s="4"/>
      <c r="B3519" s="4"/>
      <c r="C3519" s="4"/>
      <c r="D3519" s="4"/>
      <c r="E3519" s="4"/>
      <c r="F3519" s="4"/>
      <c r="H3519" s="4"/>
      <c r="I3519" s="4"/>
      <c r="K3519" s="4"/>
    </row>
    <row r="3520" spans="1:11" ht="13">
      <c r="A3520" s="4"/>
      <c r="B3520" s="4"/>
      <c r="C3520" s="4"/>
      <c r="D3520" s="4"/>
      <c r="E3520" s="4"/>
      <c r="F3520" s="4"/>
      <c r="H3520" s="4"/>
      <c r="I3520" s="4"/>
      <c r="K3520" s="4"/>
    </row>
    <row r="3521" spans="1:11" ht="13">
      <c r="A3521" s="4"/>
      <c r="B3521" s="4"/>
      <c r="C3521" s="4"/>
      <c r="D3521" s="4"/>
      <c r="E3521" s="4"/>
      <c r="F3521" s="4"/>
      <c r="H3521" s="4"/>
      <c r="I3521" s="4"/>
      <c r="K3521" s="4"/>
    </row>
    <row r="3522" spans="1:11" ht="13">
      <c r="A3522" s="4"/>
      <c r="B3522" s="4"/>
      <c r="C3522" s="4"/>
      <c r="D3522" s="4"/>
      <c r="E3522" s="4"/>
      <c r="F3522" s="4"/>
      <c r="H3522" s="4"/>
      <c r="I3522" s="4"/>
      <c r="K3522" s="4"/>
    </row>
    <row r="3523" spans="1:11" ht="13">
      <c r="A3523" s="4"/>
      <c r="B3523" s="4"/>
      <c r="C3523" s="4"/>
      <c r="D3523" s="4"/>
      <c r="E3523" s="4"/>
      <c r="F3523" s="4"/>
      <c r="H3523" s="4"/>
      <c r="I3523" s="4"/>
      <c r="K3523" s="4"/>
    </row>
    <row r="3524" spans="1:11" ht="13">
      <c r="A3524" s="4"/>
      <c r="B3524" s="4"/>
      <c r="C3524" s="4"/>
      <c r="D3524" s="4"/>
      <c r="E3524" s="4"/>
      <c r="F3524" s="4"/>
      <c r="H3524" s="4"/>
      <c r="I3524" s="4"/>
      <c r="K3524" s="4"/>
    </row>
    <row r="3525" spans="1:11" ht="13">
      <c r="A3525" s="4"/>
      <c r="B3525" s="4"/>
      <c r="C3525" s="4"/>
      <c r="D3525" s="4"/>
      <c r="E3525" s="4"/>
      <c r="F3525" s="4"/>
      <c r="H3525" s="4"/>
      <c r="I3525" s="4"/>
      <c r="K3525" s="4"/>
    </row>
    <row r="3526" spans="1:11" ht="13">
      <c r="A3526" s="4"/>
      <c r="B3526" s="4"/>
      <c r="C3526" s="4"/>
      <c r="D3526" s="4"/>
      <c r="E3526" s="4"/>
      <c r="F3526" s="4"/>
      <c r="H3526" s="4"/>
      <c r="I3526" s="4"/>
      <c r="K3526" s="4"/>
    </row>
    <row r="3527" spans="1:11" ht="13">
      <c r="A3527" s="4"/>
      <c r="B3527" s="4"/>
      <c r="C3527" s="4"/>
      <c r="D3527" s="4"/>
      <c r="E3527" s="4"/>
      <c r="F3527" s="4"/>
      <c r="H3527" s="4"/>
      <c r="I3527" s="4"/>
      <c r="K3527" s="4"/>
    </row>
    <row r="3528" spans="1:11" ht="13">
      <c r="A3528" s="4"/>
      <c r="B3528" s="4"/>
      <c r="C3528" s="4"/>
      <c r="D3528" s="4"/>
      <c r="E3528" s="4"/>
      <c r="F3528" s="4"/>
      <c r="H3528" s="4"/>
      <c r="I3528" s="4"/>
      <c r="K3528" s="4"/>
    </row>
    <row r="3529" spans="1:11" ht="13">
      <c r="A3529" s="4"/>
      <c r="B3529" s="4"/>
      <c r="C3529" s="4"/>
      <c r="D3529" s="4"/>
      <c r="E3529" s="4"/>
      <c r="F3529" s="4"/>
      <c r="H3529" s="4"/>
      <c r="I3529" s="4"/>
      <c r="K3529" s="4"/>
    </row>
    <row r="3530" spans="1:11" ht="13">
      <c r="A3530" s="4"/>
      <c r="B3530" s="4"/>
      <c r="C3530" s="4"/>
      <c r="D3530" s="4"/>
      <c r="E3530" s="4"/>
      <c r="F3530" s="4"/>
      <c r="H3530" s="4"/>
      <c r="I3530" s="4"/>
      <c r="K3530" s="4"/>
    </row>
    <row r="3531" spans="1:11" ht="13">
      <c r="A3531" s="4"/>
      <c r="B3531" s="4"/>
      <c r="C3531" s="4"/>
      <c r="D3531" s="4"/>
      <c r="E3531" s="4"/>
      <c r="F3531" s="4"/>
      <c r="H3531" s="4"/>
      <c r="I3531" s="4"/>
      <c r="K3531" s="4"/>
    </row>
    <row r="3532" spans="1:11" ht="13">
      <c r="A3532" s="4"/>
      <c r="B3532" s="4"/>
      <c r="C3532" s="4"/>
      <c r="D3532" s="4"/>
      <c r="E3532" s="4"/>
      <c r="F3532" s="4"/>
      <c r="H3532" s="4"/>
      <c r="I3532" s="4"/>
      <c r="K3532" s="4"/>
    </row>
    <row r="3533" spans="1:11" ht="13">
      <c r="A3533" s="4"/>
      <c r="B3533" s="4"/>
      <c r="C3533" s="4"/>
      <c r="D3533" s="4"/>
      <c r="E3533" s="4"/>
      <c r="F3533" s="4"/>
      <c r="H3533" s="4"/>
      <c r="I3533" s="4"/>
      <c r="K3533" s="4"/>
    </row>
    <row r="3534" spans="1:11" ht="13">
      <c r="A3534" s="4"/>
      <c r="B3534" s="4"/>
      <c r="C3534" s="4"/>
      <c r="D3534" s="4"/>
      <c r="E3534" s="4"/>
      <c r="F3534" s="4"/>
      <c r="H3534" s="4"/>
      <c r="I3534" s="4"/>
      <c r="K3534" s="4"/>
    </row>
    <row r="3535" spans="1:11" ht="13">
      <c r="A3535" s="4"/>
      <c r="B3535" s="4"/>
      <c r="C3535" s="4"/>
      <c r="D3535" s="4"/>
      <c r="E3535" s="4"/>
      <c r="F3535" s="4"/>
      <c r="H3535" s="4"/>
      <c r="I3535" s="4"/>
      <c r="K3535" s="4"/>
    </row>
    <row r="3536" spans="1:11" ht="13">
      <c r="A3536" s="4"/>
      <c r="B3536" s="4"/>
      <c r="C3536" s="4"/>
      <c r="D3536" s="4"/>
      <c r="E3536" s="4"/>
      <c r="F3536" s="4"/>
      <c r="H3536" s="4"/>
      <c r="I3536" s="4"/>
      <c r="K3536" s="4"/>
    </row>
    <row r="3537" spans="1:11" ht="13">
      <c r="A3537" s="4"/>
      <c r="B3537" s="4"/>
      <c r="C3537" s="4"/>
      <c r="D3537" s="4"/>
      <c r="E3537" s="4"/>
      <c r="F3537" s="4"/>
      <c r="H3537" s="4"/>
      <c r="I3537" s="4"/>
      <c r="K3537" s="4"/>
    </row>
    <row r="3538" spans="1:11" ht="13">
      <c r="A3538" s="4"/>
      <c r="B3538" s="4"/>
      <c r="C3538" s="4"/>
      <c r="D3538" s="4"/>
      <c r="E3538" s="4"/>
      <c r="F3538" s="4"/>
      <c r="H3538" s="4"/>
      <c r="I3538" s="4"/>
      <c r="K3538" s="4"/>
    </row>
    <row r="3539" spans="1:11" ht="13">
      <c r="A3539" s="4"/>
      <c r="B3539" s="4"/>
      <c r="C3539" s="4"/>
      <c r="D3539" s="4"/>
      <c r="E3539" s="4"/>
      <c r="F3539" s="4"/>
      <c r="H3539" s="4"/>
      <c r="I3539" s="4"/>
      <c r="K3539" s="4"/>
    </row>
    <row r="3540" spans="1:11" ht="13">
      <c r="A3540" s="4"/>
      <c r="B3540" s="4"/>
      <c r="C3540" s="4"/>
      <c r="D3540" s="4"/>
      <c r="E3540" s="4"/>
      <c r="F3540" s="4"/>
      <c r="H3540" s="4"/>
      <c r="I3540" s="4"/>
      <c r="K3540" s="4"/>
    </row>
    <row r="3541" spans="1:11" ht="13">
      <c r="A3541" s="4"/>
      <c r="B3541" s="4"/>
      <c r="C3541" s="4"/>
      <c r="D3541" s="4"/>
      <c r="E3541" s="4"/>
      <c r="F3541" s="4"/>
      <c r="H3541" s="4"/>
      <c r="I3541" s="4"/>
      <c r="K3541" s="4"/>
    </row>
    <row r="3542" spans="1:11" ht="13">
      <c r="A3542" s="4"/>
      <c r="B3542" s="4"/>
      <c r="C3542" s="4"/>
      <c r="D3542" s="4"/>
      <c r="E3542" s="4"/>
      <c r="F3542" s="4"/>
      <c r="H3542" s="4"/>
      <c r="I3542" s="4"/>
      <c r="K3542" s="4"/>
    </row>
    <row r="3543" spans="1:11" ht="13">
      <c r="A3543" s="4"/>
      <c r="B3543" s="4"/>
      <c r="C3543" s="4"/>
      <c r="D3543" s="4"/>
      <c r="E3543" s="4"/>
      <c r="F3543" s="4"/>
      <c r="H3543" s="4"/>
      <c r="I3543" s="4"/>
      <c r="K3543" s="4"/>
    </row>
    <row r="3544" spans="1:11" ht="13">
      <c r="A3544" s="4"/>
      <c r="B3544" s="4"/>
      <c r="C3544" s="4"/>
      <c r="D3544" s="4"/>
      <c r="E3544" s="4"/>
      <c r="F3544" s="4"/>
      <c r="H3544" s="4"/>
      <c r="I3544" s="4"/>
      <c r="K3544" s="4"/>
    </row>
    <row r="3545" spans="1:11" ht="13">
      <c r="A3545" s="4"/>
      <c r="B3545" s="4"/>
      <c r="C3545" s="4"/>
      <c r="D3545" s="4"/>
      <c r="E3545" s="4"/>
      <c r="F3545" s="4"/>
      <c r="H3545" s="4"/>
      <c r="I3545" s="4"/>
      <c r="K3545" s="4"/>
    </row>
    <row r="3546" spans="1:11" ht="13">
      <c r="A3546" s="4"/>
      <c r="B3546" s="4"/>
      <c r="C3546" s="4"/>
      <c r="D3546" s="4"/>
      <c r="E3546" s="4"/>
      <c r="F3546" s="4"/>
      <c r="H3546" s="4"/>
      <c r="I3546" s="4"/>
      <c r="K3546" s="4"/>
    </row>
    <row r="3547" spans="1:11" ht="13">
      <c r="A3547" s="4"/>
      <c r="B3547" s="4"/>
      <c r="C3547" s="4"/>
      <c r="D3547" s="4"/>
      <c r="E3547" s="4"/>
      <c r="F3547" s="4"/>
      <c r="H3547" s="4"/>
      <c r="I3547" s="4"/>
      <c r="K3547" s="4"/>
    </row>
    <row r="3548" spans="1:11" ht="13">
      <c r="A3548" s="4"/>
      <c r="B3548" s="4"/>
      <c r="C3548" s="4"/>
      <c r="D3548" s="4"/>
      <c r="E3548" s="4"/>
      <c r="F3548" s="4"/>
      <c r="H3548" s="4"/>
      <c r="I3548" s="4"/>
      <c r="K3548" s="4"/>
    </row>
    <row r="3549" spans="1:11" ht="13">
      <c r="A3549" s="4"/>
      <c r="B3549" s="4"/>
      <c r="C3549" s="4"/>
      <c r="D3549" s="4"/>
      <c r="E3549" s="4"/>
      <c r="F3549" s="4"/>
      <c r="H3549" s="4"/>
      <c r="I3549" s="4"/>
      <c r="K3549" s="4"/>
    </row>
    <row r="3550" spans="1:11" ht="13">
      <c r="A3550" s="4"/>
      <c r="B3550" s="4"/>
      <c r="C3550" s="4"/>
      <c r="D3550" s="4"/>
      <c r="E3550" s="4"/>
      <c r="F3550" s="4"/>
      <c r="H3550" s="4"/>
      <c r="I3550" s="4"/>
      <c r="K3550" s="4"/>
    </row>
    <row r="3551" spans="1:11" ht="13">
      <c r="A3551" s="4"/>
      <c r="B3551" s="4"/>
      <c r="C3551" s="4"/>
      <c r="D3551" s="4"/>
      <c r="E3551" s="4"/>
      <c r="F3551" s="4"/>
      <c r="H3551" s="4"/>
      <c r="I3551" s="4"/>
      <c r="K3551" s="4"/>
    </row>
    <row r="3552" spans="1:11" ht="13">
      <c r="A3552" s="4"/>
      <c r="B3552" s="4"/>
      <c r="C3552" s="4"/>
      <c r="D3552" s="4"/>
      <c r="E3552" s="4"/>
      <c r="F3552" s="4"/>
      <c r="H3552" s="4"/>
      <c r="I3552" s="4"/>
      <c r="K3552" s="4"/>
    </row>
    <row r="3553" spans="1:11" ht="13">
      <c r="A3553" s="4"/>
      <c r="B3553" s="4"/>
      <c r="C3553" s="4"/>
      <c r="D3553" s="4"/>
      <c r="E3553" s="4"/>
      <c r="F3553" s="4"/>
      <c r="H3553" s="4"/>
      <c r="I3553" s="4"/>
      <c r="K3553" s="4"/>
    </row>
    <row r="3554" spans="1:11" ht="13">
      <c r="A3554" s="4"/>
      <c r="B3554" s="4"/>
      <c r="C3554" s="4"/>
      <c r="D3554" s="4"/>
      <c r="E3554" s="4"/>
      <c r="F3554" s="4"/>
      <c r="H3554" s="4"/>
      <c r="I3554" s="4"/>
      <c r="K3554" s="4"/>
    </row>
    <row r="3555" spans="1:11" ht="13">
      <c r="A3555" s="4"/>
      <c r="B3555" s="4"/>
      <c r="C3555" s="4"/>
      <c r="D3555" s="4"/>
      <c r="E3555" s="4"/>
      <c r="F3555" s="4"/>
      <c r="H3555" s="4"/>
      <c r="I3555" s="4"/>
      <c r="K3555" s="4"/>
    </row>
    <row r="3556" spans="1:11" ht="13">
      <c r="A3556" s="4"/>
      <c r="B3556" s="4"/>
      <c r="C3556" s="4"/>
      <c r="D3556" s="4"/>
      <c r="E3556" s="4"/>
      <c r="F3556" s="4"/>
      <c r="H3556" s="4"/>
      <c r="I3556" s="4"/>
      <c r="K3556" s="4"/>
    </row>
    <row r="3557" spans="1:11" ht="13">
      <c r="A3557" s="4"/>
      <c r="B3557" s="4"/>
      <c r="C3557" s="4"/>
      <c r="D3557" s="4"/>
      <c r="E3557" s="4"/>
      <c r="F3557" s="4"/>
      <c r="H3557" s="4"/>
      <c r="I3557" s="4"/>
      <c r="K3557" s="4"/>
    </row>
    <row r="3558" spans="1:11" ht="13">
      <c r="A3558" s="4"/>
      <c r="B3558" s="4"/>
      <c r="C3558" s="4"/>
      <c r="D3558" s="4"/>
      <c r="E3558" s="4"/>
      <c r="F3558" s="4"/>
      <c r="H3558" s="4"/>
      <c r="I3558" s="4"/>
      <c r="K3558" s="4"/>
    </row>
    <row r="3559" spans="1:11" ht="13">
      <c r="A3559" s="4"/>
      <c r="B3559" s="4"/>
      <c r="C3559" s="4"/>
      <c r="D3559" s="4"/>
      <c r="E3559" s="4"/>
      <c r="F3559" s="4"/>
      <c r="H3559" s="4"/>
      <c r="I3559" s="4"/>
      <c r="K3559" s="4"/>
    </row>
    <row r="3560" spans="1:11" ht="13">
      <c r="A3560" s="4"/>
      <c r="B3560" s="4"/>
      <c r="C3560" s="4"/>
      <c r="D3560" s="4"/>
      <c r="E3560" s="4"/>
      <c r="F3560" s="4"/>
      <c r="H3560" s="4"/>
      <c r="I3560" s="4"/>
      <c r="K3560" s="4"/>
    </row>
    <row r="3561" spans="1:11" ht="13">
      <c r="A3561" s="4"/>
      <c r="B3561" s="4"/>
      <c r="C3561" s="4"/>
      <c r="D3561" s="4"/>
      <c r="E3561" s="4"/>
      <c r="F3561" s="4"/>
      <c r="H3561" s="4"/>
      <c r="I3561" s="4"/>
      <c r="K3561" s="4"/>
    </row>
    <row r="3562" spans="1:11" ht="13">
      <c r="A3562" s="4"/>
      <c r="B3562" s="4"/>
      <c r="C3562" s="4"/>
      <c r="D3562" s="4"/>
      <c r="E3562" s="4"/>
      <c r="F3562" s="4"/>
      <c r="H3562" s="4"/>
      <c r="I3562" s="4"/>
      <c r="K3562" s="4"/>
    </row>
    <row r="3563" spans="1:11" ht="13">
      <c r="A3563" s="4"/>
      <c r="B3563" s="4"/>
      <c r="C3563" s="4"/>
      <c r="D3563" s="4"/>
      <c r="E3563" s="4"/>
      <c r="F3563" s="4"/>
      <c r="H3563" s="4"/>
      <c r="I3563" s="4"/>
      <c r="K3563" s="4"/>
    </row>
    <row r="3564" spans="1:11" ht="13">
      <c r="A3564" s="4"/>
      <c r="B3564" s="4"/>
      <c r="C3564" s="4"/>
      <c r="D3564" s="4"/>
      <c r="E3564" s="4"/>
      <c r="F3564" s="4"/>
      <c r="H3564" s="4"/>
      <c r="I3564" s="4"/>
      <c r="K3564" s="4"/>
    </row>
    <row r="3565" spans="1:11" ht="13">
      <c r="A3565" s="4"/>
      <c r="B3565" s="4"/>
      <c r="C3565" s="4"/>
      <c r="D3565" s="4"/>
      <c r="E3565" s="4"/>
      <c r="F3565" s="4"/>
      <c r="H3565" s="4"/>
      <c r="I3565" s="4"/>
      <c r="K3565" s="4"/>
    </row>
    <row r="3566" spans="1:11" ht="13">
      <c r="A3566" s="4"/>
      <c r="B3566" s="4"/>
      <c r="C3566" s="4"/>
      <c r="D3566" s="4"/>
      <c r="E3566" s="4"/>
      <c r="F3566" s="4"/>
      <c r="H3566" s="4"/>
      <c r="I3566" s="4"/>
      <c r="K3566" s="4"/>
    </row>
    <row r="3567" spans="1:11" ht="13">
      <c r="A3567" s="4"/>
      <c r="B3567" s="4"/>
      <c r="C3567" s="4"/>
      <c r="D3567" s="4"/>
      <c r="E3567" s="4"/>
      <c r="F3567" s="4"/>
      <c r="H3567" s="4"/>
      <c r="I3567" s="4"/>
      <c r="K3567" s="4"/>
    </row>
    <row r="3568" spans="1:11" ht="13">
      <c r="A3568" s="4"/>
      <c r="B3568" s="4"/>
      <c r="C3568" s="4"/>
      <c r="D3568" s="4"/>
      <c r="E3568" s="4"/>
      <c r="F3568" s="4"/>
      <c r="H3568" s="4"/>
      <c r="I3568" s="4"/>
      <c r="K3568" s="4"/>
    </row>
    <row r="3569" spans="1:11" ht="13">
      <c r="A3569" s="4"/>
      <c r="B3569" s="4"/>
      <c r="C3569" s="4"/>
      <c r="D3569" s="4"/>
      <c r="E3569" s="4"/>
      <c r="F3569" s="4"/>
      <c r="H3569" s="4"/>
      <c r="I3569" s="4"/>
      <c r="K3569" s="4"/>
    </row>
    <row r="3570" spans="1:11" ht="13">
      <c r="A3570" s="4"/>
      <c r="B3570" s="4"/>
      <c r="C3570" s="4"/>
      <c r="D3570" s="4"/>
      <c r="E3570" s="4"/>
      <c r="F3570" s="4"/>
      <c r="H3570" s="4"/>
      <c r="I3570" s="4"/>
      <c r="K3570" s="4"/>
    </row>
    <row r="3571" spans="1:11" ht="13">
      <c r="A3571" s="4"/>
      <c r="B3571" s="4"/>
      <c r="C3571" s="4"/>
      <c r="D3571" s="4"/>
      <c r="E3571" s="4"/>
      <c r="F3571" s="4"/>
      <c r="H3571" s="4"/>
      <c r="I3571" s="4"/>
      <c r="K3571" s="4"/>
    </row>
    <row r="3572" spans="1:11" ht="13">
      <c r="A3572" s="4"/>
      <c r="B3572" s="4"/>
      <c r="C3572" s="4"/>
      <c r="D3572" s="4"/>
      <c r="E3572" s="4"/>
      <c r="F3572" s="4"/>
      <c r="H3572" s="4"/>
      <c r="I3572" s="4"/>
      <c r="K3572" s="4"/>
    </row>
    <row r="3573" spans="1:11" ht="13">
      <c r="A3573" s="4"/>
      <c r="B3573" s="4"/>
      <c r="C3573" s="4"/>
      <c r="D3573" s="4"/>
      <c r="E3573" s="4"/>
      <c r="F3573" s="4"/>
      <c r="H3573" s="4"/>
      <c r="I3573" s="4"/>
      <c r="K3573" s="4"/>
    </row>
    <row r="3574" spans="1:11" ht="13">
      <c r="A3574" s="4"/>
      <c r="B3574" s="4"/>
      <c r="C3574" s="4"/>
      <c r="D3574" s="4"/>
      <c r="E3574" s="4"/>
      <c r="F3574" s="4"/>
      <c r="H3574" s="4"/>
      <c r="I3574" s="4"/>
      <c r="K3574" s="4"/>
    </row>
    <row r="3575" spans="1:11" ht="13">
      <c r="A3575" s="4"/>
      <c r="B3575" s="4"/>
      <c r="C3575" s="4"/>
      <c r="D3575" s="4"/>
      <c r="E3575" s="4"/>
      <c r="F3575" s="4"/>
      <c r="H3575" s="4"/>
      <c r="I3575" s="4"/>
      <c r="K3575" s="4"/>
    </row>
    <row r="3576" spans="1:11" ht="13">
      <c r="A3576" s="4"/>
      <c r="B3576" s="4"/>
      <c r="C3576" s="4"/>
      <c r="D3576" s="4"/>
      <c r="E3576" s="4"/>
      <c r="F3576" s="4"/>
      <c r="H3576" s="4"/>
      <c r="I3576" s="4"/>
      <c r="K3576" s="4"/>
    </row>
    <row r="3577" spans="1:11" ht="13">
      <c r="A3577" s="4"/>
      <c r="B3577" s="4"/>
      <c r="C3577" s="4"/>
      <c r="D3577" s="4"/>
      <c r="E3577" s="4"/>
      <c r="F3577" s="4"/>
      <c r="H3577" s="4"/>
      <c r="I3577" s="4"/>
      <c r="K3577" s="4"/>
    </row>
    <row r="3578" spans="1:11" ht="13">
      <c r="A3578" s="4"/>
      <c r="B3578" s="4"/>
      <c r="C3578" s="4"/>
      <c r="D3578" s="4"/>
      <c r="E3578" s="4"/>
      <c r="F3578" s="4"/>
      <c r="H3578" s="4"/>
      <c r="I3578" s="4"/>
      <c r="K3578" s="4"/>
    </row>
    <row r="3579" spans="1:11" ht="13">
      <c r="A3579" s="4"/>
      <c r="B3579" s="4"/>
      <c r="C3579" s="4"/>
      <c r="D3579" s="4"/>
      <c r="E3579" s="4"/>
      <c r="F3579" s="4"/>
      <c r="H3579" s="4"/>
      <c r="I3579" s="4"/>
      <c r="K3579" s="4"/>
    </row>
    <row r="3580" spans="1:11" ht="13">
      <c r="A3580" s="4"/>
      <c r="B3580" s="4"/>
      <c r="C3580" s="4"/>
      <c r="D3580" s="4"/>
      <c r="E3580" s="4"/>
      <c r="F3580" s="4"/>
      <c r="H3580" s="4"/>
      <c r="I3580" s="4"/>
      <c r="K3580" s="4"/>
    </row>
    <row r="3581" spans="1:11" ht="13">
      <c r="A3581" s="4"/>
      <c r="B3581" s="4"/>
      <c r="C3581" s="4"/>
      <c r="D3581" s="4"/>
      <c r="E3581" s="4"/>
      <c r="F3581" s="4"/>
      <c r="H3581" s="4"/>
      <c r="I3581" s="4"/>
      <c r="K3581" s="4"/>
    </row>
    <row r="3582" spans="1:11" ht="13">
      <c r="A3582" s="4"/>
      <c r="B3582" s="4"/>
      <c r="C3582" s="4"/>
      <c r="D3582" s="4"/>
      <c r="E3582" s="4"/>
      <c r="F3582" s="4"/>
      <c r="H3582" s="4"/>
      <c r="I3582" s="4"/>
      <c r="K3582" s="4"/>
    </row>
    <row r="3583" spans="1:11" ht="13">
      <c r="A3583" s="4"/>
      <c r="B3583" s="4"/>
      <c r="C3583" s="4"/>
      <c r="D3583" s="4"/>
      <c r="E3583" s="4"/>
      <c r="F3583" s="4"/>
      <c r="H3583" s="4"/>
      <c r="I3583" s="4"/>
      <c r="K3583" s="4"/>
    </row>
    <row r="3584" spans="1:11" ht="13">
      <c r="A3584" s="4"/>
      <c r="B3584" s="4"/>
      <c r="C3584" s="4"/>
      <c r="D3584" s="4"/>
      <c r="E3584" s="4"/>
      <c r="F3584" s="4"/>
      <c r="H3584" s="4"/>
      <c r="I3584" s="4"/>
      <c r="K3584" s="4"/>
    </row>
    <row r="3585" spans="1:11" ht="13">
      <c r="A3585" s="4"/>
      <c r="B3585" s="4"/>
      <c r="C3585" s="4"/>
      <c r="D3585" s="4"/>
      <c r="E3585" s="4"/>
      <c r="F3585" s="4"/>
      <c r="H3585" s="4"/>
      <c r="I3585" s="4"/>
      <c r="K3585" s="4"/>
    </row>
    <row r="3586" spans="1:11" ht="13">
      <c r="A3586" s="4"/>
      <c r="B3586" s="4"/>
      <c r="C3586" s="4"/>
      <c r="D3586" s="4"/>
      <c r="E3586" s="4"/>
      <c r="F3586" s="4"/>
      <c r="H3586" s="4"/>
      <c r="I3586" s="4"/>
      <c r="K3586" s="4"/>
    </row>
    <row r="3587" spans="1:11" ht="13">
      <c r="A3587" s="4"/>
      <c r="B3587" s="4"/>
      <c r="C3587" s="4"/>
      <c r="D3587" s="4"/>
      <c r="E3587" s="4"/>
      <c r="F3587" s="4"/>
      <c r="H3587" s="4"/>
      <c r="I3587" s="4"/>
      <c r="K3587" s="4"/>
    </row>
    <row r="3588" spans="1:11" ht="13">
      <c r="A3588" s="4"/>
      <c r="B3588" s="4"/>
      <c r="C3588" s="4"/>
      <c r="D3588" s="4"/>
      <c r="E3588" s="4"/>
      <c r="F3588" s="4"/>
      <c r="H3588" s="4"/>
      <c r="I3588" s="4"/>
      <c r="K3588" s="4"/>
    </row>
    <row r="3589" spans="1:11" ht="13">
      <c r="A3589" s="4"/>
      <c r="B3589" s="4"/>
      <c r="C3589" s="4"/>
      <c r="D3589" s="4"/>
      <c r="E3589" s="4"/>
      <c r="F3589" s="4"/>
      <c r="H3589" s="4"/>
      <c r="I3589" s="4"/>
      <c r="K3589" s="4"/>
    </row>
    <row r="3590" spans="1:11" ht="13">
      <c r="A3590" s="4"/>
      <c r="B3590" s="4"/>
      <c r="C3590" s="4"/>
      <c r="D3590" s="4"/>
      <c r="E3590" s="4"/>
      <c r="F3590" s="4"/>
      <c r="H3590" s="4"/>
      <c r="I3590" s="4"/>
      <c r="K3590" s="4"/>
    </row>
    <row r="3591" spans="1:11" ht="13">
      <c r="A3591" s="4"/>
      <c r="B3591" s="4"/>
      <c r="C3591" s="4"/>
      <c r="D3591" s="4"/>
      <c r="E3591" s="4"/>
      <c r="F3591" s="4"/>
      <c r="H3591" s="4"/>
      <c r="I3591" s="4"/>
      <c r="K3591" s="4"/>
    </row>
    <row r="3592" spans="1:11" ht="13">
      <c r="A3592" s="4"/>
      <c r="B3592" s="4"/>
      <c r="C3592" s="4"/>
      <c r="D3592" s="4"/>
      <c r="E3592" s="4"/>
      <c r="F3592" s="4"/>
      <c r="H3592" s="4"/>
      <c r="I3592" s="4"/>
      <c r="K3592" s="4"/>
    </row>
    <row r="3593" spans="1:11" ht="13">
      <c r="A3593" s="4"/>
      <c r="B3593" s="4"/>
      <c r="C3593" s="4"/>
      <c r="D3593" s="4"/>
      <c r="E3593" s="4"/>
      <c r="F3593" s="4"/>
      <c r="H3593" s="4"/>
      <c r="I3593" s="4"/>
      <c r="K3593" s="4"/>
    </row>
    <row r="3594" spans="1:11" ht="13">
      <c r="A3594" s="4"/>
      <c r="B3594" s="4"/>
      <c r="C3594" s="4"/>
      <c r="D3594" s="4"/>
      <c r="E3594" s="4"/>
      <c r="F3594" s="4"/>
      <c r="H3594" s="4"/>
      <c r="I3594" s="4"/>
      <c r="K3594" s="4"/>
    </row>
    <row r="3595" spans="1:11" ht="13">
      <c r="A3595" s="4"/>
      <c r="B3595" s="4"/>
      <c r="C3595" s="4"/>
      <c r="D3595" s="4"/>
      <c r="E3595" s="4"/>
      <c r="F3595" s="4"/>
      <c r="H3595" s="4"/>
      <c r="I3595" s="4"/>
      <c r="K3595" s="4"/>
    </row>
    <row r="3596" spans="1:11" ht="13">
      <c r="A3596" s="4"/>
      <c r="B3596" s="4"/>
      <c r="C3596" s="4"/>
      <c r="D3596" s="4"/>
      <c r="E3596" s="4"/>
      <c r="F3596" s="4"/>
      <c r="H3596" s="4"/>
      <c r="I3596" s="4"/>
      <c r="K3596" s="4"/>
    </row>
    <row r="3597" spans="1:11" ht="13">
      <c r="A3597" s="4"/>
      <c r="B3597" s="4"/>
      <c r="C3597" s="4"/>
      <c r="D3597" s="4"/>
      <c r="E3597" s="4"/>
      <c r="F3597" s="4"/>
      <c r="H3597" s="4"/>
      <c r="I3597" s="4"/>
      <c r="K3597" s="4"/>
    </row>
    <row r="3598" spans="1:11" ht="13">
      <c r="A3598" s="4"/>
      <c r="B3598" s="4"/>
      <c r="C3598" s="4"/>
      <c r="D3598" s="4"/>
      <c r="E3598" s="4"/>
      <c r="F3598" s="4"/>
      <c r="H3598" s="4"/>
      <c r="I3598" s="4"/>
      <c r="K3598" s="4"/>
    </row>
    <row r="3599" spans="1:11" ht="13">
      <c r="A3599" s="4"/>
      <c r="B3599" s="4"/>
      <c r="C3599" s="4"/>
      <c r="D3599" s="4"/>
      <c r="E3599" s="4"/>
      <c r="F3599" s="4"/>
      <c r="H3599" s="4"/>
      <c r="I3599" s="4"/>
      <c r="K3599" s="4"/>
    </row>
    <row r="3600" spans="1:11" ht="13">
      <c r="A3600" s="4"/>
      <c r="B3600" s="4"/>
      <c r="C3600" s="4"/>
      <c r="D3600" s="4"/>
      <c r="E3600" s="4"/>
      <c r="F3600" s="4"/>
      <c r="H3600" s="4"/>
      <c r="I3600" s="4"/>
      <c r="K3600" s="4"/>
    </row>
    <row r="3601" spans="1:11" ht="13">
      <c r="A3601" s="4"/>
      <c r="B3601" s="4"/>
      <c r="C3601" s="4"/>
      <c r="D3601" s="4"/>
      <c r="E3601" s="4"/>
      <c r="F3601" s="4"/>
      <c r="H3601" s="4"/>
      <c r="I3601" s="4"/>
      <c r="K3601" s="4"/>
    </row>
    <row r="3602" spans="1:11" ht="13">
      <c r="A3602" s="4"/>
      <c r="B3602" s="4"/>
      <c r="C3602" s="4"/>
      <c r="D3602" s="4"/>
      <c r="E3602" s="4"/>
      <c r="F3602" s="4"/>
      <c r="H3602" s="4"/>
      <c r="I3602" s="4"/>
      <c r="K3602" s="4"/>
    </row>
    <row r="3603" spans="1:11" ht="13">
      <c r="A3603" s="4"/>
      <c r="B3603" s="4"/>
      <c r="C3603" s="4"/>
      <c r="D3603" s="4"/>
      <c r="E3603" s="4"/>
      <c r="F3603" s="4"/>
      <c r="H3603" s="4"/>
      <c r="I3603" s="4"/>
      <c r="K3603" s="4"/>
    </row>
    <row r="3604" spans="1:11" ht="13">
      <c r="A3604" s="4"/>
      <c r="B3604" s="4"/>
      <c r="C3604" s="4"/>
      <c r="D3604" s="4"/>
      <c r="E3604" s="4"/>
      <c r="F3604" s="4"/>
      <c r="H3604" s="4"/>
      <c r="I3604" s="4"/>
      <c r="K3604" s="4"/>
    </row>
    <row r="3605" spans="1:11" ht="13">
      <c r="A3605" s="4"/>
      <c r="B3605" s="4"/>
      <c r="C3605" s="4"/>
      <c r="D3605" s="4"/>
      <c r="E3605" s="4"/>
      <c r="F3605" s="4"/>
      <c r="H3605" s="4"/>
      <c r="I3605" s="4"/>
      <c r="K3605" s="4"/>
    </row>
    <row r="3606" spans="1:11" ht="13">
      <c r="A3606" s="4"/>
      <c r="B3606" s="4"/>
      <c r="C3606" s="4"/>
      <c r="D3606" s="4"/>
      <c r="E3606" s="4"/>
      <c r="F3606" s="4"/>
      <c r="H3606" s="4"/>
      <c r="I3606" s="4"/>
      <c r="K3606" s="4"/>
    </row>
    <row r="3607" spans="1:11" ht="13">
      <c r="A3607" s="4"/>
      <c r="B3607" s="4"/>
      <c r="C3607" s="4"/>
      <c r="D3607" s="4"/>
      <c r="E3607" s="4"/>
      <c r="F3607" s="4"/>
      <c r="H3607" s="4"/>
      <c r="I3607" s="4"/>
      <c r="K3607" s="4"/>
    </row>
    <row r="3608" spans="1:11" ht="13">
      <c r="A3608" s="4"/>
      <c r="B3608" s="4"/>
      <c r="C3608" s="4"/>
      <c r="D3608" s="4"/>
      <c r="E3608" s="4"/>
      <c r="F3608" s="4"/>
      <c r="H3608" s="4"/>
      <c r="I3608" s="4"/>
      <c r="K3608" s="4"/>
    </row>
    <row r="3609" spans="1:11" ht="13">
      <c r="A3609" s="4"/>
      <c r="B3609" s="4"/>
      <c r="C3609" s="4"/>
      <c r="D3609" s="4"/>
      <c r="E3609" s="4"/>
      <c r="F3609" s="4"/>
      <c r="H3609" s="4"/>
      <c r="I3609" s="4"/>
      <c r="K3609" s="4"/>
    </row>
    <row r="3610" spans="1:11" ht="13">
      <c r="A3610" s="4"/>
      <c r="B3610" s="4"/>
      <c r="C3610" s="4"/>
      <c r="D3610" s="4"/>
      <c r="E3610" s="4"/>
      <c r="F3610" s="4"/>
      <c r="H3610" s="4"/>
      <c r="I3610" s="4"/>
      <c r="K3610" s="4"/>
    </row>
    <row r="3611" spans="1:11" ht="13">
      <c r="A3611" s="4"/>
      <c r="B3611" s="4"/>
      <c r="C3611" s="4"/>
      <c r="D3611" s="4"/>
      <c r="E3611" s="4"/>
      <c r="F3611" s="4"/>
      <c r="H3611" s="4"/>
      <c r="I3611" s="4"/>
      <c r="K3611" s="4"/>
    </row>
    <row r="3612" spans="1:11" ht="13">
      <c r="A3612" s="4"/>
      <c r="B3612" s="4"/>
      <c r="C3612" s="4"/>
      <c r="D3612" s="4"/>
      <c r="E3612" s="4"/>
      <c r="F3612" s="4"/>
      <c r="H3612" s="4"/>
      <c r="I3612" s="4"/>
      <c r="K3612" s="4"/>
    </row>
    <row r="3613" spans="1:11" ht="13">
      <c r="A3613" s="4"/>
      <c r="B3613" s="4"/>
      <c r="C3613" s="4"/>
      <c r="D3613" s="4"/>
      <c r="E3613" s="4"/>
      <c r="F3613" s="4"/>
      <c r="H3613" s="4"/>
      <c r="I3613" s="4"/>
      <c r="K3613" s="4"/>
    </row>
    <row r="3614" spans="1:11" ht="13">
      <c r="A3614" s="4"/>
      <c r="B3614" s="4"/>
      <c r="C3614" s="4"/>
      <c r="D3614" s="4"/>
      <c r="E3614" s="4"/>
      <c r="F3614" s="4"/>
      <c r="H3614" s="4"/>
      <c r="I3614" s="4"/>
      <c r="K3614" s="4"/>
    </row>
    <row r="3615" spans="1:11" ht="13">
      <c r="A3615" s="4"/>
      <c r="B3615" s="4"/>
      <c r="C3615" s="4"/>
      <c r="D3615" s="4"/>
      <c r="E3615" s="4"/>
      <c r="F3615" s="4"/>
      <c r="H3615" s="4"/>
      <c r="I3615" s="4"/>
      <c r="K3615" s="4"/>
    </row>
    <row r="3616" spans="1:11" ht="13">
      <c r="A3616" s="4"/>
      <c r="B3616" s="4"/>
      <c r="C3616" s="4"/>
      <c r="D3616" s="4"/>
      <c r="E3616" s="4"/>
      <c r="F3616" s="4"/>
      <c r="H3616" s="4"/>
      <c r="I3616" s="4"/>
      <c r="K3616" s="4"/>
    </row>
    <row r="3617" spans="1:11" ht="13">
      <c r="A3617" s="4"/>
      <c r="B3617" s="4"/>
      <c r="C3617" s="4"/>
      <c r="D3617" s="4"/>
      <c r="E3617" s="4"/>
      <c r="F3617" s="4"/>
      <c r="H3617" s="4"/>
      <c r="I3617" s="4"/>
      <c r="K3617" s="4"/>
    </row>
    <row r="3618" spans="1:11" ht="13">
      <c r="A3618" s="4"/>
      <c r="B3618" s="4"/>
      <c r="C3618" s="4"/>
      <c r="D3618" s="4"/>
      <c r="E3618" s="4"/>
      <c r="F3618" s="4"/>
      <c r="H3618" s="4"/>
      <c r="I3618" s="4"/>
      <c r="K3618" s="4"/>
    </row>
    <row r="3619" spans="1:11" ht="13">
      <c r="A3619" s="4"/>
      <c r="B3619" s="4"/>
      <c r="C3619" s="4"/>
      <c r="D3619" s="4"/>
      <c r="E3619" s="4"/>
      <c r="F3619" s="4"/>
      <c r="H3619" s="4"/>
      <c r="I3619" s="4"/>
      <c r="K3619" s="4"/>
    </row>
    <row r="3620" spans="1:11" ht="13">
      <c r="A3620" s="4"/>
      <c r="B3620" s="4"/>
      <c r="C3620" s="4"/>
      <c r="D3620" s="4"/>
      <c r="E3620" s="4"/>
      <c r="F3620" s="4"/>
      <c r="H3620" s="4"/>
      <c r="I3620" s="4"/>
      <c r="K3620" s="4"/>
    </row>
    <row r="3621" spans="1:11" ht="13">
      <c r="A3621" s="4"/>
      <c r="B3621" s="4"/>
      <c r="C3621" s="4"/>
      <c r="D3621" s="4"/>
      <c r="E3621" s="4"/>
      <c r="F3621" s="4"/>
      <c r="H3621" s="4"/>
      <c r="I3621" s="4"/>
      <c r="K3621" s="4"/>
    </row>
    <row r="3622" spans="1:11" ht="13">
      <c r="A3622" s="4"/>
      <c r="B3622" s="4"/>
      <c r="C3622" s="4"/>
      <c r="D3622" s="4"/>
      <c r="E3622" s="4"/>
      <c r="F3622" s="4"/>
      <c r="H3622" s="4"/>
      <c r="I3622" s="4"/>
      <c r="K3622" s="4"/>
    </row>
    <row r="3623" spans="1:11" ht="13">
      <c r="A3623" s="4"/>
      <c r="B3623" s="4"/>
      <c r="C3623" s="4"/>
      <c r="D3623" s="4"/>
      <c r="E3623" s="4"/>
      <c r="F3623" s="4"/>
      <c r="H3623" s="4"/>
      <c r="I3623" s="4"/>
      <c r="K3623" s="4"/>
    </row>
    <row r="3624" spans="1:11" ht="13">
      <c r="A3624" s="4"/>
      <c r="B3624" s="4"/>
      <c r="C3624" s="4"/>
      <c r="D3624" s="4"/>
      <c r="E3624" s="4"/>
      <c r="F3624" s="4"/>
      <c r="H3624" s="4"/>
      <c r="I3624" s="4"/>
      <c r="K3624" s="4"/>
    </row>
    <row r="3625" spans="1:11" ht="13">
      <c r="A3625" s="4"/>
      <c r="B3625" s="4"/>
      <c r="C3625" s="4"/>
      <c r="D3625" s="4"/>
      <c r="E3625" s="4"/>
      <c r="F3625" s="4"/>
      <c r="H3625" s="4"/>
      <c r="I3625" s="4"/>
      <c r="K3625" s="4"/>
    </row>
    <row r="3626" spans="1:11" ht="13">
      <c r="A3626" s="4"/>
      <c r="B3626" s="4"/>
      <c r="C3626" s="4"/>
      <c r="D3626" s="4"/>
      <c r="E3626" s="4"/>
      <c r="F3626" s="4"/>
      <c r="H3626" s="4"/>
      <c r="I3626" s="4"/>
      <c r="K3626" s="4"/>
    </row>
    <row r="3627" spans="1:11" ht="13">
      <c r="A3627" s="4"/>
      <c r="B3627" s="4"/>
      <c r="C3627" s="4"/>
      <c r="D3627" s="4"/>
      <c r="E3627" s="4"/>
      <c r="F3627" s="4"/>
      <c r="H3627" s="4"/>
      <c r="I3627" s="4"/>
      <c r="K3627" s="4"/>
    </row>
    <row r="3628" spans="1:11" ht="13">
      <c r="A3628" s="4"/>
      <c r="B3628" s="4"/>
      <c r="C3628" s="4"/>
      <c r="D3628" s="4"/>
      <c r="E3628" s="4"/>
      <c r="F3628" s="4"/>
      <c r="H3628" s="4"/>
      <c r="I3628" s="4"/>
      <c r="K3628" s="4"/>
    </row>
    <row r="3629" spans="1:11" ht="13">
      <c r="A3629" s="4"/>
      <c r="B3629" s="4"/>
      <c r="C3629" s="4"/>
      <c r="D3629" s="4"/>
      <c r="E3629" s="4"/>
      <c r="F3629" s="4"/>
      <c r="H3629" s="4"/>
      <c r="I3629" s="4"/>
      <c r="K3629" s="4"/>
    </row>
    <row r="3630" spans="1:11" ht="13">
      <c r="A3630" s="4"/>
      <c r="B3630" s="4"/>
      <c r="C3630" s="4"/>
      <c r="D3630" s="4"/>
      <c r="E3630" s="4"/>
      <c r="F3630" s="4"/>
      <c r="H3630" s="4"/>
      <c r="I3630" s="4"/>
      <c r="K3630" s="4"/>
    </row>
    <row r="3631" spans="1:11" ht="13">
      <c r="A3631" s="4"/>
      <c r="B3631" s="4"/>
      <c r="C3631" s="4"/>
      <c r="D3631" s="4"/>
      <c r="E3631" s="4"/>
      <c r="F3631" s="4"/>
      <c r="H3631" s="4"/>
      <c r="I3631" s="4"/>
      <c r="K3631" s="4"/>
    </row>
    <row r="3632" spans="1:11" ht="13">
      <c r="A3632" s="4"/>
      <c r="B3632" s="4"/>
      <c r="C3632" s="4"/>
      <c r="D3632" s="4"/>
      <c r="E3632" s="4"/>
      <c r="F3632" s="4"/>
      <c r="H3632" s="4"/>
      <c r="I3632" s="4"/>
      <c r="K3632" s="4"/>
    </row>
    <row r="3633" spans="1:11" ht="13">
      <c r="A3633" s="4"/>
      <c r="B3633" s="4"/>
      <c r="C3633" s="4"/>
      <c r="D3633" s="4"/>
      <c r="E3633" s="4"/>
      <c r="F3633" s="4"/>
      <c r="H3633" s="4"/>
      <c r="I3633" s="4"/>
      <c r="K3633" s="4"/>
    </row>
    <row r="3634" spans="1:11" ht="13">
      <c r="A3634" s="4"/>
      <c r="B3634" s="4"/>
      <c r="C3634" s="4"/>
      <c r="D3634" s="4"/>
      <c r="E3634" s="4"/>
      <c r="F3634" s="4"/>
      <c r="H3634" s="4"/>
      <c r="I3634" s="4"/>
      <c r="K3634" s="4"/>
    </row>
    <row r="3635" spans="1:11" ht="13">
      <c r="A3635" s="4"/>
      <c r="B3635" s="4"/>
      <c r="C3635" s="4"/>
      <c r="D3635" s="4"/>
      <c r="E3635" s="4"/>
      <c r="F3635" s="4"/>
      <c r="H3635" s="4"/>
      <c r="I3635" s="4"/>
      <c r="K3635" s="4"/>
    </row>
    <row r="3636" spans="1:11" ht="13">
      <c r="A3636" s="4"/>
      <c r="B3636" s="4"/>
      <c r="C3636" s="4"/>
      <c r="D3636" s="4"/>
      <c r="E3636" s="4"/>
      <c r="F3636" s="4"/>
      <c r="H3636" s="4"/>
      <c r="I3636" s="4"/>
      <c r="K3636" s="4"/>
    </row>
    <row r="3637" spans="1:11" ht="13">
      <c r="A3637" s="4"/>
      <c r="B3637" s="4"/>
      <c r="C3637" s="4"/>
      <c r="D3637" s="4"/>
      <c r="E3637" s="4"/>
      <c r="F3637" s="4"/>
      <c r="H3637" s="4"/>
      <c r="I3637" s="4"/>
      <c r="K3637" s="4"/>
    </row>
    <row r="3638" spans="1:11" ht="13">
      <c r="A3638" s="4"/>
      <c r="B3638" s="4"/>
      <c r="C3638" s="4"/>
      <c r="D3638" s="4"/>
      <c r="E3638" s="4"/>
      <c r="F3638" s="4"/>
      <c r="H3638" s="4"/>
      <c r="I3638" s="4"/>
      <c r="K3638" s="4"/>
    </row>
    <row r="3639" spans="1:11" ht="13">
      <c r="A3639" s="4"/>
      <c r="B3639" s="4"/>
      <c r="C3639" s="4"/>
      <c r="D3639" s="4"/>
      <c r="E3639" s="4"/>
      <c r="F3639" s="4"/>
      <c r="H3639" s="4"/>
      <c r="I3639" s="4"/>
      <c r="K3639" s="4"/>
    </row>
    <row r="3640" spans="1:11" ht="13">
      <c r="A3640" s="4"/>
      <c r="B3640" s="4"/>
      <c r="C3640" s="4"/>
      <c r="D3640" s="4"/>
      <c r="E3640" s="4"/>
      <c r="F3640" s="4"/>
      <c r="H3640" s="4"/>
      <c r="I3640" s="4"/>
      <c r="K3640" s="4"/>
    </row>
  </sheetData>
  <sortState xmlns:xlrd2="http://schemas.microsoft.com/office/spreadsheetml/2017/richdata2" ref="A2:P3640">
    <sortCondition descending="1" ref="K1:K3640"/>
  </sortState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" sqref="H2"/>
    </sheetView>
  </sheetViews>
  <sheetFormatPr baseColWidth="10" defaultColWidth="14.5" defaultRowHeight="15.75" customHeight="1"/>
  <sheetData>
    <row r="1" spans="1:12" ht="15.75" customHeight="1">
      <c r="A1" s="3" t="s">
        <v>4914</v>
      </c>
      <c r="B1" s="3" t="s">
        <v>1</v>
      </c>
      <c r="C1" s="3" t="s">
        <v>12259</v>
      </c>
      <c r="D1" s="31" t="s">
        <v>304</v>
      </c>
      <c r="E1" s="3" t="s">
        <v>12260</v>
      </c>
      <c r="F1" s="3" t="s">
        <v>12261</v>
      </c>
      <c r="G1" s="3" t="s">
        <v>4918</v>
      </c>
      <c r="H1" s="3" t="s">
        <v>12982</v>
      </c>
      <c r="I1" s="3" t="s">
        <v>12262</v>
      </c>
      <c r="J1" s="3" t="s">
        <v>12263</v>
      </c>
      <c r="K1" s="3"/>
      <c r="L1" s="11"/>
    </row>
    <row r="2" spans="1:12" ht="15.75" customHeight="1">
      <c r="A2" s="4" t="s">
        <v>11253</v>
      </c>
      <c r="B2" s="4" t="s">
        <v>20</v>
      </c>
      <c r="C2" s="4" t="s">
        <v>11254</v>
      </c>
      <c r="D2" s="40" t="s">
        <v>11255</v>
      </c>
      <c r="F2" s="4">
        <v>2.2999999999999998</v>
      </c>
      <c r="G2" s="4">
        <v>1.02</v>
      </c>
      <c r="H2" s="4">
        <v>0.22277</v>
      </c>
      <c r="I2" s="4" t="b">
        <v>0</v>
      </c>
      <c r="J2" s="4">
        <v>1</v>
      </c>
    </row>
    <row r="3" spans="1:12" ht="15.75" customHeight="1">
      <c r="A3" s="4" t="s">
        <v>11529</v>
      </c>
      <c r="B3" s="4" t="s">
        <v>19</v>
      </c>
      <c r="C3" s="4" t="s">
        <v>11530</v>
      </c>
      <c r="D3" s="40" t="s">
        <v>11531</v>
      </c>
      <c r="F3" s="4">
        <v>1.67</v>
      </c>
      <c r="G3" s="4">
        <v>1.22</v>
      </c>
      <c r="H3" s="4">
        <v>0.23713999999999999</v>
      </c>
      <c r="I3" s="4" t="b">
        <v>0</v>
      </c>
      <c r="J3" s="4">
        <v>1</v>
      </c>
    </row>
    <row r="4" spans="1:12" ht="15.75" customHeight="1">
      <c r="A4" s="4" t="s">
        <v>6340</v>
      </c>
      <c r="B4" s="4" t="s">
        <v>18</v>
      </c>
      <c r="C4" s="4" t="s">
        <v>6341</v>
      </c>
      <c r="D4" s="40" t="s">
        <v>6342</v>
      </c>
      <c r="F4" s="4">
        <v>0.79</v>
      </c>
      <c r="G4" s="4">
        <v>1.21</v>
      </c>
      <c r="H4" s="4">
        <v>0.24990999999999999</v>
      </c>
      <c r="I4" s="4" t="b">
        <v>0</v>
      </c>
      <c r="J4" s="4">
        <v>2</v>
      </c>
    </row>
    <row r="5" spans="1:12" ht="15.75" customHeight="1">
      <c r="A5" s="4" t="s">
        <v>11598</v>
      </c>
      <c r="B5" s="4" t="s">
        <v>22</v>
      </c>
      <c r="C5" s="4" t="s">
        <v>11599</v>
      </c>
      <c r="D5" s="40" t="s">
        <v>11600</v>
      </c>
      <c r="F5" s="4">
        <v>1.95</v>
      </c>
      <c r="G5" s="4">
        <v>1.1200000000000001</v>
      </c>
      <c r="H5" s="4">
        <v>0.24836</v>
      </c>
      <c r="I5" s="4" t="b">
        <v>0</v>
      </c>
      <c r="J5" s="4">
        <v>2</v>
      </c>
    </row>
    <row r="6" spans="1:12" ht="15.75" customHeight="1">
      <c r="A6" s="4" t="s">
        <v>10702</v>
      </c>
      <c r="B6" s="4" t="s">
        <v>2911</v>
      </c>
      <c r="C6" s="4" t="s">
        <v>10703</v>
      </c>
      <c r="D6" s="40" t="s">
        <v>10704</v>
      </c>
      <c r="F6" s="4">
        <v>2.85</v>
      </c>
      <c r="G6" s="4">
        <v>1.2</v>
      </c>
      <c r="H6" s="4">
        <v>0.27217999999999998</v>
      </c>
      <c r="I6" s="4" t="b">
        <v>0</v>
      </c>
      <c r="J6" s="4">
        <v>3</v>
      </c>
    </row>
    <row r="7" spans="1:12" ht="15.75" customHeight="1">
      <c r="A7" s="4" t="s">
        <v>11709</v>
      </c>
      <c r="B7" s="4" t="s">
        <v>22</v>
      </c>
      <c r="C7" s="4" t="s">
        <v>11710</v>
      </c>
      <c r="D7" s="40" t="s">
        <v>11711</v>
      </c>
      <c r="F7" s="4">
        <v>2.2799999999999998</v>
      </c>
      <c r="G7" s="4">
        <v>1.1000000000000001</v>
      </c>
      <c r="H7" s="4">
        <v>0.24659</v>
      </c>
      <c r="I7" s="4" t="b">
        <v>0</v>
      </c>
      <c r="J7" s="4">
        <v>3</v>
      </c>
    </row>
    <row r="8" spans="1:12" ht="15.75" customHeight="1">
      <c r="A8" s="4" t="s">
        <v>5624</v>
      </c>
      <c r="B8" s="4" t="s">
        <v>9</v>
      </c>
      <c r="C8" s="4" t="s">
        <v>5625</v>
      </c>
      <c r="D8" s="40" t="s">
        <v>5626</v>
      </c>
      <c r="F8" s="4">
        <v>4.3</v>
      </c>
      <c r="G8" s="4">
        <v>0.99</v>
      </c>
      <c r="H8" s="4">
        <v>0.21736</v>
      </c>
      <c r="I8" s="4" t="b">
        <v>0</v>
      </c>
      <c r="J8" s="4">
        <v>4</v>
      </c>
    </row>
    <row r="9" spans="1:12" ht="15.75" customHeight="1">
      <c r="A9" s="4" t="s">
        <v>7201</v>
      </c>
      <c r="B9" s="4" t="s">
        <v>18</v>
      </c>
      <c r="C9" s="4" t="s">
        <v>7202</v>
      </c>
      <c r="D9" s="40" t="s">
        <v>7203</v>
      </c>
      <c r="F9" s="4">
        <v>1.22</v>
      </c>
      <c r="G9" s="4">
        <v>1.22</v>
      </c>
      <c r="H9" s="4">
        <v>0.26791999999999999</v>
      </c>
      <c r="I9" s="4" t="b">
        <v>0</v>
      </c>
      <c r="J9" s="4">
        <v>4</v>
      </c>
    </row>
    <row r="10" spans="1:12" ht="15.75" customHeight="1">
      <c r="A10" s="4" t="s">
        <v>5764</v>
      </c>
      <c r="B10" s="4" t="s">
        <v>9</v>
      </c>
      <c r="C10" s="4" t="s">
        <v>5765</v>
      </c>
      <c r="D10" s="40" t="s">
        <v>5766</v>
      </c>
      <c r="F10" s="4">
        <v>4.1500000000000004</v>
      </c>
      <c r="G10" s="4">
        <v>0.94</v>
      </c>
      <c r="H10" s="4">
        <v>0.18475</v>
      </c>
      <c r="I10" s="25" t="b">
        <v>0</v>
      </c>
      <c r="J10" s="4">
        <v>5</v>
      </c>
    </row>
    <row r="11" spans="1:12" ht="15.75" customHeight="1">
      <c r="A11" s="4" t="s">
        <v>6661</v>
      </c>
      <c r="B11" s="4" t="s">
        <v>18</v>
      </c>
      <c r="C11" s="4" t="s">
        <v>6662</v>
      </c>
      <c r="D11" s="40" t="s">
        <v>6663</v>
      </c>
      <c r="F11" s="4">
        <v>1.56</v>
      </c>
      <c r="G11" s="4">
        <v>1.1399999999999999</v>
      </c>
      <c r="H11" s="4">
        <v>0.24296000000000001</v>
      </c>
      <c r="I11" s="25" t="b">
        <v>0</v>
      </c>
      <c r="J11" s="4">
        <v>5</v>
      </c>
    </row>
    <row r="12" spans="1:12" ht="15.75" customHeight="1">
      <c r="A12" s="4" t="s">
        <v>8047</v>
      </c>
      <c r="B12" s="4" t="s">
        <v>18</v>
      </c>
      <c r="C12" s="4" t="s">
        <v>8048</v>
      </c>
      <c r="D12" s="40" t="s">
        <v>3065</v>
      </c>
      <c r="F12" s="4">
        <v>1.47</v>
      </c>
      <c r="G12" s="4">
        <v>1.19</v>
      </c>
      <c r="H12" s="4">
        <v>0.28422999999999998</v>
      </c>
      <c r="I12" s="25" t="b">
        <v>0</v>
      </c>
      <c r="J12" s="4">
        <v>6</v>
      </c>
    </row>
    <row r="13" spans="1:12" ht="15.75" customHeight="1">
      <c r="A13" s="4" t="s">
        <v>3169</v>
      </c>
      <c r="B13" s="4" t="s">
        <v>2911</v>
      </c>
      <c r="C13" s="4" t="s">
        <v>5083</v>
      </c>
      <c r="D13" s="40" t="s">
        <v>3065</v>
      </c>
      <c r="E13" s="4" t="s">
        <v>4995</v>
      </c>
      <c r="F13" s="4">
        <v>2.35</v>
      </c>
      <c r="G13" s="4">
        <v>1.05</v>
      </c>
      <c r="H13" s="4">
        <v>0.22702</v>
      </c>
      <c r="I13" s="25" t="b">
        <v>1</v>
      </c>
      <c r="J13" s="4">
        <v>6</v>
      </c>
    </row>
    <row r="14" spans="1:12" ht="15.75" customHeight="1">
      <c r="A14" s="4" t="s">
        <v>8008</v>
      </c>
      <c r="B14" s="4" t="s">
        <v>18</v>
      </c>
      <c r="C14" s="4" t="s">
        <v>8009</v>
      </c>
      <c r="D14" s="40" t="s">
        <v>8010</v>
      </c>
      <c r="F14" s="4">
        <v>1.39</v>
      </c>
      <c r="G14" s="4">
        <v>1.0900000000000001</v>
      </c>
      <c r="H14" s="4">
        <v>0.27515000000000001</v>
      </c>
      <c r="I14" s="25" t="b">
        <v>0</v>
      </c>
      <c r="J14" s="4">
        <v>7</v>
      </c>
    </row>
    <row r="15" spans="1:12" ht="15.75" customHeight="1">
      <c r="A15" s="4" t="s">
        <v>10770</v>
      </c>
      <c r="B15" s="4" t="s">
        <v>2911</v>
      </c>
      <c r="C15" s="4" t="s">
        <v>10771</v>
      </c>
      <c r="D15" s="40" t="s">
        <v>10772</v>
      </c>
      <c r="F15" s="4">
        <v>1.5</v>
      </c>
      <c r="G15" s="4">
        <v>1.32</v>
      </c>
      <c r="H15" s="4">
        <v>0.21864</v>
      </c>
      <c r="I15" s="25" t="b">
        <v>0</v>
      </c>
      <c r="J15" s="4">
        <v>7</v>
      </c>
    </row>
    <row r="16" spans="1:12" ht="15.75" customHeight="1">
      <c r="A16" s="4" t="s">
        <v>8055</v>
      </c>
      <c r="B16" s="4" t="s">
        <v>18</v>
      </c>
      <c r="C16" s="4" t="s">
        <v>8056</v>
      </c>
      <c r="D16" s="40" t="s">
        <v>8057</v>
      </c>
      <c r="F16" s="4">
        <v>1.49</v>
      </c>
      <c r="G16" s="4">
        <v>1.26</v>
      </c>
      <c r="H16" s="4">
        <v>0.32197999999999999</v>
      </c>
      <c r="I16" s="25" t="b">
        <v>0</v>
      </c>
      <c r="J16" s="4">
        <v>8</v>
      </c>
    </row>
    <row r="17" spans="1:11" ht="15.75" customHeight="1">
      <c r="A17" s="4" t="s">
        <v>10881</v>
      </c>
      <c r="B17" s="4" t="s">
        <v>2911</v>
      </c>
      <c r="C17" s="4" t="s">
        <v>10882</v>
      </c>
      <c r="D17" s="40" t="s">
        <v>10883</v>
      </c>
      <c r="F17" s="4">
        <v>1.87</v>
      </c>
      <c r="G17" s="4">
        <v>1.0900000000000001</v>
      </c>
      <c r="H17" s="4">
        <v>0.22764999999999999</v>
      </c>
      <c r="I17" s="25" t="b">
        <v>0</v>
      </c>
      <c r="J17" s="4">
        <v>8</v>
      </c>
    </row>
    <row r="18" spans="1:11" ht="15.75" customHeight="1">
      <c r="A18" s="4" t="s">
        <v>8643</v>
      </c>
      <c r="B18" s="4" t="s">
        <v>18</v>
      </c>
      <c r="C18" s="4" t="s">
        <v>8644</v>
      </c>
      <c r="D18" s="40" t="s">
        <v>8645</v>
      </c>
      <c r="F18" s="4">
        <v>3.1</v>
      </c>
      <c r="G18" s="4">
        <v>1.05</v>
      </c>
      <c r="H18" s="4">
        <v>0.24743000000000001</v>
      </c>
      <c r="I18" s="25" t="b">
        <v>0</v>
      </c>
      <c r="J18" s="4">
        <v>9</v>
      </c>
    </row>
    <row r="19" spans="1:11" ht="15.75" customHeight="1">
      <c r="A19" s="4" t="s">
        <v>10046</v>
      </c>
      <c r="B19" s="4" t="s">
        <v>2911</v>
      </c>
      <c r="C19" s="4" t="s">
        <v>10047</v>
      </c>
      <c r="D19" s="40" t="s">
        <v>10048</v>
      </c>
      <c r="F19" s="4">
        <v>1.92</v>
      </c>
      <c r="G19" s="4">
        <v>1.1599999999999999</v>
      </c>
      <c r="H19" s="4">
        <v>0.25169999999999998</v>
      </c>
      <c r="I19" s="25" t="b">
        <v>0</v>
      </c>
      <c r="J19" s="4">
        <v>9</v>
      </c>
    </row>
    <row r="20" spans="1:11" ht="15.75" customHeight="1">
      <c r="A20" s="4" t="s">
        <v>6937</v>
      </c>
      <c r="B20" s="4" t="s">
        <v>18</v>
      </c>
      <c r="C20" s="4" t="s">
        <v>6938</v>
      </c>
      <c r="D20" s="40" t="s">
        <v>6939</v>
      </c>
      <c r="F20" s="4">
        <v>2.11</v>
      </c>
      <c r="G20" s="4">
        <v>1.1299999999999999</v>
      </c>
      <c r="H20" s="4">
        <v>0.23466000000000001</v>
      </c>
      <c r="I20" s="25" t="b">
        <v>0</v>
      </c>
      <c r="J20" s="4">
        <v>10</v>
      </c>
    </row>
    <row r="21" spans="1:11" ht="15.75" customHeight="1">
      <c r="A21" s="4" t="s">
        <v>10765</v>
      </c>
      <c r="B21" s="4" t="s">
        <v>2911</v>
      </c>
      <c r="C21" s="4" t="s">
        <v>10766</v>
      </c>
      <c r="D21" s="40" t="s">
        <v>6939</v>
      </c>
      <c r="F21" s="4">
        <v>1.49</v>
      </c>
      <c r="G21" s="4">
        <v>1.1499999999999999</v>
      </c>
      <c r="H21" s="4">
        <v>0.25979999999999998</v>
      </c>
      <c r="I21" s="25" t="b">
        <v>0</v>
      </c>
      <c r="J21" s="4">
        <v>10</v>
      </c>
    </row>
    <row r="22" spans="1:11" ht="15.75" customHeight="1">
      <c r="A22" s="4" t="s">
        <v>885</v>
      </c>
      <c r="B22" s="4" t="s">
        <v>9</v>
      </c>
      <c r="C22" s="4" t="s">
        <v>5042</v>
      </c>
      <c r="D22" s="40" t="s">
        <v>766</v>
      </c>
      <c r="E22" s="25" t="s">
        <v>4929</v>
      </c>
      <c r="F22" s="4">
        <v>2.82</v>
      </c>
      <c r="G22" s="4">
        <v>0.97</v>
      </c>
      <c r="H22" s="4">
        <v>0.19081999999999999</v>
      </c>
      <c r="I22" s="25" t="b">
        <v>1</v>
      </c>
      <c r="J22" s="4">
        <v>11</v>
      </c>
      <c r="K22" s="4"/>
    </row>
    <row r="23" spans="1:11" ht="15.75" customHeight="1">
      <c r="A23" s="4" t="s">
        <v>6646</v>
      </c>
      <c r="B23" s="4" t="s">
        <v>18</v>
      </c>
      <c r="C23" s="4" t="s">
        <v>6647</v>
      </c>
      <c r="D23" s="40" t="s">
        <v>6648</v>
      </c>
      <c r="F23" s="4">
        <v>1.53</v>
      </c>
      <c r="G23" s="4">
        <v>1.2</v>
      </c>
      <c r="H23" s="4">
        <v>0.23172999999999999</v>
      </c>
      <c r="I23" s="25" t="b">
        <v>0</v>
      </c>
      <c r="J23" s="4">
        <v>11</v>
      </c>
    </row>
    <row r="24" spans="1:11" ht="15.75" customHeight="1">
      <c r="A24" s="4" t="s">
        <v>9956</v>
      </c>
      <c r="B24" s="4" t="s">
        <v>2911</v>
      </c>
      <c r="C24" s="4" t="s">
        <v>9957</v>
      </c>
      <c r="D24" s="40" t="s">
        <v>9958</v>
      </c>
      <c r="F24" s="4">
        <v>1.57</v>
      </c>
      <c r="G24" s="4">
        <v>1.1100000000000001</v>
      </c>
      <c r="H24" s="4">
        <v>0.23003999999999999</v>
      </c>
      <c r="I24" s="25" t="b">
        <v>0</v>
      </c>
      <c r="J24" s="4">
        <v>12</v>
      </c>
    </row>
    <row r="25" spans="1:11" ht="15.75" customHeight="1">
      <c r="A25" s="4" t="s">
        <v>11769</v>
      </c>
      <c r="B25" s="4" t="s">
        <v>22</v>
      </c>
      <c r="C25" s="4" t="s">
        <v>11770</v>
      </c>
      <c r="D25" s="40" t="s">
        <v>11771</v>
      </c>
      <c r="F25" s="4">
        <v>2.46</v>
      </c>
      <c r="G25" s="4">
        <v>1.0900000000000001</v>
      </c>
      <c r="H25" s="4">
        <v>0.23648</v>
      </c>
      <c r="I25" s="25" t="b">
        <v>0</v>
      </c>
      <c r="J25" s="4">
        <v>12</v>
      </c>
    </row>
    <row r="26" spans="1:11" ht="15.75" customHeight="1">
      <c r="A26" s="4" t="s">
        <v>8574</v>
      </c>
      <c r="B26" s="4" t="s">
        <v>18</v>
      </c>
      <c r="C26" s="4" t="s">
        <v>8575</v>
      </c>
      <c r="D26" s="40" t="s">
        <v>8576</v>
      </c>
      <c r="F26" s="4">
        <v>2.95</v>
      </c>
      <c r="G26" s="4">
        <v>1.06</v>
      </c>
      <c r="H26" s="4">
        <v>0.26860000000000001</v>
      </c>
      <c r="I26" s="25" t="b">
        <v>0</v>
      </c>
      <c r="J26" s="4">
        <v>13</v>
      </c>
    </row>
    <row r="27" spans="1:11" ht="15.75" customHeight="1">
      <c r="A27" s="4" t="s">
        <v>10391</v>
      </c>
      <c r="B27" s="4" t="s">
        <v>2911</v>
      </c>
      <c r="C27" s="4" t="s">
        <v>10392</v>
      </c>
      <c r="D27" s="40" t="s">
        <v>8576</v>
      </c>
      <c r="F27" s="4">
        <v>1.93</v>
      </c>
      <c r="G27" s="4">
        <v>1.35</v>
      </c>
      <c r="H27" s="4">
        <v>0.31641999999999998</v>
      </c>
      <c r="I27" s="25" t="b">
        <v>0</v>
      </c>
      <c r="J27" s="4">
        <v>13</v>
      </c>
    </row>
    <row r="28" spans="1:11" ht="15.75" customHeight="1">
      <c r="A28" s="4" t="s">
        <v>5494</v>
      </c>
      <c r="B28" s="4" t="s">
        <v>9</v>
      </c>
      <c r="C28" s="4" t="s">
        <v>5495</v>
      </c>
      <c r="D28" s="40" t="s">
        <v>5496</v>
      </c>
      <c r="F28" s="4">
        <v>2.35</v>
      </c>
      <c r="G28" s="4">
        <v>1.01</v>
      </c>
      <c r="H28" s="4">
        <v>0.19807</v>
      </c>
      <c r="I28" s="25" t="b">
        <v>0</v>
      </c>
      <c r="J28" s="4">
        <v>14</v>
      </c>
    </row>
    <row r="29" spans="1:11" ht="15.75" customHeight="1">
      <c r="A29" s="4" t="s">
        <v>6793</v>
      </c>
      <c r="B29" s="4" t="s">
        <v>18</v>
      </c>
      <c r="C29" s="4" t="s">
        <v>6794</v>
      </c>
      <c r="D29" s="40" t="s">
        <v>6795</v>
      </c>
      <c r="F29" s="4">
        <v>1.79</v>
      </c>
      <c r="G29" s="4">
        <v>1.06</v>
      </c>
      <c r="H29" s="4">
        <v>0.2374</v>
      </c>
      <c r="I29" s="25" t="b">
        <v>0</v>
      </c>
      <c r="J29" s="4">
        <v>14</v>
      </c>
    </row>
    <row r="30" spans="1:11" ht="15.75" customHeight="1">
      <c r="A30" s="4" t="s">
        <v>7480</v>
      </c>
      <c r="B30" s="4" t="s">
        <v>18</v>
      </c>
      <c r="C30" s="4" t="s">
        <v>7481</v>
      </c>
      <c r="D30" s="40" t="s">
        <v>7482</v>
      </c>
      <c r="F30" s="4">
        <v>1.76</v>
      </c>
      <c r="G30" s="4">
        <v>1.1499999999999999</v>
      </c>
      <c r="H30" s="4">
        <v>0.27500000000000002</v>
      </c>
      <c r="I30" s="25" t="b">
        <v>0</v>
      </c>
      <c r="J30" s="4">
        <v>15</v>
      </c>
    </row>
    <row r="31" spans="1:11" ht="15.75" customHeight="1">
      <c r="A31" s="4" t="s">
        <v>10393</v>
      </c>
      <c r="B31" s="4" t="s">
        <v>2911</v>
      </c>
      <c r="C31" s="4" t="s">
        <v>10394</v>
      </c>
      <c r="D31" s="40" t="s">
        <v>10395</v>
      </c>
      <c r="F31" s="4">
        <v>1.94</v>
      </c>
      <c r="G31" s="4">
        <v>1.1200000000000001</v>
      </c>
      <c r="H31" s="4">
        <v>0.24582999999999999</v>
      </c>
      <c r="I31" s="25" t="b">
        <v>0</v>
      </c>
      <c r="J31" s="4">
        <v>15</v>
      </c>
    </row>
    <row r="32" spans="1:11" ht="15.75" customHeight="1">
      <c r="A32" s="4" t="s">
        <v>8038</v>
      </c>
      <c r="B32" s="4" t="s">
        <v>18</v>
      </c>
      <c r="C32" s="4" t="s">
        <v>8039</v>
      </c>
      <c r="D32" s="40" t="s">
        <v>8040</v>
      </c>
      <c r="F32" s="4">
        <v>1.45</v>
      </c>
      <c r="G32" s="4">
        <v>1.1499999999999999</v>
      </c>
      <c r="H32" s="4">
        <v>0.28332000000000002</v>
      </c>
      <c r="I32" s="25" t="b">
        <v>0</v>
      </c>
      <c r="J32" s="4">
        <v>16</v>
      </c>
    </row>
    <row r="33" spans="1:11" ht="15.75" customHeight="1">
      <c r="A33" s="4" t="s">
        <v>9507</v>
      </c>
      <c r="B33" s="4" t="s">
        <v>2911</v>
      </c>
      <c r="C33" s="4" t="s">
        <v>9508</v>
      </c>
      <c r="D33" s="40" t="s">
        <v>8040</v>
      </c>
      <c r="F33" s="4">
        <v>1.44</v>
      </c>
      <c r="G33" s="4">
        <v>1.1100000000000001</v>
      </c>
      <c r="H33" s="4">
        <v>0.23685999999999999</v>
      </c>
      <c r="I33" s="25" t="b">
        <v>0</v>
      </c>
      <c r="J33" s="4">
        <v>16</v>
      </c>
    </row>
    <row r="34" spans="1:11" ht="15.75" customHeight="1">
      <c r="A34" s="4" t="s">
        <v>8778</v>
      </c>
      <c r="B34" s="4" t="s">
        <v>18</v>
      </c>
      <c r="C34" s="4" t="s">
        <v>8779</v>
      </c>
      <c r="D34" s="40" t="s">
        <v>8780</v>
      </c>
      <c r="F34" s="4">
        <v>0.31</v>
      </c>
      <c r="G34" s="4">
        <v>1.1299999999999999</v>
      </c>
      <c r="H34" s="4">
        <v>0.28406999999999999</v>
      </c>
      <c r="I34" s="25" t="b">
        <v>0</v>
      </c>
      <c r="J34" s="4">
        <v>17</v>
      </c>
    </row>
    <row r="35" spans="1:11" ht="15.75" customHeight="1">
      <c r="A35" s="4" t="s">
        <v>10435</v>
      </c>
      <c r="B35" s="4" t="s">
        <v>2911</v>
      </c>
      <c r="C35" s="4" t="s">
        <v>10436</v>
      </c>
      <c r="D35" s="40" t="s">
        <v>10437</v>
      </c>
      <c r="F35" s="4">
        <v>2.06</v>
      </c>
      <c r="G35" s="4">
        <v>1.08</v>
      </c>
      <c r="H35" s="4">
        <v>0.24354000000000001</v>
      </c>
      <c r="I35" s="25" t="b">
        <v>0</v>
      </c>
      <c r="J35" s="4">
        <v>17</v>
      </c>
    </row>
    <row r="36" spans="1:11" ht="15.75" customHeight="1">
      <c r="A36" s="4" t="s">
        <v>5755</v>
      </c>
      <c r="B36" s="4" t="s">
        <v>9</v>
      </c>
      <c r="C36" s="4" t="s">
        <v>5756</v>
      </c>
      <c r="D36" s="40" t="s">
        <v>5757</v>
      </c>
      <c r="F36" s="4">
        <v>4.07</v>
      </c>
      <c r="G36" s="4">
        <v>0.94</v>
      </c>
      <c r="H36" s="4">
        <v>0.18049000000000001</v>
      </c>
      <c r="I36" s="25" t="b">
        <v>0</v>
      </c>
      <c r="J36" s="4">
        <v>18</v>
      </c>
    </row>
    <row r="37" spans="1:11" ht="15.75" customHeight="1">
      <c r="A37" s="4" t="s">
        <v>7162</v>
      </c>
      <c r="B37" s="4" t="s">
        <v>18</v>
      </c>
      <c r="C37" s="4" t="s">
        <v>7163</v>
      </c>
      <c r="D37" s="40" t="s">
        <v>7164</v>
      </c>
      <c r="F37" s="4">
        <v>1.1599999999999999</v>
      </c>
      <c r="G37" s="4">
        <v>1.1000000000000001</v>
      </c>
      <c r="H37" s="4">
        <v>0.24526000000000001</v>
      </c>
      <c r="I37" s="25" t="b">
        <v>0</v>
      </c>
      <c r="J37" s="4">
        <v>18</v>
      </c>
    </row>
    <row r="38" spans="1:11" ht="15.75" customHeight="1">
      <c r="A38" s="4" t="s">
        <v>7291</v>
      </c>
      <c r="B38" s="4" t="s">
        <v>18</v>
      </c>
      <c r="C38" s="4" t="s">
        <v>7292</v>
      </c>
      <c r="D38" s="40" t="s">
        <v>7293</v>
      </c>
      <c r="F38" s="4">
        <v>1.34</v>
      </c>
      <c r="G38" s="4">
        <v>1.06</v>
      </c>
      <c r="H38" s="4">
        <v>0.24113000000000001</v>
      </c>
      <c r="I38" s="25" t="b">
        <v>0</v>
      </c>
      <c r="J38" s="4">
        <v>19</v>
      </c>
    </row>
    <row r="39" spans="1:11" ht="15.75" customHeight="1">
      <c r="A39" s="4" t="s">
        <v>10283</v>
      </c>
      <c r="B39" s="4" t="s">
        <v>2911</v>
      </c>
      <c r="C39" s="4" t="s">
        <v>10284</v>
      </c>
      <c r="D39" s="40" t="s">
        <v>10285</v>
      </c>
      <c r="F39" s="4">
        <v>2.69</v>
      </c>
      <c r="G39" s="4">
        <v>1.1000000000000001</v>
      </c>
      <c r="H39" s="4">
        <v>0.24206</v>
      </c>
      <c r="I39" s="25" t="b">
        <v>0</v>
      </c>
      <c r="J39" s="4">
        <v>19</v>
      </c>
    </row>
    <row r="40" spans="1:11" ht="15.75" customHeight="1">
      <c r="A40" s="4" t="s">
        <v>824</v>
      </c>
      <c r="B40" s="4" t="s">
        <v>9</v>
      </c>
      <c r="C40" s="4" t="s">
        <v>4948</v>
      </c>
      <c r="D40" s="40" t="s">
        <v>710</v>
      </c>
      <c r="E40" s="25" t="s">
        <v>4929</v>
      </c>
      <c r="F40" s="4">
        <v>3.45</v>
      </c>
      <c r="G40" s="4">
        <v>1.03</v>
      </c>
      <c r="H40" s="4">
        <v>0.19972000000000001</v>
      </c>
      <c r="I40" s="25" t="b">
        <v>1</v>
      </c>
      <c r="J40" s="4">
        <v>20</v>
      </c>
      <c r="K40" s="4"/>
    </row>
    <row r="41" spans="1:11" ht="15.75" customHeight="1">
      <c r="A41" s="4" t="s">
        <v>11811</v>
      </c>
      <c r="B41" s="4" t="s">
        <v>22</v>
      </c>
      <c r="C41" s="4" t="s">
        <v>11812</v>
      </c>
      <c r="D41" s="40" t="s">
        <v>11813</v>
      </c>
      <c r="F41" s="4">
        <v>2.56</v>
      </c>
      <c r="G41" s="4">
        <v>1.06</v>
      </c>
      <c r="H41" s="4">
        <v>0.22539000000000001</v>
      </c>
      <c r="I41" s="25" t="b">
        <v>0</v>
      </c>
      <c r="J41" s="4">
        <v>20</v>
      </c>
    </row>
    <row r="42" spans="1:11" ht="15.75" customHeight="1">
      <c r="A42" s="4" t="s">
        <v>8298</v>
      </c>
      <c r="B42" s="4" t="s">
        <v>18</v>
      </c>
      <c r="C42" s="4" t="s">
        <v>8299</v>
      </c>
      <c r="D42" s="40" t="s">
        <v>8300</v>
      </c>
      <c r="F42" s="4">
        <v>2.2200000000000002</v>
      </c>
      <c r="G42" s="4">
        <v>1.2</v>
      </c>
      <c r="H42" s="4">
        <v>0.26406000000000002</v>
      </c>
      <c r="I42" s="25" t="b">
        <v>0</v>
      </c>
      <c r="J42" s="4">
        <v>21</v>
      </c>
    </row>
    <row r="43" spans="1:11" ht="15.75" customHeight="1">
      <c r="A43" s="4" t="s">
        <v>10265</v>
      </c>
      <c r="B43" s="4" t="s">
        <v>2911</v>
      </c>
      <c r="C43" s="4" t="s">
        <v>10266</v>
      </c>
      <c r="D43" s="40" t="s">
        <v>10267</v>
      </c>
      <c r="F43" s="4">
        <v>2.63</v>
      </c>
      <c r="G43" s="4">
        <v>1.1299999999999999</v>
      </c>
      <c r="H43" s="4">
        <v>0.23918</v>
      </c>
      <c r="I43" s="25" t="b">
        <v>0</v>
      </c>
      <c r="J43" s="4">
        <v>21</v>
      </c>
    </row>
    <row r="44" spans="1:11" ht="15.75" customHeight="1">
      <c r="A44" s="4" t="s">
        <v>5681</v>
      </c>
      <c r="B44" s="4" t="s">
        <v>9</v>
      </c>
      <c r="C44" s="4" t="s">
        <v>5682</v>
      </c>
      <c r="D44" s="40" t="s">
        <v>5683</v>
      </c>
      <c r="F44" s="4">
        <v>2.4300000000000002</v>
      </c>
      <c r="G44" s="4">
        <v>0.98</v>
      </c>
      <c r="H44" s="4">
        <v>0.18941</v>
      </c>
      <c r="I44" s="25" t="b">
        <v>0</v>
      </c>
      <c r="J44" s="4">
        <v>22</v>
      </c>
    </row>
    <row r="45" spans="1:11" ht="15.75" customHeight="1">
      <c r="A45" s="4" t="s">
        <v>6610</v>
      </c>
      <c r="B45" s="4" t="s">
        <v>18</v>
      </c>
      <c r="C45" s="4" t="s">
        <v>6611</v>
      </c>
      <c r="D45" s="40" t="s">
        <v>6612</v>
      </c>
      <c r="F45" s="4">
        <v>1.47</v>
      </c>
      <c r="G45" s="4">
        <v>1.05</v>
      </c>
      <c r="H45" s="4">
        <v>0.23974999999999999</v>
      </c>
      <c r="I45" s="25" t="b">
        <v>0</v>
      </c>
      <c r="J45" s="4">
        <v>22</v>
      </c>
    </row>
    <row r="46" spans="1:11" ht="15.75" customHeight="1">
      <c r="A46" s="4" t="s">
        <v>7687</v>
      </c>
      <c r="B46" s="4" t="s">
        <v>18</v>
      </c>
      <c r="C46" s="4" t="s">
        <v>7688</v>
      </c>
      <c r="D46" s="40" t="s">
        <v>7689</v>
      </c>
      <c r="F46" s="4">
        <v>2.39</v>
      </c>
      <c r="G46" s="4">
        <v>1.06</v>
      </c>
      <c r="H46" s="4">
        <v>0.25613000000000002</v>
      </c>
      <c r="I46" s="25" t="b">
        <v>0</v>
      </c>
      <c r="J46" s="4">
        <v>23</v>
      </c>
    </row>
    <row r="47" spans="1:11" ht="15.75" customHeight="1">
      <c r="A47" s="4" t="s">
        <v>10872</v>
      </c>
      <c r="B47" s="4" t="s">
        <v>2911</v>
      </c>
      <c r="C47" s="4" t="s">
        <v>10873</v>
      </c>
      <c r="D47" s="40" t="s">
        <v>10874</v>
      </c>
      <c r="F47" s="4">
        <v>1.84</v>
      </c>
      <c r="G47" s="4">
        <v>1.04</v>
      </c>
      <c r="H47" s="4">
        <v>0.22434999999999999</v>
      </c>
      <c r="I47" s="25" t="b">
        <v>0</v>
      </c>
      <c r="J47" s="4">
        <v>23</v>
      </c>
    </row>
    <row r="48" spans="1:11" ht="15.75" customHeight="1">
      <c r="A48" s="4" t="s">
        <v>876</v>
      </c>
      <c r="B48" s="4" t="s">
        <v>9</v>
      </c>
      <c r="C48" s="4" t="s">
        <v>5037</v>
      </c>
      <c r="D48" s="40" t="s">
        <v>757</v>
      </c>
      <c r="E48" s="25" t="s">
        <v>4929</v>
      </c>
      <c r="F48" s="4">
        <v>4.18</v>
      </c>
      <c r="G48" s="4">
        <v>0.97</v>
      </c>
      <c r="H48" s="4">
        <v>0.18876999999999999</v>
      </c>
      <c r="I48" s="25" t="b">
        <v>1</v>
      </c>
      <c r="J48" s="4">
        <v>24</v>
      </c>
      <c r="K48" s="4"/>
    </row>
    <row r="49" spans="1:11" ht="15.75" customHeight="1">
      <c r="A49" s="4" t="s">
        <v>6469</v>
      </c>
      <c r="B49" s="4" t="s">
        <v>18</v>
      </c>
      <c r="C49" s="4" t="s">
        <v>6470</v>
      </c>
      <c r="D49" s="40" t="s">
        <v>6471</v>
      </c>
      <c r="F49" s="4">
        <v>1.03</v>
      </c>
      <c r="G49" s="4">
        <v>1.18</v>
      </c>
      <c r="H49" s="4">
        <v>0.25025999999999998</v>
      </c>
      <c r="I49" s="25" t="b">
        <v>0</v>
      </c>
      <c r="J49" s="4">
        <v>24</v>
      </c>
    </row>
    <row r="50" spans="1:11" ht="15.75" customHeight="1">
      <c r="A50" s="4" t="s">
        <v>5396</v>
      </c>
      <c r="B50" s="4" t="s">
        <v>9</v>
      </c>
      <c r="C50" s="4" t="s">
        <v>5397</v>
      </c>
      <c r="D50" s="40" t="s">
        <v>5398</v>
      </c>
      <c r="F50" s="4">
        <v>3.48</v>
      </c>
      <c r="G50" s="4">
        <v>0.97</v>
      </c>
      <c r="H50" s="4">
        <v>0.20130999999999999</v>
      </c>
      <c r="I50" s="25" t="b">
        <v>0</v>
      </c>
      <c r="J50" s="4">
        <v>25</v>
      </c>
    </row>
    <row r="51" spans="1:11" ht="15.75" customHeight="1">
      <c r="A51" s="4" t="s">
        <v>6592</v>
      </c>
      <c r="B51" s="4" t="s">
        <v>18</v>
      </c>
      <c r="C51" s="4" t="s">
        <v>6593</v>
      </c>
      <c r="D51" s="40" t="s">
        <v>6594</v>
      </c>
      <c r="F51" s="4">
        <v>1.43</v>
      </c>
      <c r="G51" s="4">
        <v>1.28</v>
      </c>
      <c r="H51" s="4">
        <v>0.24476999999999999</v>
      </c>
      <c r="I51" s="25" t="b">
        <v>0</v>
      </c>
      <c r="J51" s="4">
        <v>25</v>
      </c>
    </row>
    <row r="52" spans="1:11" ht="15.75" customHeight="1">
      <c r="A52" s="4" t="s">
        <v>5455</v>
      </c>
      <c r="B52" s="4" t="s">
        <v>9</v>
      </c>
      <c r="C52" s="4" t="s">
        <v>5456</v>
      </c>
      <c r="D52" s="40" t="s">
        <v>5457</v>
      </c>
      <c r="F52" s="4">
        <v>4.67</v>
      </c>
      <c r="G52" s="4">
        <v>1.05</v>
      </c>
      <c r="H52" s="4">
        <v>0.22298999999999999</v>
      </c>
      <c r="I52" s="25" t="b">
        <v>0</v>
      </c>
      <c r="J52" s="4">
        <v>26</v>
      </c>
    </row>
    <row r="53" spans="1:11" ht="15.75" customHeight="1">
      <c r="A53" s="4" t="s">
        <v>7852</v>
      </c>
      <c r="B53" s="4" t="s">
        <v>18</v>
      </c>
      <c r="C53" s="4" t="s">
        <v>7853</v>
      </c>
      <c r="D53" s="40" t="s">
        <v>7854</v>
      </c>
      <c r="F53" s="4">
        <v>2.64</v>
      </c>
      <c r="G53" s="4">
        <v>1.36</v>
      </c>
      <c r="H53" s="4">
        <v>0.28262999999999999</v>
      </c>
      <c r="I53" s="25" t="b">
        <v>0</v>
      </c>
      <c r="J53" s="4">
        <v>26</v>
      </c>
    </row>
    <row r="54" spans="1:11" ht="15.75" customHeight="1">
      <c r="A54" s="4" t="s">
        <v>5791</v>
      </c>
      <c r="B54" s="4" t="s">
        <v>9</v>
      </c>
      <c r="C54" s="4" t="s">
        <v>5792</v>
      </c>
      <c r="D54" s="40" t="s">
        <v>5793</v>
      </c>
      <c r="F54" s="4">
        <v>2.2200000000000002</v>
      </c>
      <c r="G54" s="4">
        <v>0.97</v>
      </c>
      <c r="H54" s="4">
        <v>0.1976</v>
      </c>
      <c r="I54" s="25" t="b">
        <v>0</v>
      </c>
      <c r="J54" s="4">
        <v>27</v>
      </c>
    </row>
    <row r="55" spans="1:11" ht="15.75" customHeight="1">
      <c r="A55" s="4" t="s">
        <v>6745</v>
      </c>
      <c r="B55" s="4" t="s">
        <v>18</v>
      </c>
      <c r="C55" s="4" t="s">
        <v>6746</v>
      </c>
      <c r="D55" s="40" t="s">
        <v>6747</v>
      </c>
      <c r="F55" s="4">
        <v>1.7</v>
      </c>
      <c r="G55" s="4">
        <v>1.56</v>
      </c>
      <c r="H55" s="4">
        <v>0.28016000000000002</v>
      </c>
      <c r="I55" s="25" t="b">
        <v>0</v>
      </c>
      <c r="J55" s="4">
        <v>27</v>
      </c>
    </row>
    <row r="56" spans="1:11" ht="15.75" customHeight="1">
      <c r="A56" s="4" t="s">
        <v>5660</v>
      </c>
      <c r="B56" s="4" t="s">
        <v>9</v>
      </c>
      <c r="C56" s="4" t="s">
        <v>5661</v>
      </c>
      <c r="D56" s="40" t="s">
        <v>5662</v>
      </c>
      <c r="F56" s="4">
        <v>2.1</v>
      </c>
      <c r="G56" s="4">
        <v>0.94</v>
      </c>
      <c r="H56" s="4">
        <v>0.18168999999999999</v>
      </c>
      <c r="I56" s="25" t="b">
        <v>0</v>
      </c>
      <c r="J56" s="4">
        <v>28</v>
      </c>
    </row>
    <row r="57" spans="1:11" ht="15.75" customHeight="1">
      <c r="A57" s="4" t="s">
        <v>6847</v>
      </c>
      <c r="B57" s="4" t="s">
        <v>18</v>
      </c>
      <c r="C57" s="4" t="s">
        <v>6848</v>
      </c>
      <c r="D57" s="40" t="s">
        <v>6849</v>
      </c>
      <c r="F57" s="4">
        <v>1.97</v>
      </c>
      <c r="G57" s="4">
        <v>1.21</v>
      </c>
      <c r="H57" s="4">
        <v>0.24604999999999999</v>
      </c>
      <c r="I57" s="25" t="b">
        <v>0</v>
      </c>
      <c r="J57" s="4">
        <v>28</v>
      </c>
    </row>
    <row r="58" spans="1:11" ht="15.75" customHeight="1">
      <c r="A58" s="4" t="s">
        <v>8325</v>
      </c>
      <c r="B58" s="4" t="s">
        <v>18</v>
      </c>
      <c r="C58" s="4" t="s">
        <v>8326</v>
      </c>
      <c r="D58" s="40" t="s">
        <v>8327</v>
      </c>
      <c r="F58" s="4">
        <v>2.29</v>
      </c>
      <c r="G58" s="4">
        <v>1.1399999999999999</v>
      </c>
      <c r="H58" s="4">
        <v>0.27776000000000001</v>
      </c>
      <c r="I58" s="25" t="b">
        <v>0</v>
      </c>
      <c r="J58" s="4">
        <v>29</v>
      </c>
    </row>
    <row r="59" spans="1:11" ht="15.75" customHeight="1">
      <c r="A59" s="4" t="s">
        <v>10791</v>
      </c>
      <c r="B59" s="4" t="s">
        <v>2911</v>
      </c>
      <c r="C59" s="4" t="s">
        <v>10792</v>
      </c>
      <c r="D59" s="40" t="s">
        <v>10793</v>
      </c>
      <c r="F59" s="4">
        <v>1.57</v>
      </c>
      <c r="G59" s="4">
        <v>1.19</v>
      </c>
      <c r="H59" s="4">
        <v>0.23044999999999999</v>
      </c>
      <c r="I59" s="25" t="b">
        <v>0</v>
      </c>
      <c r="J59" s="4">
        <v>29</v>
      </c>
    </row>
    <row r="60" spans="1:11" ht="15.75" customHeight="1">
      <c r="A60" s="4" t="s">
        <v>9875</v>
      </c>
      <c r="B60" s="4" t="s">
        <v>2911</v>
      </c>
      <c r="C60" s="4" t="s">
        <v>9876</v>
      </c>
      <c r="D60" s="40" t="s">
        <v>9877</v>
      </c>
      <c r="F60" s="4">
        <v>2.56</v>
      </c>
      <c r="G60" s="4">
        <v>1.1200000000000001</v>
      </c>
      <c r="H60" s="4">
        <v>0.22366</v>
      </c>
      <c r="I60" s="25" t="b">
        <v>0</v>
      </c>
      <c r="J60" s="4">
        <v>30</v>
      </c>
    </row>
    <row r="61" spans="1:11" ht="15.75" customHeight="1">
      <c r="A61" s="4" t="s">
        <v>11721</v>
      </c>
      <c r="B61" s="4" t="s">
        <v>22</v>
      </c>
      <c r="C61" s="4" t="s">
        <v>11722</v>
      </c>
      <c r="D61" s="40" t="s">
        <v>11723</v>
      </c>
      <c r="F61" s="4">
        <v>2.33</v>
      </c>
      <c r="G61" s="4">
        <v>1.1200000000000001</v>
      </c>
      <c r="H61" s="4">
        <v>0.24701000000000001</v>
      </c>
      <c r="I61" s="25" t="b">
        <v>0</v>
      </c>
      <c r="J61" s="4">
        <v>30</v>
      </c>
    </row>
    <row r="62" spans="1:11" ht="15.75" customHeight="1">
      <c r="A62" s="4" t="s">
        <v>5357</v>
      </c>
      <c r="B62" s="4" t="s">
        <v>9</v>
      </c>
      <c r="C62" s="4" t="s">
        <v>5358</v>
      </c>
      <c r="D62" s="40" t="s">
        <v>5359</v>
      </c>
      <c r="F62" s="4">
        <v>3.05</v>
      </c>
      <c r="G62" s="4">
        <v>1.02</v>
      </c>
      <c r="H62" s="4">
        <v>0.1973</v>
      </c>
      <c r="I62" s="25" t="b">
        <v>0</v>
      </c>
      <c r="J62" s="4">
        <v>31</v>
      </c>
    </row>
    <row r="63" spans="1:11" ht="15.75" customHeight="1">
      <c r="A63" s="4" t="s">
        <v>7198</v>
      </c>
      <c r="B63" s="4" t="s">
        <v>18</v>
      </c>
      <c r="C63" s="4" t="s">
        <v>7199</v>
      </c>
      <c r="D63" s="40" t="s">
        <v>7200</v>
      </c>
      <c r="F63" s="4">
        <v>1.21</v>
      </c>
      <c r="G63" s="4">
        <v>1.1100000000000001</v>
      </c>
      <c r="H63" s="4">
        <v>0.24462</v>
      </c>
      <c r="I63" s="25" t="b">
        <v>0</v>
      </c>
      <c r="J63" s="4">
        <v>31</v>
      </c>
    </row>
    <row r="64" spans="1:11" ht="15.75" customHeight="1">
      <c r="A64" s="4" t="s">
        <v>856</v>
      </c>
      <c r="B64" s="4" t="s">
        <v>9</v>
      </c>
      <c r="C64" s="4" t="s">
        <v>5026</v>
      </c>
      <c r="D64" s="40" t="s">
        <v>740</v>
      </c>
      <c r="E64" s="25" t="s">
        <v>4929</v>
      </c>
      <c r="F64" s="4">
        <v>2.57</v>
      </c>
      <c r="G64" s="4">
        <v>0.96</v>
      </c>
      <c r="H64" s="4">
        <v>0.19252</v>
      </c>
      <c r="I64" s="25" t="b">
        <v>1</v>
      </c>
      <c r="J64" s="4">
        <v>32</v>
      </c>
      <c r="K64" s="4"/>
    </row>
    <row r="65" spans="1:10" ht="15.75" customHeight="1">
      <c r="A65" s="4" t="s">
        <v>7411</v>
      </c>
      <c r="B65" s="4" t="s">
        <v>18</v>
      </c>
      <c r="C65" s="4" t="s">
        <v>7412</v>
      </c>
      <c r="D65" s="40" t="s">
        <v>7413</v>
      </c>
      <c r="F65" s="4">
        <v>1.66</v>
      </c>
      <c r="G65" s="4">
        <v>1.03</v>
      </c>
      <c r="H65" s="4">
        <v>0.23715</v>
      </c>
      <c r="I65" s="25" t="b">
        <v>0</v>
      </c>
      <c r="J65" s="4">
        <v>32</v>
      </c>
    </row>
    <row r="66" spans="1:10" ht="15.75" customHeight="1">
      <c r="A66" s="4" t="s">
        <v>8238</v>
      </c>
      <c r="B66" s="4" t="s">
        <v>18</v>
      </c>
      <c r="C66" s="4" t="s">
        <v>8239</v>
      </c>
      <c r="D66" s="40" t="s">
        <v>8240</v>
      </c>
      <c r="F66" s="4">
        <v>2.11</v>
      </c>
      <c r="G66" s="4">
        <v>1.19</v>
      </c>
      <c r="H66" s="4">
        <v>0.27844000000000002</v>
      </c>
      <c r="I66" s="25" t="b">
        <v>0</v>
      </c>
      <c r="J66" s="4">
        <v>33</v>
      </c>
    </row>
    <row r="67" spans="1:10" ht="15.75" customHeight="1">
      <c r="A67" s="4" t="s">
        <v>9887</v>
      </c>
      <c r="B67" s="4" t="s">
        <v>2911</v>
      </c>
      <c r="C67" s="4" t="s">
        <v>9888</v>
      </c>
      <c r="D67" s="40" t="s">
        <v>9889</v>
      </c>
      <c r="F67" s="4">
        <v>2.57</v>
      </c>
      <c r="G67" s="4">
        <v>1.06</v>
      </c>
      <c r="H67" s="4">
        <v>0.22449</v>
      </c>
      <c r="I67" s="25" t="b">
        <v>0</v>
      </c>
      <c r="J67" s="4">
        <v>33</v>
      </c>
    </row>
    <row r="68" spans="1:10" ht="15.75" customHeight="1">
      <c r="A68" s="4" t="s">
        <v>8931</v>
      </c>
      <c r="B68" s="4" t="s">
        <v>18</v>
      </c>
      <c r="C68" s="4" t="s">
        <v>8932</v>
      </c>
      <c r="D68" s="40" t="s">
        <v>8933</v>
      </c>
      <c r="F68" s="4">
        <v>0.53</v>
      </c>
      <c r="G68" s="4">
        <v>1.1299999999999999</v>
      </c>
      <c r="H68" s="4">
        <v>0.2465</v>
      </c>
      <c r="I68" s="25" t="b">
        <v>0</v>
      </c>
      <c r="J68" s="4">
        <v>34</v>
      </c>
    </row>
    <row r="69" spans="1:10" ht="15.75" customHeight="1">
      <c r="A69" s="4" t="s">
        <v>9216</v>
      </c>
      <c r="B69" s="4" t="s">
        <v>2911</v>
      </c>
      <c r="C69" s="4" t="s">
        <v>9217</v>
      </c>
      <c r="D69" s="40" t="s">
        <v>9218</v>
      </c>
      <c r="F69" s="4">
        <v>1.6</v>
      </c>
      <c r="G69" s="4">
        <v>1.08</v>
      </c>
      <c r="H69" s="4">
        <v>0.23596</v>
      </c>
      <c r="I69" s="4" t="b">
        <v>0</v>
      </c>
      <c r="J69" s="4">
        <v>34</v>
      </c>
    </row>
    <row r="70" spans="1:10" ht="15.75" customHeight="1">
      <c r="D70" s="41"/>
    </row>
    <row r="71" spans="1:10" ht="15.75" customHeight="1">
      <c r="D71" s="41"/>
    </row>
    <row r="72" spans="1:10" ht="15.75" customHeight="1">
      <c r="D72" s="41"/>
    </row>
    <row r="73" spans="1:10" ht="15.75" customHeight="1">
      <c r="D73" s="41"/>
    </row>
    <row r="74" spans="1:10" ht="15.75" customHeight="1">
      <c r="D74" s="41"/>
    </row>
    <row r="75" spans="1:10" ht="15.75" customHeight="1">
      <c r="D75" s="41"/>
    </row>
    <row r="76" spans="1:10" ht="15.75" customHeight="1">
      <c r="D76" s="41"/>
    </row>
    <row r="77" spans="1:10" ht="15.75" customHeight="1">
      <c r="D77" s="41"/>
    </row>
    <row r="78" spans="1:10" ht="15.75" customHeight="1">
      <c r="D78" s="41"/>
    </row>
    <row r="79" spans="1:10" ht="15.75" customHeight="1">
      <c r="D79" s="41"/>
    </row>
    <row r="80" spans="1:10" ht="15.75" customHeight="1">
      <c r="D80" s="41"/>
    </row>
    <row r="81" spans="4:4" ht="15.75" customHeight="1">
      <c r="D81" s="41"/>
    </row>
    <row r="82" spans="4:4" ht="15.75" customHeight="1">
      <c r="D82" s="41"/>
    </row>
    <row r="83" spans="4:4" ht="15.75" customHeight="1">
      <c r="D83" s="41"/>
    </row>
    <row r="84" spans="4:4" ht="15.75" customHeight="1">
      <c r="D84" s="41"/>
    </row>
    <row r="85" spans="4:4" ht="15.75" customHeight="1">
      <c r="D85" s="41"/>
    </row>
    <row r="86" spans="4:4" ht="13">
      <c r="D86" s="41"/>
    </row>
    <row r="87" spans="4:4" ht="13">
      <c r="D87" s="41"/>
    </row>
    <row r="88" spans="4:4" ht="13">
      <c r="D88" s="41"/>
    </row>
    <row r="89" spans="4:4" ht="13">
      <c r="D89" s="41"/>
    </row>
    <row r="90" spans="4:4" ht="13">
      <c r="D90" s="41"/>
    </row>
    <row r="91" spans="4:4" ht="13">
      <c r="D91" s="41"/>
    </row>
    <row r="92" spans="4:4" ht="13">
      <c r="D92" s="41"/>
    </row>
    <row r="93" spans="4:4" ht="13">
      <c r="D93" s="41"/>
    </row>
    <row r="94" spans="4:4" ht="13">
      <c r="D94" s="41"/>
    </row>
    <row r="95" spans="4:4" ht="13">
      <c r="D95" s="41"/>
    </row>
    <row r="96" spans="4:4" ht="13">
      <c r="D96" s="41"/>
    </row>
    <row r="97" spans="4:4" ht="13">
      <c r="D97" s="41"/>
    </row>
    <row r="98" spans="4:4" ht="13">
      <c r="D98" s="41"/>
    </row>
    <row r="99" spans="4:4" ht="13">
      <c r="D99" s="41"/>
    </row>
    <row r="100" spans="4:4" ht="13">
      <c r="D100" s="41"/>
    </row>
    <row r="101" spans="4:4" ht="13">
      <c r="D101" s="41"/>
    </row>
    <row r="102" spans="4:4" ht="13">
      <c r="D102" s="41"/>
    </row>
    <row r="103" spans="4:4" ht="13">
      <c r="D103" s="41"/>
    </row>
    <row r="104" spans="4:4" ht="13">
      <c r="D104" s="41"/>
    </row>
    <row r="105" spans="4:4" ht="13">
      <c r="D105" s="41"/>
    </row>
    <row r="106" spans="4:4" ht="13">
      <c r="D106" s="41"/>
    </row>
    <row r="107" spans="4:4" ht="13">
      <c r="D107" s="41"/>
    </row>
    <row r="108" spans="4:4" ht="13">
      <c r="D108" s="41"/>
    </row>
    <row r="109" spans="4:4" ht="13">
      <c r="D109" s="41"/>
    </row>
    <row r="110" spans="4:4" ht="13">
      <c r="D110" s="41"/>
    </row>
    <row r="111" spans="4:4" ht="13">
      <c r="D111" s="41"/>
    </row>
    <row r="112" spans="4:4" ht="13">
      <c r="D112" s="41"/>
    </row>
    <row r="113" spans="4:4" ht="13">
      <c r="D113" s="41"/>
    </row>
    <row r="114" spans="4:4" ht="13">
      <c r="D114" s="41"/>
    </row>
    <row r="115" spans="4:4" ht="13">
      <c r="D115" s="41"/>
    </row>
    <row r="116" spans="4:4" ht="13">
      <c r="D116" s="41"/>
    </row>
    <row r="117" spans="4:4" ht="13">
      <c r="D117" s="41"/>
    </row>
    <row r="118" spans="4:4" ht="13">
      <c r="D118" s="41"/>
    </row>
    <row r="119" spans="4:4" ht="13">
      <c r="D119" s="41"/>
    </row>
    <row r="120" spans="4:4" ht="13">
      <c r="D120" s="41"/>
    </row>
    <row r="121" spans="4:4" ht="13">
      <c r="D121" s="41"/>
    </row>
    <row r="122" spans="4:4" ht="13">
      <c r="D122" s="41"/>
    </row>
    <row r="123" spans="4:4" ht="13">
      <c r="D123" s="41"/>
    </row>
    <row r="124" spans="4:4" ht="13">
      <c r="D124" s="41"/>
    </row>
    <row r="125" spans="4:4" ht="13">
      <c r="D125" s="41"/>
    </row>
    <row r="126" spans="4:4" ht="13">
      <c r="D126" s="41"/>
    </row>
    <row r="127" spans="4:4" ht="13">
      <c r="D127" s="41"/>
    </row>
    <row r="128" spans="4:4" ht="13">
      <c r="D128" s="41"/>
    </row>
    <row r="129" spans="4:4" ht="13">
      <c r="D129" s="41"/>
    </row>
    <row r="130" spans="4:4" ht="13">
      <c r="D130" s="41"/>
    </row>
    <row r="131" spans="4:4" ht="13">
      <c r="D131" s="41"/>
    </row>
    <row r="132" spans="4:4" ht="13">
      <c r="D132" s="41"/>
    </row>
    <row r="133" spans="4:4" ht="13">
      <c r="D133" s="41"/>
    </row>
    <row r="134" spans="4:4" ht="13">
      <c r="D134" s="41"/>
    </row>
    <row r="135" spans="4:4" ht="13">
      <c r="D135" s="41"/>
    </row>
    <row r="136" spans="4:4" ht="13">
      <c r="D136" s="41"/>
    </row>
    <row r="137" spans="4:4" ht="13">
      <c r="D137" s="41"/>
    </row>
    <row r="138" spans="4:4" ht="13">
      <c r="D138" s="41"/>
    </row>
    <row r="139" spans="4:4" ht="13">
      <c r="D139" s="41"/>
    </row>
    <row r="140" spans="4:4" ht="13">
      <c r="D140" s="41"/>
    </row>
    <row r="141" spans="4:4" ht="13">
      <c r="D141" s="41"/>
    </row>
    <row r="142" spans="4:4" ht="13">
      <c r="D142" s="41"/>
    </row>
    <row r="143" spans="4:4" ht="13">
      <c r="D143" s="41"/>
    </row>
    <row r="144" spans="4:4" ht="13">
      <c r="D144" s="41"/>
    </row>
    <row r="145" spans="4:4" ht="13">
      <c r="D145" s="41"/>
    </row>
    <row r="146" spans="4:4" ht="13">
      <c r="D146" s="41"/>
    </row>
    <row r="147" spans="4:4" ht="13">
      <c r="D147" s="41"/>
    </row>
    <row r="148" spans="4:4" ht="13">
      <c r="D148" s="41"/>
    </row>
    <row r="149" spans="4:4" ht="13">
      <c r="D149" s="41"/>
    </row>
    <row r="150" spans="4:4" ht="13">
      <c r="D150" s="41"/>
    </row>
    <row r="151" spans="4:4" ht="13">
      <c r="D151" s="41"/>
    </row>
    <row r="152" spans="4:4" ht="13">
      <c r="D152" s="41"/>
    </row>
    <row r="153" spans="4:4" ht="13">
      <c r="D153" s="41"/>
    </row>
    <row r="154" spans="4:4" ht="13">
      <c r="D154" s="41"/>
    </row>
    <row r="155" spans="4:4" ht="13">
      <c r="D155" s="41"/>
    </row>
    <row r="156" spans="4:4" ht="13">
      <c r="D156" s="41"/>
    </row>
    <row r="157" spans="4:4" ht="13">
      <c r="D157" s="41"/>
    </row>
    <row r="158" spans="4:4" ht="13">
      <c r="D158" s="41"/>
    </row>
    <row r="159" spans="4:4" ht="13">
      <c r="D159" s="41"/>
    </row>
    <row r="160" spans="4:4" ht="13">
      <c r="D160" s="41"/>
    </row>
    <row r="161" spans="4:4" ht="13">
      <c r="D161" s="41"/>
    </row>
    <row r="162" spans="4:4" ht="13">
      <c r="D162" s="41"/>
    </row>
    <row r="163" spans="4:4" ht="13">
      <c r="D163" s="41"/>
    </row>
    <row r="164" spans="4:4" ht="13">
      <c r="D164" s="41"/>
    </row>
    <row r="165" spans="4:4" ht="13">
      <c r="D165" s="41"/>
    </row>
    <row r="166" spans="4:4" ht="13">
      <c r="D166" s="41"/>
    </row>
    <row r="167" spans="4:4" ht="13">
      <c r="D167" s="41"/>
    </row>
    <row r="168" spans="4:4" ht="13">
      <c r="D168" s="41"/>
    </row>
    <row r="169" spans="4:4" ht="13">
      <c r="D169" s="41"/>
    </row>
    <row r="170" spans="4:4" ht="13">
      <c r="D170" s="41"/>
    </row>
    <row r="171" spans="4:4" ht="13">
      <c r="D171" s="41"/>
    </row>
    <row r="172" spans="4:4" ht="13">
      <c r="D172" s="41"/>
    </row>
    <row r="173" spans="4:4" ht="13">
      <c r="D173" s="41"/>
    </row>
    <row r="174" spans="4:4" ht="13">
      <c r="D174" s="41"/>
    </row>
    <row r="175" spans="4:4" ht="13">
      <c r="D175" s="41"/>
    </row>
    <row r="176" spans="4:4" ht="13">
      <c r="D176" s="41"/>
    </row>
    <row r="177" spans="4:4" ht="13">
      <c r="D177" s="41"/>
    </row>
    <row r="178" spans="4:4" ht="13">
      <c r="D178" s="41"/>
    </row>
    <row r="179" spans="4:4" ht="13">
      <c r="D179" s="41"/>
    </row>
    <row r="180" spans="4:4" ht="13">
      <c r="D180" s="41"/>
    </row>
    <row r="181" spans="4:4" ht="13">
      <c r="D181" s="41"/>
    </row>
    <row r="182" spans="4:4" ht="13">
      <c r="D182" s="41"/>
    </row>
    <row r="183" spans="4:4" ht="13">
      <c r="D183" s="41"/>
    </row>
    <row r="184" spans="4:4" ht="13">
      <c r="D184" s="41"/>
    </row>
    <row r="185" spans="4:4" ht="13">
      <c r="D185" s="41"/>
    </row>
    <row r="186" spans="4:4" ht="13">
      <c r="D186" s="41"/>
    </row>
    <row r="187" spans="4:4" ht="13">
      <c r="D187" s="41"/>
    </row>
    <row r="188" spans="4:4" ht="13">
      <c r="D188" s="41"/>
    </row>
    <row r="189" spans="4:4" ht="13">
      <c r="D189" s="41"/>
    </row>
    <row r="190" spans="4:4" ht="13">
      <c r="D190" s="41"/>
    </row>
    <row r="191" spans="4:4" ht="13">
      <c r="D191" s="41"/>
    </row>
    <row r="192" spans="4:4" ht="13">
      <c r="D192" s="41"/>
    </row>
    <row r="193" spans="4:4" ht="13">
      <c r="D193" s="41"/>
    </row>
    <row r="194" spans="4:4" ht="13">
      <c r="D194" s="41"/>
    </row>
    <row r="195" spans="4:4" ht="13">
      <c r="D195" s="41"/>
    </row>
    <row r="196" spans="4:4" ht="13">
      <c r="D196" s="41"/>
    </row>
    <row r="197" spans="4:4" ht="13">
      <c r="D197" s="41"/>
    </row>
    <row r="198" spans="4:4" ht="13">
      <c r="D198" s="41"/>
    </row>
    <row r="199" spans="4:4" ht="13">
      <c r="D199" s="41"/>
    </row>
    <row r="200" spans="4:4" ht="13">
      <c r="D200" s="41"/>
    </row>
    <row r="201" spans="4:4" ht="13">
      <c r="D201" s="41"/>
    </row>
    <row r="202" spans="4:4" ht="13">
      <c r="D202" s="41"/>
    </row>
    <row r="203" spans="4:4" ht="13">
      <c r="D203" s="41"/>
    </row>
    <row r="204" spans="4:4" ht="13">
      <c r="D204" s="41"/>
    </row>
    <row r="205" spans="4:4" ht="13">
      <c r="D205" s="41"/>
    </row>
    <row r="206" spans="4:4" ht="13">
      <c r="D206" s="41"/>
    </row>
    <row r="207" spans="4:4" ht="13">
      <c r="D207" s="41"/>
    </row>
    <row r="208" spans="4:4" ht="13">
      <c r="D208" s="41"/>
    </row>
    <row r="209" spans="4:4" ht="13">
      <c r="D209" s="41"/>
    </row>
    <row r="210" spans="4:4" ht="13">
      <c r="D210" s="41"/>
    </row>
    <row r="211" spans="4:4" ht="13">
      <c r="D211" s="41"/>
    </row>
    <row r="212" spans="4:4" ht="13">
      <c r="D212" s="41"/>
    </row>
    <row r="213" spans="4:4" ht="13">
      <c r="D213" s="41"/>
    </row>
    <row r="214" spans="4:4" ht="13">
      <c r="D214" s="41"/>
    </row>
    <row r="215" spans="4:4" ht="13">
      <c r="D215" s="41"/>
    </row>
    <row r="216" spans="4:4" ht="13">
      <c r="D216" s="41"/>
    </row>
    <row r="217" spans="4:4" ht="13">
      <c r="D217" s="41"/>
    </row>
    <row r="218" spans="4:4" ht="13">
      <c r="D218" s="41"/>
    </row>
    <row r="219" spans="4:4" ht="13">
      <c r="D219" s="41"/>
    </row>
    <row r="220" spans="4:4" ht="13">
      <c r="D220" s="41"/>
    </row>
    <row r="221" spans="4:4" ht="13">
      <c r="D221" s="41"/>
    </row>
    <row r="222" spans="4:4" ht="13">
      <c r="D222" s="41"/>
    </row>
    <row r="223" spans="4:4" ht="13">
      <c r="D223" s="41"/>
    </row>
    <row r="224" spans="4:4" ht="13">
      <c r="D224" s="41"/>
    </row>
    <row r="225" spans="4:4" ht="13">
      <c r="D225" s="41"/>
    </row>
    <row r="226" spans="4:4" ht="13">
      <c r="D226" s="41"/>
    </row>
    <row r="227" spans="4:4" ht="13">
      <c r="D227" s="41"/>
    </row>
    <row r="228" spans="4:4" ht="13">
      <c r="D228" s="41"/>
    </row>
    <row r="229" spans="4:4" ht="13">
      <c r="D229" s="41"/>
    </row>
    <row r="230" spans="4:4" ht="13">
      <c r="D230" s="41"/>
    </row>
    <row r="231" spans="4:4" ht="13">
      <c r="D231" s="41"/>
    </row>
    <row r="232" spans="4:4" ht="13">
      <c r="D232" s="41"/>
    </row>
    <row r="233" spans="4:4" ht="13">
      <c r="D233" s="41"/>
    </row>
    <row r="234" spans="4:4" ht="13">
      <c r="D234" s="41"/>
    </row>
    <row r="235" spans="4:4" ht="13">
      <c r="D235" s="41"/>
    </row>
    <row r="236" spans="4:4" ht="13">
      <c r="D236" s="41"/>
    </row>
    <row r="237" spans="4:4" ht="13">
      <c r="D237" s="41"/>
    </row>
    <row r="238" spans="4:4" ht="13">
      <c r="D238" s="41"/>
    </row>
    <row r="239" spans="4:4" ht="13">
      <c r="D239" s="41"/>
    </row>
    <row r="240" spans="4:4" ht="13">
      <c r="D240" s="41"/>
    </row>
    <row r="241" spans="4:4" ht="13">
      <c r="D241" s="41"/>
    </row>
    <row r="242" spans="4:4" ht="13">
      <c r="D242" s="41"/>
    </row>
    <row r="243" spans="4:4" ht="13">
      <c r="D243" s="41"/>
    </row>
    <row r="244" spans="4:4" ht="13">
      <c r="D244" s="41"/>
    </row>
    <row r="245" spans="4:4" ht="13">
      <c r="D245" s="41"/>
    </row>
    <row r="246" spans="4:4" ht="13">
      <c r="D246" s="41"/>
    </row>
    <row r="247" spans="4:4" ht="13">
      <c r="D247" s="41"/>
    </row>
    <row r="248" spans="4:4" ht="13">
      <c r="D248" s="41"/>
    </row>
    <row r="249" spans="4:4" ht="13">
      <c r="D249" s="41"/>
    </row>
    <row r="250" spans="4:4" ht="13">
      <c r="D250" s="41"/>
    </row>
    <row r="251" spans="4:4" ht="13">
      <c r="D251" s="41"/>
    </row>
    <row r="252" spans="4:4" ht="13">
      <c r="D252" s="41"/>
    </row>
    <row r="253" spans="4:4" ht="13">
      <c r="D253" s="41"/>
    </row>
    <row r="254" spans="4:4" ht="13">
      <c r="D254" s="41"/>
    </row>
    <row r="255" spans="4:4" ht="13">
      <c r="D255" s="41"/>
    </row>
    <row r="256" spans="4:4" ht="13">
      <c r="D256" s="41"/>
    </row>
    <row r="257" spans="4:4" ht="13">
      <c r="D257" s="41"/>
    </row>
    <row r="258" spans="4:4" ht="13">
      <c r="D258" s="41"/>
    </row>
    <row r="259" spans="4:4" ht="13">
      <c r="D259" s="41"/>
    </row>
    <row r="260" spans="4:4" ht="13">
      <c r="D260" s="41"/>
    </row>
    <row r="261" spans="4:4" ht="13">
      <c r="D261" s="41"/>
    </row>
    <row r="262" spans="4:4" ht="13">
      <c r="D262" s="41"/>
    </row>
    <row r="263" spans="4:4" ht="13">
      <c r="D263" s="41"/>
    </row>
    <row r="264" spans="4:4" ht="13">
      <c r="D264" s="41"/>
    </row>
    <row r="265" spans="4:4" ht="13">
      <c r="D265" s="41"/>
    </row>
    <row r="266" spans="4:4" ht="13">
      <c r="D266" s="41"/>
    </row>
    <row r="267" spans="4:4" ht="13">
      <c r="D267" s="41"/>
    </row>
    <row r="268" spans="4:4" ht="13">
      <c r="D268" s="41"/>
    </row>
    <row r="269" spans="4:4" ht="13">
      <c r="D269" s="41"/>
    </row>
    <row r="270" spans="4:4" ht="13">
      <c r="D270" s="41"/>
    </row>
    <row r="271" spans="4:4" ht="13">
      <c r="D271" s="41"/>
    </row>
    <row r="272" spans="4:4" ht="13">
      <c r="D272" s="41"/>
    </row>
    <row r="273" spans="4:4" ht="13">
      <c r="D273" s="41"/>
    </row>
    <row r="274" spans="4:4" ht="13">
      <c r="D274" s="41"/>
    </row>
    <row r="275" spans="4:4" ht="13">
      <c r="D275" s="41"/>
    </row>
    <row r="276" spans="4:4" ht="13">
      <c r="D276" s="41"/>
    </row>
    <row r="277" spans="4:4" ht="13">
      <c r="D277" s="41"/>
    </row>
    <row r="278" spans="4:4" ht="13">
      <c r="D278" s="41"/>
    </row>
    <row r="279" spans="4:4" ht="13">
      <c r="D279" s="41"/>
    </row>
    <row r="280" spans="4:4" ht="13">
      <c r="D280" s="41"/>
    </row>
    <row r="281" spans="4:4" ht="13">
      <c r="D281" s="41"/>
    </row>
    <row r="282" spans="4:4" ht="13">
      <c r="D282" s="41"/>
    </row>
    <row r="283" spans="4:4" ht="13">
      <c r="D283" s="41"/>
    </row>
    <row r="284" spans="4:4" ht="13">
      <c r="D284" s="41"/>
    </row>
    <row r="285" spans="4:4" ht="13">
      <c r="D285" s="41"/>
    </row>
    <row r="286" spans="4:4" ht="13">
      <c r="D286" s="41"/>
    </row>
    <row r="287" spans="4:4" ht="13">
      <c r="D287" s="41"/>
    </row>
    <row r="288" spans="4:4" ht="13">
      <c r="D288" s="41"/>
    </row>
    <row r="289" spans="4:4" ht="13">
      <c r="D289" s="41"/>
    </row>
    <row r="290" spans="4:4" ht="13">
      <c r="D290" s="41"/>
    </row>
    <row r="291" spans="4:4" ht="13">
      <c r="D291" s="41"/>
    </row>
    <row r="292" spans="4:4" ht="13">
      <c r="D292" s="41"/>
    </row>
    <row r="293" spans="4:4" ht="13">
      <c r="D293" s="41"/>
    </row>
    <row r="294" spans="4:4" ht="13">
      <c r="D294" s="41"/>
    </row>
    <row r="295" spans="4:4" ht="13">
      <c r="D295" s="41"/>
    </row>
    <row r="296" spans="4:4" ht="13">
      <c r="D296" s="41"/>
    </row>
    <row r="297" spans="4:4" ht="13">
      <c r="D297" s="41"/>
    </row>
    <row r="298" spans="4:4" ht="13">
      <c r="D298" s="41"/>
    </row>
    <row r="299" spans="4:4" ht="13">
      <c r="D299" s="41"/>
    </row>
    <row r="300" spans="4:4" ht="13">
      <c r="D300" s="41"/>
    </row>
    <row r="301" spans="4:4" ht="13">
      <c r="D301" s="41"/>
    </row>
    <row r="302" spans="4:4" ht="13">
      <c r="D302" s="41"/>
    </row>
    <row r="303" spans="4:4" ht="13">
      <c r="D303" s="41"/>
    </row>
    <row r="304" spans="4:4" ht="13">
      <c r="D304" s="41"/>
    </row>
    <row r="305" spans="4:4" ht="13">
      <c r="D305" s="41"/>
    </row>
    <row r="306" spans="4:4" ht="13">
      <c r="D306" s="41"/>
    </row>
    <row r="307" spans="4:4" ht="13">
      <c r="D307" s="41"/>
    </row>
    <row r="308" spans="4:4" ht="13">
      <c r="D308" s="41"/>
    </row>
    <row r="309" spans="4:4" ht="13">
      <c r="D309" s="41"/>
    </row>
    <row r="310" spans="4:4" ht="13">
      <c r="D310" s="41"/>
    </row>
    <row r="311" spans="4:4" ht="13">
      <c r="D311" s="41"/>
    </row>
    <row r="312" spans="4:4" ht="13">
      <c r="D312" s="41"/>
    </row>
    <row r="313" spans="4:4" ht="13">
      <c r="D313" s="41"/>
    </row>
    <row r="314" spans="4:4" ht="13">
      <c r="D314" s="41"/>
    </row>
    <row r="315" spans="4:4" ht="13">
      <c r="D315" s="41"/>
    </row>
    <row r="316" spans="4:4" ht="13">
      <c r="D316" s="41"/>
    </row>
    <row r="317" spans="4:4" ht="13">
      <c r="D317" s="41"/>
    </row>
    <row r="318" spans="4:4" ht="13">
      <c r="D318" s="41"/>
    </row>
    <row r="319" spans="4:4" ht="13">
      <c r="D319" s="41"/>
    </row>
    <row r="320" spans="4:4" ht="13">
      <c r="D320" s="41"/>
    </row>
    <row r="321" spans="4:4" ht="13">
      <c r="D321" s="41"/>
    </row>
    <row r="322" spans="4:4" ht="13">
      <c r="D322" s="41"/>
    </row>
    <row r="323" spans="4:4" ht="13">
      <c r="D323" s="41"/>
    </row>
    <row r="324" spans="4:4" ht="13">
      <c r="D324" s="41"/>
    </row>
    <row r="325" spans="4:4" ht="13">
      <c r="D325" s="41"/>
    </row>
    <row r="326" spans="4:4" ht="13">
      <c r="D326" s="41"/>
    </row>
    <row r="327" spans="4:4" ht="13">
      <c r="D327" s="41"/>
    </row>
    <row r="328" spans="4:4" ht="13">
      <c r="D328" s="41"/>
    </row>
    <row r="329" spans="4:4" ht="13">
      <c r="D329" s="41"/>
    </row>
    <row r="330" spans="4:4" ht="13">
      <c r="D330" s="41"/>
    </row>
    <row r="331" spans="4:4" ht="13">
      <c r="D331" s="41"/>
    </row>
    <row r="332" spans="4:4" ht="13">
      <c r="D332" s="41"/>
    </row>
    <row r="333" spans="4:4" ht="13">
      <c r="D333" s="41"/>
    </row>
    <row r="334" spans="4:4" ht="13">
      <c r="D334" s="41"/>
    </row>
    <row r="335" spans="4:4" ht="13">
      <c r="D335" s="41"/>
    </row>
    <row r="336" spans="4:4" ht="13">
      <c r="D336" s="41"/>
    </row>
    <row r="337" spans="4:4" ht="13">
      <c r="D337" s="41"/>
    </row>
    <row r="338" spans="4:4" ht="13">
      <c r="D338" s="41"/>
    </row>
    <row r="339" spans="4:4" ht="13">
      <c r="D339" s="41"/>
    </row>
    <row r="340" spans="4:4" ht="13">
      <c r="D340" s="41"/>
    </row>
    <row r="341" spans="4:4" ht="13">
      <c r="D341" s="41"/>
    </row>
    <row r="342" spans="4:4" ht="13">
      <c r="D342" s="41"/>
    </row>
    <row r="343" spans="4:4" ht="13">
      <c r="D343" s="41"/>
    </row>
    <row r="344" spans="4:4" ht="13">
      <c r="D344" s="41"/>
    </row>
    <row r="345" spans="4:4" ht="13">
      <c r="D345" s="41"/>
    </row>
    <row r="346" spans="4:4" ht="13">
      <c r="D346" s="41"/>
    </row>
    <row r="347" spans="4:4" ht="13">
      <c r="D347" s="41"/>
    </row>
    <row r="348" spans="4:4" ht="13">
      <c r="D348" s="41"/>
    </row>
    <row r="349" spans="4:4" ht="13">
      <c r="D349" s="41"/>
    </row>
    <row r="350" spans="4:4" ht="13">
      <c r="D350" s="41"/>
    </row>
    <row r="351" spans="4:4" ht="13">
      <c r="D351" s="41"/>
    </row>
    <row r="352" spans="4:4" ht="13">
      <c r="D352" s="41"/>
    </row>
    <row r="353" spans="4:4" ht="13">
      <c r="D353" s="41"/>
    </row>
    <row r="354" spans="4:4" ht="13">
      <c r="D354" s="41"/>
    </row>
    <row r="355" spans="4:4" ht="13">
      <c r="D355" s="41"/>
    </row>
    <row r="356" spans="4:4" ht="13">
      <c r="D356" s="41"/>
    </row>
    <row r="357" spans="4:4" ht="13">
      <c r="D357" s="41"/>
    </row>
    <row r="358" spans="4:4" ht="13">
      <c r="D358" s="41"/>
    </row>
    <row r="359" spans="4:4" ht="13">
      <c r="D359" s="41"/>
    </row>
    <row r="360" spans="4:4" ht="13">
      <c r="D360" s="41"/>
    </row>
    <row r="361" spans="4:4" ht="13">
      <c r="D361" s="41"/>
    </row>
    <row r="362" spans="4:4" ht="13">
      <c r="D362" s="41"/>
    </row>
    <row r="363" spans="4:4" ht="13">
      <c r="D363" s="41"/>
    </row>
    <row r="364" spans="4:4" ht="13">
      <c r="D364" s="41"/>
    </row>
    <row r="365" spans="4:4" ht="13">
      <c r="D365" s="41"/>
    </row>
    <row r="366" spans="4:4" ht="13">
      <c r="D366" s="41"/>
    </row>
    <row r="367" spans="4:4" ht="13">
      <c r="D367" s="41"/>
    </row>
    <row r="368" spans="4:4" ht="13">
      <c r="D368" s="41"/>
    </row>
    <row r="369" spans="4:4" ht="13">
      <c r="D369" s="41"/>
    </row>
    <row r="370" spans="4:4" ht="13">
      <c r="D370" s="41"/>
    </row>
    <row r="371" spans="4:4" ht="13">
      <c r="D371" s="41"/>
    </row>
    <row r="372" spans="4:4" ht="13">
      <c r="D372" s="41"/>
    </row>
    <row r="373" spans="4:4" ht="13">
      <c r="D373" s="41"/>
    </row>
    <row r="374" spans="4:4" ht="13">
      <c r="D374" s="41"/>
    </row>
    <row r="375" spans="4:4" ht="13">
      <c r="D375" s="41"/>
    </row>
    <row r="376" spans="4:4" ht="13">
      <c r="D376" s="41"/>
    </row>
    <row r="377" spans="4:4" ht="13">
      <c r="D377" s="41"/>
    </row>
    <row r="378" spans="4:4" ht="13">
      <c r="D378" s="41"/>
    </row>
    <row r="379" spans="4:4" ht="13">
      <c r="D379" s="41"/>
    </row>
    <row r="380" spans="4:4" ht="13">
      <c r="D380" s="41"/>
    </row>
    <row r="381" spans="4:4" ht="13">
      <c r="D381" s="41"/>
    </row>
    <row r="382" spans="4:4" ht="13">
      <c r="D382" s="41"/>
    </row>
    <row r="383" spans="4:4" ht="13">
      <c r="D383" s="41"/>
    </row>
    <row r="384" spans="4:4" ht="13">
      <c r="D384" s="41"/>
    </row>
    <row r="385" spans="4:4" ht="13">
      <c r="D385" s="41"/>
    </row>
    <row r="386" spans="4:4" ht="13">
      <c r="D386" s="41"/>
    </row>
    <row r="387" spans="4:4" ht="13">
      <c r="D387" s="41"/>
    </row>
    <row r="388" spans="4:4" ht="13">
      <c r="D388" s="41"/>
    </row>
    <row r="389" spans="4:4" ht="13">
      <c r="D389" s="41"/>
    </row>
    <row r="390" spans="4:4" ht="13">
      <c r="D390" s="41"/>
    </row>
    <row r="391" spans="4:4" ht="13">
      <c r="D391" s="41"/>
    </row>
    <row r="392" spans="4:4" ht="13">
      <c r="D392" s="41"/>
    </row>
    <row r="393" spans="4:4" ht="13">
      <c r="D393" s="41"/>
    </row>
    <row r="394" spans="4:4" ht="13">
      <c r="D394" s="41"/>
    </row>
    <row r="395" spans="4:4" ht="13">
      <c r="D395" s="41"/>
    </row>
    <row r="396" spans="4:4" ht="13">
      <c r="D396" s="41"/>
    </row>
    <row r="397" spans="4:4" ht="13">
      <c r="D397" s="41"/>
    </row>
    <row r="398" spans="4:4" ht="13">
      <c r="D398" s="41"/>
    </row>
    <row r="399" spans="4:4" ht="13">
      <c r="D399" s="41"/>
    </row>
    <row r="400" spans="4:4" ht="13">
      <c r="D400" s="41"/>
    </row>
    <row r="401" spans="4:4" ht="13">
      <c r="D401" s="41"/>
    </row>
    <row r="402" spans="4:4" ht="13">
      <c r="D402" s="41"/>
    </row>
    <row r="403" spans="4:4" ht="13">
      <c r="D403" s="41"/>
    </row>
    <row r="404" spans="4:4" ht="13">
      <c r="D404" s="41"/>
    </row>
    <row r="405" spans="4:4" ht="13">
      <c r="D405" s="41"/>
    </row>
    <row r="406" spans="4:4" ht="13">
      <c r="D406" s="41"/>
    </row>
    <row r="407" spans="4:4" ht="13">
      <c r="D407" s="41"/>
    </row>
    <row r="408" spans="4:4" ht="13">
      <c r="D408" s="41"/>
    </row>
    <row r="409" spans="4:4" ht="13">
      <c r="D409" s="41"/>
    </row>
    <row r="410" spans="4:4" ht="13">
      <c r="D410" s="41"/>
    </row>
    <row r="411" spans="4:4" ht="13">
      <c r="D411" s="41"/>
    </row>
    <row r="412" spans="4:4" ht="13">
      <c r="D412" s="41"/>
    </row>
    <row r="413" spans="4:4" ht="13">
      <c r="D413" s="41"/>
    </row>
    <row r="414" spans="4:4" ht="13">
      <c r="D414" s="41"/>
    </row>
    <row r="415" spans="4:4" ht="13">
      <c r="D415" s="41"/>
    </row>
    <row r="416" spans="4:4" ht="13">
      <c r="D416" s="41"/>
    </row>
    <row r="417" spans="4:4" ht="13">
      <c r="D417" s="41"/>
    </row>
    <row r="418" spans="4:4" ht="13">
      <c r="D418" s="41"/>
    </row>
    <row r="419" spans="4:4" ht="13">
      <c r="D419" s="41"/>
    </row>
    <row r="420" spans="4:4" ht="13">
      <c r="D420" s="41"/>
    </row>
    <row r="421" spans="4:4" ht="13">
      <c r="D421" s="41"/>
    </row>
    <row r="422" spans="4:4" ht="13">
      <c r="D422" s="41"/>
    </row>
    <row r="423" spans="4:4" ht="13">
      <c r="D423" s="41"/>
    </row>
    <row r="424" spans="4:4" ht="13">
      <c r="D424" s="41"/>
    </row>
    <row r="425" spans="4:4" ht="13">
      <c r="D425" s="41"/>
    </row>
    <row r="426" spans="4:4" ht="13">
      <c r="D426" s="41"/>
    </row>
    <row r="427" spans="4:4" ht="13">
      <c r="D427" s="41"/>
    </row>
    <row r="428" spans="4:4" ht="13">
      <c r="D428" s="41"/>
    </row>
    <row r="429" spans="4:4" ht="13">
      <c r="D429" s="41"/>
    </row>
    <row r="430" spans="4:4" ht="13">
      <c r="D430" s="41"/>
    </row>
    <row r="431" spans="4:4" ht="13">
      <c r="D431" s="41"/>
    </row>
    <row r="432" spans="4:4" ht="13">
      <c r="D432" s="41"/>
    </row>
    <row r="433" spans="4:4" ht="13">
      <c r="D433" s="41"/>
    </row>
    <row r="434" spans="4:4" ht="13">
      <c r="D434" s="41"/>
    </row>
    <row r="435" spans="4:4" ht="13">
      <c r="D435" s="41"/>
    </row>
    <row r="436" spans="4:4" ht="13">
      <c r="D436" s="41"/>
    </row>
    <row r="437" spans="4:4" ht="13">
      <c r="D437" s="41"/>
    </row>
    <row r="438" spans="4:4" ht="13">
      <c r="D438" s="41"/>
    </row>
    <row r="439" spans="4:4" ht="13">
      <c r="D439" s="41"/>
    </row>
    <row r="440" spans="4:4" ht="13">
      <c r="D440" s="41"/>
    </row>
    <row r="441" spans="4:4" ht="13">
      <c r="D441" s="41"/>
    </row>
    <row r="442" spans="4:4" ht="13">
      <c r="D442" s="41"/>
    </row>
    <row r="443" spans="4:4" ht="13">
      <c r="D443" s="41"/>
    </row>
    <row r="444" spans="4:4" ht="13">
      <c r="D444" s="41"/>
    </row>
    <row r="445" spans="4:4" ht="13">
      <c r="D445" s="41"/>
    </row>
    <row r="446" spans="4:4" ht="13">
      <c r="D446" s="41"/>
    </row>
    <row r="447" spans="4:4" ht="13">
      <c r="D447" s="41"/>
    </row>
    <row r="448" spans="4:4" ht="13">
      <c r="D448" s="41"/>
    </row>
    <row r="449" spans="4:4" ht="13">
      <c r="D449" s="41"/>
    </row>
    <row r="450" spans="4:4" ht="13">
      <c r="D450" s="41"/>
    </row>
    <row r="451" spans="4:4" ht="13">
      <c r="D451" s="41"/>
    </row>
    <row r="452" spans="4:4" ht="13">
      <c r="D452" s="41"/>
    </row>
    <row r="453" spans="4:4" ht="13">
      <c r="D453" s="41"/>
    </row>
    <row r="454" spans="4:4" ht="13">
      <c r="D454" s="41"/>
    </row>
    <row r="455" spans="4:4" ht="13">
      <c r="D455" s="41"/>
    </row>
    <row r="456" spans="4:4" ht="13">
      <c r="D456" s="41"/>
    </row>
    <row r="457" spans="4:4" ht="13">
      <c r="D457" s="41"/>
    </row>
    <row r="458" spans="4:4" ht="13">
      <c r="D458" s="41"/>
    </row>
    <row r="459" spans="4:4" ht="13">
      <c r="D459" s="41"/>
    </row>
    <row r="460" spans="4:4" ht="13">
      <c r="D460" s="41"/>
    </row>
    <row r="461" spans="4:4" ht="13">
      <c r="D461" s="41"/>
    </row>
    <row r="462" spans="4:4" ht="13">
      <c r="D462" s="41"/>
    </row>
    <row r="463" spans="4:4" ht="13">
      <c r="D463" s="41"/>
    </row>
    <row r="464" spans="4:4" ht="13">
      <c r="D464" s="41"/>
    </row>
    <row r="465" spans="4:4" ht="13">
      <c r="D465" s="41"/>
    </row>
    <row r="466" spans="4:4" ht="13">
      <c r="D466" s="41"/>
    </row>
    <row r="467" spans="4:4" ht="13">
      <c r="D467" s="41"/>
    </row>
    <row r="468" spans="4:4" ht="13">
      <c r="D468" s="41"/>
    </row>
    <row r="469" spans="4:4" ht="13">
      <c r="D469" s="41"/>
    </row>
    <row r="470" spans="4:4" ht="13">
      <c r="D470" s="41"/>
    </row>
    <row r="471" spans="4:4" ht="13">
      <c r="D471" s="41"/>
    </row>
    <row r="472" spans="4:4" ht="13">
      <c r="D472" s="41"/>
    </row>
    <row r="473" spans="4:4" ht="13">
      <c r="D473" s="41"/>
    </row>
    <row r="474" spans="4:4" ht="13">
      <c r="D474" s="41"/>
    </row>
    <row r="475" spans="4:4" ht="13">
      <c r="D475" s="41"/>
    </row>
    <row r="476" spans="4:4" ht="13">
      <c r="D476" s="41"/>
    </row>
    <row r="477" spans="4:4" ht="13">
      <c r="D477" s="41"/>
    </row>
    <row r="478" spans="4:4" ht="13">
      <c r="D478" s="41"/>
    </row>
    <row r="479" spans="4:4" ht="13">
      <c r="D479" s="41"/>
    </row>
    <row r="480" spans="4:4" ht="13">
      <c r="D480" s="41"/>
    </row>
    <row r="481" spans="4:4" ht="13">
      <c r="D481" s="41"/>
    </row>
    <row r="482" spans="4:4" ht="13">
      <c r="D482" s="41"/>
    </row>
    <row r="483" spans="4:4" ht="13">
      <c r="D483" s="41"/>
    </row>
    <row r="484" spans="4:4" ht="13">
      <c r="D484" s="41"/>
    </row>
    <row r="485" spans="4:4" ht="13">
      <c r="D485" s="41"/>
    </row>
    <row r="486" spans="4:4" ht="13">
      <c r="D486" s="41"/>
    </row>
    <row r="487" spans="4:4" ht="13">
      <c r="D487" s="41"/>
    </row>
    <row r="488" spans="4:4" ht="13">
      <c r="D488" s="41"/>
    </row>
    <row r="489" spans="4:4" ht="13">
      <c r="D489" s="41"/>
    </row>
    <row r="490" spans="4:4" ht="13">
      <c r="D490" s="41"/>
    </row>
    <row r="491" spans="4:4" ht="13">
      <c r="D491" s="41"/>
    </row>
    <row r="492" spans="4:4" ht="13">
      <c r="D492" s="41"/>
    </row>
    <row r="493" spans="4:4" ht="13">
      <c r="D493" s="41"/>
    </row>
    <row r="494" spans="4:4" ht="13">
      <c r="D494" s="41"/>
    </row>
    <row r="495" spans="4:4" ht="13">
      <c r="D495" s="41"/>
    </row>
    <row r="496" spans="4:4" ht="13">
      <c r="D496" s="41"/>
    </row>
    <row r="497" spans="4:4" ht="13">
      <c r="D497" s="41"/>
    </row>
    <row r="498" spans="4:4" ht="13">
      <c r="D498" s="41"/>
    </row>
    <row r="499" spans="4:4" ht="13">
      <c r="D499" s="41"/>
    </row>
    <row r="500" spans="4:4" ht="13">
      <c r="D500" s="41"/>
    </row>
    <row r="501" spans="4:4" ht="13">
      <c r="D501" s="41"/>
    </row>
    <row r="502" spans="4:4" ht="13">
      <c r="D502" s="41"/>
    </row>
    <row r="503" spans="4:4" ht="13">
      <c r="D503" s="41"/>
    </row>
    <row r="504" spans="4:4" ht="13">
      <c r="D504" s="41"/>
    </row>
    <row r="505" spans="4:4" ht="13">
      <c r="D505" s="41"/>
    </row>
    <row r="506" spans="4:4" ht="13">
      <c r="D506" s="41"/>
    </row>
    <row r="507" spans="4:4" ht="13">
      <c r="D507" s="41"/>
    </row>
    <row r="508" spans="4:4" ht="13">
      <c r="D508" s="41"/>
    </row>
    <row r="509" spans="4:4" ht="13">
      <c r="D509" s="41"/>
    </row>
    <row r="510" spans="4:4" ht="13">
      <c r="D510" s="41"/>
    </row>
    <row r="511" spans="4:4" ht="13">
      <c r="D511" s="41"/>
    </row>
    <row r="512" spans="4:4" ht="13">
      <c r="D512" s="41"/>
    </row>
    <row r="513" spans="4:4" ht="13">
      <c r="D513" s="41"/>
    </row>
    <row r="514" spans="4:4" ht="13">
      <c r="D514" s="41"/>
    </row>
    <row r="515" spans="4:4" ht="13">
      <c r="D515" s="41"/>
    </row>
    <row r="516" spans="4:4" ht="13">
      <c r="D516" s="41"/>
    </row>
    <row r="517" spans="4:4" ht="13">
      <c r="D517" s="41"/>
    </row>
    <row r="518" spans="4:4" ht="13">
      <c r="D518" s="41"/>
    </row>
    <row r="519" spans="4:4" ht="13">
      <c r="D519" s="41"/>
    </row>
    <row r="520" spans="4:4" ht="13">
      <c r="D520" s="41"/>
    </row>
    <row r="521" spans="4:4" ht="13">
      <c r="D521" s="41"/>
    </row>
    <row r="522" spans="4:4" ht="13">
      <c r="D522" s="41"/>
    </row>
    <row r="523" spans="4:4" ht="13">
      <c r="D523" s="41"/>
    </row>
    <row r="524" spans="4:4" ht="13">
      <c r="D524" s="41"/>
    </row>
    <row r="525" spans="4:4" ht="13">
      <c r="D525" s="41"/>
    </row>
    <row r="526" spans="4:4" ht="13">
      <c r="D526" s="41"/>
    </row>
    <row r="527" spans="4:4" ht="13">
      <c r="D527" s="41"/>
    </row>
    <row r="528" spans="4:4" ht="13">
      <c r="D528" s="41"/>
    </row>
    <row r="529" spans="4:4" ht="13">
      <c r="D529" s="41"/>
    </row>
    <row r="530" spans="4:4" ht="13">
      <c r="D530" s="41"/>
    </row>
    <row r="531" spans="4:4" ht="13">
      <c r="D531" s="41"/>
    </row>
    <row r="532" spans="4:4" ht="13">
      <c r="D532" s="41"/>
    </row>
    <row r="533" spans="4:4" ht="13">
      <c r="D533" s="41"/>
    </row>
    <row r="534" spans="4:4" ht="13">
      <c r="D534" s="41"/>
    </row>
    <row r="535" spans="4:4" ht="13">
      <c r="D535" s="41"/>
    </row>
    <row r="536" spans="4:4" ht="13">
      <c r="D536" s="41"/>
    </row>
    <row r="537" spans="4:4" ht="13">
      <c r="D537" s="41"/>
    </row>
    <row r="538" spans="4:4" ht="13">
      <c r="D538" s="41"/>
    </row>
    <row r="539" spans="4:4" ht="13">
      <c r="D539" s="41"/>
    </row>
    <row r="540" spans="4:4" ht="13">
      <c r="D540" s="41"/>
    </row>
    <row r="541" spans="4:4" ht="13">
      <c r="D541" s="41"/>
    </row>
    <row r="542" spans="4:4" ht="13">
      <c r="D542" s="41"/>
    </row>
    <row r="543" spans="4:4" ht="13">
      <c r="D543" s="41"/>
    </row>
    <row r="544" spans="4:4" ht="13">
      <c r="D544" s="41"/>
    </row>
    <row r="545" spans="4:4" ht="13">
      <c r="D545" s="41"/>
    </row>
    <row r="546" spans="4:4" ht="13">
      <c r="D546" s="41"/>
    </row>
    <row r="547" spans="4:4" ht="13">
      <c r="D547" s="41"/>
    </row>
    <row r="548" spans="4:4" ht="13">
      <c r="D548" s="41"/>
    </row>
    <row r="549" spans="4:4" ht="13">
      <c r="D549" s="41"/>
    </row>
    <row r="550" spans="4:4" ht="13">
      <c r="D550" s="41"/>
    </row>
    <row r="551" spans="4:4" ht="13">
      <c r="D551" s="41"/>
    </row>
    <row r="552" spans="4:4" ht="13">
      <c r="D552" s="41"/>
    </row>
    <row r="553" spans="4:4" ht="13">
      <c r="D553" s="41"/>
    </row>
    <row r="554" spans="4:4" ht="13">
      <c r="D554" s="41"/>
    </row>
    <row r="555" spans="4:4" ht="13">
      <c r="D555" s="41"/>
    </row>
    <row r="556" spans="4:4" ht="13">
      <c r="D556" s="41"/>
    </row>
    <row r="557" spans="4:4" ht="13">
      <c r="D557" s="41"/>
    </row>
    <row r="558" spans="4:4" ht="13">
      <c r="D558" s="41"/>
    </row>
    <row r="559" spans="4:4" ht="13">
      <c r="D559" s="41"/>
    </row>
    <row r="560" spans="4:4" ht="13">
      <c r="D560" s="41"/>
    </row>
    <row r="561" spans="4:4" ht="13">
      <c r="D561" s="41"/>
    </row>
    <row r="562" spans="4:4" ht="13">
      <c r="D562" s="41"/>
    </row>
    <row r="563" spans="4:4" ht="13">
      <c r="D563" s="41"/>
    </row>
    <row r="564" spans="4:4" ht="13">
      <c r="D564" s="41"/>
    </row>
    <row r="565" spans="4:4" ht="13">
      <c r="D565" s="41"/>
    </row>
    <row r="566" spans="4:4" ht="13">
      <c r="D566" s="41"/>
    </row>
    <row r="567" spans="4:4" ht="13">
      <c r="D567" s="41"/>
    </row>
    <row r="568" spans="4:4" ht="13">
      <c r="D568" s="41"/>
    </row>
    <row r="569" spans="4:4" ht="13">
      <c r="D569" s="41"/>
    </row>
    <row r="570" spans="4:4" ht="13">
      <c r="D570" s="41"/>
    </row>
    <row r="571" spans="4:4" ht="13">
      <c r="D571" s="41"/>
    </row>
    <row r="572" spans="4:4" ht="13">
      <c r="D572" s="41"/>
    </row>
    <row r="573" spans="4:4" ht="13">
      <c r="D573" s="41"/>
    </row>
    <row r="574" spans="4:4" ht="13">
      <c r="D574" s="41"/>
    </row>
    <row r="575" spans="4:4" ht="13">
      <c r="D575" s="41"/>
    </row>
    <row r="576" spans="4:4" ht="13">
      <c r="D576" s="41"/>
    </row>
    <row r="577" spans="4:4" ht="13">
      <c r="D577" s="41"/>
    </row>
    <row r="578" spans="4:4" ht="13">
      <c r="D578" s="41"/>
    </row>
    <row r="579" spans="4:4" ht="13">
      <c r="D579" s="41"/>
    </row>
    <row r="580" spans="4:4" ht="13">
      <c r="D580" s="41"/>
    </row>
    <row r="581" spans="4:4" ht="13">
      <c r="D581" s="41"/>
    </row>
    <row r="582" spans="4:4" ht="13">
      <c r="D582" s="41"/>
    </row>
    <row r="583" spans="4:4" ht="13">
      <c r="D583" s="41"/>
    </row>
    <row r="584" spans="4:4" ht="13">
      <c r="D584" s="41"/>
    </row>
    <row r="585" spans="4:4" ht="13">
      <c r="D585" s="41"/>
    </row>
    <row r="586" spans="4:4" ht="13">
      <c r="D586" s="41"/>
    </row>
    <row r="587" spans="4:4" ht="13">
      <c r="D587" s="41"/>
    </row>
    <row r="588" spans="4:4" ht="13">
      <c r="D588" s="41"/>
    </row>
    <row r="589" spans="4:4" ht="13">
      <c r="D589" s="41"/>
    </row>
    <row r="590" spans="4:4" ht="13">
      <c r="D590" s="41"/>
    </row>
    <row r="591" spans="4:4" ht="13">
      <c r="D591" s="41"/>
    </row>
    <row r="592" spans="4:4" ht="13">
      <c r="D592" s="41"/>
    </row>
    <row r="593" spans="4:4" ht="13">
      <c r="D593" s="41"/>
    </row>
    <row r="594" spans="4:4" ht="13">
      <c r="D594" s="41"/>
    </row>
    <row r="595" spans="4:4" ht="13">
      <c r="D595" s="41"/>
    </row>
    <row r="596" spans="4:4" ht="13">
      <c r="D596" s="41"/>
    </row>
    <row r="597" spans="4:4" ht="13">
      <c r="D597" s="41"/>
    </row>
    <row r="598" spans="4:4" ht="13">
      <c r="D598" s="41"/>
    </row>
    <row r="599" spans="4:4" ht="13">
      <c r="D599" s="41"/>
    </row>
    <row r="600" spans="4:4" ht="13">
      <c r="D600" s="41"/>
    </row>
    <row r="601" spans="4:4" ht="13">
      <c r="D601" s="41"/>
    </row>
    <row r="602" spans="4:4" ht="13">
      <c r="D602" s="41"/>
    </row>
    <row r="603" spans="4:4" ht="13">
      <c r="D603" s="41"/>
    </row>
    <row r="604" spans="4:4" ht="13">
      <c r="D604" s="41"/>
    </row>
    <row r="605" spans="4:4" ht="13">
      <c r="D605" s="41"/>
    </row>
    <row r="606" spans="4:4" ht="13">
      <c r="D606" s="41"/>
    </row>
    <row r="607" spans="4:4" ht="13">
      <c r="D607" s="41"/>
    </row>
    <row r="608" spans="4:4" ht="13">
      <c r="D608" s="41"/>
    </row>
    <row r="609" spans="4:4" ht="13">
      <c r="D609" s="41"/>
    </row>
    <row r="610" spans="4:4" ht="13">
      <c r="D610" s="41"/>
    </row>
    <row r="611" spans="4:4" ht="13">
      <c r="D611" s="41"/>
    </row>
    <row r="612" spans="4:4" ht="13">
      <c r="D612" s="41"/>
    </row>
    <row r="613" spans="4:4" ht="13">
      <c r="D613" s="41"/>
    </row>
    <row r="614" spans="4:4" ht="13">
      <c r="D614" s="41"/>
    </row>
    <row r="615" spans="4:4" ht="13">
      <c r="D615" s="41"/>
    </row>
    <row r="616" spans="4:4" ht="13">
      <c r="D616" s="41"/>
    </row>
    <row r="617" spans="4:4" ht="13">
      <c r="D617" s="41"/>
    </row>
    <row r="618" spans="4:4" ht="13">
      <c r="D618" s="41"/>
    </row>
    <row r="619" spans="4:4" ht="13">
      <c r="D619" s="41"/>
    </row>
    <row r="620" spans="4:4" ht="13">
      <c r="D620" s="41"/>
    </row>
    <row r="621" spans="4:4" ht="13">
      <c r="D621" s="41"/>
    </row>
    <row r="622" spans="4:4" ht="13">
      <c r="D622" s="41"/>
    </row>
    <row r="623" spans="4:4" ht="13">
      <c r="D623" s="41"/>
    </row>
    <row r="624" spans="4:4" ht="13">
      <c r="D624" s="41"/>
    </row>
    <row r="625" spans="4:4" ht="13">
      <c r="D625" s="41"/>
    </row>
    <row r="626" spans="4:4" ht="13">
      <c r="D626" s="41"/>
    </row>
    <row r="627" spans="4:4" ht="13">
      <c r="D627" s="41"/>
    </row>
    <row r="628" spans="4:4" ht="13">
      <c r="D628" s="41"/>
    </row>
    <row r="629" spans="4:4" ht="13">
      <c r="D629" s="41"/>
    </row>
    <row r="630" spans="4:4" ht="13">
      <c r="D630" s="41"/>
    </row>
    <row r="631" spans="4:4" ht="13">
      <c r="D631" s="41"/>
    </row>
    <row r="632" spans="4:4" ht="13">
      <c r="D632" s="41"/>
    </row>
    <row r="633" spans="4:4" ht="13">
      <c r="D633" s="41"/>
    </row>
    <row r="634" spans="4:4" ht="13">
      <c r="D634" s="41"/>
    </row>
    <row r="635" spans="4:4" ht="13">
      <c r="D635" s="41"/>
    </row>
    <row r="636" spans="4:4" ht="13">
      <c r="D636" s="41"/>
    </row>
    <row r="637" spans="4:4" ht="13">
      <c r="D637" s="41"/>
    </row>
    <row r="638" spans="4:4" ht="13">
      <c r="D638" s="41"/>
    </row>
    <row r="639" spans="4:4" ht="13">
      <c r="D639" s="41"/>
    </row>
    <row r="640" spans="4:4" ht="13">
      <c r="D640" s="41"/>
    </row>
    <row r="641" spans="4:4" ht="13">
      <c r="D641" s="41"/>
    </row>
    <row r="642" spans="4:4" ht="13">
      <c r="D642" s="41"/>
    </row>
    <row r="643" spans="4:4" ht="13">
      <c r="D643" s="41"/>
    </row>
    <row r="644" spans="4:4" ht="13">
      <c r="D644" s="41"/>
    </row>
    <row r="645" spans="4:4" ht="13">
      <c r="D645" s="41"/>
    </row>
    <row r="646" spans="4:4" ht="13">
      <c r="D646" s="41"/>
    </row>
    <row r="647" spans="4:4" ht="13">
      <c r="D647" s="41"/>
    </row>
    <row r="648" spans="4:4" ht="13">
      <c r="D648" s="41"/>
    </row>
    <row r="649" spans="4:4" ht="13">
      <c r="D649" s="41"/>
    </row>
    <row r="650" spans="4:4" ht="13">
      <c r="D650" s="41"/>
    </row>
    <row r="651" spans="4:4" ht="13">
      <c r="D651" s="41"/>
    </row>
    <row r="652" spans="4:4" ht="13">
      <c r="D652" s="41"/>
    </row>
    <row r="653" spans="4:4" ht="13">
      <c r="D653" s="41"/>
    </row>
    <row r="654" spans="4:4" ht="13">
      <c r="D654" s="41"/>
    </row>
    <row r="655" spans="4:4" ht="13">
      <c r="D655" s="41"/>
    </row>
    <row r="656" spans="4:4" ht="13">
      <c r="D656" s="41"/>
    </row>
    <row r="657" spans="4:4" ht="13">
      <c r="D657" s="41"/>
    </row>
    <row r="658" spans="4:4" ht="13">
      <c r="D658" s="41"/>
    </row>
    <row r="659" spans="4:4" ht="13">
      <c r="D659" s="41"/>
    </row>
    <row r="660" spans="4:4" ht="13">
      <c r="D660" s="41"/>
    </row>
    <row r="661" spans="4:4" ht="13">
      <c r="D661" s="41"/>
    </row>
    <row r="662" spans="4:4" ht="13">
      <c r="D662" s="41"/>
    </row>
    <row r="663" spans="4:4" ht="13">
      <c r="D663" s="41"/>
    </row>
    <row r="664" spans="4:4" ht="13">
      <c r="D664" s="41"/>
    </row>
    <row r="665" spans="4:4" ht="13">
      <c r="D665" s="41"/>
    </row>
    <row r="666" spans="4:4" ht="13">
      <c r="D666" s="41"/>
    </row>
    <row r="667" spans="4:4" ht="13">
      <c r="D667" s="41"/>
    </row>
    <row r="668" spans="4:4" ht="13">
      <c r="D668" s="41"/>
    </row>
    <row r="669" spans="4:4" ht="13">
      <c r="D669" s="41"/>
    </row>
    <row r="670" spans="4:4" ht="13">
      <c r="D670" s="41"/>
    </row>
    <row r="671" spans="4:4" ht="13">
      <c r="D671" s="41"/>
    </row>
    <row r="672" spans="4:4" ht="13">
      <c r="D672" s="41"/>
    </row>
    <row r="673" spans="4:4" ht="13">
      <c r="D673" s="41"/>
    </row>
    <row r="674" spans="4:4" ht="13">
      <c r="D674" s="41"/>
    </row>
    <row r="675" spans="4:4" ht="13">
      <c r="D675" s="41"/>
    </row>
    <row r="676" spans="4:4" ht="13">
      <c r="D676" s="41"/>
    </row>
    <row r="677" spans="4:4" ht="13">
      <c r="D677" s="41"/>
    </row>
    <row r="678" spans="4:4" ht="13">
      <c r="D678" s="41"/>
    </row>
    <row r="679" spans="4:4" ht="13">
      <c r="D679" s="41"/>
    </row>
    <row r="680" spans="4:4" ht="13">
      <c r="D680" s="41"/>
    </row>
    <row r="681" spans="4:4" ht="13">
      <c r="D681" s="41"/>
    </row>
    <row r="682" spans="4:4" ht="13">
      <c r="D682" s="41"/>
    </row>
    <row r="683" spans="4:4" ht="13">
      <c r="D683" s="41"/>
    </row>
    <row r="684" spans="4:4" ht="13">
      <c r="D684" s="41"/>
    </row>
    <row r="685" spans="4:4" ht="13">
      <c r="D685" s="41"/>
    </row>
    <row r="686" spans="4:4" ht="13">
      <c r="D686" s="41"/>
    </row>
    <row r="687" spans="4:4" ht="13">
      <c r="D687" s="41"/>
    </row>
    <row r="688" spans="4:4" ht="13">
      <c r="D688" s="41"/>
    </row>
    <row r="689" spans="4:4" ht="13">
      <c r="D689" s="41"/>
    </row>
    <row r="690" spans="4:4" ht="13">
      <c r="D690" s="41"/>
    </row>
    <row r="691" spans="4:4" ht="13">
      <c r="D691" s="41"/>
    </row>
    <row r="692" spans="4:4" ht="13">
      <c r="D692" s="41"/>
    </row>
    <row r="693" spans="4:4" ht="13">
      <c r="D693" s="41"/>
    </row>
    <row r="694" spans="4:4" ht="13">
      <c r="D694" s="41"/>
    </row>
    <row r="695" spans="4:4" ht="13">
      <c r="D695" s="41"/>
    </row>
    <row r="696" spans="4:4" ht="13">
      <c r="D696" s="41"/>
    </row>
    <row r="697" spans="4:4" ht="13">
      <c r="D697" s="41"/>
    </row>
    <row r="698" spans="4:4" ht="13">
      <c r="D698" s="41"/>
    </row>
    <row r="699" spans="4:4" ht="13">
      <c r="D699" s="41"/>
    </row>
    <row r="700" spans="4:4" ht="13">
      <c r="D700" s="41"/>
    </row>
    <row r="701" spans="4:4" ht="13">
      <c r="D701" s="41"/>
    </row>
    <row r="702" spans="4:4" ht="13">
      <c r="D702" s="41"/>
    </row>
    <row r="703" spans="4:4" ht="13">
      <c r="D703" s="41"/>
    </row>
    <row r="704" spans="4:4" ht="13">
      <c r="D704" s="41"/>
    </row>
    <row r="705" spans="4:4" ht="13">
      <c r="D705" s="41"/>
    </row>
    <row r="706" spans="4:4" ht="13">
      <c r="D706" s="41"/>
    </row>
    <row r="707" spans="4:4" ht="13">
      <c r="D707" s="41"/>
    </row>
    <row r="708" spans="4:4" ht="13">
      <c r="D708" s="41"/>
    </row>
    <row r="709" spans="4:4" ht="13">
      <c r="D709" s="41"/>
    </row>
    <row r="710" spans="4:4" ht="13">
      <c r="D710" s="41"/>
    </row>
    <row r="711" spans="4:4" ht="13">
      <c r="D711" s="41"/>
    </row>
    <row r="712" spans="4:4" ht="13">
      <c r="D712" s="41"/>
    </row>
    <row r="713" spans="4:4" ht="13">
      <c r="D713" s="41"/>
    </row>
    <row r="714" spans="4:4" ht="13">
      <c r="D714" s="41"/>
    </row>
    <row r="715" spans="4:4" ht="13">
      <c r="D715" s="41"/>
    </row>
    <row r="716" spans="4:4" ht="13">
      <c r="D716" s="41"/>
    </row>
    <row r="717" spans="4:4" ht="13">
      <c r="D717" s="41"/>
    </row>
    <row r="718" spans="4:4" ht="13">
      <c r="D718" s="41"/>
    </row>
    <row r="719" spans="4:4" ht="13">
      <c r="D719" s="41"/>
    </row>
    <row r="720" spans="4:4" ht="13">
      <c r="D720" s="41"/>
    </row>
    <row r="721" spans="4:4" ht="13">
      <c r="D721" s="41"/>
    </row>
    <row r="722" spans="4:4" ht="13">
      <c r="D722" s="41"/>
    </row>
    <row r="723" spans="4:4" ht="13">
      <c r="D723" s="41"/>
    </row>
    <row r="724" spans="4:4" ht="13">
      <c r="D724" s="41"/>
    </row>
    <row r="725" spans="4:4" ht="13">
      <c r="D725" s="41"/>
    </row>
    <row r="726" spans="4:4" ht="13">
      <c r="D726" s="41"/>
    </row>
    <row r="727" spans="4:4" ht="13">
      <c r="D727" s="41"/>
    </row>
    <row r="728" spans="4:4" ht="13">
      <c r="D728" s="41"/>
    </row>
    <row r="729" spans="4:4" ht="13">
      <c r="D729" s="41"/>
    </row>
    <row r="730" spans="4:4" ht="13">
      <c r="D730" s="41"/>
    </row>
    <row r="731" spans="4:4" ht="13">
      <c r="D731" s="41"/>
    </row>
    <row r="732" spans="4:4" ht="13">
      <c r="D732" s="41"/>
    </row>
    <row r="733" spans="4:4" ht="13">
      <c r="D733" s="41"/>
    </row>
    <row r="734" spans="4:4" ht="13">
      <c r="D734" s="41"/>
    </row>
    <row r="735" spans="4:4" ht="13">
      <c r="D735" s="41"/>
    </row>
    <row r="736" spans="4:4" ht="13">
      <c r="D736" s="41"/>
    </row>
    <row r="737" spans="4:4" ht="13">
      <c r="D737" s="41"/>
    </row>
    <row r="738" spans="4:4" ht="13">
      <c r="D738" s="41"/>
    </row>
    <row r="739" spans="4:4" ht="13">
      <c r="D739" s="41"/>
    </row>
    <row r="740" spans="4:4" ht="13">
      <c r="D740" s="41"/>
    </row>
    <row r="741" spans="4:4" ht="13">
      <c r="D741" s="41"/>
    </row>
    <row r="742" spans="4:4" ht="13">
      <c r="D742" s="41"/>
    </row>
    <row r="743" spans="4:4" ht="13">
      <c r="D743" s="41"/>
    </row>
    <row r="744" spans="4:4" ht="13">
      <c r="D744" s="41"/>
    </row>
    <row r="745" spans="4:4" ht="13">
      <c r="D745" s="41"/>
    </row>
    <row r="746" spans="4:4" ht="13">
      <c r="D746" s="41"/>
    </row>
    <row r="747" spans="4:4" ht="13">
      <c r="D747" s="41"/>
    </row>
    <row r="748" spans="4:4" ht="13">
      <c r="D748" s="41"/>
    </row>
    <row r="749" spans="4:4" ht="13">
      <c r="D749" s="41"/>
    </row>
    <row r="750" spans="4:4" ht="13">
      <c r="D750" s="41"/>
    </row>
    <row r="751" spans="4:4" ht="13">
      <c r="D751" s="41"/>
    </row>
    <row r="752" spans="4:4" ht="13">
      <c r="D752" s="41"/>
    </row>
    <row r="753" spans="4:4" ht="13">
      <c r="D753" s="41"/>
    </row>
    <row r="754" spans="4:4" ht="13">
      <c r="D754" s="41"/>
    </row>
    <row r="755" spans="4:4" ht="13">
      <c r="D755" s="41"/>
    </row>
    <row r="756" spans="4:4" ht="13">
      <c r="D756" s="41"/>
    </row>
    <row r="757" spans="4:4" ht="13">
      <c r="D757" s="41"/>
    </row>
    <row r="758" spans="4:4" ht="13">
      <c r="D758" s="41"/>
    </row>
    <row r="759" spans="4:4" ht="13">
      <c r="D759" s="41"/>
    </row>
    <row r="760" spans="4:4" ht="13">
      <c r="D760" s="41"/>
    </row>
    <row r="761" spans="4:4" ht="13">
      <c r="D761" s="41"/>
    </row>
    <row r="762" spans="4:4" ht="13">
      <c r="D762" s="41"/>
    </row>
    <row r="763" spans="4:4" ht="13">
      <c r="D763" s="41"/>
    </row>
    <row r="764" spans="4:4" ht="13">
      <c r="D764" s="41"/>
    </row>
    <row r="765" spans="4:4" ht="13">
      <c r="D765" s="41"/>
    </row>
    <row r="766" spans="4:4" ht="13">
      <c r="D766" s="41"/>
    </row>
    <row r="767" spans="4:4" ht="13">
      <c r="D767" s="41"/>
    </row>
    <row r="768" spans="4:4" ht="13">
      <c r="D768" s="41"/>
    </row>
    <row r="769" spans="4:4" ht="13">
      <c r="D769" s="41"/>
    </row>
    <row r="770" spans="4:4" ht="13">
      <c r="D770" s="41"/>
    </row>
    <row r="771" spans="4:4" ht="13">
      <c r="D771" s="41"/>
    </row>
    <row r="772" spans="4:4" ht="13">
      <c r="D772" s="41"/>
    </row>
    <row r="773" spans="4:4" ht="13">
      <c r="D773" s="41"/>
    </row>
    <row r="774" spans="4:4" ht="13">
      <c r="D774" s="41"/>
    </row>
    <row r="775" spans="4:4" ht="13">
      <c r="D775" s="41"/>
    </row>
    <row r="776" spans="4:4" ht="13">
      <c r="D776" s="41"/>
    </row>
    <row r="777" spans="4:4" ht="13">
      <c r="D777" s="41"/>
    </row>
    <row r="778" spans="4:4" ht="13">
      <c r="D778" s="41"/>
    </row>
    <row r="779" spans="4:4" ht="13">
      <c r="D779" s="41"/>
    </row>
    <row r="780" spans="4:4" ht="13">
      <c r="D780" s="41"/>
    </row>
    <row r="781" spans="4:4" ht="13">
      <c r="D781" s="41"/>
    </row>
    <row r="782" spans="4:4" ht="13">
      <c r="D782" s="41"/>
    </row>
    <row r="783" spans="4:4" ht="13">
      <c r="D783" s="41"/>
    </row>
    <row r="784" spans="4:4" ht="13">
      <c r="D784" s="41"/>
    </row>
    <row r="785" spans="4:4" ht="13">
      <c r="D785" s="41"/>
    </row>
    <row r="786" spans="4:4" ht="13">
      <c r="D786" s="41"/>
    </row>
    <row r="787" spans="4:4" ht="13">
      <c r="D787" s="41"/>
    </row>
    <row r="788" spans="4:4" ht="13">
      <c r="D788" s="41"/>
    </row>
    <row r="789" spans="4:4" ht="13">
      <c r="D789" s="41"/>
    </row>
    <row r="790" spans="4:4" ht="13">
      <c r="D790" s="41"/>
    </row>
    <row r="791" spans="4:4" ht="13">
      <c r="D791" s="41"/>
    </row>
    <row r="792" spans="4:4" ht="13">
      <c r="D792" s="41"/>
    </row>
    <row r="793" spans="4:4" ht="13">
      <c r="D793" s="41"/>
    </row>
    <row r="794" spans="4:4" ht="13">
      <c r="D794" s="41"/>
    </row>
    <row r="795" spans="4:4" ht="13">
      <c r="D795" s="41"/>
    </row>
    <row r="796" spans="4:4" ht="13">
      <c r="D796" s="41"/>
    </row>
    <row r="797" spans="4:4" ht="13">
      <c r="D797" s="41"/>
    </row>
    <row r="798" spans="4:4" ht="13">
      <c r="D798" s="41"/>
    </row>
    <row r="799" spans="4:4" ht="13">
      <c r="D799" s="41"/>
    </row>
    <row r="800" spans="4:4" ht="13">
      <c r="D800" s="41"/>
    </row>
    <row r="801" spans="4:4" ht="13">
      <c r="D801" s="41"/>
    </row>
    <row r="802" spans="4:4" ht="13">
      <c r="D802" s="41"/>
    </row>
    <row r="803" spans="4:4" ht="13">
      <c r="D803" s="41"/>
    </row>
    <row r="804" spans="4:4" ht="13">
      <c r="D804" s="41"/>
    </row>
    <row r="805" spans="4:4" ht="13">
      <c r="D805" s="41"/>
    </row>
    <row r="806" spans="4:4" ht="13">
      <c r="D806" s="41"/>
    </row>
    <row r="807" spans="4:4" ht="13">
      <c r="D807" s="41"/>
    </row>
    <row r="808" spans="4:4" ht="13">
      <c r="D808" s="41"/>
    </row>
    <row r="809" spans="4:4" ht="13">
      <c r="D809" s="41"/>
    </row>
    <row r="810" spans="4:4" ht="13">
      <c r="D810" s="41"/>
    </row>
    <row r="811" spans="4:4" ht="13">
      <c r="D811" s="41"/>
    </row>
    <row r="812" spans="4:4" ht="13">
      <c r="D812" s="41"/>
    </row>
    <row r="813" spans="4:4" ht="13">
      <c r="D813" s="41"/>
    </row>
    <row r="814" spans="4:4" ht="13">
      <c r="D814" s="41"/>
    </row>
    <row r="815" spans="4:4" ht="13">
      <c r="D815" s="41"/>
    </row>
    <row r="816" spans="4:4" ht="13">
      <c r="D816" s="41"/>
    </row>
    <row r="817" spans="4:4" ht="13">
      <c r="D817" s="41"/>
    </row>
    <row r="818" spans="4:4" ht="13">
      <c r="D818" s="41"/>
    </row>
    <row r="819" spans="4:4" ht="13">
      <c r="D819" s="41"/>
    </row>
    <row r="820" spans="4:4" ht="13">
      <c r="D820" s="41"/>
    </row>
    <row r="821" spans="4:4" ht="13">
      <c r="D821" s="41"/>
    </row>
    <row r="822" spans="4:4" ht="13">
      <c r="D822" s="41"/>
    </row>
    <row r="823" spans="4:4" ht="13">
      <c r="D823" s="41"/>
    </row>
    <row r="824" spans="4:4" ht="13">
      <c r="D824" s="41"/>
    </row>
    <row r="825" spans="4:4" ht="13">
      <c r="D825" s="41"/>
    </row>
    <row r="826" spans="4:4" ht="13">
      <c r="D826" s="41"/>
    </row>
    <row r="827" spans="4:4" ht="13">
      <c r="D827" s="41"/>
    </row>
    <row r="828" spans="4:4" ht="13">
      <c r="D828" s="41"/>
    </row>
    <row r="829" spans="4:4" ht="13">
      <c r="D829" s="41"/>
    </row>
    <row r="830" spans="4:4" ht="13">
      <c r="D830" s="41"/>
    </row>
    <row r="831" spans="4:4" ht="13">
      <c r="D831" s="41"/>
    </row>
    <row r="832" spans="4:4" ht="13">
      <c r="D832" s="41"/>
    </row>
    <row r="833" spans="4:4" ht="13">
      <c r="D833" s="41"/>
    </row>
    <row r="834" spans="4:4" ht="13">
      <c r="D834" s="41"/>
    </row>
    <row r="835" spans="4:4" ht="13">
      <c r="D835" s="41"/>
    </row>
    <row r="836" spans="4:4" ht="13">
      <c r="D836" s="41"/>
    </row>
    <row r="837" spans="4:4" ht="13">
      <c r="D837" s="41"/>
    </row>
    <row r="838" spans="4:4" ht="13">
      <c r="D838" s="41"/>
    </row>
    <row r="839" spans="4:4" ht="13">
      <c r="D839" s="41"/>
    </row>
    <row r="840" spans="4:4" ht="13">
      <c r="D840" s="41"/>
    </row>
    <row r="841" spans="4:4" ht="13">
      <c r="D841" s="41"/>
    </row>
    <row r="842" spans="4:4" ht="13">
      <c r="D842" s="41"/>
    </row>
    <row r="843" spans="4:4" ht="13">
      <c r="D843" s="41"/>
    </row>
    <row r="844" spans="4:4" ht="13">
      <c r="D844" s="41"/>
    </row>
    <row r="845" spans="4:4" ht="13">
      <c r="D845" s="41"/>
    </row>
    <row r="846" spans="4:4" ht="13">
      <c r="D846" s="41"/>
    </row>
    <row r="847" spans="4:4" ht="13">
      <c r="D847" s="41"/>
    </row>
    <row r="848" spans="4:4" ht="13">
      <c r="D848" s="41"/>
    </row>
    <row r="849" spans="4:4" ht="13">
      <c r="D849" s="41"/>
    </row>
    <row r="850" spans="4:4" ht="13">
      <c r="D850" s="41"/>
    </row>
    <row r="851" spans="4:4" ht="13">
      <c r="D851" s="41"/>
    </row>
    <row r="852" spans="4:4" ht="13">
      <c r="D852" s="41"/>
    </row>
    <row r="853" spans="4:4" ht="13">
      <c r="D853" s="41"/>
    </row>
    <row r="854" spans="4:4" ht="13">
      <c r="D854" s="41"/>
    </row>
    <row r="855" spans="4:4" ht="13">
      <c r="D855" s="41"/>
    </row>
    <row r="856" spans="4:4" ht="13">
      <c r="D856" s="41"/>
    </row>
    <row r="857" spans="4:4" ht="13">
      <c r="D857" s="41"/>
    </row>
    <row r="858" spans="4:4" ht="13">
      <c r="D858" s="41"/>
    </row>
    <row r="859" spans="4:4" ht="13">
      <c r="D859" s="41"/>
    </row>
    <row r="860" spans="4:4" ht="13">
      <c r="D860" s="41"/>
    </row>
    <row r="861" spans="4:4" ht="13">
      <c r="D861" s="41"/>
    </row>
    <row r="862" spans="4:4" ht="13">
      <c r="D862" s="41"/>
    </row>
    <row r="863" spans="4:4" ht="13">
      <c r="D863" s="41"/>
    </row>
    <row r="864" spans="4:4" ht="13">
      <c r="D864" s="41"/>
    </row>
    <row r="865" spans="4:4" ht="13">
      <c r="D865" s="41"/>
    </row>
    <row r="866" spans="4:4" ht="13">
      <c r="D866" s="41"/>
    </row>
    <row r="867" spans="4:4" ht="13">
      <c r="D867" s="41"/>
    </row>
    <row r="868" spans="4:4" ht="13">
      <c r="D868" s="41"/>
    </row>
    <row r="869" spans="4:4" ht="13">
      <c r="D869" s="41"/>
    </row>
    <row r="870" spans="4:4" ht="13">
      <c r="D870" s="41"/>
    </row>
    <row r="871" spans="4:4" ht="13">
      <c r="D871" s="41"/>
    </row>
    <row r="872" spans="4:4" ht="13">
      <c r="D872" s="41"/>
    </row>
    <row r="873" spans="4:4" ht="13">
      <c r="D873" s="41"/>
    </row>
    <row r="874" spans="4:4" ht="13">
      <c r="D874" s="41"/>
    </row>
    <row r="875" spans="4:4" ht="13">
      <c r="D875" s="41"/>
    </row>
    <row r="876" spans="4:4" ht="13">
      <c r="D876" s="41"/>
    </row>
    <row r="877" spans="4:4" ht="13">
      <c r="D877" s="41"/>
    </row>
    <row r="878" spans="4:4" ht="13">
      <c r="D878" s="41"/>
    </row>
    <row r="879" spans="4:4" ht="13">
      <c r="D879" s="41"/>
    </row>
    <row r="880" spans="4:4" ht="13">
      <c r="D880" s="41"/>
    </row>
    <row r="881" spans="4:4" ht="13">
      <c r="D881" s="41"/>
    </row>
    <row r="882" spans="4:4" ht="13">
      <c r="D882" s="41"/>
    </row>
    <row r="883" spans="4:4" ht="13">
      <c r="D883" s="41"/>
    </row>
    <row r="884" spans="4:4" ht="13">
      <c r="D884" s="41"/>
    </row>
    <row r="885" spans="4:4" ht="13">
      <c r="D885" s="41"/>
    </row>
    <row r="886" spans="4:4" ht="13">
      <c r="D886" s="41"/>
    </row>
    <row r="887" spans="4:4" ht="13">
      <c r="D887" s="41"/>
    </row>
    <row r="888" spans="4:4" ht="13">
      <c r="D888" s="41"/>
    </row>
    <row r="889" spans="4:4" ht="13">
      <c r="D889" s="41"/>
    </row>
    <row r="890" spans="4:4" ht="13">
      <c r="D890" s="41"/>
    </row>
    <row r="891" spans="4:4" ht="13">
      <c r="D891" s="41"/>
    </row>
    <row r="892" spans="4:4" ht="13">
      <c r="D892" s="41"/>
    </row>
    <row r="893" spans="4:4" ht="13">
      <c r="D893" s="41"/>
    </row>
    <row r="894" spans="4:4" ht="13">
      <c r="D894" s="41"/>
    </row>
    <row r="895" spans="4:4" ht="13">
      <c r="D895" s="41"/>
    </row>
    <row r="896" spans="4:4" ht="13">
      <c r="D896" s="41"/>
    </row>
    <row r="897" spans="4:4" ht="13">
      <c r="D897" s="41"/>
    </row>
    <row r="898" spans="4:4" ht="13">
      <c r="D898" s="41"/>
    </row>
    <row r="899" spans="4:4" ht="13">
      <c r="D899" s="41"/>
    </row>
    <row r="900" spans="4:4" ht="13">
      <c r="D900" s="41"/>
    </row>
    <row r="901" spans="4:4" ht="13">
      <c r="D901" s="41"/>
    </row>
    <row r="902" spans="4:4" ht="13">
      <c r="D902" s="41"/>
    </row>
    <row r="903" spans="4:4" ht="13">
      <c r="D903" s="41"/>
    </row>
    <row r="904" spans="4:4" ht="13">
      <c r="D904" s="41"/>
    </row>
    <row r="905" spans="4:4" ht="13">
      <c r="D905" s="41"/>
    </row>
    <row r="906" spans="4:4" ht="13">
      <c r="D906" s="41"/>
    </row>
    <row r="907" spans="4:4" ht="13">
      <c r="D907" s="41"/>
    </row>
    <row r="908" spans="4:4" ht="13">
      <c r="D908" s="41"/>
    </row>
    <row r="909" spans="4:4" ht="13">
      <c r="D909" s="41"/>
    </row>
    <row r="910" spans="4:4" ht="13">
      <c r="D910" s="41"/>
    </row>
    <row r="911" spans="4:4" ht="13">
      <c r="D911" s="41"/>
    </row>
    <row r="912" spans="4:4" ht="13">
      <c r="D912" s="41"/>
    </row>
    <row r="913" spans="4:4" ht="13">
      <c r="D913" s="41"/>
    </row>
    <row r="914" spans="4:4" ht="13">
      <c r="D914" s="41"/>
    </row>
    <row r="915" spans="4:4" ht="13">
      <c r="D915" s="41"/>
    </row>
    <row r="916" spans="4:4" ht="13">
      <c r="D916" s="41"/>
    </row>
    <row r="917" spans="4:4" ht="13">
      <c r="D917" s="41"/>
    </row>
    <row r="918" spans="4:4" ht="13">
      <c r="D918" s="41"/>
    </row>
    <row r="919" spans="4:4" ht="13">
      <c r="D919" s="41"/>
    </row>
    <row r="920" spans="4:4" ht="13">
      <c r="D920" s="41"/>
    </row>
    <row r="921" spans="4:4" ht="13">
      <c r="D921" s="41"/>
    </row>
    <row r="922" spans="4:4" ht="13">
      <c r="D922" s="41"/>
    </row>
    <row r="923" spans="4:4" ht="13">
      <c r="D923" s="41"/>
    </row>
    <row r="924" spans="4:4" ht="13">
      <c r="D924" s="41"/>
    </row>
    <row r="925" spans="4:4" ht="13">
      <c r="D925" s="41"/>
    </row>
    <row r="926" spans="4:4" ht="13">
      <c r="D926" s="41"/>
    </row>
    <row r="927" spans="4:4" ht="13">
      <c r="D927" s="41"/>
    </row>
    <row r="928" spans="4:4" ht="13">
      <c r="D928" s="41"/>
    </row>
    <row r="929" spans="4:4" ht="13">
      <c r="D929" s="41"/>
    </row>
    <row r="930" spans="4:4" ht="13">
      <c r="D930" s="41"/>
    </row>
    <row r="931" spans="4:4" ht="13">
      <c r="D931" s="41"/>
    </row>
    <row r="932" spans="4:4" ht="13">
      <c r="D932" s="41"/>
    </row>
    <row r="933" spans="4:4" ht="13">
      <c r="D933" s="41"/>
    </row>
    <row r="934" spans="4:4" ht="13">
      <c r="D934" s="41"/>
    </row>
    <row r="935" spans="4:4" ht="13">
      <c r="D935" s="41"/>
    </row>
    <row r="936" spans="4:4" ht="13">
      <c r="D936" s="41"/>
    </row>
    <row r="937" spans="4:4" ht="13">
      <c r="D937" s="41"/>
    </row>
    <row r="938" spans="4:4" ht="13">
      <c r="D938" s="41"/>
    </row>
    <row r="939" spans="4:4" ht="13">
      <c r="D939" s="41"/>
    </row>
    <row r="940" spans="4:4" ht="13">
      <c r="D940" s="41"/>
    </row>
    <row r="941" spans="4:4" ht="13">
      <c r="D941" s="41"/>
    </row>
    <row r="942" spans="4:4" ht="13">
      <c r="D942" s="41"/>
    </row>
    <row r="943" spans="4:4" ht="13">
      <c r="D943" s="41"/>
    </row>
    <row r="944" spans="4:4" ht="13">
      <c r="D944" s="41"/>
    </row>
    <row r="945" spans="4:4" ht="13">
      <c r="D945" s="41"/>
    </row>
    <row r="946" spans="4:4" ht="13">
      <c r="D946" s="41"/>
    </row>
    <row r="947" spans="4:4" ht="13">
      <c r="D947" s="41"/>
    </row>
    <row r="948" spans="4:4" ht="13">
      <c r="D948" s="41"/>
    </row>
    <row r="949" spans="4:4" ht="13">
      <c r="D949" s="41"/>
    </row>
    <row r="950" spans="4:4" ht="13">
      <c r="D950" s="41"/>
    </row>
    <row r="951" spans="4:4" ht="13">
      <c r="D951" s="41"/>
    </row>
    <row r="952" spans="4:4" ht="13">
      <c r="D952" s="41"/>
    </row>
    <row r="953" spans="4:4" ht="13">
      <c r="D953" s="41"/>
    </row>
    <row r="954" spans="4:4" ht="13">
      <c r="D954" s="41"/>
    </row>
    <row r="955" spans="4:4" ht="13">
      <c r="D955" s="41"/>
    </row>
    <row r="956" spans="4:4" ht="13">
      <c r="D956" s="41"/>
    </row>
    <row r="957" spans="4:4" ht="13">
      <c r="D957" s="41"/>
    </row>
    <row r="958" spans="4:4" ht="13">
      <c r="D958" s="41"/>
    </row>
    <row r="959" spans="4:4" ht="13">
      <c r="D959" s="41"/>
    </row>
    <row r="960" spans="4:4" ht="13">
      <c r="D960" s="41"/>
    </row>
    <row r="961" spans="4:4" ht="13">
      <c r="D961" s="41"/>
    </row>
    <row r="962" spans="4:4" ht="13">
      <c r="D962" s="41"/>
    </row>
    <row r="963" spans="4:4" ht="13">
      <c r="D963" s="41"/>
    </row>
    <row r="964" spans="4:4" ht="13">
      <c r="D964" s="41"/>
    </row>
    <row r="965" spans="4:4" ht="13">
      <c r="D965" s="41"/>
    </row>
    <row r="966" spans="4:4" ht="13">
      <c r="D966" s="41"/>
    </row>
    <row r="967" spans="4:4" ht="13">
      <c r="D967" s="41"/>
    </row>
    <row r="968" spans="4:4" ht="13">
      <c r="D968" s="41"/>
    </row>
    <row r="969" spans="4:4" ht="13">
      <c r="D969" s="41"/>
    </row>
    <row r="970" spans="4:4" ht="13">
      <c r="D970" s="41"/>
    </row>
    <row r="971" spans="4:4" ht="13">
      <c r="D971" s="41"/>
    </row>
    <row r="972" spans="4:4" ht="13">
      <c r="D972" s="41"/>
    </row>
    <row r="973" spans="4:4" ht="13">
      <c r="D973" s="41"/>
    </row>
    <row r="974" spans="4:4" ht="13">
      <c r="D974" s="41"/>
    </row>
    <row r="975" spans="4:4" ht="13">
      <c r="D975" s="41"/>
    </row>
    <row r="976" spans="4:4" ht="13">
      <c r="D976" s="41"/>
    </row>
    <row r="977" spans="4:4" ht="13">
      <c r="D977" s="41"/>
    </row>
    <row r="978" spans="4:4" ht="13">
      <c r="D978" s="41"/>
    </row>
    <row r="979" spans="4:4" ht="13">
      <c r="D979" s="41"/>
    </row>
    <row r="980" spans="4:4" ht="13">
      <c r="D980" s="41"/>
    </row>
    <row r="981" spans="4:4" ht="13">
      <c r="D981" s="41"/>
    </row>
    <row r="982" spans="4:4" ht="13">
      <c r="D982" s="41"/>
    </row>
    <row r="983" spans="4:4" ht="13">
      <c r="D983" s="41"/>
    </row>
    <row r="984" spans="4:4" ht="13">
      <c r="D984" s="41"/>
    </row>
    <row r="985" spans="4:4" ht="13">
      <c r="D985" s="41"/>
    </row>
    <row r="986" spans="4:4" ht="13">
      <c r="D986" s="41"/>
    </row>
    <row r="987" spans="4:4" ht="13">
      <c r="D987" s="41"/>
    </row>
    <row r="988" spans="4:4" ht="13">
      <c r="D988" s="41"/>
    </row>
    <row r="989" spans="4:4" ht="13">
      <c r="D989" s="41"/>
    </row>
    <row r="990" spans="4:4" ht="13">
      <c r="D990" s="41"/>
    </row>
    <row r="991" spans="4:4" ht="13">
      <c r="D991" s="41"/>
    </row>
    <row r="992" spans="4:4" ht="13">
      <c r="D992" s="41"/>
    </row>
    <row r="993" spans="4:4" ht="13">
      <c r="D993" s="41"/>
    </row>
    <row r="994" spans="4:4" ht="13">
      <c r="D994" s="41"/>
    </row>
    <row r="995" spans="4:4" ht="13">
      <c r="D995" s="41"/>
    </row>
    <row r="996" spans="4:4" ht="13">
      <c r="D996" s="41"/>
    </row>
    <row r="997" spans="4:4" ht="13">
      <c r="D997" s="41"/>
    </row>
    <row r="998" spans="4:4" ht="13">
      <c r="D998" s="41"/>
    </row>
    <row r="999" spans="4:4" ht="13">
      <c r="D999" s="41"/>
    </row>
    <row r="1000" spans="4:4" ht="13">
      <c r="D1000" s="4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S4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" sqref="M1:M1048576"/>
    </sheetView>
  </sheetViews>
  <sheetFormatPr baseColWidth="10" defaultColWidth="14.5" defaultRowHeight="15.75" customHeight="1"/>
  <cols>
    <col min="7" max="7" width="19.33203125" customWidth="1"/>
  </cols>
  <sheetData>
    <row r="1" spans="1:19" ht="15.75" customHeight="1">
      <c r="A1" s="3" t="s">
        <v>4914</v>
      </c>
      <c r="B1" s="3" t="s">
        <v>4915</v>
      </c>
      <c r="C1" s="3" t="s">
        <v>116</v>
      </c>
      <c r="D1" s="3" t="s">
        <v>114</v>
      </c>
      <c r="E1" s="3" t="s">
        <v>1</v>
      </c>
      <c r="F1" s="3" t="s">
        <v>4916</v>
      </c>
      <c r="G1" s="31" t="s">
        <v>304</v>
      </c>
      <c r="H1" s="3" t="s">
        <v>4917</v>
      </c>
      <c r="I1" s="3" t="s">
        <v>4918</v>
      </c>
      <c r="J1" s="3" t="s">
        <v>52</v>
      </c>
      <c r="K1" s="3" t="s">
        <v>12264</v>
      </c>
      <c r="L1" s="3" t="s">
        <v>4919</v>
      </c>
      <c r="M1" s="3" t="s">
        <v>4920</v>
      </c>
      <c r="N1" s="3" t="s">
        <v>12265</v>
      </c>
      <c r="O1" s="3" t="s">
        <v>4921</v>
      </c>
      <c r="P1" s="1" t="s">
        <v>12260</v>
      </c>
      <c r="Q1" s="59" t="s">
        <v>12266</v>
      </c>
      <c r="R1" s="59" t="s">
        <v>12267</v>
      </c>
      <c r="S1" s="59" t="s">
        <v>12268</v>
      </c>
    </row>
    <row r="2" spans="1:19" ht="15.75" customHeight="1">
      <c r="A2" s="4" t="s">
        <v>12318</v>
      </c>
      <c r="B2" s="4" t="s">
        <v>4926</v>
      </c>
      <c r="C2" s="4" t="s">
        <v>4927</v>
      </c>
      <c r="D2" s="4" t="s">
        <v>41</v>
      </c>
      <c r="E2" s="4" t="s">
        <v>9</v>
      </c>
      <c r="F2" s="4" t="s">
        <v>6147</v>
      </c>
      <c r="G2" s="4" t="s">
        <v>6148</v>
      </c>
      <c r="H2" s="41">
        <v>6.22</v>
      </c>
      <c r="I2" s="41">
        <v>1.79</v>
      </c>
      <c r="J2" s="41" t="s">
        <v>12269</v>
      </c>
      <c r="K2" s="41" t="s">
        <v>12271</v>
      </c>
      <c r="L2" s="41">
        <v>0.25102999999999998</v>
      </c>
      <c r="M2" s="4" t="b">
        <v>1</v>
      </c>
      <c r="N2" s="4" t="b">
        <v>0</v>
      </c>
      <c r="O2" s="41" t="b">
        <v>0</v>
      </c>
      <c r="P2" s="41"/>
      <c r="Q2" s="41" t="b">
        <v>0</v>
      </c>
    </row>
    <row r="3" spans="1:19" ht="15.75" customHeight="1">
      <c r="A3" s="4" t="s">
        <v>12319</v>
      </c>
      <c r="B3" s="4" t="s">
        <v>4926</v>
      </c>
      <c r="C3" s="4" t="s">
        <v>4927</v>
      </c>
      <c r="D3" s="4" t="s">
        <v>41</v>
      </c>
      <c r="E3" s="4" t="s">
        <v>9</v>
      </c>
      <c r="F3" s="4" t="s">
        <v>5545</v>
      </c>
      <c r="G3" s="4" t="s">
        <v>5546</v>
      </c>
      <c r="H3" s="41">
        <v>6.53</v>
      </c>
      <c r="I3" s="41">
        <v>1.0329999999999999</v>
      </c>
      <c r="J3" s="41" t="s">
        <v>12269</v>
      </c>
      <c r="K3" s="41" t="s">
        <v>12270</v>
      </c>
      <c r="L3" s="41">
        <v>0.17874999999999999</v>
      </c>
      <c r="M3" s="4" t="b">
        <v>1</v>
      </c>
      <c r="N3" s="4" t="b">
        <v>1</v>
      </c>
      <c r="O3" s="41" t="b">
        <v>0</v>
      </c>
      <c r="P3" s="41"/>
      <c r="Q3" s="41" t="b">
        <v>0</v>
      </c>
    </row>
    <row r="4" spans="1:19" ht="15.75" customHeight="1">
      <c r="A4" s="4" t="s">
        <v>12320</v>
      </c>
      <c r="B4" s="4" t="s">
        <v>4926</v>
      </c>
      <c r="C4" s="4" t="s">
        <v>4927</v>
      </c>
      <c r="D4" s="4" t="s">
        <v>41</v>
      </c>
      <c r="E4" s="4" t="s">
        <v>9</v>
      </c>
      <c r="F4" s="4" t="s">
        <v>5012</v>
      </c>
      <c r="G4" s="4" t="s">
        <v>719</v>
      </c>
      <c r="H4" s="41">
        <v>6.57</v>
      </c>
      <c r="I4" s="41">
        <v>1.4</v>
      </c>
      <c r="J4" s="41" t="s">
        <v>12269</v>
      </c>
      <c r="K4" s="41" t="s">
        <v>12271</v>
      </c>
      <c r="L4" s="41">
        <v>0.23796</v>
      </c>
      <c r="M4" s="4" t="b">
        <v>1</v>
      </c>
      <c r="N4" s="4" t="b">
        <v>1</v>
      </c>
      <c r="O4" s="41" t="b">
        <v>0</v>
      </c>
      <c r="P4" s="41"/>
      <c r="Q4" s="41" t="b">
        <v>1</v>
      </c>
    </row>
    <row r="5" spans="1:19" ht="15.75" customHeight="1">
      <c r="A5" s="4" t="s">
        <v>12324</v>
      </c>
      <c r="B5" s="4" t="s">
        <v>4926</v>
      </c>
      <c r="C5" s="4" t="s">
        <v>4927</v>
      </c>
      <c r="D5" s="4" t="s">
        <v>41</v>
      </c>
      <c r="E5" s="4" t="s">
        <v>9</v>
      </c>
      <c r="F5" s="4" t="s">
        <v>5554</v>
      </c>
      <c r="G5" s="4" t="s">
        <v>5555</v>
      </c>
      <c r="H5" s="41">
        <v>6.67</v>
      </c>
      <c r="I5" s="41">
        <v>1.52</v>
      </c>
      <c r="J5" s="41" t="s">
        <v>12269</v>
      </c>
      <c r="K5" s="41" t="s">
        <v>12271</v>
      </c>
      <c r="L5" s="41">
        <v>0.24263000000000001</v>
      </c>
      <c r="M5" s="4" t="b">
        <v>1</v>
      </c>
      <c r="N5" s="4" t="b">
        <v>0</v>
      </c>
      <c r="O5" s="41" t="b">
        <v>0</v>
      </c>
      <c r="P5" s="41"/>
      <c r="Q5" s="41" t="b">
        <v>0</v>
      </c>
    </row>
    <row r="6" spans="1:19" ht="15.75" customHeight="1">
      <c r="A6" s="4" t="s">
        <v>12325</v>
      </c>
      <c r="B6" s="4" t="s">
        <v>4926</v>
      </c>
      <c r="C6" s="4" t="s">
        <v>4927</v>
      </c>
      <c r="D6" s="4" t="s">
        <v>41</v>
      </c>
      <c r="E6" s="4" t="s">
        <v>9</v>
      </c>
      <c r="F6" s="4" t="s">
        <v>5557</v>
      </c>
      <c r="G6" s="4" t="s">
        <v>5558</v>
      </c>
      <c r="H6" s="41">
        <v>6.7</v>
      </c>
      <c r="I6" s="41">
        <v>1.39</v>
      </c>
      <c r="J6" s="41" t="s">
        <v>12269</v>
      </c>
      <c r="K6" s="41" t="s">
        <v>12271</v>
      </c>
      <c r="L6" s="41">
        <v>0.28399000000000002</v>
      </c>
      <c r="M6" s="4" t="b">
        <v>1</v>
      </c>
      <c r="N6" s="4" t="b">
        <v>0</v>
      </c>
      <c r="O6" s="41" t="b">
        <v>0</v>
      </c>
      <c r="P6" s="41"/>
      <c r="Q6" s="41" t="b">
        <v>0</v>
      </c>
    </row>
    <row r="7" spans="1:19" ht="15.75" customHeight="1">
      <c r="A7" s="4" t="s">
        <v>12326</v>
      </c>
      <c r="B7" s="4" t="s">
        <v>4926</v>
      </c>
      <c r="C7" s="4" t="s">
        <v>4927</v>
      </c>
      <c r="D7" s="4" t="s">
        <v>41</v>
      </c>
      <c r="E7" s="4" t="s">
        <v>9</v>
      </c>
      <c r="F7" s="4" t="s">
        <v>5560</v>
      </c>
      <c r="G7" s="4" t="s">
        <v>5561</v>
      </c>
      <c r="H7" s="41">
        <v>6.75</v>
      </c>
      <c r="I7" s="41">
        <v>1.51</v>
      </c>
      <c r="J7" s="41" t="s">
        <v>12269</v>
      </c>
      <c r="K7" s="41" t="s">
        <v>12271</v>
      </c>
      <c r="L7" s="41">
        <v>0.22028</v>
      </c>
      <c r="M7" s="4" t="b">
        <v>1</v>
      </c>
      <c r="N7" s="4" t="b">
        <v>0</v>
      </c>
      <c r="O7" s="41" t="b">
        <v>0</v>
      </c>
      <c r="P7" s="41"/>
      <c r="Q7" s="41" t="b">
        <v>0</v>
      </c>
    </row>
    <row r="8" spans="1:19" ht="15.75" customHeight="1">
      <c r="A8" s="4" t="s">
        <v>12329</v>
      </c>
      <c r="B8" s="4" t="s">
        <v>4926</v>
      </c>
      <c r="C8" s="4" t="s">
        <v>4927</v>
      </c>
      <c r="D8" s="4" t="s">
        <v>41</v>
      </c>
      <c r="E8" s="4" t="s">
        <v>9</v>
      </c>
      <c r="F8" s="4" t="s">
        <v>6224</v>
      </c>
      <c r="G8" s="4" t="s">
        <v>6225</v>
      </c>
      <c r="H8" s="41">
        <v>6.28</v>
      </c>
      <c r="I8" s="41">
        <v>1.39</v>
      </c>
      <c r="J8" s="41" t="s">
        <v>12269</v>
      </c>
      <c r="K8" s="41" t="s">
        <v>12271</v>
      </c>
      <c r="L8" s="41">
        <v>0.29089999999999999</v>
      </c>
      <c r="M8" s="4" t="b">
        <v>1</v>
      </c>
      <c r="N8" s="4" t="b">
        <v>0</v>
      </c>
      <c r="O8" s="41" t="b">
        <v>0</v>
      </c>
      <c r="P8" s="41"/>
      <c r="Q8" s="41" t="b">
        <v>0</v>
      </c>
    </row>
    <row r="9" spans="1:19" ht="15.75" customHeight="1">
      <c r="A9" s="4" t="s">
        <v>12332</v>
      </c>
      <c r="B9" s="4" t="s">
        <v>4926</v>
      </c>
      <c r="C9" s="4" t="s">
        <v>4927</v>
      </c>
      <c r="D9" s="4" t="s">
        <v>41</v>
      </c>
      <c r="E9" s="4" t="s">
        <v>9</v>
      </c>
      <c r="F9" s="4" t="s">
        <v>5536</v>
      </c>
      <c r="G9" s="4" t="s">
        <v>5537</v>
      </c>
      <c r="H9" s="41">
        <v>6.35</v>
      </c>
      <c r="I9" s="41">
        <v>1.44</v>
      </c>
      <c r="J9" s="41" t="s">
        <v>12269</v>
      </c>
      <c r="K9" s="41" t="s">
        <v>12271</v>
      </c>
      <c r="L9" s="41">
        <v>0.24837999999999999</v>
      </c>
      <c r="M9" s="4" t="b">
        <v>1</v>
      </c>
      <c r="N9" s="4" t="b">
        <v>0</v>
      </c>
      <c r="O9" s="41" t="b">
        <v>0</v>
      </c>
      <c r="P9" s="41"/>
      <c r="Q9" s="41" t="b">
        <v>0</v>
      </c>
    </row>
    <row r="10" spans="1:19" ht="15.75" customHeight="1">
      <c r="A10" s="4" t="s">
        <v>12334</v>
      </c>
      <c r="B10" s="4" t="s">
        <v>4926</v>
      </c>
      <c r="C10" s="4" t="s">
        <v>4927</v>
      </c>
      <c r="D10" s="4" t="s">
        <v>41</v>
      </c>
      <c r="E10" s="4" t="s">
        <v>9</v>
      </c>
      <c r="F10" s="4" t="s">
        <v>6150</v>
      </c>
      <c r="G10" s="4" t="s">
        <v>6151</v>
      </c>
      <c r="H10" s="41">
        <v>6.42</v>
      </c>
      <c r="I10" s="41">
        <v>1.43</v>
      </c>
      <c r="J10" s="41" t="s">
        <v>12269</v>
      </c>
      <c r="K10" s="41" t="s">
        <v>12271</v>
      </c>
      <c r="L10" s="41">
        <v>0.2122</v>
      </c>
      <c r="M10" s="4" t="b">
        <v>1</v>
      </c>
      <c r="N10" s="4" t="b">
        <v>1</v>
      </c>
      <c r="O10" s="41" t="b">
        <v>0</v>
      </c>
      <c r="P10" s="41"/>
      <c r="Q10" s="41" t="b">
        <v>0</v>
      </c>
    </row>
    <row r="11" spans="1:19" ht="15.75" customHeight="1">
      <c r="A11" s="4" t="s">
        <v>12335</v>
      </c>
      <c r="B11" s="4" t="s">
        <v>4926</v>
      </c>
      <c r="C11" s="4" t="s">
        <v>4927</v>
      </c>
      <c r="D11" s="4" t="s">
        <v>41</v>
      </c>
      <c r="E11" s="4" t="s">
        <v>9</v>
      </c>
      <c r="F11" s="4" t="s">
        <v>5049</v>
      </c>
      <c r="G11" s="4" t="s">
        <v>786</v>
      </c>
      <c r="H11" s="41">
        <v>6.47</v>
      </c>
      <c r="I11" s="41">
        <v>1.39</v>
      </c>
      <c r="J11" s="41" t="s">
        <v>12269</v>
      </c>
      <c r="K11" s="41" t="s">
        <v>12271</v>
      </c>
      <c r="L11" s="41">
        <v>0.20558999999999999</v>
      </c>
      <c r="M11" s="4" t="b">
        <v>1</v>
      </c>
      <c r="N11" s="4" t="b">
        <v>1</v>
      </c>
      <c r="O11" s="41" t="b">
        <v>0</v>
      </c>
      <c r="P11" s="41"/>
      <c r="Q11" s="41" t="b">
        <v>1</v>
      </c>
    </row>
    <row r="12" spans="1:19" ht="15.75" customHeight="1">
      <c r="A12" s="4" t="s">
        <v>12337</v>
      </c>
      <c r="B12" s="4" t="s">
        <v>4926</v>
      </c>
      <c r="C12" s="4" t="s">
        <v>4927</v>
      </c>
      <c r="D12" s="4" t="s">
        <v>41</v>
      </c>
      <c r="E12" s="4" t="s">
        <v>9</v>
      </c>
      <c r="F12" s="4" t="s">
        <v>5096</v>
      </c>
      <c r="G12" s="4" t="s">
        <v>704</v>
      </c>
      <c r="H12" s="41">
        <v>6.78</v>
      </c>
      <c r="I12" s="41">
        <v>1.62</v>
      </c>
      <c r="J12" s="41" t="s">
        <v>12269</v>
      </c>
      <c r="K12" s="41" t="s">
        <v>12271</v>
      </c>
      <c r="L12" s="41">
        <v>0.29468</v>
      </c>
      <c r="M12" s="4" t="b">
        <v>1</v>
      </c>
      <c r="N12" s="4" t="b">
        <v>0</v>
      </c>
      <c r="O12" s="41" t="b">
        <v>0</v>
      </c>
      <c r="P12" s="41"/>
      <c r="Q12" s="41" t="b">
        <v>1</v>
      </c>
    </row>
    <row r="13" spans="1:19" ht="15.75" customHeight="1">
      <c r="A13" s="4" t="s">
        <v>12339</v>
      </c>
      <c r="B13" s="4" t="s">
        <v>4926</v>
      </c>
      <c r="C13" s="4" t="s">
        <v>4927</v>
      </c>
      <c r="D13" s="4" t="s">
        <v>41</v>
      </c>
      <c r="E13" s="4" t="s">
        <v>9</v>
      </c>
      <c r="F13" s="4" t="s">
        <v>5572</v>
      </c>
      <c r="G13" s="4" t="s">
        <v>5573</v>
      </c>
      <c r="H13" s="41">
        <v>7.15</v>
      </c>
      <c r="I13" s="41">
        <v>1.19</v>
      </c>
      <c r="J13" s="41" t="s">
        <v>12269</v>
      </c>
      <c r="K13" s="41" t="s">
        <v>12271</v>
      </c>
      <c r="L13" s="41">
        <v>0.27743000000000001</v>
      </c>
      <c r="M13" s="4" t="b">
        <v>1</v>
      </c>
      <c r="N13" s="4" t="b">
        <v>0</v>
      </c>
      <c r="O13" s="41" t="b">
        <v>0</v>
      </c>
      <c r="P13" s="41"/>
      <c r="Q13" s="41" t="b">
        <v>0</v>
      </c>
    </row>
    <row r="14" spans="1:19" ht="15.75" customHeight="1">
      <c r="A14" s="4" t="s">
        <v>12340</v>
      </c>
      <c r="B14" s="4" t="s">
        <v>4926</v>
      </c>
      <c r="C14" s="4" t="s">
        <v>4927</v>
      </c>
      <c r="D14" s="4" t="s">
        <v>41</v>
      </c>
      <c r="E14" s="4" t="s">
        <v>9</v>
      </c>
      <c r="F14" s="4" t="s">
        <v>5097</v>
      </c>
      <c r="G14" s="4" t="s">
        <v>705</v>
      </c>
      <c r="H14" s="41">
        <v>7.2</v>
      </c>
      <c r="I14" s="41">
        <v>1.43</v>
      </c>
      <c r="J14" s="41" t="s">
        <v>12269</v>
      </c>
      <c r="K14" s="41" t="s">
        <v>12271</v>
      </c>
      <c r="L14" s="41">
        <v>0.21526000000000001</v>
      </c>
      <c r="M14" s="4" t="b">
        <v>1</v>
      </c>
      <c r="N14" s="4" t="b">
        <v>1</v>
      </c>
      <c r="O14" s="41" t="b">
        <v>0</v>
      </c>
      <c r="P14" s="41"/>
      <c r="Q14" s="41" t="b">
        <v>1</v>
      </c>
    </row>
    <row r="15" spans="1:19" ht="15.75" customHeight="1">
      <c r="A15" s="4" t="s">
        <v>12341</v>
      </c>
      <c r="B15" s="4" t="s">
        <v>4926</v>
      </c>
      <c r="C15" s="4" t="s">
        <v>4927</v>
      </c>
      <c r="D15" s="4" t="s">
        <v>41</v>
      </c>
      <c r="E15" s="4" t="s">
        <v>9</v>
      </c>
      <c r="F15" s="4" t="s">
        <v>5013</v>
      </c>
      <c r="G15" s="4" t="s">
        <v>721</v>
      </c>
      <c r="H15" s="41">
        <v>7.23</v>
      </c>
      <c r="I15" s="41">
        <v>1.56</v>
      </c>
      <c r="J15" s="41" t="s">
        <v>12269</v>
      </c>
      <c r="K15" s="41" t="s">
        <v>12271</v>
      </c>
      <c r="L15" s="41">
        <v>0.22116</v>
      </c>
      <c r="M15" s="4" t="b">
        <v>1</v>
      </c>
      <c r="N15" s="4" t="b">
        <v>0</v>
      </c>
      <c r="O15" s="41" t="b">
        <v>0</v>
      </c>
      <c r="P15" s="41"/>
      <c r="Q15" s="41" t="b">
        <v>1</v>
      </c>
    </row>
    <row r="16" spans="1:19" ht="15.75" customHeight="1">
      <c r="A16" s="4" t="s">
        <v>12347</v>
      </c>
      <c r="B16" s="4" t="s">
        <v>4926</v>
      </c>
      <c r="C16" s="4" t="s">
        <v>4927</v>
      </c>
      <c r="D16" s="4" t="s">
        <v>41</v>
      </c>
      <c r="E16" s="4" t="s">
        <v>9</v>
      </c>
      <c r="F16" s="4" t="s">
        <v>5328</v>
      </c>
      <c r="G16" s="4" t="s">
        <v>5329</v>
      </c>
      <c r="H16" s="41">
        <v>6.85</v>
      </c>
      <c r="I16" s="41">
        <v>1.36</v>
      </c>
      <c r="J16" s="41" t="s">
        <v>12269</v>
      </c>
      <c r="K16" s="41" t="s">
        <v>12271</v>
      </c>
      <c r="L16" s="41">
        <v>0.20735000000000001</v>
      </c>
      <c r="M16" s="4" t="b">
        <v>1</v>
      </c>
      <c r="N16" s="4" t="b">
        <v>1</v>
      </c>
      <c r="O16" s="4" t="b">
        <v>0</v>
      </c>
      <c r="P16" s="4"/>
      <c r="Q16" s="4" t="b">
        <v>0</v>
      </c>
    </row>
    <row r="17" spans="1:17" ht="15.75" customHeight="1">
      <c r="A17" s="4" t="s">
        <v>12348</v>
      </c>
      <c r="B17" s="4" t="s">
        <v>4926</v>
      </c>
      <c r="C17" s="4" t="s">
        <v>4927</v>
      </c>
      <c r="D17" s="4" t="s">
        <v>41</v>
      </c>
      <c r="E17" s="4" t="s">
        <v>9</v>
      </c>
      <c r="F17" s="4" t="s">
        <v>5050</v>
      </c>
      <c r="G17" s="4" t="s">
        <v>787</v>
      </c>
      <c r="H17" s="41">
        <v>6.9</v>
      </c>
      <c r="I17" s="41">
        <v>1.32</v>
      </c>
      <c r="J17" s="41" t="s">
        <v>12269</v>
      </c>
      <c r="K17" s="41" t="s">
        <v>12271</v>
      </c>
      <c r="L17" s="41">
        <v>0.19536999999999999</v>
      </c>
      <c r="M17" s="4" t="b">
        <v>1</v>
      </c>
      <c r="N17" s="4" t="b">
        <v>1</v>
      </c>
      <c r="O17" s="4" t="b">
        <v>0</v>
      </c>
      <c r="P17" s="4"/>
      <c r="Q17" s="4" t="b">
        <v>1</v>
      </c>
    </row>
    <row r="18" spans="1:17" ht="15.75" customHeight="1">
      <c r="A18" s="4" t="s">
        <v>12351</v>
      </c>
      <c r="B18" s="4" t="s">
        <v>4926</v>
      </c>
      <c r="C18" s="4" t="s">
        <v>4927</v>
      </c>
      <c r="D18" s="4" t="s">
        <v>41</v>
      </c>
      <c r="E18" s="4" t="s">
        <v>9</v>
      </c>
      <c r="F18" s="4" t="s">
        <v>5566</v>
      </c>
      <c r="G18" s="4" t="s">
        <v>5567</v>
      </c>
      <c r="H18" s="41">
        <v>7</v>
      </c>
      <c r="I18" s="41">
        <v>1.2</v>
      </c>
      <c r="J18" s="41" t="s">
        <v>12269</v>
      </c>
      <c r="K18" s="41" t="s">
        <v>12270</v>
      </c>
      <c r="L18" s="41">
        <v>0.20579</v>
      </c>
      <c r="M18" s="4" t="b">
        <v>1</v>
      </c>
      <c r="N18" s="4" t="b">
        <v>1</v>
      </c>
      <c r="O18" s="4" t="b">
        <v>0</v>
      </c>
      <c r="P18" s="4"/>
      <c r="Q18" s="4" t="b">
        <v>0</v>
      </c>
    </row>
    <row r="19" spans="1:17" ht="15.75" customHeight="1">
      <c r="A19" s="4" t="s">
        <v>12357</v>
      </c>
      <c r="B19" s="4" t="s">
        <v>4926</v>
      </c>
      <c r="C19" s="4" t="s">
        <v>4927</v>
      </c>
      <c r="D19" s="4" t="s">
        <v>41</v>
      </c>
      <c r="E19" s="4" t="s">
        <v>9</v>
      </c>
      <c r="F19" s="4" t="s">
        <v>5607</v>
      </c>
      <c r="G19" s="4" t="s">
        <v>5608</v>
      </c>
      <c r="H19" s="41">
        <v>3.5</v>
      </c>
      <c r="I19" s="41">
        <v>1.29</v>
      </c>
      <c r="J19" s="41" t="s">
        <v>12269</v>
      </c>
      <c r="K19" s="41" t="s">
        <v>12270</v>
      </c>
      <c r="L19" s="41">
        <v>0.20713000000000001</v>
      </c>
      <c r="M19" s="4" t="b">
        <v>1</v>
      </c>
      <c r="N19" s="4" t="b">
        <v>1</v>
      </c>
      <c r="O19" s="4" t="b">
        <v>0</v>
      </c>
      <c r="P19" s="4"/>
      <c r="Q19" s="4" t="b">
        <v>0</v>
      </c>
    </row>
    <row r="20" spans="1:17" ht="15.75" customHeight="1">
      <c r="A20" s="4" t="s">
        <v>12358</v>
      </c>
      <c r="B20" s="4" t="s">
        <v>4926</v>
      </c>
      <c r="C20" s="4" t="s">
        <v>4927</v>
      </c>
      <c r="D20" s="4" t="s">
        <v>41</v>
      </c>
      <c r="E20" s="4" t="s">
        <v>9</v>
      </c>
      <c r="F20" s="4" t="s">
        <v>5343</v>
      </c>
      <c r="G20" s="4" t="s">
        <v>5344</v>
      </c>
      <c r="H20" s="41">
        <v>3.53</v>
      </c>
      <c r="I20" s="41">
        <v>1.2</v>
      </c>
      <c r="J20" s="41" t="s">
        <v>12269</v>
      </c>
      <c r="K20" s="41" t="s">
        <v>12270</v>
      </c>
      <c r="L20" s="41">
        <v>0.18754999999999999</v>
      </c>
      <c r="M20" s="4" t="b">
        <v>1</v>
      </c>
      <c r="N20" s="4" t="b">
        <v>1</v>
      </c>
      <c r="O20" s="4" t="b">
        <v>0</v>
      </c>
      <c r="P20" s="4"/>
      <c r="Q20" s="4" t="b">
        <v>0</v>
      </c>
    </row>
    <row r="21" spans="1:17" ht="15.75" customHeight="1">
      <c r="A21" s="4" t="s">
        <v>12359</v>
      </c>
      <c r="B21" s="4" t="s">
        <v>4926</v>
      </c>
      <c r="C21" s="4" t="s">
        <v>4927</v>
      </c>
      <c r="D21" s="4" t="s">
        <v>41</v>
      </c>
      <c r="E21" s="4" t="s">
        <v>9</v>
      </c>
      <c r="F21" s="4" t="s">
        <v>5610</v>
      </c>
      <c r="G21" s="4" t="s">
        <v>5611</v>
      </c>
      <c r="H21" s="41">
        <v>3.58</v>
      </c>
      <c r="I21" s="41">
        <v>1.06</v>
      </c>
      <c r="J21" s="41" t="s">
        <v>12269</v>
      </c>
      <c r="K21" s="41" t="s">
        <v>12270</v>
      </c>
      <c r="L21" s="41">
        <v>0.18423999999999999</v>
      </c>
      <c r="M21" s="4" t="b">
        <v>1</v>
      </c>
      <c r="N21" s="4" t="b">
        <v>1</v>
      </c>
      <c r="O21" s="41" t="b">
        <v>0</v>
      </c>
      <c r="P21" s="41"/>
      <c r="Q21" s="41" t="b">
        <v>0</v>
      </c>
    </row>
    <row r="22" spans="1:17" ht="15.75" customHeight="1">
      <c r="A22" s="4" t="s">
        <v>12360</v>
      </c>
      <c r="B22" s="4" t="s">
        <v>4926</v>
      </c>
      <c r="C22" s="4" t="s">
        <v>4927</v>
      </c>
      <c r="D22" s="4" t="s">
        <v>41</v>
      </c>
      <c r="E22" s="4" t="s">
        <v>9</v>
      </c>
      <c r="F22" s="4" t="s">
        <v>5346</v>
      </c>
      <c r="G22" s="4" t="s">
        <v>5347</v>
      </c>
      <c r="H22" s="41">
        <v>3.62</v>
      </c>
      <c r="I22" s="41">
        <v>1.53</v>
      </c>
      <c r="J22" s="41" t="s">
        <v>12269</v>
      </c>
      <c r="K22" s="41" t="s">
        <v>12270</v>
      </c>
      <c r="L22" s="41">
        <v>0.21290000000000001</v>
      </c>
      <c r="M22" s="4" t="b">
        <v>1</v>
      </c>
      <c r="N22" s="4" t="b">
        <v>0</v>
      </c>
      <c r="O22" s="4" t="b">
        <v>0</v>
      </c>
      <c r="P22" s="4"/>
      <c r="Q22" s="4" t="b">
        <v>0</v>
      </c>
    </row>
    <row r="23" spans="1:17" ht="15.75" customHeight="1">
      <c r="A23" s="4" t="s">
        <v>12361</v>
      </c>
      <c r="B23" s="4" t="s">
        <v>4926</v>
      </c>
      <c r="C23" s="4" t="s">
        <v>4927</v>
      </c>
      <c r="D23" s="4" t="s">
        <v>41</v>
      </c>
      <c r="E23" s="4" t="s">
        <v>9</v>
      </c>
      <c r="F23" s="4" t="s">
        <v>5613</v>
      </c>
      <c r="G23" s="4" t="s">
        <v>5614</v>
      </c>
      <c r="H23" s="41">
        <v>3.67</v>
      </c>
      <c r="I23" s="41">
        <v>1.26</v>
      </c>
      <c r="J23" s="41" t="s">
        <v>12269</v>
      </c>
      <c r="K23" s="41" t="s">
        <v>12270</v>
      </c>
      <c r="L23" s="41">
        <v>0.24390000000000001</v>
      </c>
      <c r="M23" s="4" t="b">
        <v>1</v>
      </c>
      <c r="N23" s="4" t="b">
        <v>1</v>
      </c>
      <c r="O23" s="4" t="b">
        <v>0</v>
      </c>
      <c r="P23" s="4"/>
      <c r="Q23" s="4" t="b">
        <v>0</v>
      </c>
    </row>
    <row r="24" spans="1:17" ht="15.75" customHeight="1">
      <c r="A24" s="4" t="s">
        <v>12362</v>
      </c>
      <c r="B24" s="4" t="s">
        <v>4926</v>
      </c>
      <c r="C24" s="4" t="s">
        <v>4927</v>
      </c>
      <c r="D24" s="4" t="s">
        <v>41</v>
      </c>
      <c r="E24" s="4" t="s">
        <v>9</v>
      </c>
      <c r="F24" s="4" t="s">
        <v>5575</v>
      </c>
      <c r="G24" s="4" t="s">
        <v>5576</v>
      </c>
      <c r="H24" s="41">
        <v>7.42</v>
      </c>
      <c r="I24" s="41">
        <v>1.46</v>
      </c>
      <c r="J24" s="41" t="s">
        <v>12269</v>
      </c>
      <c r="K24" s="41" t="s">
        <v>12271</v>
      </c>
      <c r="L24" s="41">
        <v>0.23377999999999999</v>
      </c>
      <c r="M24" s="4" t="b">
        <v>1</v>
      </c>
      <c r="N24" s="4" t="b">
        <v>0</v>
      </c>
      <c r="O24" s="4" t="b">
        <v>0</v>
      </c>
      <c r="P24" s="4"/>
      <c r="Q24" s="4" t="b">
        <v>0</v>
      </c>
    </row>
    <row r="25" spans="1:17" ht="15.75" customHeight="1">
      <c r="A25" s="4" t="s">
        <v>12363</v>
      </c>
      <c r="B25" s="4" t="s">
        <v>4926</v>
      </c>
      <c r="C25" s="4" t="s">
        <v>4927</v>
      </c>
      <c r="D25" s="4" t="s">
        <v>41</v>
      </c>
      <c r="E25" s="4" t="s">
        <v>9</v>
      </c>
      <c r="F25" s="4" t="s">
        <v>5580</v>
      </c>
      <c r="G25" s="4" t="s">
        <v>5581</v>
      </c>
      <c r="H25" s="41">
        <v>7.47</v>
      </c>
      <c r="I25" s="41">
        <v>1.52</v>
      </c>
      <c r="J25" s="41" t="s">
        <v>12269</v>
      </c>
      <c r="K25" s="41" t="s">
        <v>12271</v>
      </c>
      <c r="L25" s="41">
        <v>0.29189999999999999</v>
      </c>
      <c r="M25" s="4" t="b">
        <v>1</v>
      </c>
      <c r="N25" s="4" t="b">
        <v>0</v>
      </c>
      <c r="O25" s="4" t="b">
        <v>0</v>
      </c>
      <c r="P25" s="4"/>
      <c r="Q25" s="4" t="b">
        <v>0</v>
      </c>
    </row>
    <row r="26" spans="1:17" ht="15.75" customHeight="1">
      <c r="A26" s="4" t="s">
        <v>12364</v>
      </c>
      <c r="B26" s="4" t="s">
        <v>4926</v>
      </c>
      <c r="C26" s="4" t="s">
        <v>4927</v>
      </c>
      <c r="D26" s="4" t="s">
        <v>41</v>
      </c>
      <c r="E26" s="4" t="s">
        <v>9</v>
      </c>
      <c r="F26" s="4" t="s">
        <v>5061</v>
      </c>
      <c r="G26" s="4" t="s">
        <v>799</v>
      </c>
      <c r="H26" s="41">
        <v>7.5</v>
      </c>
      <c r="I26" s="41">
        <v>1.4</v>
      </c>
      <c r="J26" s="41" t="s">
        <v>12269</v>
      </c>
      <c r="K26" s="41" t="s">
        <v>12271</v>
      </c>
      <c r="L26" s="41">
        <v>0.21079999999999999</v>
      </c>
      <c r="M26" s="4" t="b">
        <v>1</v>
      </c>
      <c r="N26" s="4" t="b">
        <v>1</v>
      </c>
      <c r="O26" s="4" t="b">
        <v>0</v>
      </c>
      <c r="P26" s="4"/>
      <c r="Q26" s="4" t="b">
        <v>1</v>
      </c>
    </row>
    <row r="27" spans="1:17" ht="15.75" customHeight="1">
      <c r="A27" s="4" t="s">
        <v>12366</v>
      </c>
      <c r="B27" s="4" t="s">
        <v>4926</v>
      </c>
      <c r="C27" s="4" t="s">
        <v>4927</v>
      </c>
      <c r="D27" s="4" t="s">
        <v>41</v>
      </c>
      <c r="E27" s="4" t="s">
        <v>9</v>
      </c>
      <c r="F27" s="4" t="s">
        <v>5051</v>
      </c>
      <c r="G27" s="4" t="s">
        <v>788</v>
      </c>
      <c r="H27" s="41">
        <v>7.58</v>
      </c>
      <c r="I27" s="41">
        <v>1.25</v>
      </c>
      <c r="J27" s="41" t="s">
        <v>12269</v>
      </c>
      <c r="K27" s="41" t="s">
        <v>12271</v>
      </c>
      <c r="L27" s="41">
        <v>0.24811</v>
      </c>
      <c r="M27" s="4" t="b">
        <v>1</v>
      </c>
      <c r="N27" s="4" t="b">
        <v>0</v>
      </c>
      <c r="O27" s="4" t="b">
        <v>0</v>
      </c>
      <c r="P27" s="4"/>
      <c r="Q27" s="4" t="b">
        <v>1</v>
      </c>
    </row>
    <row r="28" spans="1:17" ht="15.75" customHeight="1">
      <c r="A28" s="4" t="s">
        <v>12367</v>
      </c>
      <c r="B28" s="4" t="s">
        <v>4926</v>
      </c>
      <c r="C28" s="4" t="s">
        <v>4927</v>
      </c>
      <c r="D28" s="4" t="s">
        <v>41</v>
      </c>
      <c r="E28" s="4" t="s">
        <v>9</v>
      </c>
      <c r="F28" s="4" t="s">
        <v>5586</v>
      </c>
      <c r="G28" s="4" t="s">
        <v>5587</v>
      </c>
      <c r="H28" s="41">
        <v>7.63</v>
      </c>
      <c r="I28" s="41">
        <v>1.25</v>
      </c>
      <c r="J28" s="41" t="s">
        <v>12269</v>
      </c>
      <c r="K28" s="41" t="s">
        <v>12271</v>
      </c>
      <c r="L28" s="41">
        <v>0.27772000000000002</v>
      </c>
      <c r="M28" s="4" t="b">
        <v>1</v>
      </c>
      <c r="N28" s="4" t="b">
        <v>0</v>
      </c>
      <c r="O28" s="4" t="b">
        <v>0</v>
      </c>
      <c r="P28" s="4"/>
      <c r="Q28" s="4" t="b">
        <v>0</v>
      </c>
    </row>
    <row r="29" spans="1:17" ht="15.75" customHeight="1">
      <c r="A29" s="4" t="s">
        <v>12368</v>
      </c>
      <c r="B29" s="4" t="s">
        <v>4926</v>
      </c>
      <c r="C29" s="4" t="s">
        <v>4927</v>
      </c>
      <c r="D29" s="4" t="s">
        <v>41</v>
      </c>
      <c r="E29" s="4" t="s">
        <v>9</v>
      </c>
      <c r="F29" s="4" t="s">
        <v>5052</v>
      </c>
      <c r="G29" s="4" t="s">
        <v>789</v>
      </c>
      <c r="H29" s="41">
        <v>7.67</v>
      </c>
      <c r="I29" s="41">
        <v>1.52</v>
      </c>
      <c r="J29" s="41" t="s">
        <v>12269</v>
      </c>
      <c r="K29" s="41" t="s">
        <v>12270</v>
      </c>
      <c r="L29" s="41">
        <v>0.21623000000000001</v>
      </c>
      <c r="M29" s="4" t="b">
        <v>1</v>
      </c>
      <c r="N29" s="4" t="b">
        <v>0</v>
      </c>
      <c r="O29" s="4" t="b">
        <v>0</v>
      </c>
      <c r="P29" s="4"/>
      <c r="Q29" s="4" t="b">
        <v>1</v>
      </c>
    </row>
    <row r="30" spans="1:17" ht="15.75" customHeight="1">
      <c r="A30" s="4" t="s">
        <v>12370</v>
      </c>
      <c r="B30" s="4" t="s">
        <v>4926</v>
      </c>
      <c r="C30" s="4" t="s">
        <v>4927</v>
      </c>
      <c r="D30" s="4" t="s">
        <v>41</v>
      </c>
      <c r="E30" s="4" t="s">
        <v>9</v>
      </c>
      <c r="F30" s="4" t="s">
        <v>6112</v>
      </c>
      <c r="G30" s="4" t="s">
        <v>6113</v>
      </c>
      <c r="H30" s="41">
        <v>3.7</v>
      </c>
      <c r="I30" s="41">
        <v>1.32</v>
      </c>
      <c r="J30" s="41" t="s">
        <v>12269</v>
      </c>
      <c r="K30" s="41" t="s">
        <v>12270</v>
      </c>
      <c r="L30" s="41">
        <v>0.20788999999999999</v>
      </c>
      <c r="M30" s="4" t="b">
        <v>1</v>
      </c>
      <c r="N30" s="4" t="b">
        <v>0</v>
      </c>
      <c r="O30" s="4" t="b">
        <v>0</v>
      </c>
      <c r="P30" s="4"/>
      <c r="Q30" s="4" t="b">
        <v>0</v>
      </c>
    </row>
    <row r="31" spans="1:17" ht="15.75" customHeight="1">
      <c r="A31" s="4" t="s">
        <v>12373</v>
      </c>
      <c r="B31" s="4" t="s">
        <v>4926</v>
      </c>
      <c r="C31" s="4" t="s">
        <v>4927</v>
      </c>
      <c r="D31" s="4" t="s">
        <v>41</v>
      </c>
      <c r="E31" s="4" t="s">
        <v>9</v>
      </c>
      <c r="F31" s="4" t="s">
        <v>5619</v>
      </c>
      <c r="G31" s="4" t="s">
        <v>5620</v>
      </c>
      <c r="H31" s="41">
        <v>4.12</v>
      </c>
      <c r="I31" s="41">
        <v>1.35</v>
      </c>
      <c r="J31" s="41" t="s">
        <v>12269</v>
      </c>
      <c r="K31" s="41" t="s">
        <v>12271</v>
      </c>
      <c r="L31" s="41">
        <v>0.27345000000000003</v>
      </c>
      <c r="M31" s="4" t="b">
        <v>1</v>
      </c>
      <c r="N31" s="4" t="b">
        <v>0</v>
      </c>
      <c r="O31" s="4" t="b">
        <v>0</v>
      </c>
      <c r="P31" s="4"/>
      <c r="Q31" s="4" t="b">
        <v>0</v>
      </c>
    </row>
    <row r="32" spans="1:17" ht="15.75" customHeight="1">
      <c r="A32" s="4" t="s">
        <v>12374</v>
      </c>
      <c r="B32" s="4" t="s">
        <v>4926</v>
      </c>
      <c r="C32" s="4" t="s">
        <v>4927</v>
      </c>
      <c r="D32" s="4" t="s">
        <v>41</v>
      </c>
      <c r="E32" s="4" t="s">
        <v>9</v>
      </c>
      <c r="F32" s="4" t="s">
        <v>5622</v>
      </c>
      <c r="G32" s="4" t="s">
        <v>5623</v>
      </c>
      <c r="H32" s="41">
        <v>4.17</v>
      </c>
      <c r="I32" s="41">
        <v>1.39</v>
      </c>
      <c r="J32" s="41" t="s">
        <v>12269</v>
      </c>
      <c r="K32" s="41" t="s">
        <v>12270</v>
      </c>
      <c r="L32" s="41">
        <v>0.21390000000000001</v>
      </c>
      <c r="M32" s="4" t="b">
        <v>1</v>
      </c>
      <c r="N32" s="4" t="b">
        <v>0</v>
      </c>
      <c r="O32" s="4" t="b">
        <v>0</v>
      </c>
      <c r="P32" s="4"/>
      <c r="Q32" s="4" t="b">
        <v>0</v>
      </c>
    </row>
    <row r="33" spans="1:17" ht="15.75" customHeight="1">
      <c r="A33" s="4" t="s">
        <v>12376</v>
      </c>
      <c r="B33" s="4" t="s">
        <v>4926</v>
      </c>
      <c r="C33" s="4" t="s">
        <v>4927</v>
      </c>
      <c r="D33" s="4" t="s">
        <v>41</v>
      </c>
      <c r="E33" s="4" t="s">
        <v>9</v>
      </c>
      <c r="F33" s="4" t="s">
        <v>5625</v>
      </c>
      <c r="G33" s="4" t="s">
        <v>5626</v>
      </c>
      <c r="H33" s="41">
        <v>4.2300000000000004</v>
      </c>
      <c r="I33" s="41">
        <v>1.2</v>
      </c>
      <c r="J33" s="41" t="s">
        <v>12269</v>
      </c>
      <c r="K33" s="41" t="s">
        <v>12270</v>
      </c>
      <c r="L33" s="41">
        <v>0.19408</v>
      </c>
      <c r="M33" s="4" t="b">
        <v>1</v>
      </c>
      <c r="N33" s="4" t="b">
        <v>1</v>
      </c>
      <c r="O33" s="4" t="b">
        <v>0</v>
      </c>
      <c r="P33" s="4"/>
      <c r="Q33" s="4" t="b">
        <v>0</v>
      </c>
    </row>
    <row r="34" spans="1:17" ht="15.75" customHeight="1">
      <c r="A34" s="4" t="s">
        <v>12377</v>
      </c>
      <c r="B34" s="4" t="s">
        <v>4926</v>
      </c>
      <c r="C34" s="4" t="s">
        <v>4927</v>
      </c>
      <c r="D34" s="4" t="s">
        <v>41</v>
      </c>
      <c r="E34" s="4" t="s">
        <v>9</v>
      </c>
      <c r="F34" s="4" t="s">
        <v>5628</v>
      </c>
      <c r="G34" s="4" t="s">
        <v>5629</v>
      </c>
      <c r="H34" s="41">
        <v>4.28</v>
      </c>
      <c r="I34" s="41">
        <v>1.07</v>
      </c>
      <c r="J34" s="41" t="s">
        <v>12269</v>
      </c>
      <c r="K34" s="41" t="s">
        <v>12270</v>
      </c>
      <c r="L34" s="41">
        <v>0.18975</v>
      </c>
      <c r="M34" s="4" t="b">
        <v>1</v>
      </c>
      <c r="N34" s="4" t="b">
        <v>1</v>
      </c>
      <c r="O34" s="4" t="b">
        <v>0</v>
      </c>
      <c r="P34" s="4"/>
      <c r="Q34" s="4" t="b">
        <v>0</v>
      </c>
    </row>
    <row r="35" spans="1:17" ht="15.75" customHeight="1">
      <c r="A35" s="4" t="s">
        <v>318</v>
      </c>
      <c r="B35" s="4" t="s">
        <v>4926</v>
      </c>
      <c r="C35" s="4" t="s">
        <v>4927</v>
      </c>
      <c r="D35" s="4" t="s">
        <v>41</v>
      </c>
      <c r="E35" s="4" t="s">
        <v>9</v>
      </c>
      <c r="F35" s="4" t="s">
        <v>6156</v>
      </c>
      <c r="G35" s="4" t="s">
        <v>305</v>
      </c>
      <c r="H35" s="41">
        <v>3.82</v>
      </c>
      <c r="I35" s="41">
        <v>1.2</v>
      </c>
      <c r="J35" s="41" t="s">
        <v>12269</v>
      </c>
      <c r="K35" s="41" t="s">
        <v>12270</v>
      </c>
      <c r="L35" s="41">
        <v>0.18998000000000001</v>
      </c>
      <c r="M35" s="4" t="b">
        <v>1</v>
      </c>
      <c r="N35" s="4" t="b">
        <v>0</v>
      </c>
      <c r="O35" s="40" t="b">
        <v>1</v>
      </c>
      <c r="P35" s="40" t="s">
        <v>4955</v>
      </c>
      <c r="Q35" s="40" t="b">
        <v>0</v>
      </c>
    </row>
    <row r="36" spans="1:17" ht="15.75" customHeight="1">
      <c r="A36" s="4" t="s">
        <v>12381</v>
      </c>
      <c r="B36" s="4" t="s">
        <v>4926</v>
      </c>
      <c r="C36" s="4" t="s">
        <v>4927</v>
      </c>
      <c r="D36" s="4" t="s">
        <v>41</v>
      </c>
      <c r="E36" s="4" t="s">
        <v>9</v>
      </c>
      <c r="F36" s="4" t="s">
        <v>5017</v>
      </c>
      <c r="G36" s="4" t="s">
        <v>725</v>
      </c>
      <c r="H36" s="41">
        <v>3.88</v>
      </c>
      <c r="I36" s="41">
        <v>1.24</v>
      </c>
      <c r="J36" s="41" t="s">
        <v>12269</v>
      </c>
      <c r="K36" s="41" t="s">
        <v>12271</v>
      </c>
      <c r="L36" s="41">
        <v>0.23249</v>
      </c>
      <c r="M36" s="4" t="b">
        <v>1</v>
      </c>
      <c r="N36" s="4" t="b">
        <v>1</v>
      </c>
      <c r="O36" s="41" t="b">
        <v>0</v>
      </c>
      <c r="P36" s="41"/>
      <c r="Q36" s="41" t="b">
        <v>1</v>
      </c>
    </row>
    <row r="37" spans="1:17" ht="15.75" customHeight="1">
      <c r="A37" s="4" t="s">
        <v>12382</v>
      </c>
      <c r="B37" s="4" t="s">
        <v>4926</v>
      </c>
      <c r="C37" s="4" t="s">
        <v>4927</v>
      </c>
      <c r="D37" s="4" t="s">
        <v>41</v>
      </c>
      <c r="E37" s="4" t="s">
        <v>9</v>
      </c>
      <c r="F37" s="4" t="s">
        <v>5018</v>
      </c>
      <c r="G37" s="4" t="s">
        <v>726</v>
      </c>
      <c r="H37" s="41">
        <v>3.93</v>
      </c>
      <c r="I37" s="41">
        <v>1.27</v>
      </c>
      <c r="J37" s="41" t="s">
        <v>12269</v>
      </c>
      <c r="K37" s="41" t="s">
        <v>12271</v>
      </c>
      <c r="L37" s="41">
        <v>0.25558999999999998</v>
      </c>
      <c r="M37" s="4" t="b">
        <v>1</v>
      </c>
      <c r="N37" s="4" t="b">
        <v>0</v>
      </c>
      <c r="O37" s="4" t="b">
        <v>0</v>
      </c>
      <c r="P37" s="4"/>
      <c r="Q37" s="4" t="b">
        <v>1</v>
      </c>
    </row>
    <row r="38" spans="1:17" ht="15.75" customHeight="1">
      <c r="A38" s="4" t="s">
        <v>12385</v>
      </c>
      <c r="B38" s="4" t="s">
        <v>4926</v>
      </c>
      <c r="C38" s="4" t="s">
        <v>4927</v>
      </c>
      <c r="D38" s="4" t="s">
        <v>41</v>
      </c>
      <c r="E38" s="4" t="s">
        <v>9</v>
      </c>
      <c r="F38" s="4" t="s">
        <v>5295</v>
      </c>
      <c r="G38" s="4" t="s">
        <v>5296</v>
      </c>
      <c r="H38" s="41">
        <v>4.37</v>
      </c>
      <c r="I38" s="41">
        <v>1.2</v>
      </c>
      <c r="J38" s="41" t="s">
        <v>12269</v>
      </c>
      <c r="K38" s="41" t="s">
        <v>12270</v>
      </c>
      <c r="L38" s="41">
        <v>0.20258000000000001</v>
      </c>
      <c r="M38" s="4" t="b">
        <v>1</v>
      </c>
      <c r="N38" s="4" t="b">
        <v>1</v>
      </c>
      <c r="O38" s="4" t="b">
        <v>0</v>
      </c>
      <c r="P38" s="4"/>
      <c r="Q38" s="4" t="b">
        <v>0</v>
      </c>
    </row>
    <row r="39" spans="1:17" ht="15.75" customHeight="1">
      <c r="A39" s="4" t="s">
        <v>12386</v>
      </c>
      <c r="B39" s="4" t="s">
        <v>4926</v>
      </c>
      <c r="C39" s="4" t="s">
        <v>4927</v>
      </c>
      <c r="D39" s="4" t="s">
        <v>41</v>
      </c>
      <c r="E39" s="4" t="s">
        <v>9</v>
      </c>
      <c r="F39" s="4" t="s">
        <v>5474</v>
      </c>
      <c r="G39" s="4" t="s">
        <v>5475</v>
      </c>
      <c r="H39" s="41">
        <v>4.7</v>
      </c>
      <c r="I39" s="41">
        <v>1.38</v>
      </c>
      <c r="J39" s="41" t="s">
        <v>12269</v>
      </c>
      <c r="K39" s="41" t="s">
        <v>12270</v>
      </c>
      <c r="L39" s="41">
        <v>0.21537000000000001</v>
      </c>
      <c r="M39" s="4" t="b">
        <v>1</v>
      </c>
      <c r="N39" s="4" t="b">
        <v>0</v>
      </c>
      <c r="O39" s="41" t="b">
        <v>0</v>
      </c>
      <c r="P39" s="41"/>
      <c r="Q39" s="41" t="b">
        <v>0</v>
      </c>
    </row>
    <row r="40" spans="1:17" ht="15.75" customHeight="1">
      <c r="A40" s="4" t="s">
        <v>12391</v>
      </c>
      <c r="B40" s="4" t="s">
        <v>4926</v>
      </c>
      <c r="C40" s="4" t="s">
        <v>4927</v>
      </c>
      <c r="D40" s="4" t="s">
        <v>41</v>
      </c>
      <c r="E40" s="4" t="s">
        <v>9</v>
      </c>
      <c r="F40" s="4" t="s">
        <v>5313</v>
      </c>
      <c r="G40" s="4" t="s">
        <v>5314</v>
      </c>
      <c r="H40" s="41">
        <v>4.88</v>
      </c>
      <c r="I40" s="41">
        <v>1.53</v>
      </c>
      <c r="J40" s="41" t="s">
        <v>12269</v>
      </c>
      <c r="K40" s="41" t="s">
        <v>12271</v>
      </c>
      <c r="L40" s="41">
        <v>0.27228000000000002</v>
      </c>
      <c r="M40" s="4" t="b">
        <v>1</v>
      </c>
      <c r="N40" s="4" t="b">
        <v>0</v>
      </c>
      <c r="O40" s="4" t="b">
        <v>0</v>
      </c>
      <c r="P40" s="4"/>
      <c r="Q40" s="4" t="b">
        <v>0</v>
      </c>
    </row>
    <row r="41" spans="1:17" ht="15.75" customHeight="1">
      <c r="A41" s="4" t="s">
        <v>12393</v>
      </c>
      <c r="B41" s="4" t="s">
        <v>4926</v>
      </c>
      <c r="C41" s="4" t="s">
        <v>4927</v>
      </c>
      <c r="D41" s="4" t="s">
        <v>41</v>
      </c>
      <c r="E41" s="4" t="s">
        <v>9</v>
      </c>
      <c r="F41" s="4" t="s">
        <v>5462</v>
      </c>
      <c r="G41" s="4" t="s">
        <v>5463</v>
      </c>
      <c r="H41" s="41">
        <v>4.4000000000000004</v>
      </c>
      <c r="I41" s="41">
        <v>1.66</v>
      </c>
      <c r="J41" s="41" t="s">
        <v>12269</v>
      </c>
      <c r="K41" s="41" t="s">
        <v>12270</v>
      </c>
      <c r="L41" s="41">
        <v>0.25628000000000001</v>
      </c>
      <c r="M41" s="4" t="b">
        <v>1</v>
      </c>
      <c r="N41" s="4" t="b">
        <v>0</v>
      </c>
      <c r="O41" s="4" t="b">
        <v>0</v>
      </c>
      <c r="P41" s="4"/>
      <c r="Q41" s="4" t="b">
        <v>0</v>
      </c>
    </row>
    <row r="42" spans="1:17" ht="15.75" customHeight="1">
      <c r="A42" s="4" t="s">
        <v>12394</v>
      </c>
      <c r="B42" s="4" t="s">
        <v>4926</v>
      </c>
      <c r="C42" s="4" t="s">
        <v>4927</v>
      </c>
      <c r="D42" s="4" t="s">
        <v>41</v>
      </c>
      <c r="E42" s="4" t="s">
        <v>9</v>
      </c>
      <c r="F42" s="4" t="s">
        <v>5298</v>
      </c>
      <c r="G42" s="4" t="s">
        <v>5299</v>
      </c>
      <c r="H42" s="41">
        <v>4.43</v>
      </c>
      <c r="I42" s="41">
        <v>1.68</v>
      </c>
      <c r="J42" s="41" t="s">
        <v>12269</v>
      </c>
      <c r="K42" s="41" t="s">
        <v>12271</v>
      </c>
      <c r="L42" s="41">
        <v>0.29421999999999998</v>
      </c>
      <c r="M42" s="4" t="b">
        <v>1</v>
      </c>
      <c r="N42" s="4" t="b">
        <v>0</v>
      </c>
      <c r="O42" s="4" t="b">
        <v>0</v>
      </c>
      <c r="P42" s="4"/>
      <c r="Q42" s="4" t="b">
        <v>0</v>
      </c>
    </row>
    <row r="43" spans="1:17" ht="15.75" customHeight="1">
      <c r="A43" s="4" t="s">
        <v>12395</v>
      </c>
      <c r="B43" s="4" t="s">
        <v>4926</v>
      </c>
      <c r="C43" s="4" t="s">
        <v>4927</v>
      </c>
      <c r="D43" s="4" t="s">
        <v>41</v>
      </c>
      <c r="E43" s="4" t="s">
        <v>9</v>
      </c>
      <c r="F43" s="4" t="s">
        <v>5465</v>
      </c>
      <c r="G43" s="4" t="s">
        <v>5466</v>
      </c>
      <c r="H43" s="41">
        <v>4.4800000000000004</v>
      </c>
      <c r="I43" s="41">
        <v>1.37</v>
      </c>
      <c r="J43" s="41" t="s">
        <v>12269</v>
      </c>
      <c r="K43" s="41" t="s">
        <v>12271</v>
      </c>
      <c r="L43" s="41">
        <v>0.251</v>
      </c>
      <c r="M43" s="4" t="b">
        <v>1</v>
      </c>
      <c r="N43" s="4" t="b">
        <v>0</v>
      </c>
      <c r="O43" s="4" t="b">
        <v>0</v>
      </c>
      <c r="P43" s="4"/>
      <c r="Q43" s="4" t="b">
        <v>0</v>
      </c>
    </row>
    <row r="44" spans="1:17" ht="15.75" customHeight="1">
      <c r="A44" s="4" t="s">
        <v>12396</v>
      </c>
      <c r="B44" s="4" t="s">
        <v>4926</v>
      </c>
      <c r="C44" s="4" t="s">
        <v>4927</v>
      </c>
      <c r="D44" s="4" t="s">
        <v>41</v>
      </c>
      <c r="E44" s="4" t="s">
        <v>9</v>
      </c>
      <c r="F44" s="4" t="s">
        <v>5301</v>
      </c>
      <c r="G44" s="4" t="s">
        <v>5302</v>
      </c>
      <c r="H44" s="41">
        <v>4.5199999999999996</v>
      </c>
      <c r="I44" s="41">
        <v>1.41</v>
      </c>
      <c r="J44" s="41" t="s">
        <v>12269</v>
      </c>
      <c r="K44" s="41" t="s">
        <v>12271</v>
      </c>
      <c r="L44" s="41">
        <v>0.28443000000000002</v>
      </c>
      <c r="M44" s="4" t="b">
        <v>1</v>
      </c>
      <c r="N44" s="4" t="b">
        <v>0</v>
      </c>
      <c r="O44" s="4" t="b">
        <v>0</v>
      </c>
      <c r="P44" s="4"/>
      <c r="Q44" s="4" t="b">
        <v>0</v>
      </c>
    </row>
    <row r="45" spans="1:17" ht="15.75" customHeight="1">
      <c r="A45" s="4" t="s">
        <v>12398</v>
      </c>
      <c r="B45" s="4" t="s">
        <v>4926</v>
      </c>
      <c r="C45" s="4" t="s">
        <v>4927</v>
      </c>
      <c r="D45" s="4" t="s">
        <v>41</v>
      </c>
      <c r="E45" s="4" t="s">
        <v>9</v>
      </c>
      <c r="F45" s="4" t="s">
        <v>5304</v>
      </c>
      <c r="G45" s="4" t="s">
        <v>5305</v>
      </c>
      <c r="H45" s="41">
        <v>4.58</v>
      </c>
      <c r="I45" s="41">
        <v>1.73</v>
      </c>
      <c r="J45" s="41" t="s">
        <v>12269</v>
      </c>
      <c r="K45" s="41" t="s">
        <v>12271</v>
      </c>
      <c r="L45" s="41">
        <v>0.35487999999999997</v>
      </c>
      <c r="M45" s="4" t="b">
        <v>1</v>
      </c>
      <c r="N45" s="4" t="b">
        <v>0</v>
      </c>
      <c r="O45" s="4" t="b">
        <v>0</v>
      </c>
      <c r="P45" s="4"/>
      <c r="Q45" s="4" t="b">
        <v>0</v>
      </c>
    </row>
    <row r="46" spans="1:17" ht="15.75" customHeight="1">
      <c r="A46" s="4" t="s">
        <v>12399</v>
      </c>
      <c r="B46" s="4" t="s">
        <v>4926</v>
      </c>
      <c r="C46" s="4" t="s">
        <v>4927</v>
      </c>
      <c r="D46" s="4" t="s">
        <v>41</v>
      </c>
      <c r="E46" s="4" t="s">
        <v>9</v>
      </c>
      <c r="F46" s="4" t="s">
        <v>5471</v>
      </c>
      <c r="G46" s="4" t="s">
        <v>5472</v>
      </c>
      <c r="H46" s="41">
        <v>4.63</v>
      </c>
      <c r="I46" s="41">
        <v>1.28</v>
      </c>
      <c r="J46" s="41" t="s">
        <v>12269</v>
      </c>
      <c r="K46" s="41" t="s">
        <v>12271</v>
      </c>
      <c r="L46" s="41">
        <v>0.27949000000000002</v>
      </c>
      <c r="M46" s="4" t="b">
        <v>1</v>
      </c>
      <c r="N46" s="4" t="b">
        <v>0</v>
      </c>
      <c r="O46" s="41" t="b">
        <v>0</v>
      </c>
      <c r="P46" s="41"/>
      <c r="Q46" s="41" t="b">
        <v>0</v>
      </c>
    </row>
    <row r="47" spans="1:17" ht="15.75" customHeight="1">
      <c r="A47" s="4" t="s">
        <v>12400</v>
      </c>
      <c r="B47" s="4" t="s">
        <v>4926</v>
      </c>
      <c r="C47" s="4" t="s">
        <v>4927</v>
      </c>
      <c r="D47" s="4" t="s">
        <v>41</v>
      </c>
      <c r="E47" s="4" t="s">
        <v>9</v>
      </c>
      <c r="F47" s="4" t="s">
        <v>5128</v>
      </c>
      <c r="G47" s="4" t="s">
        <v>784</v>
      </c>
      <c r="H47" s="41">
        <v>4.67</v>
      </c>
      <c r="I47" s="41">
        <v>1.25</v>
      </c>
      <c r="J47" s="41" t="s">
        <v>12269</v>
      </c>
      <c r="K47" s="41" t="s">
        <v>12271</v>
      </c>
      <c r="L47" s="41">
        <v>0.26289000000000001</v>
      </c>
      <c r="M47" s="4" t="b">
        <v>1</v>
      </c>
      <c r="N47" s="4" t="b">
        <v>0</v>
      </c>
      <c r="O47" s="4" t="b">
        <v>0</v>
      </c>
      <c r="P47" s="4"/>
      <c r="Q47" s="4" t="b">
        <v>1</v>
      </c>
    </row>
    <row r="48" spans="1:17" ht="15.75" customHeight="1">
      <c r="A48" s="4" t="s">
        <v>12401</v>
      </c>
      <c r="B48" s="4" t="s">
        <v>4926</v>
      </c>
      <c r="C48" s="4" t="s">
        <v>4927</v>
      </c>
      <c r="D48" s="4" t="s">
        <v>41</v>
      </c>
      <c r="E48" s="4" t="s">
        <v>9</v>
      </c>
      <c r="F48" s="4" t="s">
        <v>6132</v>
      </c>
      <c r="G48" s="4" t="s">
        <v>6133</v>
      </c>
      <c r="H48" s="41">
        <v>4.97</v>
      </c>
      <c r="I48" s="41">
        <v>1.48</v>
      </c>
      <c r="J48" s="41" t="s">
        <v>12269</v>
      </c>
      <c r="K48" s="41" t="s">
        <v>12270</v>
      </c>
      <c r="L48" s="41">
        <v>0.20721000000000001</v>
      </c>
      <c r="M48" s="4" t="b">
        <v>1</v>
      </c>
      <c r="N48" s="4" t="b">
        <v>0</v>
      </c>
      <c r="O48" s="4" t="b">
        <v>0</v>
      </c>
      <c r="P48" s="4"/>
      <c r="Q48" s="4" t="b">
        <v>0</v>
      </c>
    </row>
    <row r="49" spans="1:17" ht="15.75" customHeight="1">
      <c r="A49" s="4" t="s">
        <v>12402</v>
      </c>
      <c r="B49" s="4" t="s">
        <v>4926</v>
      </c>
      <c r="C49" s="4" t="s">
        <v>4927</v>
      </c>
      <c r="D49" s="4" t="s">
        <v>41</v>
      </c>
      <c r="E49" s="4" t="s">
        <v>9</v>
      </c>
      <c r="F49" s="4" t="s">
        <v>5498</v>
      </c>
      <c r="G49" s="4" t="s">
        <v>5499</v>
      </c>
      <c r="H49" s="41">
        <v>5.37</v>
      </c>
      <c r="I49" s="41">
        <v>1.59</v>
      </c>
      <c r="J49" s="41" t="s">
        <v>12269</v>
      </c>
      <c r="K49" s="41" t="s">
        <v>12270</v>
      </c>
      <c r="L49" s="41">
        <v>0.25861000000000001</v>
      </c>
      <c r="M49" s="4" t="b">
        <v>1</v>
      </c>
      <c r="N49" s="4" t="b">
        <v>0</v>
      </c>
      <c r="O49" s="4" t="b">
        <v>0</v>
      </c>
      <c r="P49" s="4"/>
      <c r="Q49" s="4" t="b">
        <v>0</v>
      </c>
    </row>
    <row r="50" spans="1:17" ht="15.75" customHeight="1">
      <c r="A50" s="4" t="s">
        <v>12403</v>
      </c>
      <c r="B50" s="4" t="s">
        <v>4926</v>
      </c>
      <c r="C50" s="4" t="s">
        <v>4927</v>
      </c>
      <c r="D50" s="4" t="s">
        <v>41</v>
      </c>
      <c r="E50" s="4" t="s">
        <v>9</v>
      </c>
      <c r="F50" s="4" t="s">
        <v>5501</v>
      </c>
      <c r="G50" s="4" t="s">
        <v>5502</v>
      </c>
      <c r="H50" s="41">
        <v>5.4</v>
      </c>
      <c r="I50" s="41">
        <v>1.24</v>
      </c>
      <c r="J50" s="41" t="s">
        <v>12269</v>
      </c>
      <c r="K50" s="41" t="s">
        <v>12270</v>
      </c>
      <c r="L50" s="41">
        <v>0.20741000000000001</v>
      </c>
      <c r="M50" s="4" t="b">
        <v>1</v>
      </c>
      <c r="N50" s="4" t="b">
        <v>1</v>
      </c>
      <c r="O50" s="4" t="b">
        <v>0</v>
      </c>
      <c r="P50" s="4"/>
      <c r="Q50" s="4" t="b">
        <v>0</v>
      </c>
    </row>
    <row r="51" spans="1:17" ht="15.75" customHeight="1">
      <c r="A51" s="4" t="s">
        <v>12406</v>
      </c>
      <c r="B51" s="4" t="s">
        <v>4926</v>
      </c>
      <c r="C51" s="4" t="s">
        <v>4927</v>
      </c>
      <c r="D51" s="4" t="s">
        <v>41</v>
      </c>
      <c r="E51" s="4" t="s">
        <v>9</v>
      </c>
      <c r="F51" s="4" t="s">
        <v>5104</v>
      </c>
      <c r="G51" s="4" t="s">
        <v>717</v>
      </c>
      <c r="H51" s="41">
        <v>5.53</v>
      </c>
      <c r="I51" s="41">
        <v>1.23</v>
      </c>
      <c r="J51" s="41" t="s">
        <v>12269</v>
      </c>
      <c r="K51" s="41" t="s">
        <v>12270</v>
      </c>
      <c r="L51" s="41">
        <v>0.20011999999999999</v>
      </c>
      <c r="M51" s="4" t="b">
        <v>1</v>
      </c>
      <c r="N51" s="4" t="b">
        <v>1</v>
      </c>
      <c r="O51" s="4" t="b">
        <v>0</v>
      </c>
      <c r="P51" s="4"/>
      <c r="Q51" s="4" t="b">
        <v>1</v>
      </c>
    </row>
    <row r="52" spans="1:17" ht="15.75" customHeight="1">
      <c r="A52" s="4" t="s">
        <v>12407</v>
      </c>
      <c r="B52" s="4" t="s">
        <v>4926</v>
      </c>
      <c r="C52" s="4" t="s">
        <v>4927</v>
      </c>
      <c r="D52" s="4" t="s">
        <v>41</v>
      </c>
      <c r="E52" s="4" t="s">
        <v>9</v>
      </c>
      <c r="F52" s="4" t="s">
        <v>5510</v>
      </c>
      <c r="G52" s="4" t="s">
        <v>5511</v>
      </c>
      <c r="H52" s="41">
        <v>5.58</v>
      </c>
      <c r="I52" s="41">
        <v>1.52</v>
      </c>
      <c r="J52" s="41" t="s">
        <v>12269</v>
      </c>
      <c r="K52" s="41" t="s">
        <v>12271</v>
      </c>
      <c r="L52" s="41">
        <v>0.27755999999999997</v>
      </c>
      <c r="M52" s="4" t="b">
        <v>1</v>
      </c>
      <c r="N52" s="4" t="b">
        <v>0</v>
      </c>
      <c r="O52" s="4" t="b">
        <v>0</v>
      </c>
      <c r="P52" s="4"/>
      <c r="Q52" s="4" t="b">
        <v>0</v>
      </c>
    </row>
    <row r="53" spans="1:17" ht="15.75" customHeight="1">
      <c r="A53" s="4" t="s">
        <v>12409</v>
      </c>
      <c r="B53" s="4" t="s">
        <v>4926</v>
      </c>
      <c r="C53" s="4" t="s">
        <v>4927</v>
      </c>
      <c r="D53" s="4" t="s">
        <v>41</v>
      </c>
      <c r="E53" s="4" t="s">
        <v>9</v>
      </c>
      <c r="F53" s="4" t="s">
        <v>5483</v>
      </c>
      <c r="G53" s="4" t="s">
        <v>5484</v>
      </c>
      <c r="H53" s="41">
        <v>5.05</v>
      </c>
      <c r="I53" s="41">
        <v>1.52</v>
      </c>
      <c r="J53" s="41" t="s">
        <v>12269</v>
      </c>
      <c r="K53" s="41" t="s">
        <v>12271</v>
      </c>
      <c r="L53" s="41">
        <v>0.23760000000000001</v>
      </c>
      <c r="M53" s="4" t="b">
        <v>1</v>
      </c>
      <c r="N53" s="4" t="b">
        <v>0</v>
      </c>
      <c r="O53" s="4" t="b">
        <v>0</v>
      </c>
      <c r="P53" s="4"/>
      <c r="Q53" s="4" t="b">
        <v>0</v>
      </c>
    </row>
    <row r="54" spans="1:17" ht="15.75" customHeight="1">
      <c r="A54" s="4" t="s">
        <v>12410</v>
      </c>
      <c r="B54" s="4" t="s">
        <v>4926</v>
      </c>
      <c r="C54" s="4" t="s">
        <v>4927</v>
      </c>
      <c r="D54" s="4" t="s">
        <v>41</v>
      </c>
      <c r="E54" s="4" t="s">
        <v>9</v>
      </c>
      <c r="F54" s="4" t="s">
        <v>5486</v>
      </c>
      <c r="G54" s="4" t="s">
        <v>5487</v>
      </c>
      <c r="H54" s="41">
        <v>5.0999999999999996</v>
      </c>
      <c r="I54" s="41">
        <v>1.26</v>
      </c>
      <c r="J54" s="41" t="s">
        <v>12269</v>
      </c>
      <c r="K54" s="41" t="s">
        <v>12270</v>
      </c>
      <c r="L54" s="41">
        <v>0.20882999999999999</v>
      </c>
      <c r="M54" s="4" t="b">
        <v>1</v>
      </c>
      <c r="N54" s="4" t="b">
        <v>1</v>
      </c>
      <c r="O54" s="4" t="b">
        <v>0</v>
      </c>
      <c r="P54" s="4"/>
      <c r="Q54" s="4" t="b">
        <v>0</v>
      </c>
    </row>
    <row r="55" spans="1:17" ht="15.75" customHeight="1">
      <c r="A55" s="4" t="s">
        <v>12411</v>
      </c>
      <c r="B55" s="4" t="s">
        <v>4926</v>
      </c>
      <c r="C55" s="4" t="s">
        <v>4927</v>
      </c>
      <c r="D55" s="4" t="s">
        <v>41</v>
      </c>
      <c r="E55" s="4" t="s">
        <v>9</v>
      </c>
      <c r="F55" s="4" t="s">
        <v>5489</v>
      </c>
      <c r="G55" s="4" t="s">
        <v>5490</v>
      </c>
      <c r="H55" s="41">
        <v>5.15</v>
      </c>
      <c r="I55" s="41">
        <v>1.2</v>
      </c>
      <c r="J55" s="41" t="s">
        <v>12269</v>
      </c>
      <c r="K55" s="41" t="s">
        <v>12270</v>
      </c>
      <c r="L55" s="41">
        <v>0.20691000000000001</v>
      </c>
      <c r="M55" s="4" t="b">
        <v>1</v>
      </c>
      <c r="N55" s="4" t="b">
        <v>1</v>
      </c>
      <c r="O55" s="41" t="b">
        <v>0</v>
      </c>
      <c r="P55" s="41"/>
      <c r="Q55" s="41" t="b">
        <v>0</v>
      </c>
    </row>
    <row r="56" spans="1:17" ht="15.75" customHeight="1">
      <c r="A56" s="4" t="s">
        <v>12412</v>
      </c>
      <c r="B56" s="4" t="s">
        <v>4926</v>
      </c>
      <c r="C56" s="4" t="s">
        <v>4927</v>
      </c>
      <c r="D56" s="4" t="s">
        <v>41</v>
      </c>
      <c r="E56" s="4" t="s">
        <v>9</v>
      </c>
      <c r="F56" s="4" t="s">
        <v>6135</v>
      </c>
      <c r="G56" s="4" t="s">
        <v>6136</v>
      </c>
      <c r="H56" s="41">
        <v>5.18</v>
      </c>
      <c r="I56" s="41">
        <v>1.08</v>
      </c>
      <c r="J56" s="41" t="s">
        <v>12269</v>
      </c>
      <c r="K56" s="41" t="s">
        <v>12270</v>
      </c>
      <c r="L56" s="41">
        <v>0.18348</v>
      </c>
      <c r="M56" s="4" t="b">
        <v>1</v>
      </c>
      <c r="N56" s="4" t="b">
        <v>1</v>
      </c>
      <c r="O56" s="4" t="b">
        <v>0</v>
      </c>
      <c r="P56" s="4"/>
      <c r="Q56" s="4" t="b">
        <v>0</v>
      </c>
    </row>
    <row r="57" spans="1:17" ht="15.75" customHeight="1">
      <c r="A57" s="4" t="s">
        <v>12414</v>
      </c>
      <c r="B57" s="4" t="s">
        <v>4926</v>
      </c>
      <c r="C57" s="4" t="s">
        <v>4927</v>
      </c>
      <c r="D57" s="4" t="s">
        <v>41</v>
      </c>
      <c r="E57" s="4" t="s">
        <v>9</v>
      </c>
      <c r="F57" s="4" t="s">
        <v>5495</v>
      </c>
      <c r="G57" s="4" t="s">
        <v>5496</v>
      </c>
      <c r="H57" s="41">
        <v>5.28</v>
      </c>
      <c r="I57" s="41">
        <v>1.23</v>
      </c>
      <c r="J57" s="41" t="s">
        <v>12269</v>
      </c>
      <c r="K57" s="41" t="s">
        <v>12270</v>
      </c>
      <c r="L57" s="41">
        <v>0.21906999999999999</v>
      </c>
      <c r="M57" s="4" t="b">
        <v>1</v>
      </c>
      <c r="N57" s="4" t="b">
        <v>1</v>
      </c>
      <c r="O57" s="4" t="b">
        <v>0</v>
      </c>
      <c r="P57" s="4"/>
      <c r="Q57" s="4" t="b">
        <v>0</v>
      </c>
    </row>
    <row r="58" spans="1:17" ht="15.75" customHeight="1">
      <c r="A58" s="4" t="s">
        <v>12417</v>
      </c>
      <c r="B58" s="4" t="s">
        <v>4926</v>
      </c>
      <c r="C58" s="4" t="s">
        <v>4927</v>
      </c>
      <c r="D58" s="4" t="s">
        <v>41</v>
      </c>
      <c r="E58" s="4" t="s">
        <v>9</v>
      </c>
      <c r="F58" s="4" t="s">
        <v>4945</v>
      </c>
      <c r="G58" s="4" t="s">
        <v>703</v>
      </c>
      <c r="H58" s="4">
        <v>6</v>
      </c>
      <c r="I58" s="4">
        <v>1.46</v>
      </c>
      <c r="J58" s="4" t="s">
        <v>12269</v>
      </c>
      <c r="K58" s="4" t="s">
        <v>12271</v>
      </c>
      <c r="L58" s="41">
        <v>0.22639000000000001</v>
      </c>
      <c r="M58" s="4" t="b">
        <v>1</v>
      </c>
      <c r="N58" s="4" t="b">
        <v>0</v>
      </c>
      <c r="O58" s="4" t="b">
        <v>0</v>
      </c>
      <c r="P58" s="4"/>
      <c r="Q58" s="4" t="b">
        <v>1</v>
      </c>
    </row>
    <row r="59" spans="1:17" ht="15.75" customHeight="1">
      <c r="A59" s="4" t="s">
        <v>12419</v>
      </c>
      <c r="B59" s="4" t="s">
        <v>4926</v>
      </c>
      <c r="C59" s="4" t="s">
        <v>4927</v>
      </c>
      <c r="D59" s="4" t="s">
        <v>41</v>
      </c>
      <c r="E59" s="4" t="s">
        <v>9</v>
      </c>
      <c r="F59" s="4" t="s">
        <v>6106</v>
      </c>
      <c r="G59" s="4" t="s">
        <v>6107</v>
      </c>
      <c r="H59" s="4">
        <v>6.07</v>
      </c>
      <c r="I59" s="4">
        <v>1.33</v>
      </c>
      <c r="J59" s="4" t="s">
        <v>12269</v>
      </c>
      <c r="K59" s="4" t="s">
        <v>12271</v>
      </c>
      <c r="L59" s="41">
        <v>0.24934999999999999</v>
      </c>
      <c r="M59" s="4" t="b">
        <v>1</v>
      </c>
      <c r="N59" s="4" t="b">
        <v>0</v>
      </c>
      <c r="O59" s="4" t="b">
        <v>0</v>
      </c>
      <c r="P59" s="4"/>
      <c r="Q59" s="4" t="b">
        <v>0</v>
      </c>
    </row>
    <row r="60" spans="1:17" ht="15.75" customHeight="1">
      <c r="A60" s="4" t="s">
        <v>12420</v>
      </c>
      <c r="B60" s="4" t="s">
        <v>4926</v>
      </c>
      <c r="C60" s="4" t="s">
        <v>4927</v>
      </c>
      <c r="D60" s="4" t="s">
        <v>41</v>
      </c>
      <c r="E60" s="4" t="s">
        <v>9</v>
      </c>
      <c r="F60" s="4" t="s">
        <v>6144</v>
      </c>
      <c r="G60" s="4" t="s">
        <v>6145</v>
      </c>
      <c r="H60" s="4">
        <v>6.1</v>
      </c>
      <c r="I60" s="4">
        <v>1.2</v>
      </c>
      <c r="J60" s="4" t="s">
        <v>12269</v>
      </c>
      <c r="K60" s="4" t="s">
        <v>12271</v>
      </c>
      <c r="L60" s="41">
        <v>0.25564999999999999</v>
      </c>
      <c r="M60" s="4" t="b">
        <v>1</v>
      </c>
      <c r="N60" s="4" t="b">
        <v>0</v>
      </c>
      <c r="O60" s="4" t="b">
        <v>0</v>
      </c>
      <c r="P60" s="4"/>
      <c r="Q60" s="4" t="b">
        <v>0</v>
      </c>
    </row>
    <row r="61" spans="1:17" ht="15.75" customHeight="1">
      <c r="A61" s="4" t="s">
        <v>319</v>
      </c>
      <c r="B61" s="4" t="s">
        <v>4926</v>
      </c>
      <c r="C61" s="4" t="s">
        <v>4927</v>
      </c>
      <c r="D61" s="4" t="s">
        <v>41</v>
      </c>
      <c r="E61" s="4" t="s">
        <v>9</v>
      </c>
      <c r="F61" s="4" t="s">
        <v>5516</v>
      </c>
      <c r="G61" s="4" t="s">
        <v>306</v>
      </c>
      <c r="H61" s="4">
        <v>5.7</v>
      </c>
      <c r="I61" s="4">
        <v>1.46</v>
      </c>
      <c r="J61" s="4" t="s">
        <v>12269</v>
      </c>
      <c r="K61" s="4" t="s">
        <v>12270</v>
      </c>
      <c r="L61" s="41">
        <v>0.21718000000000001</v>
      </c>
      <c r="M61" s="4" t="b">
        <v>1</v>
      </c>
      <c r="N61" s="4" t="b">
        <v>0</v>
      </c>
      <c r="O61" s="40" t="b">
        <v>1</v>
      </c>
      <c r="P61" s="40" t="s">
        <v>4955</v>
      </c>
      <c r="Q61" s="40" t="b">
        <v>0</v>
      </c>
    </row>
    <row r="62" spans="1:17" ht="15.75" customHeight="1">
      <c r="A62" s="4" t="s">
        <v>12423</v>
      </c>
      <c r="B62" s="4" t="s">
        <v>4926</v>
      </c>
      <c r="C62" s="4" t="s">
        <v>4927</v>
      </c>
      <c r="D62" s="4" t="s">
        <v>41</v>
      </c>
      <c r="E62" s="4" t="s">
        <v>9</v>
      </c>
      <c r="F62" s="4" t="s">
        <v>5319</v>
      </c>
      <c r="G62" s="4" t="s">
        <v>5320</v>
      </c>
      <c r="H62" s="4">
        <v>5.73</v>
      </c>
      <c r="I62" s="4">
        <v>1.48</v>
      </c>
      <c r="J62" s="4" t="s">
        <v>12269</v>
      </c>
      <c r="K62" s="4" t="s">
        <v>12270</v>
      </c>
      <c r="L62" s="41">
        <v>0.21776999999999999</v>
      </c>
      <c r="M62" s="4" t="b">
        <v>1</v>
      </c>
      <c r="N62" s="4" t="b">
        <v>0</v>
      </c>
      <c r="O62" s="41" t="b">
        <v>0</v>
      </c>
      <c r="P62" s="41"/>
      <c r="Q62" s="41" t="b">
        <v>0</v>
      </c>
    </row>
    <row r="63" spans="1:17" ht="15.75" customHeight="1">
      <c r="A63" s="4" t="s">
        <v>12424</v>
      </c>
      <c r="B63" s="4" t="s">
        <v>4926</v>
      </c>
      <c r="C63" s="4" t="s">
        <v>4927</v>
      </c>
      <c r="D63" s="4" t="s">
        <v>41</v>
      </c>
      <c r="E63" s="4" t="s">
        <v>9</v>
      </c>
      <c r="F63" s="4" t="s">
        <v>6141</v>
      </c>
      <c r="G63" s="4" t="s">
        <v>6142</v>
      </c>
      <c r="H63" s="4">
        <v>5.77</v>
      </c>
      <c r="I63" s="4">
        <v>1.52</v>
      </c>
      <c r="J63" s="4" t="s">
        <v>12269</v>
      </c>
      <c r="K63" s="4" t="s">
        <v>12271</v>
      </c>
      <c r="L63" s="41">
        <v>0.21081</v>
      </c>
      <c r="M63" s="4" t="b">
        <v>1</v>
      </c>
      <c r="N63" s="4" t="b">
        <v>0</v>
      </c>
      <c r="O63" s="4" t="b">
        <v>0</v>
      </c>
      <c r="P63" s="4"/>
      <c r="Q63" s="4" t="b">
        <v>0</v>
      </c>
    </row>
    <row r="64" spans="1:17" ht="15.75" customHeight="1">
      <c r="A64" s="4" t="s">
        <v>12426</v>
      </c>
      <c r="B64" s="4" t="s">
        <v>4926</v>
      </c>
      <c r="C64" s="4" t="s">
        <v>4927</v>
      </c>
      <c r="D64" s="4" t="s">
        <v>41</v>
      </c>
      <c r="E64" s="4" t="s">
        <v>9</v>
      </c>
      <c r="F64" s="4" t="s">
        <v>5518</v>
      </c>
      <c r="G64" s="4" t="s">
        <v>5519</v>
      </c>
      <c r="H64" s="4">
        <v>5.83</v>
      </c>
      <c r="I64" s="4">
        <v>1.34</v>
      </c>
      <c r="J64" s="4" t="s">
        <v>12269</v>
      </c>
      <c r="K64" s="4" t="s">
        <v>12271</v>
      </c>
      <c r="L64" s="41">
        <v>0.25054999999999999</v>
      </c>
      <c r="M64" s="4" t="b">
        <v>1</v>
      </c>
      <c r="N64" s="4" t="b">
        <v>0</v>
      </c>
      <c r="O64" s="4" t="b">
        <v>0</v>
      </c>
      <c r="P64" s="4"/>
      <c r="Q64" s="4" t="b">
        <v>0</v>
      </c>
    </row>
    <row r="65" spans="1:19" ht="15.75" customHeight="1">
      <c r="A65" s="4" t="s">
        <v>12427</v>
      </c>
      <c r="B65" s="4" t="s">
        <v>4926</v>
      </c>
      <c r="C65" s="4" t="s">
        <v>4927</v>
      </c>
      <c r="D65" s="4" t="s">
        <v>41</v>
      </c>
      <c r="E65" s="4" t="s">
        <v>9</v>
      </c>
      <c r="F65" s="4" t="s">
        <v>5094</v>
      </c>
      <c r="G65" s="4" t="s">
        <v>701</v>
      </c>
      <c r="H65" s="4">
        <v>5.87</v>
      </c>
      <c r="I65" s="4">
        <v>1.06</v>
      </c>
      <c r="J65" s="4" t="s">
        <v>12269</v>
      </c>
      <c r="K65" s="4" t="s">
        <v>12270</v>
      </c>
      <c r="L65" s="41">
        <v>0.18318000000000001</v>
      </c>
      <c r="M65" s="4" t="b">
        <v>1</v>
      </c>
      <c r="N65" s="4" t="b">
        <v>1</v>
      </c>
      <c r="O65" s="4" t="b">
        <v>0</v>
      </c>
      <c r="P65" s="4"/>
      <c r="Q65" s="4" t="b">
        <v>1</v>
      </c>
    </row>
    <row r="66" spans="1:19" ht="15.75" customHeight="1">
      <c r="A66" s="4" t="s">
        <v>12428</v>
      </c>
      <c r="B66" s="4" t="s">
        <v>4926</v>
      </c>
      <c r="C66" s="4" t="s">
        <v>4927</v>
      </c>
      <c r="D66" s="4" t="s">
        <v>41</v>
      </c>
      <c r="E66" s="4" t="s">
        <v>9</v>
      </c>
      <c r="F66" s="4" t="s">
        <v>5521</v>
      </c>
      <c r="G66" s="4" t="s">
        <v>5522</v>
      </c>
      <c r="H66" s="4">
        <v>5.9</v>
      </c>
      <c r="I66" s="4">
        <v>1.55</v>
      </c>
      <c r="J66" s="4" t="s">
        <v>12269</v>
      </c>
      <c r="K66" s="4" t="s">
        <v>12271</v>
      </c>
      <c r="L66" s="41">
        <v>0.24604999999999999</v>
      </c>
      <c r="M66" s="4" t="b">
        <v>1</v>
      </c>
      <c r="N66" s="4" t="b">
        <v>0</v>
      </c>
      <c r="O66" s="4" t="b">
        <v>0</v>
      </c>
      <c r="P66" s="4"/>
      <c r="Q66" s="4" t="b">
        <v>0</v>
      </c>
    </row>
    <row r="67" spans="1:19" ht="15.75" customHeight="1">
      <c r="A67" s="4" t="s">
        <v>12430</v>
      </c>
      <c r="B67" s="4" t="s">
        <v>4926</v>
      </c>
      <c r="C67" s="4" t="s">
        <v>4927</v>
      </c>
      <c r="D67" s="4" t="s">
        <v>41</v>
      </c>
      <c r="E67" s="4" t="s">
        <v>8</v>
      </c>
      <c r="F67" s="4" t="s">
        <v>6036</v>
      </c>
      <c r="G67" s="4" t="s">
        <v>6037</v>
      </c>
      <c r="H67" s="4">
        <v>3.52</v>
      </c>
      <c r="I67" s="4">
        <v>1.98</v>
      </c>
      <c r="J67" s="4" t="s">
        <v>12269</v>
      </c>
      <c r="K67" s="4" t="s">
        <v>12270</v>
      </c>
      <c r="L67" s="41">
        <v>0.24484</v>
      </c>
      <c r="M67" s="4" t="b">
        <v>1</v>
      </c>
      <c r="N67" s="4" t="b">
        <v>0</v>
      </c>
      <c r="O67" s="4" t="b">
        <v>0</v>
      </c>
      <c r="P67" s="4"/>
      <c r="Q67" s="4" t="b">
        <v>0</v>
      </c>
    </row>
    <row r="68" spans="1:19" ht="15.75" customHeight="1">
      <c r="A68" s="4" t="s">
        <v>12431</v>
      </c>
      <c r="B68" s="4" t="s">
        <v>4926</v>
      </c>
      <c r="C68" s="4" t="s">
        <v>4927</v>
      </c>
      <c r="D68" s="4" t="s">
        <v>41</v>
      </c>
      <c r="E68" s="4" t="s">
        <v>8</v>
      </c>
      <c r="F68" s="4" t="s">
        <v>6039</v>
      </c>
      <c r="G68" s="4" t="s">
        <v>6040</v>
      </c>
      <c r="H68" s="4">
        <v>3.55</v>
      </c>
      <c r="I68" s="4">
        <v>1.21</v>
      </c>
      <c r="J68" s="4" t="s">
        <v>12269</v>
      </c>
      <c r="K68" s="4" t="s">
        <v>12270</v>
      </c>
      <c r="L68" s="41">
        <v>0.20807</v>
      </c>
      <c r="M68" s="4" t="b">
        <v>1</v>
      </c>
      <c r="N68" s="4" t="b">
        <v>1</v>
      </c>
      <c r="O68" s="4" t="b">
        <v>0</v>
      </c>
      <c r="P68" s="4"/>
      <c r="Q68" s="4" t="b">
        <v>0</v>
      </c>
    </row>
    <row r="69" spans="1:19" ht="15.75" customHeight="1">
      <c r="A69" s="4" t="s">
        <v>12434</v>
      </c>
      <c r="B69" s="4" t="s">
        <v>4926</v>
      </c>
      <c r="C69" s="4" t="s">
        <v>4927</v>
      </c>
      <c r="D69" s="4" t="s">
        <v>41</v>
      </c>
      <c r="E69" s="4" t="s">
        <v>9</v>
      </c>
      <c r="F69" s="4" t="s">
        <v>5563</v>
      </c>
      <c r="G69" s="4" t="s">
        <v>5564</v>
      </c>
      <c r="H69" s="4">
        <v>2.2000000000000002</v>
      </c>
      <c r="I69" s="4">
        <v>1.47</v>
      </c>
      <c r="J69" s="4" t="s">
        <v>12269</v>
      </c>
      <c r="K69" s="4" t="s">
        <v>12271</v>
      </c>
      <c r="L69" s="41">
        <v>0.29431000000000002</v>
      </c>
      <c r="M69" s="4" t="b">
        <v>1</v>
      </c>
      <c r="N69" s="4" t="b">
        <v>0</v>
      </c>
      <c r="O69" s="4" t="b">
        <v>0</v>
      </c>
      <c r="P69" s="4"/>
      <c r="Q69" s="4" t="b">
        <v>0</v>
      </c>
    </row>
    <row r="70" spans="1:19" ht="15.75" customHeight="1">
      <c r="A70" s="4" t="s">
        <v>320</v>
      </c>
      <c r="B70" s="4" t="s">
        <v>4926</v>
      </c>
      <c r="C70" s="4" t="s">
        <v>4927</v>
      </c>
      <c r="D70" s="4" t="s">
        <v>41</v>
      </c>
      <c r="E70" s="4" t="s">
        <v>9</v>
      </c>
      <c r="F70" s="4" t="s">
        <v>5578</v>
      </c>
      <c r="G70" s="4" t="s">
        <v>307</v>
      </c>
      <c r="H70" s="4">
        <v>2.23</v>
      </c>
      <c r="I70" s="4">
        <v>1.36</v>
      </c>
      <c r="J70" s="4" t="s">
        <v>12269</v>
      </c>
      <c r="K70" s="4" t="s">
        <v>12271</v>
      </c>
      <c r="L70" s="41">
        <v>0.21548999999999999</v>
      </c>
      <c r="M70" s="4" t="b">
        <v>1</v>
      </c>
      <c r="N70" s="4" t="b">
        <v>0</v>
      </c>
      <c r="O70" s="40" t="b">
        <v>1</v>
      </c>
      <c r="P70" s="40" t="s">
        <v>12272</v>
      </c>
      <c r="Q70" s="40" t="b">
        <v>0</v>
      </c>
    </row>
    <row r="71" spans="1:19" ht="15.75" customHeight="1">
      <c r="A71" s="4" t="s">
        <v>12437</v>
      </c>
      <c r="B71" s="4" t="s">
        <v>4926</v>
      </c>
      <c r="C71" s="4" t="s">
        <v>4927</v>
      </c>
      <c r="D71" s="4" t="s">
        <v>41</v>
      </c>
      <c r="E71" s="4" t="s">
        <v>9</v>
      </c>
      <c r="F71" s="4" t="s">
        <v>4946</v>
      </c>
      <c r="G71" s="4" t="s">
        <v>706</v>
      </c>
      <c r="H71" s="4">
        <v>2.37</v>
      </c>
      <c r="I71" s="4">
        <v>1.57</v>
      </c>
      <c r="J71" s="4" t="s">
        <v>12269</v>
      </c>
      <c r="K71" s="4" t="s">
        <v>12271</v>
      </c>
      <c r="L71" s="41">
        <v>0.27850000000000003</v>
      </c>
      <c r="M71" s="4" t="b">
        <v>1</v>
      </c>
      <c r="N71" s="4" t="b">
        <v>0</v>
      </c>
      <c r="O71" s="4" t="b">
        <v>0</v>
      </c>
      <c r="P71" s="4"/>
      <c r="Q71" s="4" t="b">
        <v>1</v>
      </c>
    </row>
    <row r="72" spans="1:19" ht="15.75" customHeight="1">
      <c r="A72" s="4" t="s">
        <v>12438</v>
      </c>
      <c r="B72" s="4" t="s">
        <v>4926</v>
      </c>
      <c r="C72" s="4" t="s">
        <v>4927</v>
      </c>
      <c r="D72" s="4" t="s">
        <v>41</v>
      </c>
      <c r="E72" s="4" t="s">
        <v>8</v>
      </c>
      <c r="F72" s="4" t="s">
        <v>6076</v>
      </c>
      <c r="G72" s="4" t="s">
        <v>6077</v>
      </c>
      <c r="H72" s="4">
        <v>4.07</v>
      </c>
      <c r="I72" s="4">
        <v>1.31</v>
      </c>
      <c r="J72" s="4" t="s">
        <v>12269</v>
      </c>
      <c r="K72" s="4" t="s">
        <v>12271</v>
      </c>
      <c r="L72" s="41">
        <v>0.25469000000000003</v>
      </c>
      <c r="M72" s="4" t="b">
        <v>1</v>
      </c>
      <c r="N72" s="4" t="b">
        <v>0</v>
      </c>
      <c r="O72" s="4" t="b">
        <v>0</v>
      </c>
      <c r="P72" s="4"/>
      <c r="Q72" s="4" t="b">
        <v>0</v>
      </c>
    </row>
    <row r="73" spans="1:19" ht="15.75" customHeight="1">
      <c r="A73" s="4" t="s">
        <v>12443</v>
      </c>
      <c r="B73" s="4" t="s">
        <v>4926</v>
      </c>
      <c r="C73" s="4" t="s">
        <v>4927</v>
      </c>
      <c r="D73" s="4" t="s">
        <v>41</v>
      </c>
      <c r="E73" s="4" t="s">
        <v>8</v>
      </c>
      <c r="F73" s="4" t="s">
        <v>6097</v>
      </c>
      <c r="G73" s="4" t="s">
        <v>6098</v>
      </c>
      <c r="H73" s="4">
        <v>2.1</v>
      </c>
      <c r="I73" s="4">
        <v>1.34</v>
      </c>
      <c r="J73" s="4" t="s">
        <v>12269</v>
      </c>
      <c r="K73" s="4" t="s">
        <v>12271</v>
      </c>
      <c r="L73" s="41">
        <v>0.21468000000000001</v>
      </c>
      <c r="M73" s="4" t="b">
        <v>1</v>
      </c>
      <c r="N73" s="4" t="b">
        <v>1</v>
      </c>
      <c r="O73" s="4" t="b">
        <v>0</v>
      </c>
      <c r="P73" s="4"/>
      <c r="Q73" s="4" t="b">
        <v>0</v>
      </c>
    </row>
    <row r="74" spans="1:19" ht="15.75" customHeight="1">
      <c r="A74" s="4" t="s">
        <v>12446</v>
      </c>
      <c r="B74" s="4" t="s">
        <v>4926</v>
      </c>
      <c r="C74" s="4" t="s">
        <v>4927</v>
      </c>
      <c r="D74" s="4" t="s">
        <v>41</v>
      </c>
      <c r="E74" s="4" t="s">
        <v>9</v>
      </c>
      <c r="F74" s="4" t="s">
        <v>5697</v>
      </c>
      <c r="G74" s="4" t="s">
        <v>5698</v>
      </c>
      <c r="H74" s="4">
        <v>2.67</v>
      </c>
      <c r="I74" s="4">
        <v>1.2010000000000001</v>
      </c>
      <c r="J74" s="4" t="s">
        <v>12269</v>
      </c>
      <c r="K74" s="4" t="s">
        <v>12271</v>
      </c>
      <c r="L74" s="41">
        <v>0.30804999999999999</v>
      </c>
      <c r="M74" s="4" t="b">
        <v>1</v>
      </c>
      <c r="N74" s="4" t="b">
        <v>0</v>
      </c>
      <c r="O74" s="41" t="b">
        <v>0</v>
      </c>
      <c r="P74" s="41"/>
      <c r="Q74" s="41" t="b">
        <v>0</v>
      </c>
    </row>
    <row r="75" spans="1:19" ht="15.75" customHeight="1">
      <c r="A75" s="4" t="s">
        <v>12448</v>
      </c>
      <c r="B75" s="4" t="s">
        <v>4926</v>
      </c>
      <c r="C75" s="4" t="s">
        <v>4927</v>
      </c>
      <c r="D75" s="4" t="s">
        <v>41</v>
      </c>
      <c r="E75" s="4" t="s">
        <v>9</v>
      </c>
      <c r="F75" s="4" t="s">
        <v>5112</v>
      </c>
      <c r="G75" s="4" t="s">
        <v>744</v>
      </c>
      <c r="H75" s="4">
        <v>2.73</v>
      </c>
      <c r="I75" s="4">
        <v>1.48</v>
      </c>
      <c r="J75" s="4" t="s">
        <v>12269</v>
      </c>
      <c r="K75" s="4" t="s">
        <v>12271</v>
      </c>
      <c r="L75" s="41">
        <v>0.20286000000000001</v>
      </c>
      <c r="M75" s="4" t="b">
        <v>1</v>
      </c>
      <c r="N75" s="4" t="b">
        <v>0</v>
      </c>
      <c r="O75" s="4" t="b">
        <v>0</v>
      </c>
      <c r="P75" s="4"/>
      <c r="Q75" s="4" t="b">
        <v>1</v>
      </c>
    </row>
    <row r="76" spans="1:19" ht="15.75" customHeight="1">
      <c r="A76" s="4" t="s">
        <v>12449</v>
      </c>
      <c r="B76" s="4" t="s">
        <v>4926</v>
      </c>
      <c r="C76" s="4" t="s">
        <v>4927</v>
      </c>
      <c r="D76" s="4" t="s">
        <v>41</v>
      </c>
      <c r="E76" s="4" t="s">
        <v>9</v>
      </c>
      <c r="F76" s="4" t="s">
        <v>5703</v>
      </c>
      <c r="G76" s="4" t="s">
        <v>5704</v>
      </c>
      <c r="H76" s="4">
        <v>2.77</v>
      </c>
      <c r="I76" s="4">
        <v>1.4</v>
      </c>
      <c r="J76" s="4" t="s">
        <v>12269</v>
      </c>
      <c r="K76" s="4" t="s">
        <v>12271</v>
      </c>
      <c r="L76" s="41">
        <v>0.25301000000000001</v>
      </c>
      <c r="M76" s="4" t="b">
        <v>1</v>
      </c>
      <c r="N76" s="4" t="b">
        <v>0</v>
      </c>
      <c r="O76" s="4" t="b">
        <v>0</v>
      </c>
      <c r="P76" s="4"/>
      <c r="Q76" s="4" t="b">
        <v>0</v>
      </c>
    </row>
    <row r="77" spans="1:19" ht="15.75" customHeight="1">
      <c r="A77" s="4" t="s">
        <v>321</v>
      </c>
      <c r="B77" s="4" t="s">
        <v>4926</v>
      </c>
      <c r="C77" s="4" t="s">
        <v>4927</v>
      </c>
      <c r="D77" s="4" t="s">
        <v>41</v>
      </c>
      <c r="E77" s="4" t="s">
        <v>9</v>
      </c>
      <c r="F77" s="4" t="s">
        <v>5030</v>
      </c>
      <c r="G77" s="4" t="s">
        <v>308</v>
      </c>
      <c r="H77" s="4">
        <v>2.83</v>
      </c>
      <c r="I77" s="4">
        <v>1.034</v>
      </c>
      <c r="J77" s="4" t="s">
        <v>12269</v>
      </c>
      <c r="K77" s="4" t="s">
        <v>12273</v>
      </c>
      <c r="L77" s="41">
        <v>0.15690999999999999</v>
      </c>
      <c r="M77" s="4" t="b">
        <v>1</v>
      </c>
      <c r="N77" s="4" t="b">
        <v>0</v>
      </c>
      <c r="O77" s="40" t="b">
        <v>1</v>
      </c>
      <c r="P77" s="40" t="s">
        <v>5087</v>
      </c>
      <c r="Q77" s="40" t="b">
        <v>1</v>
      </c>
      <c r="R77" s="41" t="s">
        <v>4929</v>
      </c>
      <c r="S77" s="41" t="s">
        <v>863</v>
      </c>
    </row>
    <row r="78" spans="1:19" ht="15.75" customHeight="1">
      <c r="A78" s="4" t="s">
        <v>12452</v>
      </c>
      <c r="B78" s="4" t="s">
        <v>4926</v>
      </c>
      <c r="C78" s="4" t="s">
        <v>4927</v>
      </c>
      <c r="D78" s="4" t="s">
        <v>41</v>
      </c>
      <c r="E78" s="4" t="s">
        <v>9</v>
      </c>
      <c r="F78" s="4" t="s">
        <v>5361</v>
      </c>
      <c r="G78" s="4" t="s">
        <v>5362</v>
      </c>
      <c r="H78" s="4">
        <v>2.4500000000000002</v>
      </c>
      <c r="I78" s="4">
        <v>1.05</v>
      </c>
      <c r="J78" s="4" t="s">
        <v>12269</v>
      </c>
      <c r="K78" s="4" t="s">
        <v>12273</v>
      </c>
      <c r="L78" s="41">
        <v>0.15801000000000001</v>
      </c>
      <c r="M78" s="4" t="b">
        <v>1</v>
      </c>
      <c r="N78" s="4" t="b">
        <v>1</v>
      </c>
      <c r="O78" s="4" t="b">
        <v>0</v>
      </c>
      <c r="P78" s="4"/>
      <c r="Q78" s="4" t="b">
        <v>0</v>
      </c>
    </row>
    <row r="79" spans="1:19" ht="15.75" customHeight="1">
      <c r="A79" s="4" t="s">
        <v>12454</v>
      </c>
      <c r="B79" s="4" t="s">
        <v>4926</v>
      </c>
      <c r="C79" s="4" t="s">
        <v>4927</v>
      </c>
      <c r="D79" s="4" t="s">
        <v>41</v>
      </c>
      <c r="E79" s="4" t="s">
        <v>9</v>
      </c>
      <c r="F79" s="4" t="s">
        <v>5682</v>
      </c>
      <c r="G79" s="4" t="s">
        <v>5683</v>
      </c>
      <c r="H79" s="4">
        <v>2.52</v>
      </c>
      <c r="I79" s="4">
        <v>1.2</v>
      </c>
      <c r="J79" s="4" t="s">
        <v>12269</v>
      </c>
      <c r="K79" s="4" t="s">
        <v>12271</v>
      </c>
      <c r="L79" s="41">
        <v>0.29565999999999998</v>
      </c>
      <c r="M79" s="4" t="b">
        <v>1</v>
      </c>
      <c r="N79" s="4" t="b">
        <v>0</v>
      </c>
      <c r="O79" s="4" t="b">
        <v>0</v>
      </c>
      <c r="P79" s="4"/>
      <c r="Q79" s="4" t="b">
        <v>0</v>
      </c>
    </row>
    <row r="80" spans="1:19" ht="15.75" customHeight="1">
      <c r="A80" s="4" t="s">
        <v>12456</v>
      </c>
      <c r="B80" s="4" t="s">
        <v>4926</v>
      </c>
      <c r="C80" s="4" t="s">
        <v>4927</v>
      </c>
      <c r="D80" s="4" t="s">
        <v>41</v>
      </c>
      <c r="E80" s="4" t="s">
        <v>9</v>
      </c>
      <c r="F80" s="4" t="s">
        <v>6218</v>
      </c>
      <c r="G80" s="4" t="s">
        <v>6219</v>
      </c>
      <c r="H80" s="4">
        <v>2.58</v>
      </c>
      <c r="I80" s="4">
        <v>1.48</v>
      </c>
      <c r="J80" s="4" t="s">
        <v>12269</v>
      </c>
      <c r="K80" s="4" t="s">
        <v>12271</v>
      </c>
      <c r="L80" s="41">
        <v>0.30656</v>
      </c>
      <c r="M80" s="4" t="b">
        <v>1</v>
      </c>
      <c r="N80" s="4" t="b">
        <v>0</v>
      </c>
      <c r="O80" s="4" t="b">
        <v>0</v>
      </c>
      <c r="P80" s="4"/>
      <c r="Q80" s="4" t="b">
        <v>0</v>
      </c>
    </row>
    <row r="81" spans="1:17" ht="15.75" customHeight="1">
      <c r="A81" s="4" t="s">
        <v>12457</v>
      </c>
      <c r="B81" s="4" t="s">
        <v>4926</v>
      </c>
      <c r="C81" s="4" t="s">
        <v>4927</v>
      </c>
      <c r="D81" s="4" t="s">
        <v>41</v>
      </c>
      <c r="E81" s="4" t="s">
        <v>9</v>
      </c>
      <c r="F81" s="4" t="s">
        <v>5694</v>
      </c>
      <c r="G81" s="4" t="s">
        <v>5695</v>
      </c>
      <c r="H81" s="4">
        <v>2.62</v>
      </c>
      <c r="I81" s="4">
        <v>1.28</v>
      </c>
      <c r="J81" s="4" t="s">
        <v>12269</v>
      </c>
      <c r="K81" s="4" t="s">
        <v>12271</v>
      </c>
      <c r="L81" s="41">
        <v>0.27598</v>
      </c>
      <c r="M81" s="4" t="b">
        <v>1</v>
      </c>
      <c r="N81" s="4" t="b">
        <v>0</v>
      </c>
      <c r="O81" s="4" t="b">
        <v>0</v>
      </c>
      <c r="P81" s="4"/>
      <c r="Q81" s="4" t="b">
        <v>0</v>
      </c>
    </row>
    <row r="82" spans="1:17" ht="15.75" customHeight="1">
      <c r="A82" s="4" t="s">
        <v>12458</v>
      </c>
      <c r="B82" s="4" t="s">
        <v>4926</v>
      </c>
      <c r="C82" s="4" t="s">
        <v>4927</v>
      </c>
      <c r="D82" s="4" t="s">
        <v>41</v>
      </c>
      <c r="E82" s="4" t="s">
        <v>9</v>
      </c>
      <c r="F82" s="4" t="s">
        <v>5028</v>
      </c>
      <c r="G82" s="4" t="s">
        <v>742</v>
      </c>
      <c r="H82" s="4">
        <v>2.63</v>
      </c>
      <c r="I82" s="4">
        <v>1.08</v>
      </c>
      <c r="J82" s="4" t="s">
        <v>12269</v>
      </c>
      <c r="K82" s="4" t="s">
        <v>12271</v>
      </c>
      <c r="L82" s="41">
        <v>0.30515999999999999</v>
      </c>
      <c r="M82" s="4" t="b">
        <v>1</v>
      </c>
      <c r="N82" s="4" t="b">
        <v>0</v>
      </c>
      <c r="O82" s="4" t="b">
        <v>0</v>
      </c>
      <c r="P82" s="4"/>
      <c r="Q82" s="4" t="b">
        <v>1</v>
      </c>
    </row>
    <row r="83" spans="1:17" ht="15.75" customHeight="1">
      <c r="A83" s="4" t="s">
        <v>12459</v>
      </c>
      <c r="B83" s="4" t="s">
        <v>4926</v>
      </c>
      <c r="C83" s="4" t="s">
        <v>4927</v>
      </c>
      <c r="D83" s="4" t="s">
        <v>41</v>
      </c>
      <c r="E83" s="4" t="s">
        <v>9</v>
      </c>
      <c r="F83" s="4" t="s">
        <v>5709</v>
      </c>
      <c r="G83" s="4" t="s">
        <v>5710</v>
      </c>
      <c r="H83" s="4">
        <v>2.88</v>
      </c>
      <c r="I83" s="4">
        <v>1.34</v>
      </c>
      <c r="J83" s="4" t="s">
        <v>12269</v>
      </c>
      <c r="K83" s="4" t="s">
        <v>12271</v>
      </c>
      <c r="L83" s="41">
        <v>0.26218000000000002</v>
      </c>
      <c r="M83" s="4" t="b">
        <v>1</v>
      </c>
      <c r="N83" s="4" t="b">
        <v>0</v>
      </c>
      <c r="O83" s="4" t="b">
        <v>0</v>
      </c>
      <c r="P83" s="4"/>
      <c r="Q83" s="4" t="b">
        <v>0</v>
      </c>
    </row>
    <row r="84" spans="1:17" ht="15.75" customHeight="1">
      <c r="A84" s="4" t="s">
        <v>12460</v>
      </c>
      <c r="B84" s="4" t="s">
        <v>4926</v>
      </c>
      <c r="C84" s="4" t="s">
        <v>4927</v>
      </c>
      <c r="D84" s="4" t="s">
        <v>41</v>
      </c>
      <c r="E84" s="4" t="s">
        <v>8</v>
      </c>
      <c r="F84" s="4" t="s">
        <v>6006</v>
      </c>
      <c r="G84" s="4" t="s">
        <v>6007</v>
      </c>
      <c r="H84" s="4">
        <v>3.12</v>
      </c>
      <c r="I84" s="4">
        <v>1.33</v>
      </c>
      <c r="J84" s="4" t="s">
        <v>12269</v>
      </c>
      <c r="K84" s="4" t="s">
        <v>12271</v>
      </c>
      <c r="L84" s="41">
        <v>0.27532000000000001</v>
      </c>
      <c r="M84" s="4" t="b">
        <v>1</v>
      </c>
      <c r="N84" s="4" t="b">
        <v>0</v>
      </c>
      <c r="O84" s="4" t="b">
        <v>0</v>
      </c>
      <c r="P84" s="4"/>
      <c r="Q84" s="4" t="b">
        <v>0</v>
      </c>
    </row>
    <row r="85" spans="1:17" ht="15.75" customHeight="1">
      <c r="A85" s="4" t="s">
        <v>12464</v>
      </c>
      <c r="B85" s="4" t="s">
        <v>4926</v>
      </c>
      <c r="C85" s="4" t="s">
        <v>12274</v>
      </c>
      <c r="D85" s="4" t="s">
        <v>41</v>
      </c>
      <c r="E85" s="4" t="s">
        <v>9</v>
      </c>
      <c r="F85" s="4" t="s">
        <v>5715</v>
      </c>
      <c r="G85" s="4" t="s">
        <v>5716</v>
      </c>
      <c r="H85" s="4">
        <v>2.93</v>
      </c>
      <c r="I85" s="4">
        <v>1.38</v>
      </c>
      <c r="J85" s="4" t="s">
        <v>12269</v>
      </c>
      <c r="K85" s="4" t="s">
        <v>12271</v>
      </c>
      <c r="L85" s="41">
        <v>0.28881000000000001</v>
      </c>
      <c r="M85" s="4" t="b">
        <v>1</v>
      </c>
      <c r="N85" s="4" t="b">
        <v>0</v>
      </c>
      <c r="O85" s="4" t="b">
        <v>0</v>
      </c>
      <c r="P85" s="4"/>
      <c r="Q85" s="4" t="b">
        <v>0</v>
      </c>
    </row>
    <row r="86" spans="1:17" ht="13">
      <c r="A86" s="4" t="s">
        <v>12469</v>
      </c>
      <c r="B86" s="4" t="s">
        <v>4926</v>
      </c>
      <c r="C86" s="4" t="s">
        <v>12274</v>
      </c>
      <c r="D86" s="4" t="s">
        <v>41</v>
      </c>
      <c r="E86" s="4" t="s">
        <v>8</v>
      </c>
      <c r="F86" s="4" t="s">
        <v>5127</v>
      </c>
      <c r="G86" s="4" t="s">
        <v>777</v>
      </c>
      <c r="H86" s="4">
        <v>3.1</v>
      </c>
      <c r="I86" s="4">
        <v>1.34</v>
      </c>
      <c r="J86" s="4" t="s">
        <v>12269</v>
      </c>
      <c r="K86" s="4" t="s">
        <v>12271</v>
      </c>
      <c r="L86" s="41">
        <v>0.22461999999999999</v>
      </c>
      <c r="M86" s="4" t="b">
        <v>1</v>
      </c>
      <c r="N86" s="4" t="b">
        <v>1</v>
      </c>
      <c r="O86" s="4" t="b">
        <v>0</v>
      </c>
      <c r="P86" s="4"/>
      <c r="Q86" s="4" t="b">
        <v>1</v>
      </c>
    </row>
    <row r="87" spans="1:17" ht="13">
      <c r="A87" s="4" t="s">
        <v>12471</v>
      </c>
      <c r="B87" s="4" t="s">
        <v>4926</v>
      </c>
      <c r="C87" s="4" t="s">
        <v>12274</v>
      </c>
      <c r="D87" s="4" t="s">
        <v>41</v>
      </c>
      <c r="E87" s="4" t="s">
        <v>8</v>
      </c>
      <c r="F87" s="4" t="s">
        <v>5967</v>
      </c>
      <c r="G87" s="4" t="s">
        <v>5968</v>
      </c>
      <c r="H87" s="4">
        <v>2.7</v>
      </c>
      <c r="I87" s="4">
        <v>1.2</v>
      </c>
      <c r="J87" s="4" t="s">
        <v>12269</v>
      </c>
      <c r="K87" s="4" t="s">
        <v>12271</v>
      </c>
      <c r="L87" s="41">
        <v>0.19749</v>
      </c>
      <c r="M87" s="4" t="b">
        <v>1</v>
      </c>
      <c r="N87" s="4" t="b">
        <v>1</v>
      </c>
      <c r="O87" s="41" t="b">
        <v>0</v>
      </c>
      <c r="P87" s="41"/>
      <c r="Q87" s="41" t="b">
        <v>0</v>
      </c>
    </row>
    <row r="88" spans="1:17" ht="13">
      <c r="A88" s="4" t="s">
        <v>12472</v>
      </c>
      <c r="B88" s="4" t="s">
        <v>4926</v>
      </c>
      <c r="C88" s="4" t="s">
        <v>12274</v>
      </c>
      <c r="D88" s="4" t="s">
        <v>41</v>
      </c>
      <c r="E88" s="4" t="s">
        <v>8</v>
      </c>
      <c r="F88" s="4" t="s">
        <v>6200</v>
      </c>
      <c r="G88" s="4" t="s">
        <v>6201</v>
      </c>
      <c r="H88" s="4">
        <v>2.73</v>
      </c>
      <c r="I88" s="4">
        <v>1.36</v>
      </c>
      <c r="J88" s="4" t="s">
        <v>12269</v>
      </c>
      <c r="K88" s="4" t="s">
        <v>12271</v>
      </c>
      <c r="L88" s="41">
        <v>0.20604</v>
      </c>
      <c r="M88" s="4" t="b">
        <v>1</v>
      </c>
      <c r="N88" s="4" t="b">
        <v>1</v>
      </c>
      <c r="O88" s="4" t="b">
        <v>0</v>
      </c>
      <c r="P88" s="4"/>
      <c r="Q88" s="4" t="b">
        <v>0</v>
      </c>
    </row>
    <row r="89" spans="1:17" ht="13">
      <c r="A89" s="4" t="s">
        <v>12473</v>
      </c>
      <c r="B89" s="4" t="s">
        <v>4926</v>
      </c>
      <c r="C89" s="4" t="s">
        <v>12274</v>
      </c>
      <c r="D89" s="4" t="s">
        <v>41</v>
      </c>
      <c r="E89" s="4" t="s">
        <v>8</v>
      </c>
      <c r="F89" s="4" t="s">
        <v>5988</v>
      </c>
      <c r="G89" s="4" t="s">
        <v>5989</v>
      </c>
      <c r="H89" s="4">
        <v>2.8</v>
      </c>
      <c r="I89" s="4">
        <v>1.2</v>
      </c>
      <c r="J89" s="4" t="s">
        <v>12269</v>
      </c>
      <c r="K89" s="4" t="s">
        <v>12271</v>
      </c>
      <c r="L89" s="41">
        <v>0.20072999999999999</v>
      </c>
      <c r="M89" s="4" t="b">
        <v>1</v>
      </c>
      <c r="N89" s="4" t="b">
        <v>1</v>
      </c>
      <c r="O89" s="4" t="b">
        <v>0</v>
      </c>
      <c r="P89" s="4"/>
      <c r="Q89" s="4" t="b">
        <v>0</v>
      </c>
    </row>
    <row r="90" spans="1:17" ht="13">
      <c r="A90" s="4" t="s">
        <v>12474</v>
      </c>
      <c r="B90" s="4" t="s">
        <v>4926</v>
      </c>
      <c r="C90" s="4" t="s">
        <v>12274</v>
      </c>
      <c r="D90" s="4" t="s">
        <v>41</v>
      </c>
      <c r="E90" s="4" t="s">
        <v>9</v>
      </c>
      <c r="F90" s="4" t="s">
        <v>5640</v>
      </c>
      <c r="G90" s="4" t="s">
        <v>5641</v>
      </c>
      <c r="H90" s="4">
        <v>2.9</v>
      </c>
      <c r="I90" s="4">
        <v>1.2</v>
      </c>
      <c r="J90" s="4" t="s">
        <v>12269</v>
      </c>
      <c r="K90" s="4" t="s">
        <v>12271</v>
      </c>
      <c r="L90" s="41">
        <v>0.19269</v>
      </c>
      <c r="M90" s="4" t="b">
        <v>1</v>
      </c>
      <c r="N90" s="4" t="b">
        <v>1</v>
      </c>
      <c r="O90" s="4" t="b">
        <v>0</v>
      </c>
      <c r="P90" s="4"/>
      <c r="Q90" s="4" t="b">
        <v>0</v>
      </c>
    </row>
    <row r="91" spans="1:17" ht="13">
      <c r="A91" s="4" t="s">
        <v>12476</v>
      </c>
      <c r="B91" s="4" t="s">
        <v>4926</v>
      </c>
      <c r="C91" s="4" t="s">
        <v>12274</v>
      </c>
      <c r="D91" s="4" t="s">
        <v>41</v>
      </c>
      <c r="E91" s="4" t="s">
        <v>8</v>
      </c>
      <c r="F91" s="4" t="s">
        <v>6194</v>
      </c>
      <c r="G91" s="4" t="s">
        <v>6195</v>
      </c>
      <c r="H91" s="4">
        <v>2.5</v>
      </c>
      <c r="I91" s="4">
        <v>1.2</v>
      </c>
      <c r="J91" s="4" t="s">
        <v>12269</v>
      </c>
      <c r="K91" s="4" t="s">
        <v>12271</v>
      </c>
      <c r="L91" s="41">
        <v>0.22983999999999999</v>
      </c>
      <c r="M91" s="4" t="b">
        <v>1</v>
      </c>
      <c r="N91" s="4" t="b">
        <v>1</v>
      </c>
      <c r="O91" s="4" t="b">
        <v>0</v>
      </c>
      <c r="P91" s="4"/>
      <c r="Q91" s="4" t="b">
        <v>0</v>
      </c>
    </row>
    <row r="92" spans="1:17" ht="13">
      <c r="A92" s="4" t="s">
        <v>12478</v>
      </c>
      <c r="B92" s="4" t="s">
        <v>4926</v>
      </c>
      <c r="C92" s="4" t="s">
        <v>12274</v>
      </c>
      <c r="D92" s="4" t="s">
        <v>41</v>
      </c>
      <c r="E92" s="4" t="s">
        <v>8</v>
      </c>
      <c r="F92" s="4" t="s">
        <v>6197</v>
      </c>
      <c r="G92" s="4" t="s">
        <v>6198</v>
      </c>
      <c r="H92" s="4">
        <v>2.57</v>
      </c>
      <c r="I92" s="4">
        <v>1.2</v>
      </c>
      <c r="J92" s="4" t="s">
        <v>12269</v>
      </c>
      <c r="K92" s="4" t="s">
        <v>12271</v>
      </c>
      <c r="L92" s="41">
        <v>0.21723999999999999</v>
      </c>
      <c r="M92" s="4" t="b">
        <v>1</v>
      </c>
      <c r="N92" s="4" t="b">
        <v>1</v>
      </c>
      <c r="O92" s="4" t="b">
        <v>0</v>
      </c>
      <c r="P92" s="4"/>
      <c r="Q92" s="4" t="b">
        <v>0</v>
      </c>
    </row>
    <row r="93" spans="1:17" ht="13">
      <c r="A93" s="4" t="s">
        <v>12479</v>
      </c>
      <c r="B93" s="4" t="s">
        <v>4926</v>
      </c>
      <c r="C93" s="4" t="s">
        <v>12274</v>
      </c>
      <c r="D93" s="4" t="s">
        <v>41</v>
      </c>
      <c r="E93" s="4" t="s">
        <v>8</v>
      </c>
      <c r="F93" s="4" t="s">
        <v>6203</v>
      </c>
      <c r="G93" s="4" t="s">
        <v>6204</v>
      </c>
      <c r="H93" s="4">
        <v>2.6</v>
      </c>
      <c r="I93" s="4">
        <v>1.5</v>
      </c>
      <c r="J93" s="4" t="s">
        <v>12269</v>
      </c>
      <c r="K93" s="4" t="s">
        <v>12271</v>
      </c>
      <c r="L93" s="41">
        <v>0.26262999999999997</v>
      </c>
      <c r="M93" s="4" t="b">
        <v>1</v>
      </c>
      <c r="N93" s="4" t="b">
        <v>0</v>
      </c>
      <c r="O93" s="4" t="b">
        <v>0</v>
      </c>
      <c r="P93" s="4"/>
      <c r="Q93" s="4" t="b">
        <v>0</v>
      </c>
    </row>
    <row r="94" spans="1:17" ht="13">
      <c r="A94" s="4" t="s">
        <v>12480</v>
      </c>
      <c r="B94" s="4" t="s">
        <v>4926</v>
      </c>
      <c r="C94" s="4" t="s">
        <v>12274</v>
      </c>
      <c r="D94" s="4" t="s">
        <v>41</v>
      </c>
      <c r="E94" s="4" t="s">
        <v>8</v>
      </c>
      <c r="F94" s="4" t="s">
        <v>5958</v>
      </c>
      <c r="G94" s="4" t="s">
        <v>5959</v>
      </c>
      <c r="H94" s="4">
        <v>2.63</v>
      </c>
      <c r="I94" s="4">
        <v>1.2</v>
      </c>
      <c r="J94" s="4" t="s">
        <v>12269</v>
      </c>
      <c r="K94" s="4" t="s">
        <v>12271</v>
      </c>
      <c r="L94" s="41">
        <v>0.25661</v>
      </c>
      <c r="M94" s="4" t="b">
        <v>1</v>
      </c>
      <c r="N94" s="4" t="b">
        <v>0</v>
      </c>
      <c r="O94" s="4" t="b">
        <v>0</v>
      </c>
      <c r="P94" s="4"/>
      <c r="Q94" s="4" t="b">
        <v>0</v>
      </c>
    </row>
    <row r="95" spans="1:17" ht="13">
      <c r="A95" s="4" t="s">
        <v>12481</v>
      </c>
      <c r="B95" s="4" t="s">
        <v>4926</v>
      </c>
      <c r="C95" s="4" t="s">
        <v>12274</v>
      </c>
      <c r="D95" s="4" t="s">
        <v>41</v>
      </c>
      <c r="E95" s="4" t="s">
        <v>9</v>
      </c>
      <c r="F95" s="4" t="s">
        <v>5643</v>
      </c>
      <c r="G95" s="4" t="s">
        <v>12482</v>
      </c>
      <c r="H95" s="4">
        <v>2.95</v>
      </c>
      <c r="I95" s="4">
        <v>1.22</v>
      </c>
      <c r="J95" s="4" t="s">
        <v>12269</v>
      </c>
      <c r="K95" s="4" t="s">
        <v>12271</v>
      </c>
      <c r="L95" s="41">
        <v>0.22947999999999999</v>
      </c>
      <c r="M95" s="4" t="b">
        <v>1</v>
      </c>
      <c r="N95" s="4" t="b">
        <v>1</v>
      </c>
      <c r="O95" s="4" t="b">
        <v>0</v>
      </c>
      <c r="P95" s="4"/>
      <c r="Q95" s="4" t="b">
        <v>0</v>
      </c>
    </row>
    <row r="96" spans="1:17" ht="13">
      <c r="A96" s="4" t="s">
        <v>12485</v>
      </c>
      <c r="B96" s="4" t="s">
        <v>4926</v>
      </c>
      <c r="C96" s="4" t="s">
        <v>12274</v>
      </c>
      <c r="D96" s="4" t="s">
        <v>41</v>
      </c>
      <c r="E96" s="4" t="s">
        <v>9</v>
      </c>
      <c r="F96" s="4" t="s">
        <v>12486</v>
      </c>
      <c r="G96" s="4" t="s">
        <v>12487</v>
      </c>
      <c r="H96" s="4">
        <v>3.58</v>
      </c>
      <c r="I96" s="4">
        <v>1.28</v>
      </c>
      <c r="J96" s="4" t="s">
        <v>12269</v>
      </c>
      <c r="K96" s="4" t="s">
        <v>12271</v>
      </c>
      <c r="L96" s="41">
        <v>0.25708999999999999</v>
      </c>
      <c r="M96" s="4" t="b">
        <v>1</v>
      </c>
      <c r="N96" s="4" t="b">
        <v>0</v>
      </c>
      <c r="O96" s="4" t="b">
        <v>0</v>
      </c>
      <c r="P96" s="4"/>
      <c r="Q96" s="4" t="b">
        <v>0</v>
      </c>
    </row>
    <row r="97" spans="1:19" ht="13">
      <c r="A97" s="4" t="s">
        <v>12489</v>
      </c>
      <c r="B97" s="4" t="s">
        <v>4926</v>
      </c>
      <c r="C97" s="4" t="s">
        <v>12274</v>
      </c>
      <c r="D97" s="4" t="s">
        <v>41</v>
      </c>
      <c r="E97" s="4" t="s">
        <v>9</v>
      </c>
      <c r="F97" s="4" t="s">
        <v>5807</v>
      </c>
      <c r="G97" s="4" t="s">
        <v>5808</v>
      </c>
      <c r="H97" s="4">
        <v>3.68</v>
      </c>
      <c r="I97" s="4">
        <v>1.2</v>
      </c>
      <c r="J97" s="4" t="s">
        <v>12269</v>
      </c>
      <c r="K97" s="4" t="s">
        <v>12271</v>
      </c>
      <c r="L97" s="41">
        <v>0.28617999999999999</v>
      </c>
      <c r="M97" s="4" t="b">
        <v>1</v>
      </c>
      <c r="N97" s="4" t="b">
        <v>0</v>
      </c>
      <c r="O97" s="4" t="b">
        <v>0</v>
      </c>
      <c r="P97" s="4"/>
      <c r="Q97" s="4" t="b">
        <v>0</v>
      </c>
    </row>
    <row r="98" spans="1:19" ht="13">
      <c r="A98" s="4" t="s">
        <v>12490</v>
      </c>
      <c r="B98" s="4" t="s">
        <v>4926</v>
      </c>
      <c r="C98" s="4" t="s">
        <v>12274</v>
      </c>
      <c r="D98" s="4" t="s">
        <v>41</v>
      </c>
      <c r="E98" s="4" t="s">
        <v>9</v>
      </c>
      <c r="F98" s="4" t="s">
        <v>6123</v>
      </c>
      <c r="G98" s="4" t="s">
        <v>6124</v>
      </c>
      <c r="H98" s="4">
        <v>3.75</v>
      </c>
      <c r="I98" s="4">
        <v>1.2</v>
      </c>
      <c r="J98" s="4" t="s">
        <v>12269</v>
      </c>
      <c r="K98" s="4" t="s">
        <v>12271</v>
      </c>
      <c r="L98" s="41">
        <v>0.27578000000000003</v>
      </c>
      <c r="M98" s="4" t="b">
        <v>1</v>
      </c>
      <c r="N98" s="4" t="b">
        <v>0</v>
      </c>
      <c r="O98" s="4" t="b">
        <v>0</v>
      </c>
      <c r="P98" s="4"/>
      <c r="Q98" s="4" t="b">
        <v>0</v>
      </c>
    </row>
    <row r="99" spans="1:19" ht="13">
      <c r="A99" s="4" t="s">
        <v>12491</v>
      </c>
      <c r="B99" s="4" t="s">
        <v>4926</v>
      </c>
      <c r="C99" s="4" t="s">
        <v>12274</v>
      </c>
      <c r="D99" s="4" t="s">
        <v>41</v>
      </c>
      <c r="E99" s="4" t="s">
        <v>9</v>
      </c>
      <c r="F99" s="4" t="s">
        <v>5038</v>
      </c>
      <c r="G99" s="4" t="s">
        <v>758</v>
      </c>
      <c r="H99" s="4">
        <v>3.05</v>
      </c>
      <c r="I99" s="4">
        <v>1.3</v>
      </c>
      <c r="J99" s="4" t="s">
        <v>12269</v>
      </c>
      <c r="K99" s="4" t="s">
        <v>12271</v>
      </c>
      <c r="L99" s="41">
        <v>0.20100000000000001</v>
      </c>
      <c r="M99" s="4" t="b">
        <v>1</v>
      </c>
      <c r="N99" s="4" t="b">
        <v>1</v>
      </c>
      <c r="O99" s="4" t="b">
        <v>0</v>
      </c>
      <c r="P99" s="4"/>
      <c r="Q99" s="4" t="b">
        <v>1</v>
      </c>
    </row>
    <row r="100" spans="1:19" ht="13">
      <c r="A100" s="4" t="s">
        <v>322</v>
      </c>
      <c r="B100" s="4" t="s">
        <v>4926</v>
      </c>
      <c r="C100" s="4" t="s">
        <v>12274</v>
      </c>
      <c r="D100" s="4" t="s">
        <v>41</v>
      </c>
      <c r="E100" s="4" t="s">
        <v>9</v>
      </c>
      <c r="F100" s="4" t="s">
        <v>5409</v>
      </c>
      <c r="G100" s="4" t="s">
        <v>309</v>
      </c>
      <c r="H100" s="4">
        <v>3.1</v>
      </c>
      <c r="I100" s="4">
        <v>1.26</v>
      </c>
      <c r="J100" s="4" t="s">
        <v>12269</v>
      </c>
      <c r="K100" s="4" t="s">
        <v>12271</v>
      </c>
      <c r="L100" s="41">
        <v>0.21002999999999999</v>
      </c>
      <c r="M100" s="4" t="b">
        <v>1</v>
      </c>
      <c r="N100" s="4" t="b">
        <v>0</v>
      </c>
      <c r="O100" s="40" t="b">
        <v>1</v>
      </c>
      <c r="P100" s="40" t="s">
        <v>5087</v>
      </c>
      <c r="Q100" s="40" t="b">
        <v>0</v>
      </c>
    </row>
    <row r="101" spans="1:19" ht="13">
      <c r="A101" s="4" t="s">
        <v>12492</v>
      </c>
      <c r="B101" s="4" t="s">
        <v>4926</v>
      </c>
      <c r="C101" s="4" t="s">
        <v>12274</v>
      </c>
      <c r="D101" s="4" t="s">
        <v>41</v>
      </c>
      <c r="E101" s="4" t="s">
        <v>9</v>
      </c>
      <c r="F101" s="4" t="s">
        <v>5735</v>
      </c>
      <c r="G101" s="4" t="s">
        <v>5736</v>
      </c>
      <c r="H101" s="4">
        <v>3.15</v>
      </c>
      <c r="I101" s="4">
        <v>1.2010000000000001</v>
      </c>
      <c r="J101" s="4" t="s">
        <v>12269</v>
      </c>
      <c r="K101" s="4" t="s">
        <v>12271</v>
      </c>
      <c r="L101" s="41">
        <v>0.18682000000000001</v>
      </c>
      <c r="M101" s="4" t="b">
        <v>1</v>
      </c>
      <c r="N101" s="4" t="b">
        <v>1</v>
      </c>
      <c r="O101" s="4" t="b">
        <v>0</v>
      </c>
      <c r="P101" s="4"/>
      <c r="Q101" s="4" t="b">
        <v>0</v>
      </c>
    </row>
    <row r="102" spans="1:19" ht="13">
      <c r="A102" s="4" t="s">
        <v>12493</v>
      </c>
      <c r="B102" s="4" t="s">
        <v>4926</v>
      </c>
      <c r="C102" s="4" t="s">
        <v>12274</v>
      </c>
      <c r="D102" s="4" t="s">
        <v>41</v>
      </c>
      <c r="E102" s="4" t="s">
        <v>9</v>
      </c>
      <c r="F102" s="4" t="s">
        <v>5110</v>
      </c>
      <c r="G102" s="4" t="s">
        <v>741</v>
      </c>
      <c r="H102" s="4">
        <v>3.22</v>
      </c>
      <c r="I102" s="4">
        <v>1.2</v>
      </c>
      <c r="J102" s="4" t="s">
        <v>12269</v>
      </c>
      <c r="K102" s="4" t="s">
        <v>12271</v>
      </c>
      <c r="L102" s="41">
        <v>0.19484000000000001</v>
      </c>
      <c r="M102" s="4" t="b">
        <v>1</v>
      </c>
      <c r="N102" s="4" t="b">
        <v>1</v>
      </c>
      <c r="O102" s="41" t="b">
        <v>0</v>
      </c>
      <c r="P102" s="41"/>
      <c r="Q102" s="41" t="b">
        <v>1</v>
      </c>
    </row>
    <row r="103" spans="1:19" ht="13">
      <c r="A103" s="4" t="s">
        <v>12494</v>
      </c>
      <c r="B103" s="4" t="s">
        <v>4926</v>
      </c>
      <c r="C103" s="4" t="s">
        <v>12274</v>
      </c>
      <c r="D103" s="4" t="s">
        <v>41</v>
      </c>
      <c r="E103" s="4" t="s">
        <v>9</v>
      </c>
      <c r="F103" s="4" t="s">
        <v>5388</v>
      </c>
      <c r="G103" s="4" t="s">
        <v>5389</v>
      </c>
      <c r="H103" s="4">
        <v>3.27</v>
      </c>
      <c r="I103" s="4">
        <v>1.35</v>
      </c>
      <c r="J103" s="4" t="s">
        <v>12269</v>
      </c>
      <c r="K103" s="4" t="s">
        <v>12271</v>
      </c>
      <c r="L103" s="41">
        <v>0.19300999999999999</v>
      </c>
      <c r="M103" s="4" t="b">
        <v>1</v>
      </c>
      <c r="N103" s="4" t="b">
        <v>1</v>
      </c>
      <c r="O103" s="4" t="b">
        <v>0</v>
      </c>
      <c r="P103" s="4"/>
      <c r="Q103" s="4" t="b">
        <v>0</v>
      </c>
    </row>
    <row r="104" spans="1:19" ht="13">
      <c r="A104" s="4" t="s">
        <v>12495</v>
      </c>
      <c r="B104" s="4" t="s">
        <v>4926</v>
      </c>
      <c r="C104" s="4" t="s">
        <v>12274</v>
      </c>
      <c r="D104" s="4" t="s">
        <v>41</v>
      </c>
      <c r="E104" s="4" t="s">
        <v>9</v>
      </c>
      <c r="F104" s="4" t="s">
        <v>4928</v>
      </c>
      <c r="G104" s="4" t="s">
        <v>736</v>
      </c>
      <c r="H104" s="4">
        <v>3.32</v>
      </c>
      <c r="I104" s="4">
        <v>1.22</v>
      </c>
      <c r="J104" s="4" t="s">
        <v>12269</v>
      </c>
      <c r="K104" s="4" t="s">
        <v>12271</v>
      </c>
      <c r="L104" s="41">
        <v>0.20086000000000001</v>
      </c>
      <c r="M104" s="4" t="b">
        <v>1</v>
      </c>
      <c r="N104" s="4" t="b">
        <v>1</v>
      </c>
      <c r="O104" s="4" t="b">
        <v>0</v>
      </c>
      <c r="P104" s="4"/>
      <c r="Q104" s="4" t="b">
        <v>1</v>
      </c>
    </row>
    <row r="105" spans="1:19" ht="13">
      <c r="A105" s="4" t="s">
        <v>323</v>
      </c>
      <c r="B105" s="4" t="s">
        <v>4926</v>
      </c>
      <c r="C105" s="4" t="s">
        <v>12274</v>
      </c>
      <c r="D105" s="4" t="s">
        <v>41</v>
      </c>
      <c r="E105" s="4" t="s">
        <v>9</v>
      </c>
      <c r="F105" s="4" t="s">
        <v>5024</v>
      </c>
      <c r="G105" s="4" t="s">
        <v>310</v>
      </c>
      <c r="H105" s="4">
        <v>3.37</v>
      </c>
      <c r="I105" s="4">
        <v>1.52</v>
      </c>
      <c r="J105" s="4" t="s">
        <v>12269</v>
      </c>
      <c r="K105" s="4" t="s">
        <v>12271</v>
      </c>
      <c r="L105" s="41">
        <v>0.22519</v>
      </c>
      <c r="M105" s="4" t="b">
        <v>1</v>
      </c>
      <c r="N105" s="4" t="b">
        <v>0</v>
      </c>
      <c r="O105" s="40" t="b">
        <v>1</v>
      </c>
      <c r="P105" s="40" t="s">
        <v>4929</v>
      </c>
      <c r="Q105" s="40" t="b">
        <v>1</v>
      </c>
      <c r="R105" s="41" t="s">
        <v>4929</v>
      </c>
      <c r="S105" s="41" t="s">
        <v>852</v>
      </c>
    </row>
    <row r="106" spans="1:19" ht="13">
      <c r="A106" s="4" t="s">
        <v>12496</v>
      </c>
      <c r="B106" s="4" t="s">
        <v>4926</v>
      </c>
      <c r="C106" s="4" t="s">
        <v>12274</v>
      </c>
      <c r="D106" s="4" t="s">
        <v>41</v>
      </c>
      <c r="E106" s="4" t="s">
        <v>9</v>
      </c>
      <c r="F106" s="4" t="s">
        <v>5848</v>
      </c>
      <c r="G106" s="4" t="s">
        <v>5849</v>
      </c>
      <c r="H106" s="4">
        <v>3.77</v>
      </c>
      <c r="I106" s="4">
        <v>1.2</v>
      </c>
      <c r="J106" s="4" t="s">
        <v>12269</v>
      </c>
      <c r="K106" s="4" t="s">
        <v>12271</v>
      </c>
      <c r="L106" s="41">
        <v>0.27843000000000001</v>
      </c>
      <c r="M106" s="4" t="b">
        <v>1</v>
      </c>
      <c r="N106" s="4" t="b">
        <v>0</v>
      </c>
      <c r="O106" s="4" t="b">
        <v>0</v>
      </c>
      <c r="P106" s="4"/>
      <c r="Q106" s="4" t="b">
        <v>0</v>
      </c>
    </row>
    <row r="107" spans="1:19" ht="13">
      <c r="A107" s="4" t="s">
        <v>12498</v>
      </c>
      <c r="B107" s="4" t="s">
        <v>4926</v>
      </c>
      <c r="C107" s="4" t="s">
        <v>12274</v>
      </c>
      <c r="D107" s="4" t="s">
        <v>41</v>
      </c>
      <c r="E107" s="4" t="s">
        <v>9</v>
      </c>
      <c r="F107" s="4" t="s">
        <v>5444</v>
      </c>
      <c r="G107" s="4" t="s">
        <v>5445</v>
      </c>
      <c r="H107" s="4">
        <v>4.08</v>
      </c>
      <c r="I107" s="4">
        <v>1.2</v>
      </c>
      <c r="J107" s="4" t="s">
        <v>12269</v>
      </c>
      <c r="K107" s="4" t="s">
        <v>12271</v>
      </c>
      <c r="L107" s="41">
        <v>0.27609</v>
      </c>
      <c r="M107" s="4" t="b">
        <v>1</v>
      </c>
      <c r="N107" s="4" t="b">
        <v>0</v>
      </c>
      <c r="O107" s="4" t="b">
        <v>0</v>
      </c>
      <c r="P107" s="4"/>
      <c r="Q107" s="4" t="b">
        <v>0</v>
      </c>
    </row>
    <row r="108" spans="1:19" ht="13">
      <c r="A108" s="4" t="s">
        <v>12500</v>
      </c>
      <c r="B108" s="4" t="s">
        <v>4926</v>
      </c>
      <c r="C108" s="4" t="s">
        <v>12274</v>
      </c>
      <c r="D108" s="4" t="s">
        <v>41</v>
      </c>
      <c r="E108" s="4" t="s">
        <v>9</v>
      </c>
      <c r="F108" s="4" t="s">
        <v>5513</v>
      </c>
      <c r="G108" s="4" t="s">
        <v>5514</v>
      </c>
      <c r="H108" s="4">
        <v>3.83</v>
      </c>
      <c r="I108" s="4">
        <v>1.54</v>
      </c>
      <c r="J108" s="4" t="s">
        <v>12269</v>
      </c>
      <c r="K108" s="4" t="s">
        <v>12271</v>
      </c>
      <c r="L108" s="41">
        <v>0.23311999999999999</v>
      </c>
      <c r="M108" s="4" t="b">
        <v>1</v>
      </c>
      <c r="N108" s="4" t="b">
        <v>0</v>
      </c>
      <c r="O108" s="4" t="b">
        <v>0</v>
      </c>
      <c r="P108" s="4"/>
      <c r="Q108" s="4" t="b">
        <v>0</v>
      </c>
    </row>
    <row r="109" spans="1:19" ht="13">
      <c r="A109" s="4" t="s">
        <v>12501</v>
      </c>
      <c r="B109" s="4" t="s">
        <v>4926</v>
      </c>
      <c r="C109" s="4" t="s">
        <v>12274</v>
      </c>
      <c r="D109" s="4" t="s">
        <v>41</v>
      </c>
      <c r="E109" s="4" t="s">
        <v>9</v>
      </c>
      <c r="F109" s="4" t="s">
        <v>5524</v>
      </c>
      <c r="G109" s="4" t="s">
        <v>5525</v>
      </c>
      <c r="H109" s="4">
        <v>3.87</v>
      </c>
      <c r="I109" s="4">
        <v>1.27</v>
      </c>
      <c r="J109" s="4" t="s">
        <v>12269</v>
      </c>
      <c r="K109" s="4" t="s">
        <v>12271</v>
      </c>
      <c r="L109" s="41">
        <v>0.26429999999999998</v>
      </c>
      <c r="M109" s="4" t="b">
        <v>1</v>
      </c>
      <c r="N109" s="4" t="b">
        <v>0</v>
      </c>
      <c r="O109" s="4" t="b">
        <v>0</v>
      </c>
      <c r="P109" s="4"/>
      <c r="Q109" s="4" t="b">
        <v>0</v>
      </c>
    </row>
    <row r="110" spans="1:19" ht="13">
      <c r="A110" s="4" t="s">
        <v>12506</v>
      </c>
      <c r="B110" s="4" t="s">
        <v>4926</v>
      </c>
      <c r="C110" s="4" t="s">
        <v>12274</v>
      </c>
      <c r="D110" s="4" t="s">
        <v>41</v>
      </c>
      <c r="E110" s="4" t="s">
        <v>9</v>
      </c>
      <c r="F110" s="4" t="s">
        <v>5634</v>
      </c>
      <c r="G110" s="4" t="s">
        <v>5635</v>
      </c>
      <c r="H110" s="4">
        <v>4.32</v>
      </c>
      <c r="I110" s="4">
        <v>1.2</v>
      </c>
      <c r="J110" s="4" t="s">
        <v>12269</v>
      </c>
      <c r="K110" s="4" t="s">
        <v>12270</v>
      </c>
      <c r="L110" s="41">
        <v>0.21143000000000001</v>
      </c>
      <c r="M110" s="4" t="b">
        <v>1</v>
      </c>
      <c r="N110" s="4" t="b">
        <v>1</v>
      </c>
      <c r="O110" s="4" t="b">
        <v>0</v>
      </c>
      <c r="P110" s="4"/>
      <c r="Q110" s="4" t="b">
        <v>0</v>
      </c>
    </row>
    <row r="111" spans="1:19" ht="13">
      <c r="A111" s="4" t="s">
        <v>12507</v>
      </c>
      <c r="B111" s="4" t="s">
        <v>4926</v>
      </c>
      <c r="C111" s="4" t="s">
        <v>12274</v>
      </c>
      <c r="D111" s="4" t="s">
        <v>41</v>
      </c>
      <c r="E111" s="4" t="s">
        <v>9</v>
      </c>
      <c r="F111" s="4" t="s">
        <v>6230</v>
      </c>
      <c r="G111" s="4" t="s">
        <v>6231</v>
      </c>
      <c r="H111" s="4">
        <v>4.37</v>
      </c>
      <c r="I111" s="4">
        <v>1.28</v>
      </c>
      <c r="J111" s="4" t="s">
        <v>12269</v>
      </c>
      <c r="K111" s="4" t="s">
        <v>12271</v>
      </c>
      <c r="L111" s="41">
        <v>0.28140999999999999</v>
      </c>
      <c r="M111" s="4" t="b">
        <v>1</v>
      </c>
      <c r="N111" s="4" t="b">
        <v>0</v>
      </c>
      <c r="O111" s="4" t="b">
        <v>0</v>
      </c>
      <c r="P111" s="4"/>
      <c r="Q111" s="4" t="b">
        <v>0</v>
      </c>
    </row>
    <row r="112" spans="1:19" ht="13">
      <c r="A112" s="4" t="s">
        <v>12508</v>
      </c>
      <c r="B112" s="4" t="s">
        <v>4926</v>
      </c>
      <c r="C112" s="4" t="s">
        <v>12274</v>
      </c>
      <c r="D112" s="4" t="s">
        <v>41</v>
      </c>
      <c r="E112" s="4" t="s">
        <v>9</v>
      </c>
      <c r="F112" s="4" t="s">
        <v>6236</v>
      </c>
      <c r="G112" s="4" t="s">
        <v>6237</v>
      </c>
      <c r="H112" s="4">
        <v>4.5</v>
      </c>
      <c r="I112" s="4">
        <v>1.34</v>
      </c>
      <c r="J112" s="4" t="s">
        <v>12269</v>
      </c>
      <c r="K112" s="4" t="s">
        <v>12271</v>
      </c>
      <c r="L112" s="41">
        <v>0.27073999999999998</v>
      </c>
      <c r="M112" s="4" t="b">
        <v>1</v>
      </c>
      <c r="N112" s="4" t="b">
        <v>0</v>
      </c>
      <c r="O112" s="4" t="b">
        <v>0</v>
      </c>
      <c r="P112" s="4"/>
      <c r="Q112" s="4" t="b">
        <v>0</v>
      </c>
    </row>
    <row r="113" spans="1:17" ht="13">
      <c r="A113" s="4" t="s">
        <v>12510</v>
      </c>
      <c r="B113" s="4" t="s">
        <v>4926</v>
      </c>
      <c r="C113" s="4" t="s">
        <v>12274</v>
      </c>
      <c r="D113" s="4" t="s">
        <v>41</v>
      </c>
      <c r="E113" s="4" t="s">
        <v>9</v>
      </c>
      <c r="F113" s="4" t="s">
        <v>5358</v>
      </c>
      <c r="G113" s="4" t="s">
        <v>5359</v>
      </c>
      <c r="H113" s="4">
        <v>4.67</v>
      </c>
      <c r="I113" s="4">
        <v>1.3</v>
      </c>
      <c r="J113" s="4" t="s">
        <v>12269</v>
      </c>
      <c r="K113" s="4" t="s">
        <v>12271</v>
      </c>
      <c r="L113" s="41">
        <v>0.29883999999999999</v>
      </c>
      <c r="M113" s="4" t="b">
        <v>1</v>
      </c>
      <c r="N113" s="4" t="b">
        <v>0</v>
      </c>
      <c r="O113" s="4" t="b">
        <v>0</v>
      </c>
      <c r="P113" s="4"/>
      <c r="Q113" s="4" t="b">
        <v>0</v>
      </c>
    </row>
    <row r="114" spans="1:17" ht="13">
      <c r="A114" s="4" t="s">
        <v>12514</v>
      </c>
      <c r="B114" s="4" t="s">
        <v>4926</v>
      </c>
      <c r="C114" s="4" t="s">
        <v>12274</v>
      </c>
      <c r="D114" s="4" t="s">
        <v>41</v>
      </c>
      <c r="E114" s="4" t="s">
        <v>9</v>
      </c>
      <c r="F114" s="4" t="s">
        <v>5364</v>
      </c>
      <c r="G114" s="4" t="s">
        <v>5365</v>
      </c>
      <c r="H114" s="4">
        <v>4.8499999999999996</v>
      </c>
      <c r="I114" s="4">
        <v>1.25</v>
      </c>
      <c r="J114" s="4" t="s">
        <v>12269</v>
      </c>
      <c r="K114" s="4" t="s">
        <v>12270</v>
      </c>
      <c r="L114" s="41">
        <v>0.21181</v>
      </c>
      <c r="M114" s="4" t="b">
        <v>1</v>
      </c>
      <c r="N114" s="4" t="b">
        <v>1</v>
      </c>
      <c r="O114" s="4" t="b">
        <v>0</v>
      </c>
      <c r="P114" s="4"/>
      <c r="Q114" s="4" t="b">
        <v>0</v>
      </c>
    </row>
    <row r="115" spans="1:17" ht="13">
      <c r="A115" s="4" t="s">
        <v>12516</v>
      </c>
      <c r="B115" s="4" t="s">
        <v>4926</v>
      </c>
      <c r="C115" s="4" t="s">
        <v>12274</v>
      </c>
      <c r="D115" s="4" t="s">
        <v>41</v>
      </c>
      <c r="E115" s="4" t="s">
        <v>9</v>
      </c>
      <c r="F115" s="4" t="s">
        <v>12517</v>
      </c>
      <c r="G115" s="4" t="s">
        <v>12518</v>
      </c>
      <c r="H115" s="4">
        <v>4.93</v>
      </c>
      <c r="I115" s="4">
        <v>1.2</v>
      </c>
      <c r="J115" s="4" t="s">
        <v>12269</v>
      </c>
      <c r="K115" s="4" t="s">
        <v>12271</v>
      </c>
      <c r="L115" s="41">
        <v>0.27872999999999998</v>
      </c>
      <c r="M115" s="4" t="b">
        <v>1</v>
      </c>
      <c r="N115" s="4" t="b">
        <v>0</v>
      </c>
      <c r="O115" s="4" t="b">
        <v>0</v>
      </c>
      <c r="P115" s="4"/>
      <c r="Q115" s="4" t="b">
        <v>0</v>
      </c>
    </row>
    <row r="116" spans="1:17" ht="13">
      <c r="A116" s="4" t="s">
        <v>12519</v>
      </c>
      <c r="B116" s="4" t="s">
        <v>4926</v>
      </c>
      <c r="C116" s="4" t="s">
        <v>12274</v>
      </c>
      <c r="D116" s="4" t="s">
        <v>41</v>
      </c>
      <c r="E116" s="4" t="s">
        <v>9</v>
      </c>
      <c r="F116" s="4" t="s">
        <v>5655</v>
      </c>
      <c r="G116" s="4" t="s">
        <v>5656</v>
      </c>
      <c r="H116" s="4">
        <v>4.9800000000000004</v>
      </c>
      <c r="I116" s="4">
        <v>1.52</v>
      </c>
      <c r="J116" s="4" t="s">
        <v>12269</v>
      </c>
      <c r="K116" s="4" t="s">
        <v>12271</v>
      </c>
      <c r="L116" s="41">
        <v>0.24595</v>
      </c>
      <c r="M116" s="4" t="b">
        <v>1</v>
      </c>
      <c r="N116" s="4" t="b">
        <v>0</v>
      </c>
      <c r="O116" s="41" t="b">
        <v>0</v>
      </c>
      <c r="P116" s="41"/>
      <c r="Q116" s="41" t="b">
        <v>0</v>
      </c>
    </row>
    <row r="117" spans="1:17" ht="13">
      <c r="A117" s="4" t="s">
        <v>12520</v>
      </c>
      <c r="B117" s="4" t="s">
        <v>4926</v>
      </c>
      <c r="C117" s="4" t="s">
        <v>12274</v>
      </c>
      <c r="D117" s="4" t="s">
        <v>41</v>
      </c>
      <c r="E117" s="4" t="s">
        <v>9</v>
      </c>
      <c r="F117" s="4" t="s">
        <v>4949</v>
      </c>
      <c r="G117" s="4" t="s">
        <v>713</v>
      </c>
      <c r="H117" s="4">
        <v>5.22</v>
      </c>
      <c r="I117" s="4">
        <v>1.53</v>
      </c>
      <c r="J117" s="4" t="s">
        <v>12269</v>
      </c>
      <c r="K117" s="4" t="s">
        <v>12271</v>
      </c>
      <c r="L117" s="41">
        <v>0.34320000000000001</v>
      </c>
      <c r="M117" s="4" t="b">
        <v>1</v>
      </c>
      <c r="N117" s="4" t="b">
        <v>0</v>
      </c>
      <c r="O117" s="41" t="b">
        <v>0</v>
      </c>
      <c r="P117" s="41"/>
      <c r="Q117" s="41" t="b">
        <v>1</v>
      </c>
    </row>
    <row r="118" spans="1:17" ht="13">
      <c r="A118" s="4" t="s">
        <v>12521</v>
      </c>
      <c r="B118" s="4" t="s">
        <v>4926</v>
      </c>
      <c r="C118" s="4" t="s">
        <v>12274</v>
      </c>
      <c r="D118" s="4" t="s">
        <v>41</v>
      </c>
      <c r="E118" s="4" t="s">
        <v>9</v>
      </c>
      <c r="F118" s="4" t="s">
        <v>5116</v>
      </c>
      <c r="G118" s="4" t="s">
        <v>756</v>
      </c>
      <c r="H118" s="4">
        <v>5.25</v>
      </c>
      <c r="I118" s="4">
        <v>1.33</v>
      </c>
      <c r="J118" s="4" t="s">
        <v>12269</v>
      </c>
      <c r="K118" s="4" t="s">
        <v>12270</v>
      </c>
      <c r="L118" s="41">
        <v>0.21647</v>
      </c>
      <c r="M118" s="4" t="b">
        <v>1</v>
      </c>
      <c r="N118" s="4" t="b">
        <v>0</v>
      </c>
      <c r="O118" s="4" t="b">
        <v>0</v>
      </c>
      <c r="P118" s="4"/>
      <c r="Q118" s="4" t="b">
        <v>1</v>
      </c>
    </row>
    <row r="119" spans="1:17" ht="13">
      <c r="A119" s="4" t="s">
        <v>12523</v>
      </c>
      <c r="B119" s="4" t="s">
        <v>4926</v>
      </c>
      <c r="C119" s="4" t="s">
        <v>12274</v>
      </c>
      <c r="D119" s="4" t="s">
        <v>41</v>
      </c>
      <c r="E119" s="4" t="s">
        <v>9</v>
      </c>
      <c r="F119" s="4" t="s">
        <v>5765</v>
      </c>
      <c r="G119" s="4" t="s">
        <v>5766</v>
      </c>
      <c r="H119" s="4">
        <v>5.32</v>
      </c>
      <c r="I119" s="4">
        <v>1.24</v>
      </c>
      <c r="J119" s="4" t="s">
        <v>12269</v>
      </c>
      <c r="K119" s="4" t="s">
        <v>12270</v>
      </c>
      <c r="L119" s="41">
        <v>0.21278</v>
      </c>
      <c r="M119" s="4" t="b">
        <v>1</v>
      </c>
      <c r="N119" s="4" t="b">
        <v>1</v>
      </c>
      <c r="O119" s="4" t="b">
        <v>0</v>
      </c>
      <c r="P119" s="4"/>
      <c r="Q119" s="4" t="b">
        <v>0</v>
      </c>
    </row>
    <row r="120" spans="1:17" ht="13">
      <c r="A120" s="4" t="s">
        <v>12524</v>
      </c>
      <c r="B120" s="4" t="s">
        <v>4926</v>
      </c>
      <c r="C120" s="4" t="s">
        <v>12274</v>
      </c>
      <c r="D120" s="4" t="s">
        <v>41</v>
      </c>
      <c r="E120" s="4" t="s">
        <v>9</v>
      </c>
      <c r="F120" s="4" t="s">
        <v>5102</v>
      </c>
      <c r="G120" s="4" t="s">
        <v>714</v>
      </c>
      <c r="H120" s="4">
        <v>5.35</v>
      </c>
      <c r="I120" s="4">
        <v>1.034</v>
      </c>
      <c r="J120" s="4" t="s">
        <v>12269</v>
      </c>
      <c r="K120" s="4" t="s">
        <v>12273</v>
      </c>
      <c r="L120" s="41">
        <v>0.14563000000000001</v>
      </c>
      <c r="M120" s="4" t="b">
        <v>1</v>
      </c>
      <c r="N120" s="4" t="b">
        <v>1</v>
      </c>
      <c r="O120" s="4" t="b">
        <v>0</v>
      </c>
      <c r="P120" s="4"/>
      <c r="Q120" s="4" t="b">
        <v>1</v>
      </c>
    </row>
    <row r="121" spans="1:17" ht="13">
      <c r="A121" s="4" t="s">
        <v>12525</v>
      </c>
      <c r="B121" s="4" t="s">
        <v>4926</v>
      </c>
      <c r="C121" s="4" t="s">
        <v>12274</v>
      </c>
      <c r="D121" s="4" t="s">
        <v>41</v>
      </c>
      <c r="E121" s="4" t="s">
        <v>9</v>
      </c>
      <c r="F121" s="4" t="s">
        <v>5037</v>
      </c>
      <c r="G121" s="4" t="s">
        <v>757</v>
      </c>
      <c r="H121" s="4">
        <v>5.38</v>
      </c>
      <c r="I121" s="4">
        <v>1.37</v>
      </c>
      <c r="J121" s="4" t="s">
        <v>12269</v>
      </c>
      <c r="K121" s="4" t="s">
        <v>12273</v>
      </c>
      <c r="L121" s="41">
        <v>0.20436000000000001</v>
      </c>
      <c r="M121" s="4" t="b">
        <v>1</v>
      </c>
      <c r="N121" s="4" t="b">
        <v>0</v>
      </c>
      <c r="O121" s="4" t="b">
        <v>0</v>
      </c>
      <c r="P121" s="4"/>
      <c r="Q121" s="4" t="b">
        <v>1</v>
      </c>
    </row>
    <row r="122" spans="1:17" ht="13">
      <c r="A122" s="4" t="s">
        <v>12526</v>
      </c>
      <c r="B122" s="4" t="s">
        <v>4926</v>
      </c>
      <c r="C122" s="4" t="s">
        <v>12274</v>
      </c>
      <c r="D122" s="4" t="s">
        <v>41</v>
      </c>
      <c r="E122" s="4" t="s">
        <v>9</v>
      </c>
      <c r="F122" s="4" t="s">
        <v>5039</v>
      </c>
      <c r="G122" s="4" t="s">
        <v>759</v>
      </c>
      <c r="H122" s="4">
        <v>5.45</v>
      </c>
      <c r="I122" s="4">
        <v>1.71</v>
      </c>
      <c r="J122" s="4" t="s">
        <v>12269</v>
      </c>
      <c r="K122" s="4" t="s">
        <v>12271</v>
      </c>
      <c r="L122" s="41">
        <v>0.27857999999999999</v>
      </c>
      <c r="M122" s="4" t="b">
        <v>1</v>
      </c>
      <c r="N122" s="4" t="b">
        <v>0</v>
      </c>
      <c r="O122" s="41" t="b">
        <v>0</v>
      </c>
      <c r="P122" s="41"/>
      <c r="Q122" s="41" t="b">
        <v>1</v>
      </c>
    </row>
    <row r="123" spans="1:17" ht="13">
      <c r="A123" s="4" t="s">
        <v>12528</v>
      </c>
      <c r="B123" s="4" t="s">
        <v>4926</v>
      </c>
      <c r="C123" s="4" t="s">
        <v>12274</v>
      </c>
      <c r="D123" s="4" t="s">
        <v>41</v>
      </c>
      <c r="E123" s="4" t="s">
        <v>9</v>
      </c>
      <c r="F123" s="4" t="s">
        <v>5771</v>
      </c>
      <c r="G123" s="4" t="s">
        <v>5772</v>
      </c>
      <c r="H123" s="4">
        <v>5.5</v>
      </c>
      <c r="I123" s="4">
        <v>1.0409999999999999</v>
      </c>
      <c r="J123" s="4" t="s">
        <v>12269</v>
      </c>
      <c r="K123" s="4" t="s">
        <v>12273</v>
      </c>
      <c r="L123" s="41">
        <v>0.15201000000000001</v>
      </c>
      <c r="M123" s="4" t="b">
        <v>1</v>
      </c>
      <c r="N123" s="4" t="b">
        <v>1</v>
      </c>
      <c r="O123" s="4" t="b">
        <v>0</v>
      </c>
      <c r="P123" s="4"/>
      <c r="Q123" s="4" t="b">
        <v>0</v>
      </c>
    </row>
    <row r="124" spans="1:17" ht="13">
      <c r="A124" s="4" t="s">
        <v>12529</v>
      </c>
      <c r="B124" s="4" t="s">
        <v>4926</v>
      </c>
      <c r="C124" s="4" t="s">
        <v>12274</v>
      </c>
      <c r="D124" s="4" t="s">
        <v>41</v>
      </c>
      <c r="E124" s="4" t="s">
        <v>9</v>
      </c>
      <c r="F124" s="4" t="s">
        <v>5774</v>
      </c>
      <c r="G124" s="4" t="s">
        <v>5775</v>
      </c>
      <c r="H124" s="4">
        <v>5.53</v>
      </c>
      <c r="I124" s="4">
        <v>1.5</v>
      </c>
      <c r="J124" s="4" t="s">
        <v>12269</v>
      </c>
      <c r="K124" s="4" t="s">
        <v>12271</v>
      </c>
      <c r="L124" s="41">
        <v>0.28693000000000002</v>
      </c>
      <c r="M124" s="4" t="b">
        <v>1</v>
      </c>
      <c r="N124" s="4" t="b">
        <v>0</v>
      </c>
      <c r="O124" s="41" t="b">
        <v>0</v>
      </c>
      <c r="P124" s="41"/>
      <c r="Q124" s="41" t="b">
        <v>0</v>
      </c>
    </row>
    <row r="125" spans="1:17" ht="13">
      <c r="A125" s="4" t="s">
        <v>12530</v>
      </c>
      <c r="B125" s="4" t="s">
        <v>4926</v>
      </c>
      <c r="C125" s="4" t="s">
        <v>12274</v>
      </c>
      <c r="D125" s="4" t="s">
        <v>41</v>
      </c>
      <c r="E125" s="4" t="s">
        <v>9</v>
      </c>
      <c r="F125" s="4" t="s">
        <v>5040</v>
      </c>
      <c r="G125" s="4" t="s">
        <v>760</v>
      </c>
      <c r="H125" s="4">
        <v>5.57</v>
      </c>
      <c r="I125" s="4">
        <v>1.74</v>
      </c>
      <c r="J125" s="4" t="s">
        <v>12269</v>
      </c>
      <c r="K125" s="4" t="s">
        <v>12271</v>
      </c>
      <c r="L125" s="41">
        <v>0.35374</v>
      </c>
      <c r="M125" s="4" t="b">
        <v>1</v>
      </c>
      <c r="N125" s="4" t="b">
        <v>0</v>
      </c>
      <c r="O125" s="4" t="b">
        <v>0</v>
      </c>
      <c r="P125" s="4"/>
      <c r="Q125" s="4" t="b">
        <v>1</v>
      </c>
    </row>
    <row r="126" spans="1:17" ht="13">
      <c r="A126" s="4" t="s">
        <v>12531</v>
      </c>
      <c r="B126" s="4" t="s">
        <v>4926</v>
      </c>
      <c r="C126" s="4" t="s">
        <v>12274</v>
      </c>
      <c r="D126" s="4" t="s">
        <v>41</v>
      </c>
      <c r="E126" s="4" t="s">
        <v>9</v>
      </c>
      <c r="F126" s="4" t="s">
        <v>5777</v>
      </c>
      <c r="G126" s="4" t="s">
        <v>5778</v>
      </c>
      <c r="H126" s="4">
        <v>5.6</v>
      </c>
      <c r="I126" s="4">
        <v>1.74</v>
      </c>
      <c r="J126" s="4" t="s">
        <v>12269</v>
      </c>
      <c r="K126" s="4" t="s">
        <v>12271</v>
      </c>
      <c r="L126" s="41">
        <v>0.32332</v>
      </c>
      <c r="M126" s="4" t="b">
        <v>1</v>
      </c>
      <c r="N126" s="4" t="b">
        <v>0</v>
      </c>
      <c r="O126" s="4" t="b">
        <v>0</v>
      </c>
      <c r="P126" s="4"/>
      <c r="Q126" s="4" t="b">
        <v>0</v>
      </c>
    </row>
    <row r="127" spans="1:17" ht="13">
      <c r="A127" s="4" t="s">
        <v>12532</v>
      </c>
      <c r="B127" s="4" t="s">
        <v>4926</v>
      </c>
      <c r="C127" s="4" t="s">
        <v>12274</v>
      </c>
      <c r="D127" s="4" t="s">
        <v>41</v>
      </c>
      <c r="E127" s="4" t="s">
        <v>9</v>
      </c>
      <c r="F127" s="4" t="s">
        <v>5117</v>
      </c>
      <c r="G127" s="4" t="s">
        <v>761</v>
      </c>
      <c r="H127" s="4">
        <v>5.63</v>
      </c>
      <c r="I127" s="4">
        <v>1.39</v>
      </c>
      <c r="J127" s="4" t="s">
        <v>12269</v>
      </c>
      <c r="K127" s="4" t="s">
        <v>12271</v>
      </c>
      <c r="L127" s="41">
        <v>0.28732999999999997</v>
      </c>
      <c r="M127" s="4" t="b">
        <v>1</v>
      </c>
      <c r="N127" s="4" t="b">
        <v>0</v>
      </c>
      <c r="O127" s="4" t="b">
        <v>0</v>
      </c>
      <c r="P127" s="4"/>
      <c r="Q127" s="4" t="b">
        <v>1</v>
      </c>
    </row>
    <row r="128" spans="1:17" ht="13">
      <c r="A128" s="4" t="s">
        <v>12533</v>
      </c>
      <c r="B128" s="4" t="s">
        <v>4926</v>
      </c>
      <c r="C128" s="4" t="s">
        <v>12274</v>
      </c>
      <c r="D128" s="4" t="s">
        <v>41</v>
      </c>
      <c r="E128" s="4" t="s">
        <v>9</v>
      </c>
      <c r="F128" s="4" t="s">
        <v>5780</v>
      </c>
      <c r="G128" s="4" t="s">
        <v>5781</v>
      </c>
      <c r="H128" s="4">
        <v>5.67</v>
      </c>
      <c r="I128" s="4">
        <v>1.54</v>
      </c>
      <c r="J128" s="4" t="s">
        <v>12269</v>
      </c>
      <c r="K128" s="4" t="s">
        <v>12270</v>
      </c>
      <c r="L128" s="41">
        <v>0.21848999999999999</v>
      </c>
      <c r="M128" s="4" t="b">
        <v>1</v>
      </c>
      <c r="N128" s="4" t="b">
        <v>0</v>
      </c>
      <c r="O128" s="4" t="b">
        <v>0</v>
      </c>
      <c r="P128" s="4"/>
      <c r="Q128" s="4" t="b">
        <v>0</v>
      </c>
    </row>
    <row r="129" spans="1:19" ht="13">
      <c r="A129" s="4" t="s">
        <v>12534</v>
      </c>
      <c r="B129" s="4" t="s">
        <v>4926</v>
      </c>
      <c r="C129" s="4" t="s">
        <v>12274</v>
      </c>
      <c r="D129" s="4" t="s">
        <v>41</v>
      </c>
      <c r="E129" s="4" t="s">
        <v>9</v>
      </c>
      <c r="F129" s="4" t="s">
        <v>5783</v>
      </c>
      <c r="G129" s="4" t="s">
        <v>5784</v>
      </c>
      <c r="H129" s="4">
        <v>5.7</v>
      </c>
      <c r="I129" s="4">
        <v>1.08</v>
      </c>
      <c r="J129" s="4" t="s">
        <v>12269</v>
      </c>
      <c r="K129" s="4" t="s">
        <v>12270</v>
      </c>
      <c r="L129" s="41">
        <v>0.19064</v>
      </c>
      <c r="M129" s="4" t="b">
        <v>1</v>
      </c>
      <c r="N129" s="4" t="b">
        <v>1</v>
      </c>
      <c r="O129" s="4" t="b">
        <v>0</v>
      </c>
      <c r="P129" s="4"/>
      <c r="Q129" s="4" t="b">
        <v>0</v>
      </c>
    </row>
    <row r="130" spans="1:19" ht="13">
      <c r="A130" s="4" t="s">
        <v>12535</v>
      </c>
      <c r="B130" s="4" t="s">
        <v>4926</v>
      </c>
      <c r="C130" s="4" t="s">
        <v>12274</v>
      </c>
      <c r="D130" s="4" t="s">
        <v>41</v>
      </c>
      <c r="E130" s="4" t="s">
        <v>9</v>
      </c>
      <c r="F130" s="4" t="s">
        <v>5053</v>
      </c>
      <c r="G130" s="4" t="s">
        <v>791</v>
      </c>
      <c r="H130" s="4">
        <v>4.8499999999999996</v>
      </c>
      <c r="I130" s="4">
        <v>1.04</v>
      </c>
      <c r="J130" s="4" t="s">
        <v>12269</v>
      </c>
      <c r="K130" s="4" t="s">
        <v>12273</v>
      </c>
      <c r="L130" s="41">
        <v>0.22333</v>
      </c>
      <c r="M130" s="4" t="b">
        <v>1</v>
      </c>
      <c r="N130" s="4" t="b">
        <v>1</v>
      </c>
      <c r="O130" s="4" t="b">
        <v>0</v>
      </c>
      <c r="P130" s="4"/>
      <c r="Q130" s="4" t="b">
        <v>1</v>
      </c>
    </row>
    <row r="131" spans="1:19" ht="13">
      <c r="A131" s="4" t="s">
        <v>12536</v>
      </c>
      <c r="B131" s="4" t="s">
        <v>4926</v>
      </c>
      <c r="C131" s="4" t="s">
        <v>12274</v>
      </c>
      <c r="D131" s="4" t="s">
        <v>41</v>
      </c>
      <c r="E131" s="4" t="s">
        <v>9</v>
      </c>
      <c r="F131" s="4" t="s">
        <v>5744</v>
      </c>
      <c r="G131" s="4" t="s">
        <v>5745</v>
      </c>
      <c r="H131" s="4">
        <v>4.87</v>
      </c>
      <c r="I131" s="4">
        <v>1.0409999999999999</v>
      </c>
      <c r="J131" s="4" t="s">
        <v>12269</v>
      </c>
      <c r="K131" s="4" t="s">
        <v>12273</v>
      </c>
      <c r="L131" s="41">
        <v>0.14940999999999999</v>
      </c>
      <c r="M131" s="4" t="b">
        <v>1</v>
      </c>
      <c r="N131" s="4" t="b">
        <v>1</v>
      </c>
      <c r="O131" s="4" t="b">
        <v>0</v>
      </c>
      <c r="P131" s="4"/>
      <c r="Q131" s="4" t="b">
        <v>0</v>
      </c>
    </row>
    <row r="132" spans="1:19" ht="13">
      <c r="A132" s="4" t="s">
        <v>12538</v>
      </c>
      <c r="B132" s="4" t="s">
        <v>4926</v>
      </c>
      <c r="C132" s="4" t="s">
        <v>12274</v>
      </c>
      <c r="D132" s="4" t="s">
        <v>41</v>
      </c>
      <c r="E132" s="4" t="s">
        <v>9</v>
      </c>
      <c r="F132" s="4" t="s">
        <v>5747</v>
      </c>
      <c r="G132" s="4" t="s">
        <v>5748</v>
      </c>
      <c r="H132" s="4">
        <v>4.92</v>
      </c>
      <c r="I132" s="4">
        <v>1.64</v>
      </c>
      <c r="J132" s="4" t="s">
        <v>12269</v>
      </c>
      <c r="K132" s="4" t="s">
        <v>12270</v>
      </c>
      <c r="L132" s="41">
        <v>0.22781000000000001</v>
      </c>
      <c r="M132" s="4" t="b">
        <v>1</v>
      </c>
      <c r="N132" s="4" t="b">
        <v>0</v>
      </c>
      <c r="O132" s="4" t="b">
        <v>0</v>
      </c>
      <c r="P132" s="4"/>
      <c r="Q132" s="4" t="b">
        <v>0</v>
      </c>
    </row>
    <row r="133" spans="1:19" ht="13">
      <c r="A133" s="4" t="s">
        <v>324</v>
      </c>
      <c r="B133" s="4" t="s">
        <v>4926</v>
      </c>
      <c r="C133" s="4" t="s">
        <v>12274</v>
      </c>
      <c r="D133" s="4" t="s">
        <v>41</v>
      </c>
      <c r="E133" s="4" t="s">
        <v>9</v>
      </c>
      <c r="F133" s="4" t="s">
        <v>5035</v>
      </c>
      <c r="G133" s="4" t="s">
        <v>311</v>
      </c>
      <c r="H133" s="4">
        <v>4.93</v>
      </c>
      <c r="I133" s="4">
        <v>1.04</v>
      </c>
      <c r="J133" s="4" t="s">
        <v>12269</v>
      </c>
      <c r="K133" s="4" t="s">
        <v>12273</v>
      </c>
      <c r="L133" s="41">
        <v>0.15448999999999999</v>
      </c>
      <c r="M133" s="4" t="b">
        <v>1</v>
      </c>
      <c r="N133" s="4" t="b">
        <v>0</v>
      </c>
      <c r="O133" s="40" t="b">
        <v>1</v>
      </c>
      <c r="P133" s="40" t="s">
        <v>4929</v>
      </c>
      <c r="Q133" s="40" t="b">
        <v>1</v>
      </c>
      <c r="R133" s="41" t="s">
        <v>4929</v>
      </c>
      <c r="S133" s="41" t="s">
        <v>873</v>
      </c>
    </row>
    <row r="134" spans="1:19" ht="13">
      <c r="A134" s="4" t="s">
        <v>12539</v>
      </c>
      <c r="B134" s="4" t="s">
        <v>4926</v>
      </c>
      <c r="C134" s="4" t="s">
        <v>12274</v>
      </c>
      <c r="D134" s="4" t="s">
        <v>41</v>
      </c>
      <c r="E134" s="4" t="s">
        <v>9</v>
      </c>
      <c r="F134" s="4" t="s">
        <v>5750</v>
      </c>
      <c r="G134" s="4" t="s">
        <v>5751</v>
      </c>
      <c r="H134" s="4">
        <v>4.97</v>
      </c>
      <c r="I134" s="4">
        <v>1.0349999999999999</v>
      </c>
      <c r="J134" s="4" t="s">
        <v>12269</v>
      </c>
      <c r="K134" s="4" t="s">
        <v>12273</v>
      </c>
      <c r="L134" s="41">
        <v>0.15107999999999999</v>
      </c>
      <c r="M134" s="4" t="b">
        <v>1</v>
      </c>
      <c r="N134" s="4" t="b">
        <v>1</v>
      </c>
      <c r="O134" s="4" t="b">
        <v>0</v>
      </c>
      <c r="P134" s="4"/>
      <c r="Q134" s="4" t="b">
        <v>0</v>
      </c>
    </row>
    <row r="135" spans="1:19" ht="13">
      <c r="A135" s="4" t="s">
        <v>12542</v>
      </c>
      <c r="B135" s="4" t="s">
        <v>4926</v>
      </c>
      <c r="C135" s="4" t="s">
        <v>12274</v>
      </c>
      <c r="D135" s="4" t="s">
        <v>41</v>
      </c>
      <c r="E135" s="4" t="s">
        <v>9</v>
      </c>
      <c r="F135" s="4" t="s">
        <v>5414</v>
      </c>
      <c r="G135" s="4" t="s">
        <v>5415</v>
      </c>
      <c r="H135" s="4">
        <v>5.03</v>
      </c>
      <c r="I135" s="4">
        <v>1.27</v>
      </c>
      <c r="J135" s="4" t="s">
        <v>12269</v>
      </c>
      <c r="K135" s="4" t="s">
        <v>12270</v>
      </c>
      <c r="L135" s="41">
        <v>0.20888999999999999</v>
      </c>
      <c r="M135" s="4" t="b">
        <v>1</v>
      </c>
      <c r="N135" s="4" t="b">
        <v>1</v>
      </c>
      <c r="O135" s="4" t="b">
        <v>0</v>
      </c>
      <c r="P135" s="4"/>
      <c r="Q135" s="4" t="b">
        <v>0</v>
      </c>
    </row>
    <row r="136" spans="1:19" ht="13">
      <c r="A136" s="4" t="s">
        <v>12544</v>
      </c>
      <c r="B136" s="4" t="s">
        <v>4926</v>
      </c>
      <c r="C136" s="4" t="s">
        <v>12274</v>
      </c>
      <c r="D136" s="4" t="s">
        <v>41</v>
      </c>
      <c r="E136" s="4" t="s">
        <v>9</v>
      </c>
      <c r="F136" s="4" t="s">
        <v>5417</v>
      </c>
      <c r="G136" s="4" t="s">
        <v>5418</v>
      </c>
      <c r="H136" s="4">
        <v>5.08</v>
      </c>
      <c r="I136" s="4">
        <v>1.034</v>
      </c>
      <c r="J136" s="4" t="s">
        <v>12269</v>
      </c>
      <c r="K136" s="4" t="s">
        <v>12273</v>
      </c>
      <c r="L136" s="41">
        <v>0.15540000000000001</v>
      </c>
      <c r="M136" s="4" t="b">
        <v>1</v>
      </c>
      <c r="N136" s="4" t="b">
        <v>1</v>
      </c>
      <c r="O136" s="4" t="b">
        <v>0</v>
      </c>
      <c r="P136" s="4"/>
      <c r="Q136" s="4" t="b">
        <v>0</v>
      </c>
    </row>
    <row r="137" spans="1:19" ht="13">
      <c r="A137" s="4" t="s">
        <v>12546</v>
      </c>
      <c r="B137" s="4" t="s">
        <v>4926</v>
      </c>
      <c r="C137" s="4" t="s">
        <v>12274</v>
      </c>
      <c r="D137" s="4" t="s">
        <v>41</v>
      </c>
      <c r="E137" s="4" t="s">
        <v>9</v>
      </c>
      <c r="F137" s="4" t="s">
        <v>5420</v>
      </c>
      <c r="G137" s="4" t="s">
        <v>5421</v>
      </c>
      <c r="H137" s="4">
        <v>5.12</v>
      </c>
      <c r="I137" s="4">
        <v>1.04</v>
      </c>
      <c r="J137" s="4" t="s">
        <v>12269</v>
      </c>
      <c r="K137" s="4" t="s">
        <v>12273</v>
      </c>
      <c r="L137" s="41">
        <v>0.15515999999999999</v>
      </c>
      <c r="M137" s="4" t="b">
        <v>1</v>
      </c>
      <c r="N137" s="4" t="b">
        <v>1</v>
      </c>
      <c r="O137" s="4" t="b">
        <v>0</v>
      </c>
      <c r="P137" s="4"/>
      <c r="Q137" s="4" t="b">
        <v>0</v>
      </c>
    </row>
    <row r="138" spans="1:19" ht="13">
      <c r="A138" s="4" t="s">
        <v>12547</v>
      </c>
      <c r="B138" s="4" t="s">
        <v>4926</v>
      </c>
      <c r="C138" s="4" t="s">
        <v>12274</v>
      </c>
      <c r="D138" s="4" t="s">
        <v>41</v>
      </c>
      <c r="E138" s="4" t="s">
        <v>9</v>
      </c>
      <c r="F138" s="4" t="s">
        <v>5036</v>
      </c>
      <c r="G138" s="4" t="s">
        <v>755</v>
      </c>
      <c r="H138" s="4">
        <v>5.15</v>
      </c>
      <c r="I138" s="4">
        <v>1.04</v>
      </c>
      <c r="J138" s="4" t="s">
        <v>12269</v>
      </c>
      <c r="K138" s="4" t="s">
        <v>12273</v>
      </c>
      <c r="L138" s="41">
        <v>0.16058</v>
      </c>
      <c r="M138" s="4" t="b">
        <v>1</v>
      </c>
      <c r="N138" s="4" t="b">
        <v>1</v>
      </c>
      <c r="O138" s="41" t="b">
        <v>0</v>
      </c>
      <c r="P138" s="41"/>
      <c r="Q138" s="41" t="b">
        <v>1</v>
      </c>
    </row>
    <row r="139" spans="1:19" ht="13">
      <c r="A139" s="4" t="s">
        <v>12548</v>
      </c>
      <c r="B139" s="4" t="s">
        <v>4926</v>
      </c>
      <c r="C139" s="4" t="s">
        <v>12274</v>
      </c>
      <c r="D139" s="4" t="s">
        <v>41</v>
      </c>
      <c r="E139" s="4" t="s">
        <v>9</v>
      </c>
      <c r="F139" s="4" t="s">
        <v>5101</v>
      </c>
      <c r="G139" s="4" t="s">
        <v>712</v>
      </c>
      <c r="H139" s="4">
        <v>5.17</v>
      </c>
      <c r="I139" s="4">
        <v>1.2</v>
      </c>
      <c r="J139" s="4" t="s">
        <v>12269</v>
      </c>
      <c r="K139" s="4" t="s">
        <v>12270</v>
      </c>
      <c r="L139" s="41">
        <v>0.19855</v>
      </c>
      <c r="M139" s="4" t="b">
        <v>1</v>
      </c>
      <c r="N139" s="4" t="b">
        <v>1</v>
      </c>
      <c r="O139" s="4" t="b">
        <v>0</v>
      </c>
      <c r="P139" s="4"/>
      <c r="Q139" s="4" t="b">
        <v>1</v>
      </c>
    </row>
    <row r="140" spans="1:19" ht="13">
      <c r="A140" s="4" t="s">
        <v>12549</v>
      </c>
      <c r="B140" s="4" t="s">
        <v>4926</v>
      </c>
      <c r="C140" s="4" t="s">
        <v>12274</v>
      </c>
      <c r="D140" s="4" t="s">
        <v>41</v>
      </c>
      <c r="E140" s="4" t="s">
        <v>9</v>
      </c>
      <c r="F140" s="4" t="s">
        <v>5762</v>
      </c>
      <c r="G140" s="4" t="s">
        <v>5763</v>
      </c>
      <c r="H140" s="4">
        <v>5.2</v>
      </c>
      <c r="I140" s="4">
        <v>1.034</v>
      </c>
      <c r="J140" s="4" t="s">
        <v>12269</v>
      </c>
      <c r="K140" s="4" t="s">
        <v>12273</v>
      </c>
      <c r="L140" s="41">
        <v>0.14935000000000001</v>
      </c>
      <c r="M140" s="4" t="b">
        <v>1</v>
      </c>
      <c r="N140" s="4" t="b">
        <v>1</v>
      </c>
      <c r="O140" s="4" t="b">
        <v>0</v>
      </c>
      <c r="P140" s="4"/>
      <c r="Q140" s="4" t="b">
        <v>0</v>
      </c>
    </row>
    <row r="141" spans="1:19" ht="13">
      <c r="A141" s="4" t="s">
        <v>12550</v>
      </c>
      <c r="B141" s="4" t="s">
        <v>4926</v>
      </c>
      <c r="C141" s="4" t="s">
        <v>12274</v>
      </c>
      <c r="D141" s="4" t="s">
        <v>41</v>
      </c>
      <c r="E141" s="4" t="s">
        <v>9</v>
      </c>
      <c r="F141" s="4" t="s">
        <v>5403</v>
      </c>
      <c r="G141" s="4" t="s">
        <v>5404</v>
      </c>
      <c r="H141" s="4">
        <v>4.43</v>
      </c>
      <c r="I141" s="4">
        <v>1.0409999999999999</v>
      </c>
      <c r="J141" s="4" t="s">
        <v>12269</v>
      </c>
      <c r="K141" s="4" t="s">
        <v>12273</v>
      </c>
      <c r="L141" s="41">
        <v>0.14957999999999999</v>
      </c>
      <c r="M141" s="4" t="b">
        <v>1</v>
      </c>
      <c r="N141" s="4" t="b">
        <v>1</v>
      </c>
      <c r="O141" s="4" t="b">
        <v>0</v>
      </c>
      <c r="P141" s="4"/>
      <c r="Q141" s="4" t="b">
        <v>0</v>
      </c>
    </row>
    <row r="142" spans="1:19" ht="13">
      <c r="A142" s="4" t="s">
        <v>12551</v>
      </c>
      <c r="B142" s="4" t="s">
        <v>4926</v>
      </c>
      <c r="C142" s="4" t="s">
        <v>12274</v>
      </c>
      <c r="D142" s="4" t="s">
        <v>41</v>
      </c>
      <c r="E142" s="4" t="s">
        <v>9</v>
      </c>
      <c r="F142" s="4" t="s">
        <v>5729</v>
      </c>
      <c r="G142" s="4" t="s">
        <v>5730</v>
      </c>
      <c r="H142" s="4">
        <v>4.47</v>
      </c>
      <c r="I142" s="4">
        <v>1.48</v>
      </c>
      <c r="J142" s="4" t="s">
        <v>12269</v>
      </c>
      <c r="K142" s="4" t="s">
        <v>12270</v>
      </c>
      <c r="L142" s="41">
        <v>0.23257</v>
      </c>
      <c r="M142" s="4" t="b">
        <v>1</v>
      </c>
      <c r="N142" s="4" t="b">
        <v>0</v>
      </c>
      <c r="O142" s="4" t="b">
        <v>0</v>
      </c>
      <c r="P142" s="4"/>
      <c r="Q142" s="4" t="b">
        <v>0</v>
      </c>
    </row>
    <row r="143" spans="1:19" ht="13">
      <c r="A143" s="4" t="s">
        <v>12552</v>
      </c>
      <c r="B143" s="4" t="s">
        <v>4926</v>
      </c>
      <c r="C143" s="4" t="s">
        <v>12274</v>
      </c>
      <c r="D143" s="4" t="s">
        <v>41</v>
      </c>
      <c r="E143" s="4" t="s">
        <v>9</v>
      </c>
      <c r="F143" s="4" t="s">
        <v>5114</v>
      </c>
      <c r="G143" s="4" t="s">
        <v>748</v>
      </c>
      <c r="H143" s="4">
        <v>4.5199999999999996</v>
      </c>
      <c r="I143" s="4">
        <v>1.04</v>
      </c>
      <c r="J143" s="4" t="s">
        <v>12269</v>
      </c>
      <c r="K143" s="4" t="s">
        <v>12273</v>
      </c>
      <c r="L143" s="41">
        <v>0.14877000000000001</v>
      </c>
      <c r="M143" s="4" t="b">
        <v>1</v>
      </c>
      <c r="N143" s="4" t="b">
        <v>1</v>
      </c>
      <c r="O143" s="4" t="b">
        <v>0</v>
      </c>
      <c r="P143" s="4"/>
      <c r="Q143" s="4" t="b">
        <v>1</v>
      </c>
    </row>
    <row r="144" spans="1:19" ht="13">
      <c r="A144" s="4" t="s">
        <v>325</v>
      </c>
      <c r="B144" s="4" t="s">
        <v>4926</v>
      </c>
      <c r="C144" s="4" t="s">
        <v>12274</v>
      </c>
      <c r="D144" s="4" t="s">
        <v>41</v>
      </c>
      <c r="E144" s="4" t="s">
        <v>9</v>
      </c>
      <c r="F144" s="4" t="s">
        <v>6121</v>
      </c>
      <c r="G144" s="4" t="s">
        <v>312</v>
      </c>
      <c r="H144" s="4">
        <v>4.53</v>
      </c>
      <c r="I144" s="4">
        <v>1.08</v>
      </c>
      <c r="J144" s="4" t="s">
        <v>12269</v>
      </c>
      <c r="K144" s="4" t="s">
        <v>12273</v>
      </c>
      <c r="L144" s="41">
        <v>0.18518999999999999</v>
      </c>
      <c r="M144" s="4" t="b">
        <v>1</v>
      </c>
      <c r="N144" s="4" t="b">
        <v>0</v>
      </c>
      <c r="O144" s="40" t="b">
        <v>1</v>
      </c>
      <c r="P144" s="40" t="s">
        <v>5087</v>
      </c>
      <c r="Q144" s="40" t="b">
        <v>0</v>
      </c>
    </row>
    <row r="145" spans="1:17" ht="13">
      <c r="A145" s="4" t="s">
        <v>12553</v>
      </c>
      <c r="B145" s="4" t="s">
        <v>4926</v>
      </c>
      <c r="C145" s="4" t="s">
        <v>12274</v>
      </c>
      <c r="D145" s="4" t="s">
        <v>41</v>
      </c>
      <c r="E145" s="4" t="s">
        <v>9</v>
      </c>
      <c r="F145" s="4" t="s">
        <v>5732</v>
      </c>
      <c r="G145" s="4" t="s">
        <v>5733</v>
      </c>
      <c r="H145" s="4">
        <v>4.57</v>
      </c>
      <c r="I145" s="4">
        <v>1.04</v>
      </c>
      <c r="J145" s="4" t="s">
        <v>12269</v>
      </c>
      <c r="K145" s="4" t="s">
        <v>12273</v>
      </c>
      <c r="L145" s="41">
        <v>0.15257000000000001</v>
      </c>
      <c r="M145" s="4" t="b">
        <v>1</v>
      </c>
      <c r="N145" s="4" t="b">
        <v>1</v>
      </c>
      <c r="O145" s="4" t="b">
        <v>0</v>
      </c>
      <c r="P145" s="4"/>
      <c r="Q145" s="4" t="b">
        <v>0</v>
      </c>
    </row>
    <row r="146" spans="1:17" ht="13">
      <c r="A146" s="4" t="s">
        <v>12554</v>
      </c>
      <c r="B146" s="4" t="s">
        <v>4926</v>
      </c>
      <c r="C146" s="4" t="s">
        <v>12274</v>
      </c>
      <c r="D146" s="4" t="s">
        <v>41</v>
      </c>
      <c r="E146" s="4" t="s">
        <v>9</v>
      </c>
      <c r="F146" s="4" t="s">
        <v>5115</v>
      </c>
      <c r="G146" s="4" t="s">
        <v>749</v>
      </c>
      <c r="H146" s="4">
        <v>4.58</v>
      </c>
      <c r="I146" s="4">
        <v>1.04</v>
      </c>
      <c r="J146" s="4" t="s">
        <v>12269</v>
      </c>
      <c r="K146" s="4" t="s">
        <v>12273</v>
      </c>
      <c r="L146" s="41">
        <v>0.15057000000000001</v>
      </c>
      <c r="M146" s="4" t="b">
        <v>1</v>
      </c>
      <c r="N146" s="4" t="b">
        <v>1</v>
      </c>
      <c r="O146" s="41" t="b">
        <v>0</v>
      </c>
      <c r="P146" s="41"/>
      <c r="Q146" s="41" t="b">
        <v>1</v>
      </c>
    </row>
    <row r="147" spans="1:17" ht="13">
      <c r="A147" s="4" t="s">
        <v>12555</v>
      </c>
      <c r="B147" s="4" t="s">
        <v>4926</v>
      </c>
      <c r="C147" s="4" t="s">
        <v>12274</v>
      </c>
      <c r="D147" s="4" t="s">
        <v>41</v>
      </c>
      <c r="E147" s="4" t="s">
        <v>9</v>
      </c>
      <c r="F147" s="4" t="s">
        <v>5738</v>
      </c>
      <c r="G147" s="4" t="s">
        <v>5739</v>
      </c>
      <c r="H147" s="4">
        <v>4.6500000000000004</v>
      </c>
      <c r="I147" s="4">
        <v>1.39</v>
      </c>
      <c r="J147" s="4" t="s">
        <v>12269</v>
      </c>
      <c r="K147" s="4" t="s">
        <v>12273</v>
      </c>
      <c r="L147" s="41">
        <v>0.2477</v>
      </c>
      <c r="M147" s="4" t="b">
        <v>1</v>
      </c>
      <c r="N147" s="4" t="b">
        <v>1</v>
      </c>
      <c r="O147" s="4" t="b">
        <v>0</v>
      </c>
      <c r="P147" s="4"/>
      <c r="Q147" s="4" t="b">
        <v>0</v>
      </c>
    </row>
    <row r="148" spans="1:17" ht="13">
      <c r="A148" s="4" t="s">
        <v>12556</v>
      </c>
      <c r="B148" s="4" t="s">
        <v>4926</v>
      </c>
      <c r="C148" s="4" t="s">
        <v>12274</v>
      </c>
      <c r="D148" s="4" t="s">
        <v>41</v>
      </c>
      <c r="E148" s="4" t="s">
        <v>9</v>
      </c>
      <c r="F148" s="4" t="s">
        <v>5165</v>
      </c>
      <c r="G148" s="4" t="s">
        <v>750</v>
      </c>
      <c r="H148" s="4">
        <v>4.67</v>
      </c>
      <c r="I148" s="4">
        <v>1.44</v>
      </c>
      <c r="J148" s="4" t="s">
        <v>12269</v>
      </c>
      <c r="K148" s="4" t="s">
        <v>12273</v>
      </c>
      <c r="L148" s="41">
        <v>0.33939999999999998</v>
      </c>
      <c r="M148" s="4" t="b">
        <v>1</v>
      </c>
      <c r="N148" s="4" t="b">
        <v>0</v>
      </c>
      <c r="O148" s="4" t="b">
        <v>0</v>
      </c>
      <c r="P148" s="4"/>
      <c r="Q148" s="4" t="b">
        <v>1</v>
      </c>
    </row>
    <row r="149" spans="1:17" ht="13">
      <c r="A149" s="4" t="s">
        <v>12560</v>
      </c>
      <c r="B149" s="4" t="s">
        <v>4926</v>
      </c>
      <c r="C149" s="4" t="s">
        <v>12274</v>
      </c>
      <c r="D149" s="4" t="s">
        <v>41</v>
      </c>
      <c r="E149" s="4" t="s">
        <v>9</v>
      </c>
      <c r="F149" s="4" t="s">
        <v>6227</v>
      </c>
      <c r="G149" s="4" t="s">
        <v>6228</v>
      </c>
      <c r="H149" s="4">
        <v>4.8</v>
      </c>
      <c r="I149" s="4">
        <v>1.4</v>
      </c>
      <c r="J149" s="4" t="s">
        <v>12269</v>
      </c>
      <c r="K149" s="4" t="s">
        <v>12273</v>
      </c>
      <c r="L149" s="41">
        <v>0.22563</v>
      </c>
      <c r="M149" s="4" t="b">
        <v>1</v>
      </c>
      <c r="N149" s="4" t="b">
        <v>0</v>
      </c>
      <c r="O149" s="4" t="b">
        <v>0</v>
      </c>
      <c r="P149" s="4"/>
      <c r="Q149" s="4" t="b">
        <v>0</v>
      </c>
    </row>
    <row r="150" spans="1:17" ht="13">
      <c r="A150" s="4" t="s">
        <v>12561</v>
      </c>
      <c r="B150" s="4" t="s">
        <v>4926</v>
      </c>
      <c r="C150" s="4" t="s">
        <v>12274</v>
      </c>
      <c r="D150" s="4" t="s">
        <v>41</v>
      </c>
      <c r="E150" s="4" t="s">
        <v>9</v>
      </c>
      <c r="F150" s="4" t="s">
        <v>5741</v>
      </c>
      <c r="G150" s="4" t="s">
        <v>5742</v>
      </c>
      <c r="H150" s="4">
        <v>4.83</v>
      </c>
      <c r="I150" s="4">
        <v>1.24</v>
      </c>
      <c r="J150" s="4" t="s">
        <v>12269</v>
      </c>
      <c r="K150" s="4" t="s">
        <v>12270</v>
      </c>
      <c r="L150" s="41">
        <v>0.26005</v>
      </c>
      <c r="M150" s="4" t="b">
        <v>1</v>
      </c>
      <c r="N150" s="4" t="b">
        <v>0</v>
      </c>
      <c r="O150" s="4" t="b">
        <v>0</v>
      </c>
      <c r="P150" s="4"/>
      <c r="Q150" s="4" t="b">
        <v>0</v>
      </c>
    </row>
    <row r="151" spans="1:17" ht="13">
      <c r="A151" s="4" t="s">
        <v>12563</v>
      </c>
      <c r="B151" s="4" t="s">
        <v>4926</v>
      </c>
      <c r="C151" s="4" t="s">
        <v>12274</v>
      </c>
      <c r="D151" s="4" t="s">
        <v>41</v>
      </c>
      <c r="E151" s="4" t="s">
        <v>9</v>
      </c>
      <c r="F151" s="4" t="s">
        <v>5391</v>
      </c>
      <c r="G151" s="4" t="s">
        <v>5392</v>
      </c>
      <c r="H151" s="4">
        <v>6.17</v>
      </c>
      <c r="I151" s="4">
        <v>1.57</v>
      </c>
      <c r="J151" s="4" t="s">
        <v>12269</v>
      </c>
      <c r="K151" s="4" t="s">
        <v>12271</v>
      </c>
      <c r="L151" s="41">
        <v>0.24315999999999999</v>
      </c>
      <c r="M151" s="4" t="b">
        <v>1</v>
      </c>
      <c r="N151" s="4" t="b">
        <v>0</v>
      </c>
      <c r="O151" s="4" t="b">
        <v>0</v>
      </c>
      <c r="P151" s="4"/>
      <c r="Q151" s="4" t="b">
        <v>0</v>
      </c>
    </row>
    <row r="152" spans="1:17" ht="13">
      <c r="A152" s="4" t="s">
        <v>12564</v>
      </c>
      <c r="B152" s="4" t="s">
        <v>4926</v>
      </c>
      <c r="C152" s="4" t="s">
        <v>12274</v>
      </c>
      <c r="D152" s="4" t="s">
        <v>41</v>
      </c>
      <c r="E152" s="4" t="s">
        <v>9</v>
      </c>
      <c r="F152" s="4" t="s">
        <v>5691</v>
      </c>
      <c r="G152" s="4" t="s">
        <v>5692</v>
      </c>
      <c r="H152" s="4">
        <v>6.2</v>
      </c>
      <c r="I152" s="4">
        <v>1.74</v>
      </c>
      <c r="J152" s="4" t="s">
        <v>12269</v>
      </c>
      <c r="K152" s="4" t="s">
        <v>12271</v>
      </c>
      <c r="L152" s="41">
        <v>0.26085999999999998</v>
      </c>
      <c r="M152" s="4" t="b">
        <v>1</v>
      </c>
      <c r="N152" s="4" t="b">
        <v>0</v>
      </c>
      <c r="O152" s="4" t="b">
        <v>0</v>
      </c>
      <c r="P152" s="4"/>
      <c r="Q152" s="4" t="b">
        <v>0</v>
      </c>
    </row>
    <row r="153" spans="1:17" ht="13">
      <c r="A153" s="4" t="s">
        <v>12565</v>
      </c>
      <c r="B153" s="4" t="s">
        <v>4926</v>
      </c>
      <c r="C153" s="4" t="s">
        <v>12274</v>
      </c>
      <c r="D153" s="4" t="s">
        <v>41</v>
      </c>
      <c r="E153" s="4" t="s">
        <v>9</v>
      </c>
      <c r="F153" s="4" t="s">
        <v>5712</v>
      </c>
      <c r="G153" s="4" t="s">
        <v>5713</v>
      </c>
      <c r="H153" s="4">
        <v>6.25</v>
      </c>
      <c r="I153" s="4">
        <v>1.42</v>
      </c>
      <c r="J153" s="4" t="s">
        <v>12269</v>
      </c>
      <c r="K153" s="4" t="s">
        <v>12271</v>
      </c>
      <c r="L153" s="41">
        <v>0.28333999999999998</v>
      </c>
      <c r="M153" s="4" t="b">
        <v>1</v>
      </c>
      <c r="N153" s="4" t="b">
        <v>0</v>
      </c>
      <c r="O153" s="4" t="b">
        <v>0</v>
      </c>
      <c r="P153" s="4"/>
      <c r="Q153" s="4" t="b">
        <v>0</v>
      </c>
    </row>
    <row r="154" spans="1:17" ht="13">
      <c r="A154" s="4" t="s">
        <v>12566</v>
      </c>
      <c r="B154" s="4" t="s">
        <v>4926</v>
      </c>
      <c r="C154" s="4" t="s">
        <v>12274</v>
      </c>
      <c r="D154" s="4" t="s">
        <v>41</v>
      </c>
      <c r="E154" s="4" t="s">
        <v>9</v>
      </c>
      <c r="F154" s="4" t="s">
        <v>5394</v>
      </c>
      <c r="G154" s="4" t="s">
        <v>5395</v>
      </c>
      <c r="H154" s="4">
        <v>4.22</v>
      </c>
      <c r="I154" s="4">
        <v>1.04</v>
      </c>
      <c r="J154" s="4" t="s">
        <v>12269</v>
      </c>
      <c r="K154" s="4" t="s">
        <v>12271</v>
      </c>
      <c r="L154" s="41">
        <v>0.16424</v>
      </c>
      <c r="M154" s="4" t="b">
        <v>1</v>
      </c>
      <c r="N154" s="4" t="b">
        <v>0</v>
      </c>
      <c r="O154" s="4" t="b">
        <v>0</v>
      </c>
      <c r="P154" s="4"/>
      <c r="Q154" s="4" t="b">
        <v>0</v>
      </c>
    </row>
    <row r="155" spans="1:17" ht="13">
      <c r="A155" s="4" t="s">
        <v>12567</v>
      </c>
      <c r="B155" s="4" t="s">
        <v>4926</v>
      </c>
      <c r="C155" s="4" t="s">
        <v>12274</v>
      </c>
      <c r="D155" s="4" t="s">
        <v>41</v>
      </c>
      <c r="E155" s="4" t="s">
        <v>9</v>
      </c>
      <c r="F155" s="4" t="s">
        <v>5718</v>
      </c>
      <c r="G155" s="4" t="s">
        <v>5719</v>
      </c>
      <c r="H155" s="4">
        <v>4.2300000000000004</v>
      </c>
      <c r="I155" s="4">
        <v>1.04</v>
      </c>
      <c r="J155" s="4" t="s">
        <v>12269</v>
      </c>
      <c r="K155" s="4" t="s">
        <v>12273</v>
      </c>
      <c r="L155" s="41">
        <v>0.15669</v>
      </c>
      <c r="M155" s="4" t="b">
        <v>1</v>
      </c>
      <c r="N155" s="4" t="b">
        <v>1</v>
      </c>
      <c r="O155" s="4" t="b">
        <v>0</v>
      </c>
      <c r="P155" s="4"/>
      <c r="Q155" s="4" t="b">
        <v>0</v>
      </c>
    </row>
    <row r="156" spans="1:17" ht="13">
      <c r="A156" s="4" t="s">
        <v>12568</v>
      </c>
      <c r="B156" s="4" t="s">
        <v>4926</v>
      </c>
      <c r="C156" s="4" t="s">
        <v>12274</v>
      </c>
      <c r="D156" s="4" t="s">
        <v>41</v>
      </c>
      <c r="E156" s="4" t="s">
        <v>9</v>
      </c>
      <c r="F156" s="4" t="s">
        <v>4948</v>
      </c>
      <c r="G156" s="4" t="s">
        <v>710</v>
      </c>
      <c r="H156" s="4">
        <v>4.25</v>
      </c>
      <c r="I156" s="4">
        <v>1.04</v>
      </c>
      <c r="J156" s="4" t="s">
        <v>12269</v>
      </c>
      <c r="K156" s="4" t="s">
        <v>12273</v>
      </c>
      <c r="L156" s="41">
        <v>0.15490000000000001</v>
      </c>
      <c r="M156" s="4" t="b">
        <v>1</v>
      </c>
      <c r="N156" s="4" t="b">
        <v>1</v>
      </c>
      <c r="O156" s="4" t="b">
        <v>0</v>
      </c>
      <c r="P156" s="4"/>
      <c r="Q156" s="4" t="b">
        <v>1</v>
      </c>
    </row>
    <row r="157" spans="1:17" ht="13">
      <c r="A157" s="4" t="s">
        <v>12569</v>
      </c>
      <c r="B157" s="4" t="s">
        <v>4926</v>
      </c>
      <c r="C157" s="4" t="s">
        <v>12274</v>
      </c>
      <c r="D157" s="4" t="s">
        <v>41</v>
      </c>
      <c r="E157" s="4" t="s">
        <v>9</v>
      </c>
      <c r="F157" s="4" t="s">
        <v>5721</v>
      </c>
      <c r="G157" s="4" t="s">
        <v>5722</v>
      </c>
      <c r="H157" s="4">
        <v>4.28</v>
      </c>
      <c r="I157" s="4">
        <v>1.04</v>
      </c>
      <c r="J157" s="4" t="s">
        <v>12269</v>
      </c>
      <c r="K157" s="4" t="s">
        <v>12273</v>
      </c>
      <c r="L157" s="41">
        <v>0.15668000000000001</v>
      </c>
      <c r="M157" s="4" t="b">
        <v>1</v>
      </c>
      <c r="N157" s="4" t="b">
        <v>1</v>
      </c>
      <c r="O157" s="4" t="b">
        <v>0</v>
      </c>
      <c r="P157" s="4"/>
      <c r="Q157" s="4" t="b">
        <v>0</v>
      </c>
    </row>
    <row r="158" spans="1:17" ht="13">
      <c r="A158" s="4" t="s">
        <v>12570</v>
      </c>
      <c r="B158" s="4" t="s">
        <v>4926</v>
      </c>
      <c r="C158" s="4" t="s">
        <v>12274</v>
      </c>
      <c r="D158" s="4" t="s">
        <v>41</v>
      </c>
      <c r="E158" s="4" t="s">
        <v>9</v>
      </c>
      <c r="F158" s="4" t="s">
        <v>5100</v>
      </c>
      <c r="G158" s="4" t="s">
        <v>711</v>
      </c>
      <c r="H158" s="4">
        <v>4.3</v>
      </c>
      <c r="I158" s="4">
        <v>1.04</v>
      </c>
      <c r="J158" s="4" t="s">
        <v>12269</v>
      </c>
      <c r="K158" s="4" t="s">
        <v>12273</v>
      </c>
      <c r="L158" s="41">
        <v>0.15395</v>
      </c>
      <c r="M158" s="4" t="b">
        <v>1</v>
      </c>
      <c r="N158" s="4" t="b">
        <v>1</v>
      </c>
      <c r="O158" s="4" t="b">
        <v>0</v>
      </c>
      <c r="P158" s="4"/>
      <c r="Q158" s="4" t="b">
        <v>1</v>
      </c>
    </row>
    <row r="159" spans="1:17" ht="13">
      <c r="A159" s="4" t="s">
        <v>326</v>
      </c>
      <c r="B159" s="4" t="s">
        <v>4926</v>
      </c>
      <c r="C159" s="4" t="s">
        <v>12274</v>
      </c>
      <c r="D159" s="4" t="s">
        <v>41</v>
      </c>
      <c r="E159" s="4" t="s">
        <v>9</v>
      </c>
      <c r="F159" s="4" t="s">
        <v>5724</v>
      </c>
      <c r="G159" s="4" t="s">
        <v>313</v>
      </c>
      <c r="H159" s="4">
        <v>4.32</v>
      </c>
      <c r="I159" s="4">
        <v>1.04</v>
      </c>
      <c r="J159" s="4" t="s">
        <v>12269</v>
      </c>
      <c r="K159" s="4" t="s">
        <v>12273</v>
      </c>
      <c r="L159" s="41">
        <v>0.16447000000000001</v>
      </c>
      <c r="M159" s="4" t="b">
        <v>1</v>
      </c>
      <c r="N159" s="4" t="b">
        <v>0</v>
      </c>
      <c r="O159" s="40" t="b">
        <v>1</v>
      </c>
      <c r="P159" s="40" t="s">
        <v>4955</v>
      </c>
      <c r="Q159" s="40" t="b">
        <v>0</v>
      </c>
    </row>
    <row r="160" spans="1:17" ht="13">
      <c r="A160" s="4" t="s">
        <v>12571</v>
      </c>
      <c r="B160" s="4" t="s">
        <v>4926</v>
      </c>
      <c r="C160" s="4" t="s">
        <v>12274</v>
      </c>
      <c r="D160" s="4" t="s">
        <v>41</v>
      </c>
      <c r="E160" s="4" t="s">
        <v>9</v>
      </c>
      <c r="F160" s="4" t="s">
        <v>5397</v>
      </c>
      <c r="G160" s="4" t="s">
        <v>5398</v>
      </c>
      <c r="H160" s="4">
        <v>4.3499999999999996</v>
      </c>
      <c r="I160" s="4">
        <v>1.07</v>
      </c>
      <c r="J160" s="4" t="s">
        <v>12269</v>
      </c>
      <c r="K160" s="4" t="s">
        <v>12273</v>
      </c>
      <c r="L160" s="41">
        <v>0.16994000000000001</v>
      </c>
      <c r="M160" s="4" t="b">
        <v>1</v>
      </c>
      <c r="N160" s="4" t="b">
        <v>1</v>
      </c>
      <c r="O160" s="4" t="b">
        <v>0</v>
      </c>
      <c r="P160" s="4"/>
      <c r="Q160" s="4" t="b">
        <v>0</v>
      </c>
    </row>
    <row r="161" spans="1:19" ht="13">
      <c r="A161" s="4" t="s">
        <v>12572</v>
      </c>
      <c r="B161" s="4" t="s">
        <v>4926</v>
      </c>
      <c r="C161" s="4" t="s">
        <v>12274</v>
      </c>
      <c r="D161" s="4" t="s">
        <v>41</v>
      </c>
      <c r="E161" s="4" t="s">
        <v>9</v>
      </c>
      <c r="F161" s="4" t="s">
        <v>5726</v>
      </c>
      <c r="G161" s="4" t="s">
        <v>5727</v>
      </c>
      <c r="H161" s="4">
        <v>4.37</v>
      </c>
      <c r="I161" s="4">
        <v>1.05</v>
      </c>
      <c r="J161" s="4" t="s">
        <v>12269</v>
      </c>
      <c r="K161" s="4" t="s">
        <v>12273</v>
      </c>
      <c r="L161" s="41">
        <v>0.16356999999999999</v>
      </c>
      <c r="M161" s="4" t="b">
        <v>1</v>
      </c>
      <c r="N161" s="4" t="b">
        <v>1</v>
      </c>
      <c r="O161" s="4" t="b">
        <v>0</v>
      </c>
      <c r="P161" s="4"/>
      <c r="Q161" s="4" t="b">
        <v>0</v>
      </c>
    </row>
    <row r="162" spans="1:19" ht="13">
      <c r="A162" s="4" t="s">
        <v>12573</v>
      </c>
      <c r="B162" s="4" t="s">
        <v>4926</v>
      </c>
      <c r="C162" s="4" t="s">
        <v>12274</v>
      </c>
      <c r="D162" s="4" t="s">
        <v>41</v>
      </c>
      <c r="E162" s="4" t="s">
        <v>9</v>
      </c>
      <c r="F162" s="4" t="s">
        <v>5113</v>
      </c>
      <c r="G162" s="4" t="s">
        <v>747</v>
      </c>
      <c r="H162" s="4">
        <v>4.42</v>
      </c>
      <c r="I162" s="4">
        <v>1.28</v>
      </c>
      <c r="J162" s="4" t="s">
        <v>12269</v>
      </c>
      <c r="K162" s="4" t="s">
        <v>12270</v>
      </c>
      <c r="L162" s="41">
        <v>0.22175</v>
      </c>
      <c r="M162" s="4" t="b">
        <v>1</v>
      </c>
      <c r="N162" s="4" t="b">
        <v>1</v>
      </c>
      <c r="O162" s="4" t="b">
        <v>0</v>
      </c>
      <c r="P162" s="4"/>
      <c r="Q162" s="4" t="b">
        <v>1</v>
      </c>
    </row>
    <row r="163" spans="1:19" ht="13">
      <c r="A163" s="4" t="s">
        <v>12575</v>
      </c>
      <c r="B163" s="4" t="s">
        <v>4926</v>
      </c>
      <c r="C163" s="4" t="s">
        <v>12274</v>
      </c>
      <c r="D163" s="4" t="s">
        <v>41</v>
      </c>
      <c r="E163" s="4" t="s">
        <v>9</v>
      </c>
      <c r="F163" s="4" t="s">
        <v>5685</v>
      </c>
      <c r="G163" s="4" t="s">
        <v>5686</v>
      </c>
      <c r="H163" s="4">
        <v>5.57</v>
      </c>
      <c r="I163" s="4">
        <v>1.77</v>
      </c>
      <c r="J163" s="4" t="s">
        <v>12269</v>
      </c>
      <c r="K163" s="4" t="s">
        <v>12270</v>
      </c>
      <c r="L163" s="41">
        <v>0.25108999999999998</v>
      </c>
      <c r="M163" s="4" t="b">
        <v>1</v>
      </c>
      <c r="N163" s="4" t="b">
        <v>0</v>
      </c>
      <c r="O163" s="4" t="b">
        <v>0</v>
      </c>
      <c r="P163" s="4"/>
      <c r="Q163" s="4" t="b">
        <v>0</v>
      </c>
    </row>
    <row r="164" spans="1:19" ht="13">
      <c r="A164" s="4" t="s">
        <v>12577</v>
      </c>
      <c r="B164" s="4" t="s">
        <v>4926</v>
      </c>
      <c r="C164" s="4" t="s">
        <v>12274</v>
      </c>
      <c r="D164" s="4" t="s">
        <v>41</v>
      </c>
      <c r="E164" s="4" t="s">
        <v>9</v>
      </c>
      <c r="F164" s="4" t="s">
        <v>5376</v>
      </c>
      <c r="G164" s="4" t="s">
        <v>5377</v>
      </c>
      <c r="H164" s="4">
        <v>5.67</v>
      </c>
      <c r="I164" s="4">
        <v>1.2</v>
      </c>
      <c r="J164" s="4" t="s">
        <v>12269</v>
      </c>
      <c r="K164" s="4" t="s">
        <v>12270</v>
      </c>
      <c r="L164" s="41">
        <v>0.20097999999999999</v>
      </c>
      <c r="M164" s="4" t="b">
        <v>1</v>
      </c>
      <c r="N164" s="4" t="b">
        <v>1</v>
      </c>
      <c r="O164" s="4" t="b">
        <v>0</v>
      </c>
      <c r="P164" s="4"/>
      <c r="Q164" s="4" t="b">
        <v>0</v>
      </c>
    </row>
    <row r="165" spans="1:19" ht="13">
      <c r="A165" s="4" t="s">
        <v>12578</v>
      </c>
      <c r="B165" s="4" t="s">
        <v>4926</v>
      </c>
      <c r="C165" s="4" t="s">
        <v>12274</v>
      </c>
      <c r="D165" s="4" t="s">
        <v>41</v>
      </c>
      <c r="E165" s="4" t="s">
        <v>9</v>
      </c>
      <c r="F165" s="4" t="s">
        <v>5163</v>
      </c>
      <c r="G165" s="4" t="s">
        <v>737</v>
      </c>
      <c r="H165" s="4">
        <v>5.7</v>
      </c>
      <c r="I165" s="4">
        <v>1.2</v>
      </c>
      <c r="J165" s="4" t="s">
        <v>12269</v>
      </c>
      <c r="K165" s="4" t="s">
        <v>12270</v>
      </c>
      <c r="L165" s="41">
        <v>0.20343</v>
      </c>
      <c r="M165" s="4" t="b">
        <v>1</v>
      </c>
      <c r="N165" s="4" t="b">
        <v>1</v>
      </c>
      <c r="O165" s="4" t="b">
        <v>0</v>
      </c>
      <c r="P165" s="4"/>
      <c r="Q165" s="4" t="b">
        <v>1</v>
      </c>
    </row>
    <row r="166" spans="1:19" ht="13">
      <c r="A166" s="4" t="s">
        <v>12579</v>
      </c>
      <c r="B166" s="4" t="s">
        <v>4926</v>
      </c>
      <c r="C166" s="4" t="s">
        <v>12274</v>
      </c>
      <c r="D166" s="4" t="s">
        <v>41</v>
      </c>
      <c r="E166" s="4" t="s">
        <v>9</v>
      </c>
      <c r="F166" s="4" t="s">
        <v>5099</v>
      </c>
      <c r="G166" s="4" t="s">
        <v>708</v>
      </c>
      <c r="H166" s="4">
        <v>5.73</v>
      </c>
      <c r="I166" s="4">
        <v>1.25</v>
      </c>
      <c r="J166" s="4" t="s">
        <v>12269</v>
      </c>
      <c r="K166" s="4" t="s">
        <v>12270</v>
      </c>
      <c r="L166" s="41">
        <v>0.21038000000000001</v>
      </c>
      <c r="M166" s="4" t="b">
        <v>1</v>
      </c>
      <c r="N166" s="4" t="b">
        <v>1</v>
      </c>
      <c r="O166" s="4" t="b">
        <v>0</v>
      </c>
      <c r="P166" s="4"/>
      <c r="Q166" s="4" t="b">
        <v>1</v>
      </c>
    </row>
    <row r="167" spans="1:19" ht="13">
      <c r="A167" s="4" t="s">
        <v>12580</v>
      </c>
      <c r="B167" s="4" t="s">
        <v>4926</v>
      </c>
      <c r="C167" s="4" t="s">
        <v>12274</v>
      </c>
      <c r="D167" s="4" t="s">
        <v>41</v>
      </c>
      <c r="E167" s="4" t="s">
        <v>9</v>
      </c>
      <c r="F167" s="4" t="s">
        <v>5109</v>
      </c>
      <c r="G167" s="4" t="s">
        <v>738</v>
      </c>
      <c r="H167" s="4">
        <v>5.77</v>
      </c>
      <c r="I167" s="4">
        <v>1.52</v>
      </c>
      <c r="J167" s="4" t="s">
        <v>12269</v>
      </c>
      <c r="K167" s="4" t="s">
        <v>12271</v>
      </c>
      <c r="L167" s="41">
        <v>0.26391999999999999</v>
      </c>
      <c r="M167" s="4" t="b">
        <v>1</v>
      </c>
      <c r="N167" s="4" t="b">
        <v>0</v>
      </c>
      <c r="O167" s="4" t="b">
        <v>0</v>
      </c>
      <c r="P167" s="4"/>
      <c r="Q167" s="4" t="b">
        <v>1</v>
      </c>
    </row>
    <row r="168" spans="1:19" ht="13">
      <c r="A168" s="4" t="s">
        <v>12581</v>
      </c>
      <c r="B168" s="4" t="s">
        <v>4926</v>
      </c>
      <c r="C168" s="4" t="s">
        <v>12274</v>
      </c>
      <c r="D168" s="4" t="s">
        <v>41</v>
      </c>
      <c r="E168" s="4" t="s">
        <v>9</v>
      </c>
      <c r="F168" s="4" t="s">
        <v>5379</v>
      </c>
      <c r="G168" s="4" t="s">
        <v>5380</v>
      </c>
      <c r="H168" s="4">
        <v>5.8</v>
      </c>
      <c r="I168" s="4">
        <v>1.0900000000000001</v>
      </c>
      <c r="J168" s="4" t="s">
        <v>12269</v>
      </c>
      <c r="K168" s="4" t="s">
        <v>12270</v>
      </c>
      <c r="L168" s="41">
        <v>0.18934000000000001</v>
      </c>
      <c r="M168" s="4" t="b">
        <v>1</v>
      </c>
      <c r="N168" s="4" t="b">
        <v>1</v>
      </c>
      <c r="O168" s="4" t="b">
        <v>0</v>
      </c>
      <c r="P168" s="4"/>
      <c r="Q168" s="4" t="b">
        <v>0</v>
      </c>
    </row>
    <row r="169" spans="1:19" ht="13">
      <c r="A169" s="4" t="s">
        <v>12582</v>
      </c>
      <c r="B169" s="4" t="s">
        <v>4926</v>
      </c>
      <c r="C169" s="4" t="s">
        <v>12274</v>
      </c>
      <c r="D169" s="4" t="s">
        <v>41</v>
      </c>
      <c r="E169" s="4" t="s">
        <v>9</v>
      </c>
      <c r="F169" s="4" t="s">
        <v>5025</v>
      </c>
      <c r="G169" s="4" t="s">
        <v>739</v>
      </c>
      <c r="H169" s="4">
        <v>5.83</v>
      </c>
      <c r="I169" s="4">
        <v>1.59</v>
      </c>
      <c r="J169" s="4" t="s">
        <v>12269</v>
      </c>
      <c r="K169" s="4" t="s">
        <v>12270</v>
      </c>
      <c r="L169" s="41">
        <v>0.24707999999999999</v>
      </c>
      <c r="M169" s="4" t="b">
        <v>1</v>
      </c>
      <c r="N169" s="4" t="b">
        <v>0</v>
      </c>
      <c r="O169" s="4" t="b">
        <v>0</v>
      </c>
      <c r="P169" s="4"/>
      <c r="Q169" s="4" t="b">
        <v>1</v>
      </c>
    </row>
    <row r="170" spans="1:19" ht="13">
      <c r="A170" s="4" t="s">
        <v>12584</v>
      </c>
      <c r="B170" s="4" t="s">
        <v>4926</v>
      </c>
      <c r="C170" s="4" t="s">
        <v>12274</v>
      </c>
      <c r="D170" s="4" t="s">
        <v>41</v>
      </c>
      <c r="E170" s="4" t="s">
        <v>9</v>
      </c>
      <c r="F170" s="4" t="s">
        <v>5026</v>
      </c>
      <c r="G170" s="4" t="s">
        <v>740</v>
      </c>
      <c r="H170" s="4">
        <v>5.9</v>
      </c>
      <c r="I170" s="4">
        <v>1.2</v>
      </c>
      <c r="J170" s="4" t="s">
        <v>12269</v>
      </c>
      <c r="K170" s="4" t="s">
        <v>12270</v>
      </c>
      <c r="L170" s="41">
        <v>0.20394000000000001</v>
      </c>
      <c r="M170" s="4" t="b">
        <v>1</v>
      </c>
      <c r="N170" s="4" t="b">
        <v>1</v>
      </c>
      <c r="O170" s="4" t="b">
        <v>0</v>
      </c>
      <c r="P170" s="4"/>
      <c r="Q170" s="4" t="b">
        <v>1</v>
      </c>
    </row>
    <row r="171" spans="1:19" ht="13">
      <c r="A171" s="4" t="s">
        <v>327</v>
      </c>
      <c r="B171" s="4" t="s">
        <v>4926</v>
      </c>
      <c r="C171" s="4" t="s">
        <v>12274</v>
      </c>
      <c r="D171" s="4" t="s">
        <v>41</v>
      </c>
      <c r="E171" s="4" t="s">
        <v>9</v>
      </c>
      <c r="F171" s="4" t="s">
        <v>5027</v>
      </c>
      <c r="G171" s="4" t="s">
        <v>314</v>
      </c>
      <c r="H171" s="4">
        <v>5.97</v>
      </c>
      <c r="I171" s="4">
        <v>1.52</v>
      </c>
      <c r="J171" s="4" t="s">
        <v>12269</v>
      </c>
      <c r="K171" s="4" t="s">
        <v>12271</v>
      </c>
      <c r="L171" s="41">
        <v>0.25599</v>
      </c>
      <c r="M171" s="4" t="b">
        <v>1</v>
      </c>
      <c r="N171" s="4" t="b">
        <v>0</v>
      </c>
      <c r="O171" s="40" t="b">
        <v>1</v>
      </c>
      <c r="P171" s="40" t="s">
        <v>5087</v>
      </c>
      <c r="Q171" s="40" t="b">
        <v>1</v>
      </c>
      <c r="R171" s="41" t="s">
        <v>4929</v>
      </c>
      <c r="S171" s="41" t="s">
        <v>857</v>
      </c>
    </row>
    <row r="172" spans="1:19" ht="13">
      <c r="A172" s="4" t="s">
        <v>12591</v>
      </c>
      <c r="B172" s="4" t="s">
        <v>4926</v>
      </c>
      <c r="C172" s="4" t="s">
        <v>12274</v>
      </c>
      <c r="D172" s="4" t="s">
        <v>41</v>
      </c>
      <c r="E172" s="4" t="s">
        <v>9</v>
      </c>
      <c r="F172" s="4" t="s">
        <v>5664</v>
      </c>
      <c r="G172" s="4" t="s">
        <v>5665</v>
      </c>
      <c r="H172" s="4">
        <v>5.18</v>
      </c>
      <c r="I172" s="4">
        <v>1.52</v>
      </c>
      <c r="J172" s="4" t="s">
        <v>12269</v>
      </c>
      <c r="K172" s="4" t="s">
        <v>12271</v>
      </c>
      <c r="L172" s="41">
        <v>0.30243999999999999</v>
      </c>
      <c r="M172" s="4" t="b">
        <v>1</v>
      </c>
      <c r="N172" s="4" t="b">
        <v>0</v>
      </c>
      <c r="O172" s="4" t="b">
        <v>0</v>
      </c>
      <c r="P172" s="4"/>
      <c r="Q172" s="4" t="b">
        <v>0</v>
      </c>
    </row>
    <row r="173" spans="1:19" ht="13">
      <c r="A173" s="4" t="s">
        <v>12594</v>
      </c>
      <c r="B173" s="4" t="s">
        <v>4926</v>
      </c>
      <c r="C173" s="4" t="s">
        <v>12274</v>
      </c>
      <c r="D173" s="4" t="s">
        <v>41</v>
      </c>
      <c r="E173" s="4" t="s">
        <v>9</v>
      </c>
      <c r="F173" s="4" t="s">
        <v>5060</v>
      </c>
      <c r="G173" s="4" t="s">
        <v>798</v>
      </c>
      <c r="H173" s="4">
        <v>5.3</v>
      </c>
      <c r="I173" s="4">
        <v>1.07</v>
      </c>
      <c r="J173" s="4" t="s">
        <v>12269</v>
      </c>
      <c r="K173" s="4" t="s">
        <v>12270</v>
      </c>
      <c r="L173" s="41">
        <v>0.19009999999999999</v>
      </c>
      <c r="M173" s="4" t="b">
        <v>1</v>
      </c>
      <c r="N173" s="4" t="b">
        <v>1</v>
      </c>
      <c r="O173" s="4" t="b">
        <v>0</v>
      </c>
      <c r="P173" s="4"/>
      <c r="Q173" s="4" t="b">
        <v>1</v>
      </c>
    </row>
    <row r="174" spans="1:19" ht="13">
      <c r="A174" s="4" t="s">
        <v>12596</v>
      </c>
      <c r="B174" s="4" t="s">
        <v>4926</v>
      </c>
      <c r="C174" s="4" t="s">
        <v>12274</v>
      </c>
      <c r="D174" s="4" t="s">
        <v>41</v>
      </c>
      <c r="E174" s="4" t="s">
        <v>9</v>
      </c>
      <c r="F174" s="4" t="s">
        <v>5798</v>
      </c>
      <c r="G174" s="4" t="s">
        <v>5799</v>
      </c>
      <c r="H174" s="4">
        <v>6</v>
      </c>
      <c r="I174" s="4">
        <v>1.37</v>
      </c>
      <c r="J174" s="4" t="s">
        <v>12269</v>
      </c>
      <c r="K174" s="4" t="s">
        <v>12271</v>
      </c>
      <c r="L174" s="41">
        <v>0.30920999999999998</v>
      </c>
      <c r="M174" s="4" t="b">
        <v>1</v>
      </c>
      <c r="N174" s="4" t="b">
        <v>0</v>
      </c>
      <c r="O174" s="4" t="b">
        <v>0</v>
      </c>
      <c r="P174" s="4"/>
      <c r="Q174" s="4" t="b">
        <v>0</v>
      </c>
    </row>
    <row r="175" spans="1:19" ht="13">
      <c r="A175" s="4" t="s">
        <v>328</v>
      </c>
      <c r="B175" s="4" t="s">
        <v>4926</v>
      </c>
      <c r="C175" s="4" t="s">
        <v>12274</v>
      </c>
      <c r="D175" s="4" t="s">
        <v>41</v>
      </c>
      <c r="E175" s="4" t="s">
        <v>9</v>
      </c>
      <c r="F175" s="4" t="s">
        <v>5146</v>
      </c>
      <c r="G175" s="4" t="s">
        <v>315</v>
      </c>
      <c r="H175" s="4">
        <v>6.03</v>
      </c>
      <c r="I175" s="4">
        <v>1.26</v>
      </c>
      <c r="J175" s="4" t="s">
        <v>12269</v>
      </c>
      <c r="K175" s="4" t="s">
        <v>12270</v>
      </c>
      <c r="L175" s="41">
        <v>0.20363000000000001</v>
      </c>
      <c r="M175" s="4" t="b">
        <v>1</v>
      </c>
      <c r="N175" s="4" t="b">
        <v>0</v>
      </c>
      <c r="O175" s="40" t="b">
        <v>1</v>
      </c>
      <c r="P175" s="40" t="s">
        <v>5087</v>
      </c>
      <c r="Q175" s="40" t="b">
        <v>1</v>
      </c>
      <c r="R175" s="40" t="s">
        <v>4955</v>
      </c>
      <c r="S175" s="41" t="s">
        <v>829</v>
      </c>
    </row>
    <row r="176" spans="1:19" ht="13">
      <c r="A176" s="4" t="s">
        <v>12601</v>
      </c>
      <c r="B176" s="4" t="s">
        <v>4926</v>
      </c>
      <c r="C176" s="4" t="s">
        <v>12274</v>
      </c>
      <c r="D176" s="4" t="s">
        <v>41</v>
      </c>
      <c r="E176" s="4" t="s">
        <v>9</v>
      </c>
      <c r="F176" s="4" t="s">
        <v>5120</v>
      </c>
      <c r="G176" s="4" t="s">
        <v>765</v>
      </c>
      <c r="H176" s="4">
        <v>6.2</v>
      </c>
      <c r="I176" s="4">
        <v>1.39</v>
      </c>
      <c r="J176" s="4" t="s">
        <v>12269</v>
      </c>
      <c r="K176" s="4" t="s">
        <v>12271</v>
      </c>
      <c r="L176" s="41">
        <v>0.29446</v>
      </c>
      <c r="M176" s="4" t="b">
        <v>1</v>
      </c>
      <c r="N176" s="4" t="b">
        <v>0</v>
      </c>
      <c r="O176" s="41" t="b">
        <v>0</v>
      </c>
      <c r="P176" s="41"/>
      <c r="Q176" s="41" t="b">
        <v>1</v>
      </c>
    </row>
    <row r="177" spans="1:17" ht="13">
      <c r="A177" s="4" t="s">
        <v>12602</v>
      </c>
      <c r="B177" s="4" t="s">
        <v>4926</v>
      </c>
      <c r="C177" s="4" t="s">
        <v>12274</v>
      </c>
      <c r="D177" s="4" t="s">
        <v>41</v>
      </c>
      <c r="E177" s="4" t="s">
        <v>9</v>
      </c>
      <c r="F177" s="4" t="s">
        <v>5792</v>
      </c>
      <c r="G177" s="4" t="s">
        <v>5793</v>
      </c>
      <c r="H177" s="4">
        <v>5.78</v>
      </c>
      <c r="I177" s="4">
        <v>1.0409999999999999</v>
      </c>
      <c r="J177" s="4" t="s">
        <v>12269</v>
      </c>
      <c r="K177" s="4" t="s">
        <v>12273</v>
      </c>
      <c r="L177" s="41">
        <v>0.15770999999999999</v>
      </c>
      <c r="M177" s="4" t="b">
        <v>1</v>
      </c>
      <c r="N177" s="4" t="b">
        <v>1</v>
      </c>
      <c r="O177" s="41" t="b">
        <v>0</v>
      </c>
      <c r="P177" s="41"/>
      <c r="Q177" s="41" t="b">
        <v>0</v>
      </c>
    </row>
    <row r="178" spans="1:17" ht="13">
      <c r="A178" s="4" t="s">
        <v>12604</v>
      </c>
      <c r="B178" s="4" t="s">
        <v>4926</v>
      </c>
      <c r="C178" s="4" t="s">
        <v>12274</v>
      </c>
      <c r="D178" s="4" t="s">
        <v>41</v>
      </c>
      <c r="E178" s="4" t="s">
        <v>9</v>
      </c>
      <c r="F178" s="4" t="s">
        <v>5118</v>
      </c>
      <c r="G178" s="4" t="s">
        <v>762</v>
      </c>
      <c r="H178" s="4">
        <v>5.85</v>
      </c>
      <c r="I178" s="4">
        <v>1.06</v>
      </c>
      <c r="J178" s="4" t="s">
        <v>12269</v>
      </c>
      <c r="K178" s="4" t="s">
        <v>12273</v>
      </c>
      <c r="L178" s="41">
        <v>0.17362</v>
      </c>
      <c r="M178" s="4" t="b">
        <v>1</v>
      </c>
      <c r="N178" s="4" t="b">
        <v>1</v>
      </c>
      <c r="O178" s="4" t="b">
        <v>0</v>
      </c>
      <c r="P178" s="4"/>
      <c r="Q178" s="4" t="b">
        <v>1</v>
      </c>
    </row>
    <row r="179" spans="1:17" ht="13">
      <c r="A179" s="4" t="s">
        <v>12607</v>
      </c>
      <c r="B179" s="4" t="s">
        <v>4926</v>
      </c>
      <c r="C179" s="4" t="s">
        <v>12274</v>
      </c>
      <c r="D179" s="4" t="s">
        <v>41</v>
      </c>
      <c r="E179" s="4" t="s">
        <v>9</v>
      </c>
      <c r="F179" s="4" t="s">
        <v>5406</v>
      </c>
      <c r="G179" s="4" t="s">
        <v>5407</v>
      </c>
      <c r="H179" s="4">
        <v>5.97</v>
      </c>
      <c r="I179" s="4">
        <v>1.57</v>
      </c>
      <c r="J179" s="4" t="s">
        <v>12269</v>
      </c>
      <c r="K179" s="4" t="s">
        <v>12271</v>
      </c>
      <c r="L179" s="41">
        <v>0.31392999999999999</v>
      </c>
      <c r="M179" s="4" t="b">
        <v>1</v>
      </c>
      <c r="N179" s="4" t="b">
        <v>0</v>
      </c>
      <c r="O179" s="4" t="b">
        <v>0</v>
      </c>
      <c r="P179" s="4"/>
      <c r="Q179" s="4" t="b">
        <v>0</v>
      </c>
    </row>
    <row r="180" spans="1:17" ht="13">
      <c r="A180" s="4" t="s">
        <v>12608</v>
      </c>
      <c r="B180" s="4" t="s">
        <v>4926</v>
      </c>
      <c r="C180" s="4" t="s">
        <v>12274</v>
      </c>
      <c r="D180" s="4" t="s">
        <v>41</v>
      </c>
      <c r="E180" s="4" t="s">
        <v>9</v>
      </c>
      <c r="F180" s="4" t="s">
        <v>5429</v>
      </c>
      <c r="G180" s="4" t="s">
        <v>5430</v>
      </c>
      <c r="H180" s="4">
        <v>6.22</v>
      </c>
      <c r="I180" s="4">
        <v>1.04</v>
      </c>
      <c r="J180" s="4" t="s">
        <v>12269</v>
      </c>
      <c r="K180" s="4" t="s">
        <v>12273</v>
      </c>
      <c r="L180" s="41">
        <v>0.16550000000000001</v>
      </c>
      <c r="M180" s="4" t="b">
        <v>1</v>
      </c>
      <c r="N180" s="4" t="b">
        <v>1</v>
      </c>
      <c r="O180" s="4" t="b">
        <v>0</v>
      </c>
      <c r="P180" s="4"/>
      <c r="Q180" s="4" t="b">
        <v>0</v>
      </c>
    </row>
    <row r="181" spans="1:17" ht="13">
      <c r="A181" s="4" t="s">
        <v>12609</v>
      </c>
      <c r="B181" s="4" t="s">
        <v>4926</v>
      </c>
      <c r="C181" s="4" t="s">
        <v>12274</v>
      </c>
      <c r="D181" s="4" t="s">
        <v>41</v>
      </c>
      <c r="E181" s="4" t="s">
        <v>9</v>
      </c>
      <c r="F181" s="4" t="s">
        <v>12610</v>
      </c>
      <c r="G181" s="4" t="s">
        <v>12611</v>
      </c>
      <c r="H181" s="4">
        <v>6.52</v>
      </c>
      <c r="I181" s="4">
        <v>1.21</v>
      </c>
      <c r="J181" s="4" t="s">
        <v>12269</v>
      </c>
      <c r="K181" s="4" t="s">
        <v>12271</v>
      </c>
      <c r="L181" s="41">
        <v>0.29730000000000001</v>
      </c>
      <c r="M181" s="4" t="b">
        <v>1</v>
      </c>
      <c r="N181" s="4" t="b">
        <v>0</v>
      </c>
      <c r="O181" s="41" t="b">
        <v>0</v>
      </c>
      <c r="P181" s="41"/>
      <c r="Q181" s="41" t="b">
        <v>0</v>
      </c>
    </row>
    <row r="182" spans="1:17" ht="13">
      <c r="A182" s="4" t="s">
        <v>12612</v>
      </c>
      <c r="B182" s="4" t="s">
        <v>4926</v>
      </c>
      <c r="C182" s="4" t="s">
        <v>12274</v>
      </c>
      <c r="D182" s="4" t="s">
        <v>41</v>
      </c>
      <c r="E182" s="4" t="s">
        <v>9</v>
      </c>
      <c r="F182" s="4" t="s">
        <v>5825</v>
      </c>
      <c r="G182" s="4" t="s">
        <v>5826</v>
      </c>
      <c r="H182" s="4">
        <v>6.55</v>
      </c>
      <c r="I182" s="4">
        <v>1.27</v>
      </c>
      <c r="J182" s="4" t="s">
        <v>12269</v>
      </c>
      <c r="K182" s="4" t="s">
        <v>12271</v>
      </c>
      <c r="L182" s="41">
        <v>0.24801999999999999</v>
      </c>
      <c r="M182" s="4" t="b">
        <v>1</v>
      </c>
      <c r="N182" s="4" t="b">
        <v>0</v>
      </c>
      <c r="O182" s="4" t="b">
        <v>0</v>
      </c>
      <c r="P182" s="4"/>
      <c r="Q182" s="4" t="b">
        <v>0</v>
      </c>
    </row>
    <row r="183" spans="1:17" ht="13">
      <c r="A183" s="4" t="s">
        <v>329</v>
      </c>
      <c r="B183" s="4" t="s">
        <v>4926</v>
      </c>
      <c r="C183" s="4" t="s">
        <v>12274</v>
      </c>
      <c r="D183" s="4" t="s">
        <v>41</v>
      </c>
      <c r="E183" s="4" t="s">
        <v>9</v>
      </c>
      <c r="F183" s="4" t="s">
        <v>5831</v>
      </c>
      <c r="G183" s="4" t="s">
        <v>316</v>
      </c>
      <c r="H183" s="4">
        <v>6.62</v>
      </c>
      <c r="I183" s="4">
        <v>1.2</v>
      </c>
      <c r="J183" s="4" t="s">
        <v>12269</v>
      </c>
      <c r="K183" s="4" t="s">
        <v>12273</v>
      </c>
      <c r="L183" s="4">
        <v>0.20165</v>
      </c>
      <c r="M183" s="4" t="b">
        <v>1</v>
      </c>
      <c r="N183" s="4" t="b">
        <v>0</v>
      </c>
      <c r="O183" s="40" t="b">
        <v>1</v>
      </c>
      <c r="P183" s="40" t="s">
        <v>5087</v>
      </c>
      <c r="Q183" s="40" t="b">
        <v>0</v>
      </c>
    </row>
    <row r="184" spans="1:17" ht="13">
      <c r="A184" s="4" t="s">
        <v>12614</v>
      </c>
      <c r="B184" s="4" t="s">
        <v>4926</v>
      </c>
      <c r="C184" s="4" t="s">
        <v>12274</v>
      </c>
      <c r="D184" s="4" t="s">
        <v>41</v>
      </c>
      <c r="E184" s="4" t="s">
        <v>9</v>
      </c>
      <c r="F184" s="4" t="s">
        <v>5836</v>
      </c>
      <c r="G184" s="4" t="s">
        <v>5837</v>
      </c>
      <c r="H184" s="4">
        <v>6.68</v>
      </c>
      <c r="I184" s="4">
        <v>1.61</v>
      </c>
      <c r="J184" s="4" t="s">
        <v>12269</v>
      </c>
      <c r="K184" s="4" t="s">
        <v>12271</v>
      </c>
      <c r="L184" s="41">
        <v>0.27914</v>
      </c>
      <c r="M184" s="4" t="b">
        <v>1</v>
      </c>
      <c r="N184" s="4" t="b">
        <v>0</v>
      </c>
      <c r="O184" s="4" t="b">
        <v>0</v>
      </c>
      <c r="P184" s="4"/>
      <c r="Q184" s="4" t="b">
        <v>0</v>
      </c>
    </row>
    <row r="185" spans="1:17" ht="13">
      <c r="A185" s="4" t="s">
        <v>12615</v>
      </c>
      <c r="B185" s="4" t="s">
        <v>4926</v>
      </c>
      <c r="C185" s="4" t="s">
        <v>12274</v>
      </c>
      <c r="D185" s="4" t="s">
        <v>41</v>
      </c>
      <c r="E185" s="4" t="s">
        <v>9</v>
      </c>
      <c r="F185" s="4" t="s">
        <v>5839</v>
      </c>
      <c r="G185" s="4" t="s">
        <v>5840</v>
      </c>
      <c r="H185" s="4">
        <v>6.72</v>
      </c>
      <c r="I185" s="4">
        <v>1.37</v>
      </c>
      <c r="J185" s="4" t="s">
        <v>12269</v>
      </c>
      <c r="K185" s="4" t="s">
        <v>12271</v>
      </c>
      <c r="L185" s="41">
        <v>0.21127000000000001</v>
      </c>
      <c r="M185" s="4" t="b">
        <v>1</v>
      </c>
      <c r="N185" s="4" t="b">
        <v>1</v>
      </c>
      <c r="O185" s="4" t="b">
        <v>0</v>
      </c>
      <c r="P185" s="4"/>
      <c r="Q185" s="4" t="b">
        <v>0</v>
      </c>
    </row>
    <row r="186" spans="1:17" ht="13">
      <c r="A186" s="4" t="s">
        <v>12618</v>
      </c>
      <c r="B186" s="4" t="s">
        <v>4926</v>
      </c>
      <c r="C186" s="4" t="s">
        <v>12274</v>
      </c>
      <c r="D186" s="4" t="s">
        <v>41</v>
      </c>
      <c r="E186" s="4" t="s">
        <v>9</v>
      </c>
      <c r="F186" s="4" t="s">
        <v>5801</v>
      </c>
      <c r="G186" s="4" t="s">
        <v>5802</v>
      </c>
      <c r="H186" s="4">
        <v>6.32</v>
      </c>
      <c r="I186" s="4">
        <v>1.38</v>
      </c>
      <c r="J186" s="4" t="s">
        <v>12269</v>
      </c>
      <c r="K186" s="4" t="s">
        <v>12271</v>
      </c>
      <c r="L186" s="4">
        <v>0.30004999999999998</v>
      </c>
      <c r="M186" s="4" t="b">
        <v>1</v>
      </c>
      <c r="N186" s="4" t="b">
        <v>0</v>
      </c>
      <c r="O186" s="4" t="b">
        <v>0</v>
      </c>
      <c r="P186" s="4"/>
      <c r="Q186" s="4" t="b">
        <v>0</v>
      </c>
    </row>
    <row r="187" spans="1:17" ht="13">
      <c r="A187" s="4" t="s">
        <v>12619</v>
      </c>
      <c r="B187" s="4" t="s">
        <v>4926</v>
      </c>
      <c r="C187" s="4" t="s">
        <v>12274</v>
      </c>
      <c r="D187" s="4" t="s">
        <v>41</v>
      </c>
      <c r="E187" s="4" t="s">
        <v>9</v>
      </c>
      <c r="F187" s="4" t="s">
        <v>5804</v>
      </c>
      <c r="G187" s="4" t="s">
        <v>5805</v>
      </c>
      <c r="H187" s="4">
        <v>6.38</v>
      </c>
      <c r="I187" s="4">
        <v>1.71</v>
      </c>
      <c r="J187" s="4" t="s">
        <v>12269</v>
      </c>
      <c r="K187" s="4" t="s">
        <v>12270</v>
      </c>
      <c r="L187" s="41">
        <v>0.23377000000000001</v>
      </c>
      <c r="M187" s="4" t="b">
        <v>1</v>
      </c>
      <c r="N187" s="4" t="b">
        <v>0</v>
      </c>
      <c r="O187" s="4" t="b">
        <v>0</v>
      </c>
      <c r="P187" s="4"/>
      <c r="Q187" s="4" t="b">
        <v>0</v>
      </c>
    </row>
    <row r="188" spans="1:17" ht="13">
      <c r="A188" s="4" t="s">
        <v>12620</v>
      </c>
      <c r="B188" s="4" t="s">
        <v>4926</v>
      </c>
      <c r="C188" s="4" t="s">
        <v>12274</v>
      </c>
      <c r="D188" s="4" t="s">
        <v>41</v>
      </c>
      <c r="E188" s="4" t="s">
        <v>9</v>
      </c>
      <c r="F188" s="4" t="s">
        <v>5810</v>
      </c>
      <c r="G188" s="4" t="s">
        <v>5811</v>
      </c>
      <c r="H188" s="4">
        <v>6.45</v>
      </c>
      <c r="I188" s="4">
        <v>1.33</v>
      </c>
      <c r="J188" s="4" t="s">
        <v>12269</v>
      </c>
      <c r="K188" s="4" t="s">
        <v>12271</v>
      </c>
      <c r="L188" s="41">
        <v>0.29021000000000002</v>
      </c>
      <c r="M188" s="4" t="b">
        <v>1</v>
      </c>
      <c r="N188" s="4" t="b">
        <v>0</v>
      </c>
      <c r="O188" s="4" t="b">
        <v>0</v>
      </c>
      <c r="P188" s="4"/>
      <c r="Q188" s="4" t="b">
        <v>0</v>
      </c>
    </row>
    <row r="189" spans="1:17" ht="13">
      <c r="A189" s="4" t="s">
        <v>12623</v>
      </c>
      <c r="B189" s="4" t="s">
        <v>4926</v>
      </c>
      <c r="C189" s="4" t="s">
        <v>12274</v>
      </c>
      <c r="D189" s="4" t="s">
        <v>41</v>
      </c>
      <c r="E189" s="4" t="s">
        <v>9</v>
      </c>
      <c r="F189" s="4" t="s">
        <v>5123</v>
      </c>
      <c r="G189" s="4" t="s">
        <v>769</v>
      </c>
      <c r="H189" s="4">
        <v>4.03</v>
      </c>
      <c r="I189" s="4">
        <v>1.49</v>
      </c>
      <c r="J189" s="4" t="s">
        <v>12269</v>
      </c>
      <c r="K189" s="4" t="s">
        <v>12271</v>
      </c>
      <c r="L189" s="41">
        <v>0.27176</v>
      </c>
      <c r="M189" s="4" t="b">
        <v>1</v>
      </c>
      <c r="N189" s="4" t="b">
        <v>0</v>
      </c>
      <c r="O189" s="4" t="b">
        <v>0</v>
      </c>
      <c r="P189" s="4"/>
      <c r="Q189" s="4" t="b">
        <v>1</v>
      </c>
    </row>
    <row r="190" spans="1:17" ht="13">
      <c r="A190" s="4" t="s">
        <v>12625</v>
      </c>
      <c r="B190" s="4" t="s">
        <v>4926</v>
      </c>
      <c r="C190" s="4" t="s">
        <v>12274</v>
      </c>
      <c r="D190" s="4" t="s">
        <v>41</v>
      </c>
      <c r="E190" s="4" t="s">
        <v>9</v>
      </c>
      <c r="F190" s="4" t="s">
        <v>5851</v>
      </c>
      <c r="G190" s="4" t="s">
        <v>5852</v>
      </c>
      <c r="H190" s="4">
        <v>4.0999999999999996</v>
      </c>
      <c r="I190" s="4">
        <v>1.25</v>
      </c>
      <c r="J190" s="4" t="s">
        <v>12269</v>
      </c>
      <c r="K190" s="4" t="s">
        <v>12270</v>
      </c>
      <c r="L190" s="41">
        <v>0.21587000000000001</v>
      </c>
      <c r="M190" s="4" t="b">
        <v>1</v>
      </c>
      <c r="N190" s="4" t="b">
        <v>1</v>
      </c>
      <c r="O190" s="4" t="b">
        <v>0</v>
      </c>
      <c r="P190" s="4"/>
      <c r="Q190" s="4" t="b">
        <v>0</v>
      </c>
    </row>
    <row r="191" spans="1:17" ht="13">
      <c r="A191" s="4" t="s">
        <v>12626</v>
      </c>
      <c r="B191" s="4" t="s">
        <v>4926</v>
      </c>
      <c r="C191" s="4" t="s">
        <v>12274</v>
      </c>
      <c r="D191" s="4" t="s">
        <v>41</v>
      </c>
      <c r="E191" s="4" t="s">
        <v>9</v>
      </c>
      <c r="F191" s="4" t="s">
        <v>12627</v>
      </c>
      <c r="G191" s="4" t="s">
        <v>12628</v>
      </c>
      <c r="H191" s="4">
        <v>4.13</v>
      </c>
      <c r="I191" s="4">
        <v>1.53</v>
      </c>
      <c r="J191" s="4" t="s">
        <v>12269</v>
      </c>
      <c r="K191" s="4" t="s">
        <v>12271</v>
      </c>
      <c r="L191" s="41">
        <v>0.22656999999999999</v>
      </c>
      <c r="M191" s="4" t="b">
        <v>1</v>
      </c>
      <c r="N191" s="4" t="b">
        <v>0</v>
      </c>
      <c r="O191" s="4" t="b">
        <v>0</v>
      </c>
      <c r="P191" s="4"/>
      <c r="Q191" s="4" t="b">
        <v>0</v>
      </c>
    </row>
    <row r="192" spans="1:17" ht="13">
      <c r="A192" s="4" t="s">
        <v>12629</v>
      </c>
      <c r="B192" s="4" t="s">
        <v>4926</v>
      </c>
      <c r="C192" s="4" t="s">
        <v>12274</v>
      </c>
      <c r="D192" s="4" t="s">
        <v>41</v>
      </c>
      <c r="E192" s="4" t="s">
        <v>9</v>
      </c>
      <c r="F192" s="4" t="s">
        <v>5124</v>
      </c>
      <c r="G192" s="4" t="s">
        <v>770</v>
      </c>
      <c r="H192" s="4">
        <v>4.17</v>
      </c>
      <c r="I192" s="4">
        <v>1.34</v>
      </c>
      <c r="J192" s="4" t="s">
        <v>12269</v>
      </c>
      <c r="K192" s="4" t="s">
        <v>12271</v>
      </c>
      <c r="L192" s="41">
        <v>0.20022999999999999</v>
      </c>
      <c r="M192" s="4" t="b">
        <v>1</v>
      </c>
      <c r="N192" s="4" t="b">
        <v>1</v>
      </c>
      <c r="O192" s="4" t="b">
        <v>0</v>
      </c>
      <c r="P192" s="4"/>
      <c r="Q192" s="4" t="b">
        <v>1</v>
      </c>
    </row>
    <row r="193" spans="1:17" ht="13">
      <c r="A193" s="4" t="s">
        <v>12633</v>
      </c>
      <c r="B193" s="4" t="s">
        <v>4926</v>
      </c>
      <c r="C193" s="4" t="s">
        <v>12274</v>
      </c>
      <c r="D193" s="4" t="s">
        <v>41</v>
      </c>
      <c r="E193" s="4" t="s">
        <v>9</v>
      </c>
      <c r="F193" s="4" t="s">
        <v>5854</v>
      </c>
      <c r="G193" s="4" t="s">
        <v>5855</v>
      </c>
      <c r="H193" s="4">
        <v>4.2300000000000004</v>
      </c>
      <c r="I193" s="4">
        <v>1.31</v>
      </c>
      <c r="J193" s="4" t="s">
        <v>12269</v>
      </c>
      <c r="K193" s="4" t="s">
        <v>12271</v>
      </c>
      <c r="L193" s="41">
        <v>0.25894</v>
      </c>
      <c r="M193" s="4" t="b">
        <v>1</v>
      </c>
      <c r="N193" s="4" t="b">
        <v>0</v>
      </c>
      <c r="O193" s="4" t="b">
        <v>0</v>
      </c>
      <c r="P193" s="4"/>
      <c r="Q193" s="4" t="b">
        <v>0</v>
      </c>
    </row>
    <row r="194" spans="1:17" ht="13">
      <c r="A194" s="4" t="s">
        <v>12634</v>
      </c>
      <c r="B194" s="4" t="s">
        <v>4926</v>
      </c>
      <c r="C194" s="4" t="s">
        <v>12274</v>
      </c>
      <c r="D194" s="4" t="s">
        <v>41</v>
      </c>
      <c r="E194" s="4" t="s">
        <v>9</v>
      </c>
      <c r="F194" s="4" t="s">
        <v>5842</v>
      </c>
      <c r="G194" s="4" t="s">
        <v>5843</v>
      </c>
      <c r="H194" s="4">
        <v>6.77</v>
      </c>
      <c r="I194" s="4">
        <v>1.72</v>
      </c>
      <c r="J194" s="4" t="s">
        <v>12269</v>
      </c>
      <c r="K194" s="4" t="s">
        <v>12271</v>
      </c>
      <c r="L194" s="4">
        <v>0.27725</v>
      </c>
      <c r="M194" s="4" t="b">
        <v>1</v>
      </c>
      <c r="N194" s="4" t="b">
        <v>0</v>
      </c>
      <c r="O194" s="4" t="b">
        <v>0</v>
      </c>
      <c r="P194" s="4"/>
      <c r="Q194" s="4" t="b">
        <v>0</v>
      </c>
    </row>
    <row r="195" spans="1:17" ht="13">
      <c r="A195" s="4" t="s">
        <v>12636</v>
      </c>
      <c r="B195" s="4" t="s">
        <v>4926</v>
      </c>
      <c r="C195" s="4" t="s">
        <v>12274</v>
      </c>
      <c r="D195" s="4" t="s">
        <v>41</v>
      </c>
      <c r="E195" s="4" t="s">
        <v>9</v>
      </c>
      <c r="F195" s="4" t="s">
        <v>5121</v>
      </c>
      <c r="G195" s="4" t="s">
        <v>767</v>
      </c>
      <c r="H195" s="4">
        <v>6.82</v>
      </c>
      <c r="I195" s="4">
        <v>1.47</v>
      </c>
      <c r="J195" s="4" t="s">
        <v>12269</v>
      </c>
      <c r="K195" s="4" t="s">
        <v>12271</v>
      </c>
      <c r="L195" s="41">
        <v>0.24407999999999999</v>
      </c>
      <c r="M195" s="4" t="b">
        <v>1</v>
      </c>
      <c r="N195" s="4" t="b">
        <v>0</v>
      </c>
      <c r="O195" s="4" t="b">
        <v>0</v>
      </c>
      <c r="P195" s="4"/>
      <c r="Q195" s="4" t="b">
        <v>1</v>
      </c>
    </row>
    <row r="196" spans="1:17" ht="13">
      <c r="A196" s="4" t="s">
        <v>12637</v>
      </c>
      <c r="B196" s="4" t="s">
        <v>4926</v>
      </c>
      <c r="C196" s="4" t="s">
        <v>12274</v>
      </c>
      <c r="D196" s="4" t="s">
        <v>41</v>
      </c>
      <c r="E196" s="4" t="s">
        <v>9</v>
      </c>
      <c r="F196" s="4" t="s">
        <v>5122</v>
      </c>
      <c r="G196" s="4" t="s">
        <v>768</v>
      </c>
      <c r="H196" s="4">
        <v>3.9</v>
      </c>
      <c r="I196" s="4">
        <v>1.51</v>
      </c>
      <c r="J196" s="4" t="s">
        <v>12269</v>
      </c>
      <c r="K196" s="4" t="s">
        <v>12271</v>
      </c>
      <c r="L196" s="41">
        <v>0.29931999999999997</v>
      </c>
      <c r="M196" s="4" t="b">
        <v>1</v>
      </c>
      <c r="N196" s="4" t="b">
        <v>0</v>
      </c>
      <c r="O196" s="4" t="b">
        <v>0</v>
      </c>
      <c r="P196" s="4"/>
      <c r="Q196" s="4" t="b">
        <v>1</v>
      </c>
    </row>
    <row r="197" spans="1:17" ht="13">
      <c r="A197" s="4" t="s">
        <v>12638</v>
      </c>
      <c r="B197" s="4" t="s">
        <v>4926</v>
      </c>
      <c r="C197" s="4" t="s">
        <v>12274</v>
      </c>
      <c r="D197" s="4" t="s">
        <v>41</v>
      </c>
      <c r="E197" s="4" t="s">
        <v>9</v>
      </c>
      <c r="F197" s="4" t="s">
        <v>5447</v>
      </c>
      <c r="G197" s="4" t="s">
        <v>5448</v>
      </c>
      <c r="H197" s="4">
        <v>4</v>
      </c>
      <c r="I197" s="4">
        <v>1.43</v>
      </c>
      <c r="J197" s="4" t="s">
        <v>12269</v>
      </c>
      <c r="K197" s="4" t="s">
        <v>12271</v>
      </c>
      <c r="L197" s="41">
        <v>0.25452999999999998</v>
      </c>
      <c r="M197" s="4" t="b">
        <v>1</v>
      </c>
      <c r="N197" s="4" t="b">
        <v>0</v>
      </c>
      <c r="O197" s="4" t="b">
        <v>0</v>
      </c>
      <c r="P197" s="4"/>
      <c r="Q197" s="4" t="b">
        <v>0</v>
      </c>
    </row>
    <row r="198" spans="1:17" ht="13">
      <c r="A198" s="4" t="s">
        <v>12639</v>
      </c>
      <c r="B198" s="4" t="s">
        <v>4926</v>
      </c>
      <c r="C198" s="4" t="s">
        <v>12274</v>
      </c>
      <c r="D198" s="4" t="s">
        <v>41</v>
      </c>
      <c r="E198" s="4" t="s">
        <v>9</v>
      </c>
      <c r="F198" s="4" t="s">
        <v>6126</v>
      </c>
      <c r="G198" s="4" t="s">
        <v>6127</v>
      </c>
      <c r="H198" s="4">
        <v>4.25</v>
      </c>
      <c r="I198" s="4">
        <v>1.61</v>
      </c>
      <c r="J198" s="4" t="s">
        <v>12269</v>
      </c>
      <c r="K198" s="4" t="s">
        <v>12271</v>
      </c>
      <c r="L198" s="41">
        <v>0.24324999999999999</v>
      </c>
      <c r="M198" s="4" t="b">
        <v>1</v>
      </c>
      <c r="N198" s="4" t="b">
        <v>0</v>
      </c>
      <c r="O198" s="4" t="b">
        <v>0</v>
      </c>
      <c r="P198" s="4"/>
      <c r="Q198" s="4" t="b">
        <v>0</v>
      </c>
    </row>
    <row r="199" spans="1:17" ht="13">
      <c r="A199" s="4" t="s">
        <v>12641</v>
      </c>
      <c r="B199" s="4" t="s">
        <v>4926</v>
      </c>
      <c r="C199" s="4" t="s">
        <v>12274</v>
      </c>
      <c r="D199" s="4" t="s">
        <v>41</v>
      </c>
      <c r="E199" s="4" t="s">
        <v>9</v>
      </c>
      <c r="F199" s="4" t="s">
        <v>5043</v>
      </c>
      <c r="G199" s="4" t="s">
        <v>772</v>
      </c>
      <c r="H199" s="4">
        <v>4.57</v>
      </c>
      <c r="I199" s="4">
        <v>1.69</v>
      </c>
      <c r="J199" s="4" t="s">
        <v>12269</v>
      </c>
      <c r="K199" s="4" t="s">
        <v>12271</v>
      </c>
      <c r="L199" s="41">
        <v>0.26690000000000003</v>
      </c>
      <c r="M199" s="4" t="b">
        <v>1</v>
      </c>
      <c r="N199" s="4" t="b">
        <v>0</v>
      </c>
      <c r="O199" s="4" t="b">
        <v>0</v>
      </c>
      <c r="P199" s="4"/>
      <c r="Q199" s="4" t="b">
        <v>1</v>
      </c>
    </row>
    <row r="200" spans="1:17" ht="13">
      <c r="A200" s="4" t="s">
        <v>12642</v>
      </c>
      <c r="B200" s="4" t="s">
        <v>4926</v>
      </c>
      <c r="C200" s="4" t="s">
        <v>12274</v>
      </c>
      <c r="D200" s="4" t="s">
        <v>41</v>
      </c>
      <c r="E200" s="4" t="s">
        <v>9</v>
      </c>
      <c r="F200" s="4" t="s">
        <v>5877</v>
      </c>
      <c r="G200" s="4" t="s">
        <v>5878</v>
      </c>
      <c r="H200" s="4">
        <v>4.5999999999999996</v>
      </c>
      <c r="I200" s="4">
        <v>1.65</v>
      </c>
      <c r="J200" s="4" t="s">
        <v>12269</v>
      </c>
      <c r="K200" s="4" t="s">
        <v>12271</v>
      </c>
      <c r="L200" s="41">
        <v>0.23984</v>
      </c>
      <c r="M200" s="4" t="b">
        <v>1</v>
      </c>
      <c r="N200" s="4" t="b">
        <v>0</v>
      </c>
      <c r="O200" s="4" t="b">
        <v>0</v>
      </c>
      <c r="P200" s="4"/>
      <c r="Q200" s="4" t="b">
        <v>0</v>
      </c>
    </row>
    <row r="201" spans="1:17" ht="13">
      <c r="A201" s="4" t="s">
        <v>12643</v>
      </c>
      <c r="B201" s="4" t="s">
        <v>4926</v>
      </c>
      <c r="C201" s="4" t="s">
        <v>12274</v>
      </c>
      <c r="D201" s="4" t="s">
        <v>41</v>
      </c>
      <c r="E201" s="4" t="s">
        <v>9</v>
      </c>
      <c r="F201" s="4" t="s">
        <v>5880</v>
      </c>
      <c r="G201" s="4" t="s">
        <v>5881</v>
      </c>
      <c r="H201" s="4">
        <v>4.63</v>
      </c>
      <c r="I201" s="4">
        <v>1.2</v>
      </c>
      <c r="J201" s="4" t="s">
        <v>12269</v>
      </c>
      <c r="K201" s="4" t="s">
        <v>12271</v>
      </c>
      <c r="L201" s="41">
        <v>0.29257</v>
      </c>
      <c r="M201" s="4" t="b">
        <v>1</v>
      </c>
      <c r="N201" s="4" t="b">
        <v>0</v>
      </c>
      <c r="O201" s="4" t="b">
        <v>0</v>
      </c>
      <c r="P201" s="4"/>
      <c r="Q201" s="4" t="b">
        <v>0</v>
      </c>
    </row>
    <row r="202" spans="1:17" ht="13">
      <c r="A202" s="4" t="s">
        <v>12645</v>
      </c>
      <c r="B202" s="4" t="s">
        <v>4926</v>
      </c>
      <c r="C202" s="4" t="s">
        <v>12274</v>
      </c>
      <c r="D202" s="4" t="s">
        <v>41</v>
      </c>
      <c r="E202" s="4" t="s">
        <v>9</v>
      </c>
      <c r="F202" s="4" t="s">
        <v>5883</v>
      </c>
      <c r="G202" s="4" t="s">
        <v>5884</v>
      </c>
      <c r="H202" s="4">
        <v>4.7</v>
      </c>
      <c r="I202" s="4">
        <v>1.52</v>
      </c>
      <c r="J202" s="4" t="s">
        <v>12269</v>
      </c>
      <c r="K202" s="4" t="s">
        <v>12271</v>
      </c>
      <c r="L202" s="41">
        <v>0.22059000000000001</v>
      </c>
      <c r="M202" s="4" t="b">
        <v>1</v>
      </c>
      <c r="N202" s="4" t="b">
        <v>0</v>
      </c>
      <c r="O202" s="4" t="b">
        <v>0</v>
      </c>
      <c r="P202" s="4"/>
      <c r="Q202" s="4" t="b">
        <v>0</v>
      </c>
    </row>
    <row r="203" spans="1:17" ht="13">
      <c r="A203" s="4" t="s">
        <v>12646</v>
      </c>
      <c r="B203" s="4" t="s">
        <v>4926</v>
      </c>
      <c r="C203" s="4" t="s">
        <v>12274</v>
      </c>
      <c r="D203" s="4" t="s">
        <v>41</v>
      </c>
      <c r="E203" s="4" t="s">
        <v>9</v>
      </c>
      <c r="F203" s="4" t="s">
        <v>5886</v>
      </c>
      <c r="G203" s="4" t="s">
        <v>5887</v>
      </c>
      <c r="H203" s="4">
        <v>4.7300000000000004</v>
      </c>
      <c r="I203" s="4">
        <v>1.44</v>
      </c>
      <c r="J203" s="4" t="s">
        <v>12269</v>
      </c>
      <c r="K203" s="4" t="s">
        <v>12270</v>
      </c>
      <c r="L203" s="4">
        <v>0.21342</v>
      </c>
      <c r="M203" s="4" t="b">
        <v>1</v>
      </c>
      <c r="N203" s="4" t="b">
        <v>0</v>
      </c>
      <c r="O203" s="4" t="b">
        <v>0</v>
      </c>
      <c r="P203" s="4"/>
      <c r="Q203" s="4" t="b">
        <v>0</v>
      </c>
    </row>
    <row r="204" spans="1:17" ht="13">
      <c r="A204" s="4" t="s">
        <v>12647</v>
      </c>
      <c r="B204" s="4" t="s">
        <v>4926</v>
      </c>
      <c r="C204" s="4" t="s">
        <v>12274</v>
      </c>
      <c r="D204" s="4" t="s">
        <v>41</v>
      </c>
      <c r="E204" s="4" t="s">
        <v>9</v>
      </c>
      <c r="F204" s="4" t="s">
        <v>5857</v>
      </c>
      <c r="G204" s="4" t="s">
        <v>5858</v>
      </c>
      <c r="H204" s="4">
        <v>4.28</v>
      </c>
      <c r="I204" s="4">
        <v>1.54</v>
      </c>
      <c r="J204" s="4" t="s">
        <v>12269</v>
      </c>
      <c r="K204" s="4" t="s">
        <v>12271</v>
      </c>
      <c r="L204" s="41">
        <v>0.23066999999999999</v>
      </c>
      <c r="M204" s="4" t="b">
        <v>1</v>
      </c>
      <c r="N204" s="4" t="b">
        <v>0</v>
      </c>
      <c r="O204" s="4" t="b">
        <v>0</v>
      </c>
      <c r="P204" s="4"/>
      <c r="Q204" s="4" t="b">
        <v>0</v>
      </c>
    </row>
    <row r="205" spans="1:17" ht="13">
      <c r="A205" s="4" t="s">
        <v>12649</v>
      </c>
      <c r="B205" s="4" t="s">
        <v>4926</v>
      </c>
      <c r="C205" s="4" t="s">
        <v>12274</v>
      </c>
      <c r="D205" s="4" t="s">
        <v>41</v>
      </c>
      <c r="E205" s="4" t="s">
        <v>9</v>
      </c>
      <c r="F205" s="4" t="s">
        <v>5166</v>
      </c>
      <c r="G205" s="4" t="s">
        <v>771</v>
      </c>
      <c r="H205" s="4">
        <v>4.3499999999999996</v>
      </c>
      <c r="I205" s="4">
        <v>1.42</v>
      </c>
      <c r="J205" s="4" t="s">
        <v>12269</v>
      </c>
      <c r="K205" s="4" t="s">
        <v>12271</v>
      </c>
      <c r="L205" s="4">
        <v>0.29460999999999998</v>
      </c>
      <c r="M205" s="4" t="b">
        <v>1</v>
      </c>
      <c r="N205" s="4" t="b">
        <v>0</v>
      </c>
      <c r="O205" s="4" t="b">
        <v>0</v>
      </c>
      <c r="P205" s="4"/>
      <c r="Q205" s="4" t="b">
        <v>1</v>
      </c>
    </row>
    <row r="206" spans="1:17" ht="13">
      <c r="A206" s="4" t="s">
        <v>330</v>
      </c>
      <c r="B206" s="4" t="s">
        <v>4926</v>
      </c>
      <c r="C206" s="4" t="s">
        <v>12274</v>
      </c>
      <c r="D206" s="4" t="s">
        <v>41</v>
      </c>
      <c r="E206" s="4" t="s">
        <v>9</v>
      </c>
      <c r="F206" s="4" t="s">
        <v>5860</v>
      </c>
      <c r="G206" s="4" t="s">
        <v>317</v>
      </c>
      <c r="H206" s="4">
        <v>4.38</v>
      </c>
      <c r="I206" s="4">
        <v>1.42</v>
      </c>
      <c r="J206" s="4" t="s">
        <v>12269</v>
      </c>
      <c r="K206" s="4" t="s">
        <v>12271</v>
      </c>
      <c r="L206" s="4">
        <v>0.27922000000000002</v>
      </c>
      <c r="M206" s="4" t="b">
        <v>1</v>
      </c>
      <c r="N206" s="4" t="b">
        <v>0</v>
      </c>
      <c r="O206" s="40" t="b">
        <v>1</v>
      </c>
      <c r="P206" s="40" t="s">
        <v>5087</v>
      </c>
      <c r="Q206" s="40" t="b">
        <v>0</v>
      </c>
    </row>
    <row r="207" spans="1:17" ht="13">
      <c r="A207" s="4" t="s">
        <v>12651</v>
      </c>
      <c r="B207" s="4" t="s">
        <v>4926</v>
      </c>
      <c r="C207" s="4" t="s">
        <v>12274</v>
      </c>
      <c r="D207" s="4" t="s">
        <v>41</v>
      </c>
      <c r="E207" s="4" t="s">
        <v>9</v>
      </c>
      <c r="F207" s="4" t="s">
        <v>5865</v>
      </c>
      <c r="G207" s="4" t="s">
        <v>5866</v>
      </c>
      <c r="H207" s="4">
        <v>4.45</v>
      </c>
      <c r="I207" s="4">
        <v>1.53</v>
      </c>
      <c r="J207" s="4" t="s">
        <v>12269</v>
      </c>
      <c r="K207" s="4" t="s">
        <v>12271</v>
      </c>
      <c r="L207" s="41">
        <v>0.31514999999999999</v>
      </c>
      <c r="M207" s="4" t="b">
        <v>1</v>
      </c>
      <c r="N207" s="4" t="b">
        <v>0</v>
      </c>
      <c r="O207" s="4" t="b">
        <v>0</v>
      </c>
      <c r="P207" s="4"/>
      <c r="Q207" s="4" t="b">
        <v>0</v>
      </c>
    </row>
    <row r="208" spans="1:17" ht="13">
      <c r="A208" s="4" t="s">
        <v>12653</v>
      </c>
      <c r="B208" s="4" t="s">
        <v>4926</v>
      </c>
      <c r="C208" s="4" t="s">
        <v>12274</v>
      </c>
      <c r="D208" s="4" t="s">
        <v>41</v>
      </c>
      <c r="E208" s="4" t="s">
        <v>9</v>
      </c>
      <c r="F208" s="4" t="s">
        <v>5871</v>
      </c>
      <c r="G208" s="4" t="s">
        <v>5872</v>
      </c>
      <c r="H208" s="4">
        <v>4.5</v>
      </c>
      <c r="I208" s="4">
        <v>1.77</v>
      </c>
      <c r="J208" s="4" t="s">
        <v>12269</v>
      </c>
      <c r="K208" s="4" t="s">
        <v>12270</v>
      </c>
      <c r="L208" s="41">
        <v>0.25095000000000001</v>
      </c>
      <c r="M208" s="4" t="b">
        <v>1</v>
      </c>
      <c r="N208" s="4" t="b">
        <v>0</v>
      </c>
      <c r="O208" s="4" t="b">
        <v>0</v>
      </c>
      <c r="P208" s="4"/>
      <c r="Q208" s="4" t="b">
        <v>0</v>
      </c>
    </row>
    <row r="209" spans="1:17" ht="13">
      <c r="A209" s="4" t="s">
        <v>12654</v>
      </c>
      <c r="B209" s="4" t="s">
        <v>4926</v>
      </c>
      <c r="C209" s="4" t="s">
        <v>12274</v>
      </c>
      <c r="D209" s="4" t="s">
        <v>41</v>
      </c>
      <c r="E209" s="4" t="s">
        <v>9</v>
      </c>
      <c r="F209" s="4" t="s">
        <v>5889</v>
      </c>
      <c r="G209" s="4" t="s">
        <v>5890</v>
      </c>
      <c r="H209" s="4">
        <v>4.75</v>
      </c>
      <c r="I209" s="4">
        <v>1.56</v>
      </c>
      <c r="J209" s="4" t="s">
        <v>12269</v>
      </c>
      <c r="K209" s="4" t="s">
        <v>12270</v>
      </c>
      <c r="L209" s="41">
        <v>0.21906999999999999</v>
      </c>
      <c r="M209" s="4" t="b">
        <v>1</v>
      </c>
      <c r="N209" s="4" t="b">
        <v>0</v>
      </c>
      <c r="O209" s="4" t="b">
        <v>0</v>
      </c>
      <c r="P209" s="4"/>
      <c r="Q209" s="4" t="b">
        <v>0</v>
      </c>
    </row>
    <row r="210" spans="1:17" ht="13">
      <c r="A210" s="4" t="s">
        <v>12655</v>
      </c>
      <c r="B210" s="4" t="s">
        <v>4926</v>
      </c>
      <c r="C210" s="4" t="s">
        <v>12274</v>
      </c>
      <c r="D210" s="4" t="s">
        <v>41</v>
      </c>
      <c r="E210" s="4" t="s">
        <v>8</v>
      </c>
      <c r="F210" s="4" t="s">
        <v>12253</v>
      </c>
      <c r="G210" s="4" t="s">
        <v>12254</v>
      </c>
      <c r="H210" s="4">
        <v>5</v>
      </c>
      <c r="I210" s="4">
        <v>1.49</v>
      </c>
      <c r="J210" s="4" t="s">
        <v>12269</v>
      </c>
      <c r="K210" s="4" t="s">
        <v>12270</v>
      </c>
      <c r="L210" s="41">
        <v>0.22764999999999999</v>
      </c>
      <c r="M210" s="4" t="b">
        <v>1</v>
      </c>
      <c r="N210" s="4" t="b">
        <v>0</v>
      </c>
      <c r="O210" s="4" t="b">
        <v>0</v>
      </c>
      <c r="P210" s="4"/>
      <c r="Q210" s="4" t="b">
        <v>0</v>
      </c>
    </row>
    <row r="211" spans="1:17" ht="13">
      <c r="A211" s="4" t="s">
        <v>12656</v>
      </c>
      <c r="B211" s="4" t="s">
        <v>4926</v>
      </c>
      <c r="C211" s="4" t="s">
        <v>12274</v>
      </c>
      <c r="D211" s="4" t="s">
        <v>41</v>
      </c>
      <c r="E211" s="4" t="s">
        <v>8</v>
      </c>
      <c r="F211" s="4" t="s">
        <v>6164</v>
      </c>
      <c r="G211" s="4" t="s">
        <v>6165</v>
      </c>
      <c r="H211" s="4">
        <v>5.0199999999999996</v>
      </c>
      <c r="I211" s="4">
        <v>1.52</v>
      </c>
      <c r="J211" s="4" t="s">
        <v>12269</v>
      </c>
      <c r="K211" s="4" t="s">
        <v>12271</v>
      </c>
      <c r="L211" s="41">
        <v>0.25952999999999998</v>
      </c>
      <c r="M211" s="4" t="b">
        <v>1</v>
      </c>
      <c r="N211" s="4" t="b">
        <v>0</v>
      </c>
      <c r="O211" s="4" t="b">
        <v>0</v>
      </c>
      <c r="P211" s="4"/>
      <c r="Q211" s="4" t="b">
        <v>0</v>
      </c>
    </row>
    <row r="212" spans="1:17" ht="13">
      <c r="A212" s="4" t="s">
        <v>12657</v>
      </c>
      <c r="B212" s="4" t="s">
        <v>4926</v>
      </c>
      <c r="C212" s="4" t="s">
        <v>12274</v>
      </c>
      <c r="D212" s="4" t="s">
        <v>41</v>
      </c>
      <c r="E212" s="4" t="s">
        <v>8</v>
      </c>
      <c r="F212" s="4" t="s">
        <v>12250</v>
      </c>
      <c r="G212" s="4" t="s">
        <v>12251</v>
      </c>
      <c r="H212" s="4">
        <v>5.05</v>
      </c>
      <c r="I212" s="4">
        <v>1.26</v>
      </c>
      <c r="J212" s="4" t="s">
        <v>12269</v>
      </c>
      <c r="K212" s="4" t="s">
        <v>12271</v>
      </c>
      <c r="L212" s="41">
        <v>0.28164</v>
      </c>
      <c r="M212" s="4" t="b">
        <v>1</v>
      </c>
      <c r="N212" s="4" t="b">
        <v>0</v>
      </c>
      <c r="O212" s="41" t="b">
        <v>0</v>
      </c>
      <c r="P212" s="41"/>
      <c r="Q212" s="41" t="b">
        <v>0</v>
      </c>
    </row>
    <row r="213" spans="1:17" ht="13">
      <c r="A213" s="4" t="s">
        <v>12658</v>
      </c>
      <c r="B213" s="4" t="s">
        <v>4926</v>
      </c>
      <c r="C213" s="4" t="s">
        <v>12274</v>
      </c>
      <c r="D213" s="4" t="s">
        <v>41</v>
      </c>
      <c r="E213" s="4" t="s">
        <v>8</v>
      </c>
      <c r="F213" s="4" t="s">
        <v>5910</v>
      </c>
      <c r="G213" s="4" t="s">
        <v>5911</v>
      </c>
      <c r="H213" s="4">
        <v>5.13</v>
      </c>
      <c r="I213" s="4">
        <v>1.28</v>
      </c>
      <c r="J213" s="4" t="s">
        <v>12269</v>
      </c>
      <c r="K213" s="4" t="s">
        <v>12271</v>
      </c>
      <c r="L213" s="41">
        <v>0.20235</v>
      </c>
      <c r="M213" s="4" t="b">
        <v>1</v>
      </c>
      <c r="N213" s="4" t="b">
        <v>0</v>
      </c>
      <c r="O213" s="4" t="b">
        <v>0</v>
      </c>
      <c r="P213" s="4"/>
      <c r="Q213" s="4" t="b">
        <v>0</v>
      </c>
    </row>
    <row r="214" spans="1:17" ht="13">
      <c r="A214" s="4" t="s">
        <v>12659</v>
      </c>
      <c r="B214" s="4" t="s">
        <v>4926</v>
      </c>
      <c r="C214" s="4" t="s">
        <v>12274</v>
      </c>
      <c r="D214" s="4" t="s">
        <v>41</v>
      </c>
      <c r="E214" s="4" t="s">
        <v>8</v>
      </c>
      <c r="F214" s="4" t="s">
        <v>5913</v>
      </c>
      <c r="G214" s="4" t="s">
        <v>5914</v>
      </c>
      <c r="H214" s="4">
        <v>5.17</v>
      </c>
      <c r="I214" s="4">
        <v>1.39</v>
      </c>
      <c r="J214" s="4" t="s">
        <v>12269</v>
      </c>
      <c r="K214" s="4" t="s">
        <v>12271</v>
      </c>
      <c r="L214" s="4">
        <v>0.23369000000000001</v>
      </c>
      <c r="M214" s="4" t="b">
        <v>1</v>
      </c>
      <c r="N214" s="4" t="b">
        <v>0</v>
      </c>
      <c r="O214" s="41" t="b">
        <v>0</v>
      </c>
      <c r="P214" s="41"/>
      <c r="Q214" s="41" t="b">
        <v>0</v>
      </c>
    </row>
    <row r="215" spans="1:17" ht="13">
      <c r="A215" s="4" t="s">
        <v>12661</v>
      </c>
      <c r="B215" s="4" t="s">
        <v>4926</v>
      </c>
      <c r="C215" s="4" t="s">
        <v>12274</v>
      </c>
      <c r="D215" s="4" t="s">
        <v>41</v>
      </c>
      <c r="E215" s="4" t="s">
        <v>9</v>
      </c>
      <c r="F215" s="4" t="s">
        <v>6245</v>
      </c>
      <c r="G215" s="4" t="s">
        <v>6246</v>
      </c>
      <c r="H215" s="4">
        <v>4.8</v>
      </c>
      <c r="I215" s="4">
        <v>1.48</v>
      </c>
      <c r="J215" s="4" t="s">
        <v>12269</v>
      </c>
      <c r="K215" s="4" t="s">
        <v>12271</v>
      </c>
      <c r="L215" s="4">
        <v>0.30345</v>
      </c>
      <c r="M215" s="4" t="b">
        <v>1</v>
      </c>
      <c r="N215" s="4" t="b">
        <v>0</v>
      </c>
      <c r="O215" s="41" t="b">
        <v>0</v>
      </c>
      <c r="P215" s="41"/>
      <c r="Q215" s="41" t="b">
        <v>0</v>
      </c>
    </row>
    <row r="216" spans="1:17" ht="13">
      <c r="A216" s="4" t="s">
        <v>12663</v>
      </c>
      <c r="B216" s="4" t="s">
        <v>4926</v>
      </c>
      <c r="C216" s="4" t="s">
        <v>12274</v>
      </c>
      <c r="D216" s="4" t="s">
        <v>41</v>
      </c>
      <c r="E216" s="4" t="s">
        <v>8</v>
      </c>
      <c r="F216" s="4" t="s">
        <v>5901</v>
      </c>
      <c r="G216" s="4" t="s">
        <v>5902</v>
      </c>
      <c r="H216" s="4">
        <v>4.92</v>
      </c>
      <c r="I216" s="4">
        <v>1.47</v>
      </c>
      <c r="J216" s="4" t="s">
        <v>12269</v>
      </c>
      <c r="K216" s="4" t="s">
        <v>12270</v>
      </c>
      <c r="L216" s="41">
        <v>0.20863999999999999</v>
      </c>
      <c r="M216" s="4" t="b">
        <v>1</v>
      </c>
      <c r="N216" s="4" t="b">
        <v>0</v>
      </c>
      <c r="O216" s="4" t="b">
        <v>0</v>
      </c>
      <c r="P216" s="4"/>
      <c r="Q216" s="4" t="b">
        <v>0</v>
      </c>
    </row>
    <row r="217" spans="1:17" ht="13">
      <c r="A217" s="4" t="s">
        <v>12665</v>
      </c>
      <c r="B217" s="4" t="s">
        <v>4926</v>
      </c>
      <c r="C217" s="4" t="s">
        <v>12274</v>
      </c>
      <c r="D217" s="4" t="s">
        <v>41</v>
      </c>
      <c r="E217" s="4" t="s">
        <v>8</v>
      </c>
      <c r="F217" s="4" t="s">
        <v>5907</v>
      </c>
      <c r="G217" s="4" t="s">
        <v>5908</v>
      </c>
      <c r="H217" s="4">
        <v>4.97</v>
      </c>
      <c r="I217" s="4">
        <v>1.32</v>
      </c>
      <c r="J217" s="4" t="s">
        <v>12269</v>
      </c>
      <c r="K217" s="4" t="s">
        <v>12270</v>
      </c>
      <c r="L217" s="41">
        <v>0.20308000000000001</v>
      </c>
      <c r="M217" s="4" t="b">
        <v>1</v>
      </c>
      <c r="N217" s="4" t="b">
        <v>0</v>
      </c>
      <c r="O217" s="4" t="b">
        <v>0</v>
      </c>
      <c r="P217" s="4"/>
      <c r="Q217" s="4" t="b">
        <v>0</v>
      </c>
    </row>
    <row r="218" spans="1:17" ht="13">
      <c r="A218" s="4" t="s">
        <v>12666</v>
      </c>
      <c r="B218" s="4" t="s">
        <v>4926</v>
      </c>
      <c r="C218" s="4" t="s">
        <v>12274</v>
      </c>
      <c r="D218" s="4" t="s">
        <v>41</v>
      </c>
      <c r="E218" s="4" t="s">
        <v>8</v>
      </c>
      <c r="F218" s="4" t="s">
        <v>6209</v>
      </c>
      <c r="G218" s="4" t="s">
        <v>6210</v>
      </c>
      <c r="H218" s="4">
        <v>5.2</v>
      </c>
      <c r="I218" s="4">
        <v>1.47</v>
      </c>
      <c r="J218" s="4" t="s">
        <v>12269</v>
      </c>
      <c r="K218" s="4" t="s">
        <v>12270</v>
      </c>
      <c r="L218" s="4">
        <v>0.21537000000000001</v>
      </c>
      <c r="M218" s="4" t="b">
        <v>1</v>
      </c>
      <c r="N218" s="4" t="b">
        <v>0</v>
      </c>
      <c r="O218" s="4" t="b">
        <v>0</v>
      </c>
      <c r="P218" s="4"/>
      <c r="Q218" s="4" t="b">
        <v>0</v>
      </c>
    </row>
    <row r="219" spans="1:17" ht="13">
      <c r="A219" s="4" t="s">
        <v>12667</v>
      </c>
      <c r="B219" s="4" t="s">
        <v>4926</v>
      </c>
      <c r="C219" s="4" t="s">
        <v>12274</v>
      </c>
      <c r="D219" s="4" t="s">
        <v>41</v>
      </c>
      <c r="E219" s="4" t="s">
        <v>8</v>
      </c>
      <c r="F219" s="4" t="s">
        <v>5937</v>
      </c>
      <c r="G219" s="4" t="s">
        <v>5938</v>
      </c>
      <c r="H219" s="4">
        <v>5.5</v>
      </c>
      <c r="I219" s="4">
        <v>1.29</v>
      </c>
      <c r="J219" s="4" t="s">
        <v>12269</v>
      </c>
      <c r="K219" s="4" t="s">
        <v>12271</v>
      </c>
      <c r="L219" s="41">
        <v>0.29313</v>
      </c>
      <c r="M219" s="4" t="b">
        <v>1</v>
      </c>
      <c r="N219" s="4" t="b">
        <v>0</v>
      </c>
      <c r="O219" s="41" t="b">
        <v>0</v>
      </c>
      <c r="P219" s="41"/>
      <c r="Q219" s="41" t="b">
        <v>0</v>
      </c>
    </row>
    <row r="220" spans="1:17" ht="13">
      <c r="A220" s="4" t="s">
        <v>12668</v>
      </c>
      <c r="B220" s="4" t="s">
        <v>4926</v>
      </c>
      <c r="C220" s="4" t="s">
        <v>12274</v>
      </c>
      <c r="D220" s="4" t="s">
        <v>41</v>
      </c>
      <c r="E220" s="4" t="s">
        <v>8</v>
      </c>
      <c r="F220" s="4" t="s">
        <v>5940</v>
      </c>
      <c r="G220" s="4" t="s">
        <v>5941</v>
      </c>
      <c r="H220" s="4">
        <v>5.53</v>
      </c>
      <c r="I220" s="4">
        <v>1.2010000000000001</v>
      </c>
      <c r="J220" s="4" t="s">
        <v>12269</v>
      </c>
      <c r="K220" s="4" t="s">
        <v>12270</v>
      </c>
      <c r="L220" s="41">
        <v>0.19409000000000001</v>
      </c>
      <c r="M220" s="4" t="b">
        <v>1</v>
      </c>
      <c r="N220" s="4" t="b">
        <v>0</v>
      </c>
      <c r="O220" s="4" t="b">
        <v>0</v>
      </c>
      <c r="P220" s="4"/>
      <c r="Q220" s="4" t="b">
        <v>0</v>
      </c>
    </row>
    <row r="221" spans="1:17" ht="13">
      <c r="A221" s="4" t="s">
        <v>12671</v>
      </c>
      <c r="B221" s="4" t="s">
        <v>4926</v>
      </c>
      <c r="C221" s="4" t="s">
        <v>12274</v>
      </c>
      <c r="D221" s="4" t="s">
        <v>41</v>
      </c>
      <c r="E221" s="4" t="s">
        <v>8</v>
      </c>
      <c r="F221" s="4" t="s">
        <v>5149</v>
      </c>
      <c r="G221" s="4" t="s">
        <v>776</v>
      </c>
      <c r="H221" s="4">
        <v>5.63</v>
      </c>
      <c r="I221" s="4">
        <v>1.7</v>
      </c>
      <c r="J221" s="4" t="s">
        <v>12269</v>
      </c>
      <c r="K221" s="4" t="s">
        <v>12271</v>
      </c>
      <c r="L221" s="41">
        <v>0.25708999999999999</v>
      </c>
      <c r="M221" s="4" t="b">
        <v>1</v>
      </c>
      <c r="N221" s="4" t="b">
        <v>0</v>
      </c>
      <c r="O221" s="4" t="b">
        <v>0</v>
      </c>
      <c r="P221" s="4"/>
      <c r="Q221" s="4" t="b">
        <v>1</v>
      </c>
    </row>
    <row r="222" spans="1:17" ht="13">
      <c r="A222" s="4" t="s">
        <v>12673</v>
      </c>
      <c r="B222" s="4" t="s">
        <v>4926</v>
      </c>
      <c r="C222" s="4" t="s">
        <v>12274</v>
      </c>
      <c r="D222" s="4" t="s">
        <v>41</v>
      </c>
      <c r="E222" s="4" t="s">
        <v>8</v>
      </c>
      <c r="F222" s="4" t="s">
        <v>5916</v>
      </c>
      <c r="G222" s="4" t="s">
        <v>5917</v>
      </c>
      <c r="H222" s="4">
        <v>5.23</v>
      </c>
      <c r="I222" s="4">
        <v>1.65</v>
      </c>
      <c r="J222" s="4" t="s">
        <v>12269</v>
      </c>
      <c r="K222" s="4" t="s">
        <v>12271</v>
      </c>
      <c r="L222" s="41">
        <v>0.27467000000000003</v>
      </c>
      <c r="M222" s="4" t="b">
        <v>1</v>
      </c>
      <c r="N222" s="4" t="b">
        <v>0</v>
      </c>
      <c r="O222" s="4" t="b">
        <v>0</v>
      </c>
      <c r="P222" s="4"/>
      <c r="Q222" s="4" t="b">
        <v>0</v>
      </c>
    </row>
    <row r="223" spans="1:17" ht="13">
      <c r="A223" s="4" t="s">
        <v>12674</v>
      </c>
      <c r="B223" s="4" t="s">
        <v>4926</v>
      </c>
      <c r="C223" s="4" t="s">
        <v>12274</v>
      </c>
      <c r="D223" s="4" t="s">
        <v>41</v>
      </c>
      <c r="E223" s="4" t="s">
        <v>8</v>
      </c>
      <c r="F223" s="4" t="s">
        <v>5919</v>
      </c>
      <c r="G223" s="4" t="s">
        <v>5920</v>
      </c>
      <c r="H223" s="4">
        <v>5.27</v>
      </c>
      <c r="I223" s="4">
        <v>1.2</v>
      </c>
      <c r="J223" s="4" t="s">
        <v>12269</v>
      </c>
      <c r="K223" s="4" t="s">
        <v>12271</v>
      </c>
      <c r="L223" s="41">
        <v>0.27984999999999999</v>
      </c>
      <c r="M223" s="4" t="b">
        <v>1</v>
      </c>
      <c r="N223" s="4" t="b">
        <v>0</v>
      </c>
      <c r="O223" s="4" t="b">
        <v>0</v>
      </c>
      <c r="P223" s="4"/>
      <c r="Q223" s="4" t="b">
        <v>0</v>
      </c>
    </row>
    <row r="224" spans="1:17" ht="13">
      <c r="A224" s="4" t="s">
        <v>12675</v>
      </c>
      <c r="B224" s="4" t="s">
        <v>4926</v>
      </c>
      <c r="C224" s="4" t="s">
        <v>12274</v>
      </c>
      <c r="D224" s="4" t="s">
        <v>41</v>
      </c>
      <c r="E224" s="4" t="s">
        <v>8</v>
      </c>
      <c r="F224" s="4" t="s">
        <v>5126</v>
      </c>
      <c r="G224" s="4" t="s">
        <v>775</v>
      </c>
      <c r="H224" s="4">
        <v>5.3</v>
      </c>
      <c r="I224" s="4">
        <v>1.83</v>
      </c>
      <c r="J224" s="4" t="s">
        <v>12269</v>
      </c>
      <c r="K224" s="4" t="s">
        <v>12271</v>
      </c>
      <c r="L224" s="41">
        <v>0.27739000000000003</v>
      </c>
      <c r="M224" s="4" t="b">
        <v>1</v>
      </c>
      <c r="N224" s="4" t="b">
        <v>0</v>
      </c>
      <c r="O224" s="4" t="b">
        <v>0</v>
      </c>
      <c r="P224" s="4"/>
      <c r="Q224" s="4" t="b">
        <v>1</v>
      </c>
    </row>
    <row r="225" spans="1:17" ht="13">
      <c r="A225" s="4" t="s">
        <v>12676</v>
      </c>
      <c r="B225" s="4" t="s">
        <v>4926</v>
      </c>
      <c r="C225" s="4" t="s">
        <v>12274</v>
      </c>
      <c r="D225" s="4" t="s">
        <v>41</v>
      </c>
      <c r="E225" s="4" t="s">
        <v>8</v>
      </c>
      <c r="F225" s="4" t="s">
        <v>5922</v>
      </c>
      <c r="G225" s="4" t="s">
        <v>5923</v>
      </c>
      <c r="H225" s="4">
        <v>5.33</v>
      </c>
      <c r="I225" s="4">
        <v>1.49</v>
      </c>
      <c r="J225" s="4" t="s">
        <v>12269</v>
      </c>
      <c r="K225" s="4" t="s">
        <v>12271</v>
      </c>
      <c r="L225" s="41">
        <v>0.27753</v>
      </c>
      <c r="M225" s="4" t="b">
        <v>1</v>
      </c>
      <c r="N225" s="4" t="b">
        <v>0</v>
      </c>
      <c r="O225" s="4" t="b">
        <v>0</v>
      </c>
      <c r="P225" s="4"/>
      <c r="Q225" s="4" t="b">
        <v>0</v>
      </c>
    </row>
    <row r="226" spans="1:17" ht="13">
      <c r="A226" s="4" t="s">
        <v>12678</v>
      </c>
      <c r="B226" s="4" t="s">
        <v>4926</v>
      </c>
      <c r="C226" s="4" t="s">
        <v>12274</v>
      </c>
      <c r="D226" s="4" t="s">
        <v>41</v>
      </c>
      <c r="E226" s="4" t="s">
        <v>8</v>
      </c>
      <c r="F226" s="4" t="s">
        <v>5928</v>
      </c>
      <c r="G226" s="4" t="s">
        <v>5929</v>
      </c>
      <c r="H226" s="4">
        <v>5.4</v>
      </c>
      <c r="I226" s="4">
        <v>1.39</v>
      </c>
      <c r="J226" s="4" t="s">
        <v>12269</v>
      </c>
      <c r="K226" s="4" t="s">
        <v>12271</v>
      </c>
      <c r="L226" s="41">
        <v>0.26189000000000001</v>
      </c>
      <c r="M226" s="4" t="b">
        <v>1</v>
      </c>
      <c r="N226" s="4" t="b">
        <v>0</v>
      </c>
      <c r="O226" s="4" t="b">
        <v>0</v>
      </c>
      <c r="P226" s="4"/>
      <c r="Q226" s="4" t="b">
        <v>0</v>
      </c>
    </row>
    <row r="227" spans="1:17" ht="13">
      <c r="A227" s="4" t="s">
        <v>12679</v>
      </c>
      <c r="B227" s="4" t="s">
        <v>4926</v>
      </c>
      <c r="C227" s="4" t="s">
        <v>12274</v>
      </c>
      <c r="D227" s="4" t="s">
        <v>41</v>
      </c>
      <c r="E227" s="4" t="s">
        <v>8</v>
      </c>
      <c r="F227" s="4" t="s">
        <v>5931</v>
      </c>
      <c r="G227" s="4" t="s">
        <v>5932</v>
      </c>
      <c r="H227" s="4">
        <v>5.43</v>
      </c>
      <c r="I227" s="4">
        <v>1.2</v>
      </c>
      <c r="J227" s="4" t="s">
        <v>12269</v>
      </c>
      <c r="K227" s="4" t="s">
        <v>12273</v>
      </c>
      <c r="L227" s="41">
        <v>0.18704999999999999</v>
      </c>
      <c r="M227" s="4" t="b">
        <v>1</v>
      </c>
      <c r="N227" s="4" t="b">
        <v>0</v>
      </c>
      <c r="O227" s="4" t="b">
        <v>0</v>
      </c>
      <c r="P227" s="4"/>
      <c r="Q227" s="4" t="b">
        <v>0</v>
      </c>
    </row>
    <row r="228" spans="1:17" ht="13">
      <c r="A228" s="4" t="s">
        <v>12680</v>
      </c>
      <c r="B228" s="4" t="s">
        <v>4926</v>
      </c>
      <c r="C228" s="4" t="s">
        <v>12274</v>
      </c>
      <c r="D228" s="4" t="s">
        <v>41</v>
      </c>
      <c r="E228" s="4" t="s">
        <v>8</v>
      </c>
      <c r="F228" s="4" t="s">
        <v>5934</v>
      </c>
      <c r="G228" s="4" t="s">
        <v>5935</v>
      </c>
      <c r="H228" s="4">
        <v>5.47</v>
      </c>
      <c r="I228" s="4">
        <v>1.52</v>
      </c>
      <c r="J228" s="4" t="s">
        <v>12269</v>
      </c>
      <c r="K228" s="4" t="s">
        <v>12271</v>
      </c>
      <c r="L228" s="41">
        <v>0.23405000000000001</v>
      </c>
      <c r="M228" s="4" t="b">
        <v>1</v>
      </c>
      <c r="N228" s="4" t="b">
        <v>0</v>
      </c>
      <c r="O228" s="4" t="b">
        <v>0</v>
      </c>
      <c r="P228" s="4"/>
      <c r="Q228" s="4" t="b">
        <v>0</v>
      </c>
    </row>
    <row r="229" spans="1:17" ht="13">
      <c r="A229" s="4" t="s">
        <v>12681</v>
      </c>
      <c r="B229" s="4" t="s">
        <v>4926</v>
      </c>
      <c r="C229" s="4" t="s">
        <v>12274</v>
      </c>
      <c r="D229" s="4" t="s">
        <v>41</v>
      </c>
      <c r="E229" s="4" t="s">
        <v>8</v>
      </c>
      <c r="F229" s="4" t="s">
        <v>5952</v>
      </c>
      <c r="G229" s="4" t="s">
        <v>5953</v>
      </c>
      <c r="H229" s="4">
        <v>6.07</v>
      </c>
      <c r="I229" s="4">
        <v>1.49</v>
      </c>
      <c r="J229" s="4" t="s">
        <v>12269</v>
      </c>
      <c r="K229" s="4" t="s">
        <v>12271</v>
      </c>
      <c r="L229" s="41">
        <v>0.23435</v>
      </c>
      <c r="M229" s="4" t="b">
        <v>1</v>
      </c>
      <c r="N229" s="4" t="b">
        <v>0</v>
      </c>
      <c r="O229" s="4" t="b">
        <v>0</v>
      </c>
      <c r="P229" s="4"/>
      <c r="Q229" s="4" t="b">
        <v>0</v>
      </c>
    </row>
    <row r="230" spans="1:17" ht="13">
      <c r="A230" s="4" t="s">
        <v>12682</v>
      </c>
      <c r="B230" s="4" t="s">
        <v>4926</v>
      </c>
      <c r="C230" s="4" t="s">
        <v>12274</v>
      </c>
      <c r="D230" s="4" t="s">
        <v>41</v>
      </c>
      <c r="E230" s="4" t="s">
        <v>8</v>
      </c>
      <c r="F230" s="4" t="s">
        <v>5979</v>
      </c>
      <c r="G230" s="4" t="s">
        <v>5980</v>
      </c>
      <c r="H230" s="4">
        <v>6.13</v>
      </c>
      <c r="I230" s="4">
        <v>1.44</v>
      </c>
      <c r="J230" s="4" t="s">
        <v>12269</v>
      </c>
      <c r="K230" s="4" t="s">
        <v>12271</v>
      </c>
      <c r="L230" s="41">
        <v>0.30763000000000001</v>
      </c>
      <c r="M230" s="4" t="b">
        <v>1</v>
      </c>
      <c r="N230" s="4" t="b">
        <v>0</v>
      </c>
      <c r="O230" s="4" t="b">
        <v>0</v>
      </c>
      <c r="P230" s="4"/>
      <c r="Q230" s="4" t="b">
        <v>0</v>
      </c>
    </row>
    <row r="231" spans="1:17" ht="13">
      <c r="A231" s="4" t="s">
        <v>12684</v>
      </c>
      <c r="B231" s="4" t="s">
        <v>4926</v>
      </c>
      <c r="C231" s="4" t="s">
        <v>12274</v>
      </c>
      <c r="D231" s="4" t="s">
        <v>41</v>
      </c>
      <c r="E231" s="4" t="s">
        <v>8</v>
      </c>
      <c r="F231" s="4" t="s">
        <v>6212</v>
      </c>
      <c r="G231" s="4" t="s">
        <v>6213</v>
      </c>
      <c r="H231" s="4">
        <v>5.77</v>
      </c>
      <c r="I231" s="4">
        <v>1.71</v>
      </c>
      <c r="J231" s="4" t="s">
        <v>12269</v>
      </c>
      <c r="K231" s="4" t="s">
        <v>12271</v>
      </c>
      <c r="L231" s="41">
        <v>0.30331000000000002</v>
      </c>
      <c r="M231" s="4" t="b">
        <v>1</v>
      </c>
      <c r="N231" s="4" t="b">
        <v>0</v>
      </c>
      <c r="O231" s="4" t="b">
        <v>0</v>
      </c>
      <c r="P231" s="4"/>
      <c r="Q231" s="4" t="b">
        <v>0</v>
      </c>
    </row>
    <row r="232" spans="1:17" ht="13">
      <c r="A232" s="4" t="s">
        <v>12685</v>
      </c>
      <c r="B232" s="4" t="s">
        <v>4926</v>
      </c>
      <c r="C232" s="4" t="s">
        <v>12274</v>
      </c>
      <c r="D232" s="4" t="s">
        <v>41</v>
      </c>
      <c r="E232" s="4" t="s">
        <v>8</v>
      </c>
      <c r="F232" s="4" t="s">
        <v>6191</v>
      </c>
      <c r="G232" s="4" t="s">
        <v>6192</v>
      </c>
      <c r="H232" s="4">
        <v>5.83</v>
      </c>
      <c r="I232" s="4">
        <v>1.47</v>
      </c>
      <c r="J232" s="4" t="s">
        <v>12269</v>
      </c>
      <c r="K232" s="4" t="s">
        <v>12271</v>
      </c>
      <c r="L232" s="4">
        <v>0.29038000000000003</v>
      </c>
      <c r="M232" s="4" t="b">
        <v>1</v>
      </c>
      <c r="N232" s="4" t="b">
        <v>0</v>
      </c>
      <c r="O232" s="4" t="b">
        <v>0</v>
      </c>
      <c r="P232" s="4"/>
      <c r="Q232" s="4" t="b">
        <v>0</v>
      </c>
    </row>
    <row r="233" spans="1:17" ht="13">
      <c r="A233" s="4" t="s">
        <v>12686</v>
      </c>
      <c r="B233" s="4" t="s">
        <v>4926</v>
      </c>
      <c r="C233" s="4" t="s">
        <v>12274</v>
      </c>
      <c r="D233" s="4" t="s">
        <v>41</v>
      </c>
      <c r="E233" s="4" t="s">
        <v>8</v>
      </c>
      <c r="F233" s="4" t="s">
        <v>5961</v>
      </c>
      <c r="G233" s="4" t="s">
        <v>5962</v>
      </c>
      <c r="H233" s="4">
        <v>5.87</v>
      </c>
      <c r="I233" s="4">
        <v>1.4</v>
      </c>
      <c r="J233" s="4" t="s">
        <v>12269</v>
      </c>
      <c r="K233" s="4" t="s">
        <v>12271</v>
      </c>
      <c r="L233" s="41">
        <v>0.35909999999999997</v>
      </c>
      <c r="M233" s="4" t="b">
        <v>1</v>
      </c>
      <c r="N233" s="4" t="b">
        <v>0</v>
      </c>
      <c r="O233" s="4" t="b">
        <v>0</v>
      </c>
      <c r="P233" s="4"/>
      <c r="Q233" s="4" t="b">
        <v>0</v>
      </c>
    </row>
    <row r="234" spans="1:17" ht="13">
      <c r="A234" s="4" t="s">
        <v>12688</v>
      </c>
      <c r="B234" s="4" t="s">
        <v>4926</v>
      </c>
      <c r="C234" s="4" t="s">
        <v>12274</v>
      </c>
      <c r="D234" s="4" t="s">
        <v>41</v>
      </c>
      <c r="E234" s="4" t="s">
        <v>8</v>
      </c>
      <c r="F234" s="4" t="s">
        <v>5970</v>
      </c>
      <c r="G234" s="4" t="s">
        <v>5971</v>
      </c>
      <c r="H234" s="4">
        <v>5.97</v>
      </c>
      <c r="I234" s="4">
        <v>1.36</v>
      </c>
      <c r="J234" s="4" t="s">
        <v>12269</v>
      </c>
      <c r="K234" s="4" t="s">
        <v>12270</v>
      </c>
      <c r="L234" s="41">
        <v>0.27901999999999999</v>
      </c>
      <c r="M234" s="4" t="b">
        <v>1</v>
      </c>
      <c r="N234" s="4" t="b">
        <v>0</v>
      </c>
      <c r="O234" s="4" t="b">
        <v>0</v>
      </c>
      <c r="P234" s="4"/>
      <c r="Q234" s="4" t="b">
        <v>0</v>
      </c>
    </row>
    <row r="235" spans="1:17" ht="13">
      <c r="A235" s="4" t="s">
        <v>12689</v>
      </c>
      <c r="B235" s="4" t="s">
        <v>4926</v>
      </c>
      <c r="C235" s="4" t="s">
        <v>12274</v>
      </c>
      <c r="D235" s="4" t="s">
        <v>41</v>
      </c>
      <c r="E235" s="4" t="s">
        <v>8</v>
      </c>
      <c r="F235" s="4" t="s">
        <v>5973</v>
      </c>
      <c r="G235" s="4" t="s">
        <v>5974</v>
      </c>
      <c r="H235" s="4">
        <v>6</v>
      </c>
      <c r="I235" s="4">
        <v>1.52</v>
      </c>
      <c r="J235" s="4" t="s">
        <v>12269</v>
      </c>
      <c r="K235" s="4" t="s">
        <v>12271</v>
      </c>
      <c r="L235" s="41">
        <v>0.35548000000000002</v>
      </c>
      <c r="M235" s="4" t="b">
        <v>1</v>
      </c>
      <c r="N235" s="4" t="b">
        <v>0</v>
      </c>
      <c r="O235" s="4" t="b">
        <v>0</v>
      </c>
      <c r="P235" s="4"/>
      <c r="Q235" s="4" t="b">
        <v>0</v>
      </c>
    </row>
    <row r="236" spans="1:17" ht="13">
      <c r="A236" s="4" t="s">
        <v>12275</v>
      </c>
      <c r="B236" s="4" t="s">
        <v>4926</v>
      </c>
      <c r="C236" s="4" t="s">
        <v>4927</v>
      </c>
      <c r="D236" s="4" t="s">
        <v>41</v>
      </c>
      <c r="E236" s="4" t="s">
        <v>8</v>
      </c>
      <c r="F236" s="4" t="s">
        <v>5997</v>
      </c>
      <c r="G236" s="4" t="s">
        <v>5998</v>
      </c>
      <c r="M236" s="4" t="b">
        <v>0</v>
      </c>
      <c r="N236" s="4" t="b">
        <v>0</v>
      </c>
      <c r="O236" s="4" t="b">
        <v>0</v>
      </c>
      <c r="P236" s="4"/>
      <c r="Q236" s="4" t="b">
        <v>0</v>
      </c>
    </row>
    <row r="237" spans="1:17" ht="13">
      <c r="A237" s="4" t="s">
        <v>12276</v>
      </c>
      <c r="B237" s="4" t="s">
        <v>4926</v>
      </c>
      <c r="C237" s="4" t="s">
        <v>4927</v>
      </c>
      <c r="D237" s="4" t="s">
        <v>41</v>
      </c>
      <c r="E237" s="4" t="s">
        <v>8</v>
      </c>
      <c r="F237" s="4" t="s">
        <v>6012</v>
      </c>
      <c r="G237" s="4" t="s">
        <v>6013</v>
      </c>
      <c r="M237" s="4" t="b">
        <v>0</v>
      </c>
      <c r="N237" s="4" t="b">
        <v>0</v>
      </c>
      <c r="O237" s="4" t="b">
        <v>0</v>
      </c>
      <c r="P237" s="4"/>
      <c r="Q237" s="4" t="b">
        <v>0</v>
      </c>
    </row>
    <row r="238" spans="1:17" ht="13">
      <c r="A238" s="4" t="s">
        <v>12277</v>
      </c>
      <c r="B238" s="4" t="s">
        <v>4926</v>
      </c>
      <c r="C238" s="4" t="s">
        <v>4927</v>
      </c>
      <c r="D238" s="4" t="s">
        <v>41</v>
      </c>
      <c r="E238" s="4" t="s">
        <v>8</v>
      </c>
      <c r="F238" s="4" t="s">
        <v>5047</v>
      </c>
      <c r="G238" s="4" t="s">
        <v>783</v>
      </c>
      <c r="M238" s="4" t="b">
        <v>0</v>
      </c>
      <c r="N238" s="4" t="b">
        <v>0</v>
      </c>
      <c r="O238" s="41" t="b">
        <v>0</v>
      </c>
      <c r="P238" s="41"/>
      <c r="Q238" s="41" t="b">
        <v>1</v>
      </c>
    </row>
    <row r="239" spans="1:17" ht="13">
      <c r="A239" s="4" t="s">
        <v>12278</v>
      </c>
      <c r="B239" s="4" t="s">
        <v>4926</v>
      </c>
      <c r="C239" s="4" t="s">
        <v>4927</v>
      </c>
      <c r="D239" s="4" t="s">
        <v>41</v>
      </c>
      <c r="E239" s="4" t="s">
        <v>8</v>
      </c>
      <c r="F239" s="4" t="s">
        <v>6000</v>
      </c>
      <c r="G239" s="4" t="s">
        <v>6001</v>
      </c>
      <c r="M239" s="4" t="b">
        <v>0</v>
      </c>
      <c r="N239" s="4" t="b">
        <v>0</v>
      </c>
      <c r="O239" s="4" t="b">
        <v>0</v>
      </c>
      <c r="P239" s="4"/>
      <c r="Q239" s="4" t="b">
        <v>0</v>
      </c>
    </row>
    <row r="240" spans="1:17" ht="13">
      <c r="A240" s="4" t="s">
        <v>12279</v>
      </c>
      <c r="B240" s="4" t="s">
        <v>4926</v>
      </c>
      <c r="C240" s="4" t="s">
        <v>4927</v>
      </c>
      <c r="D240" s="4" t="s">
        <v>41</v>
      </c>
      <c r="E240" s="4" t="s">
        <v>8</v>
      </c>
      <c r="F240" s="4" t="s">
        <v>6015</v>
      </c>
      <c r="G240" s="4" t="s">
        <v>6016</v>
      </c>
      <c r="M240" s="4" t="b">
        <v>0</v>
      </c>
      <c r="N240" s="4" t="b">
        <v>0</v>
      </c>
      <c r="O240" s="4" t="b">
        <v>0</v>
      </c>
      <c r="P240" s="4"/>
      <c r="Q240" s="4" t="b">
        <v>0</v>
      </c>
    </row>
    <row r="241" spans="1:17" ht="13">
      <c r="A241" s="4" t="s">
        <v>12280</v>
      </c>
      <c r="B241" s="4" t="s">
        <v>4926</v>
      </c>
      <c r="C241" s="4" t="s">
        <v>4927</v>
      </c>
      <c r="D241" s="4" t="s">
        <v>41</v>
      </c>
      <c r="E241" s="4" t="s">
        <v>8</v>
      </c>
      <c r="F241" s="4" t="s">
        <v>6052</v>
      </c>
      <c r="G241" s="4" t="s">
        <v>6053</v>
      </c>
      <c r="M241" s="4" t="b">
        <v>0</v>
      </c>
      <c r="N241" s="4" t="b">
        <v>0</v>
      </c>
      <c r="O241" s="4" t="b">
        <v>0</v>
      </c>
      <c r="P241" s="4"/>
      <c r="Q241" s="4" t="b">
        <v>0</v>
      </c>
    </row>
    <row r="242" spans="1:17" ht="13">
      <c r="A242" s="4" t="s">
        <v>12281</v>
      </c>
      <c r="B242" s="4" t="s">
        <v>4926</v>
      </c>
      <c r="C242" s="4" t="s">
        <v>4927</v>
      </c>
      <c r="D242" s="4" t="s">
        <v>41</v>
      </c>
      <c r="E242" s="4" t="s">
        <v>8</v>
      </c>
      <c r="F242" s="4" t="s">
        <v>6003</v>
      </c>
      <c r="G242" s="4" t="s">
        <v>6004</v>
      </c>
      <c r="M242" s="4" t="b">
        <v>0</v>
      </c>
      <c r="N242" s="4" t="b">
        <v>0</v>
      </c>
      <c r="O242" s="4" t="b">
        <v>0</v>
      </c>
      <c r="P242" s="4"/>
      <c r="Q242" s="4" t="b">
        <v>0</v>
      </c>
    </row>
    <row r="243" spans="1:17" ht="13">
      <c r="A243" s="4" t="s">
        <v>12282</v>
      </c>
      <c r="B243" s="4" t="s">
        <v>4926</v>
      </c>
      <c r="C243" s="4" t="s">
        <v>4927</v>
      </c>
      <c r="D243" s="4" t="s">
        <v>41</v>
      </c>
      <c r="E243" s="4" t="s">
        <v>8</v>
      </c>
      <c r="F243" s="4" t="s">
        <v>6018</v>
      </c>
      <c r="G243" s="4" t="s">
        <v>6019</v>
      </c>
      <c r="M243" s="4" t="b">
        <v>0</v>
      </c>
      <c r="N243" s="4" t="b">
        <v>0</v>
      </c>
      <c r="O243" s="41" t="b">
        <v>0</v>
      </c>
      <c r="P243" s="41"/>
      <c r="Q243" s="41" t="b">
        <v>0</v>
      </c>
    </row>
    <row r="244" spans="1:17" ht="13">
      <c r="A244" s="4" t="s">
        <v>12283</v>
      </c>
      <c r="B244" s="4" t="s">
        <v>4926</v>
      </c>
      <c r="C244" s="4" t="s">
        <v>4927</v>
      </c>
      <c r="D244" s="4" t="s">
        <v>41</v>
      </c>
      <c r="E244" s="4" t="s">
        <v>8</v>
      </c>
      <c r="F244" s="4" t="s">
        <v>6055</v>
      </c>
      <c r="G244" s="4" t="s">
        <v>6056</v>
      </c>
      <c r="M244" s="4" t="b">
        <v>0</v>
      </c>
      <c r="N244" s="4" t="b">
        <v>0</v>
      </c>
      <c r="O244" s="4" t="b">
        <v>0</v>
      </c>
      <c r="P244" s="4"/>
      <c r="Q244" s="4" t="b">
        <v>0</v>
      </c>
    </row>
    <row r="245" spans="1:17" ht="13">
      <c r="A245" s="4" t="s">
        <v>12284</v>
      </c>
      <c r="B245" s="4" t="s">
        <v>4926</v>
      </c>
      <c r="C245" s="4" t="s">
        <v>4927</v>
      </c>
      <c r="D245" s="4" t="s">
        <v>41</v>
      </c>
      <c r="E245" s="4" t="s">
        <v>8</v>
      </c>
      <c r="F245" s="4" t="s">
        <v>5982</v>
      </c>
      <c r="G245" s="4" t="s">
        <v>5983</v>
      </c>
      <c r="M245" s="4" t="b">
        <v>0</v>
      </c>
      <c r="N245" s="4" t="b">
        <v>0</v>
      </c>
      <c r="O245" s="4" t="b">
        <v>0</v>
      </c>
      <c r="P245" s="4"/>
      <c r="Q245" s="4" t="b">
        <v>0</v>
      </c>
    </row>
    <row r="246" spans="1:17" ht="13">
      <c r="A246" s="4" t="s">
        <v>12285</v>
      </c>
      <c r="B246" s="4" t="s">
        <v>4926</v>
      </c>
      <c r="C246" s="4" t="s">
        <v>4927</v>
      </c>
      <c r="D246" s="4" t="s">
        <v>41</v>
      </c>
      <c r="E246" s="4" t="s">
        <v>8</v>
      </c>
      <c r="F246" s="4" t="s">
        <v>6021</v>
      </c>
      <c r="G246" s="4" t="s">
        <v>6022</v>
      </c>
      <c r="M246" s="4" t="b">
        <v>0</v>
      </c>
      <c r="N246" s="4" t="b">
        <v>0</v>
      </c>
      <c r="O246" s="4" t="b">
        <v>0</v>
      </c>
      <c r="P246" s="4"/>
      <c r="Q246" s="4" t="b">
        <v>0</v>
      </c>
    </row>
    <row r="247" spans="1:17" ht="13">
      <c r="A247" s="4" t="s">
        <v>12286</v>
      </c>
      <c r="B247" s="4" t="s">
        <v>4926</v>
      </c>
      <c r="C247" s="4" t="s">
        <v>4927</v>
      </c>
      <c r="D247" s="4" t="s">
        <v>41</v>
      </c>
      <c r="E247" s="4" t="s">
        <v>8</v>
      </c>
      <c r="F247" s="4" t="s">
        <v>5151</v>
      </c>
      <c r="G247" s="4" t="s">
        <v>781</v>
      </c>
      <c r="M247" s="4" t="b">
        <v>0</v>
      </c>
      <c r="N247" s="4" t="b">
        <v>0</v>
      </c>
      <c r="O247" s="41" t="b">
        <v>0</v>
      </c>
      <c r="P247" s="41"/>
      <c r="Q247" s="41" t="b">
        <v>1</v>
      </c>
    </row>
    <row r="248" spans="1:17" ht="13">
      <c r="A248" s="4" t="s">
        <v>12287</v>
      </c>
      <c r="B248" s="4" t="s">
        <v>4926</v>
      </c>
      <c r="C248" s="4" t="s">
        <v>4927</v>
      </c>
      <c r="D248" s="4" t="s">
        <v>41</v>
      </c>
      <c r="E248" s="4" t="s">
        <v>8</v>
      </c>
      <c r="F248" s="4" t="s">
        <v>6058</v>
      </c>
      <c r="G248" s="4" t="s">
        <v>6059</v>
      </c>
      <c r="M248" s="4" t="b">
        <v>0</v>
      </c>
      <c r="N248" s="4" t="b">
        <v>0</v>
      </c>
      <c r="O248" s="4" t="b">
        <v>0</v>
      </c>
      <c r="P248" s="4"/>
      <c r="Q248" s="4" t="b">
        <v>0</v>
      </c>
    </row>
    <row r="249" spans="1:17" ht="13">
      <c r="A249" s="4" t="s">
        <v>12288</v>
      </c>
      <c r="B249" s="4" t="s">
        <v>4926</v>
      </c>
      <c r="C249" s="4" t="s">
        <v>4927</v>
      </c>
      <c r="D249" s="4" t="s">
        <v>41</v>
      </c>
      <c r="E249" s="4" t="s">
        <v>8</v>
      </c>
      <c r="F249" s="4" t="s">
        <v>6009</v>
      </c>
      <c r="G249" s="4" t="s">
        <v>6010</v>
      </c>
      <c r="M249" s="4" t="b">
        <v>0</v>
      </c>
      <c r="N249" s="4" t="b">
        <v>0</v>
      </c>
      <c r="O249" s="4" t="b">
        <v>0</v>
      </c>
      <c r="P249" s="4"/>
      <c r="Q249" s="4" t="b">
        <v>0</v>
      </c>
    </row>
    <row r="250" spans="1:17" ht="13">
      <c r="A250" s="4" t="s">
        <v>12289</v>
      </c>
      <c r="B250" s="4" t="s">
        <v>4926</v>
      </c>
      <c r="C250" s="4" t="s">
        <v>4927</v>
      </c>
      <c r="D250" s="4" t="s">
        <v>41</v>
      </c>
      <c r="E250" s="4" t="s">
        <v>8</v>
      </c>
      <c r="F250" s="4" t="s">
        <v>6042</v>
      </c>
      <c r="G250" s="4" t="s">
        <v>6043</v>
      </c>
      <c r="M250" s="4" t="b">
        <v>0</v>
      </c>
      <c r="N250" s="4" t="b">
        <v>0</v>
      </c>
      <c r="O250" s="4" t="b">
        <v>0</v>
      </c>
      <c r="P250" s="4"/>
      <c r="Q250" s="4" t="b">
        <v>0</v>
      </c>
    </row>
    <row r="251" spans="1:17" ht="13">
      <c r="A251" s="4" t="s">
        <v>12290</v>
      </c>
      <c r="B251" s="4" t="s">
        <v>4926</v>
      </c>
      <c r="C251" s="4" t="s">
        <v>4927</v>
      </c>
      <c r="D251" s="4" t="s">
        <v>41</v>
      </c>
      <c r="E251" s="4" t="s">
        <v>8</v>
      </c>
      <c r="F251" s="4" t="s">
        <v>6061</v>
      </c>
      <c r="G251" s="4" t="s">
        <v>6062</v>
      </c>
      <c r="M251" s="4" t="b">
        <v>0</v>
      </c>
      <c r="N251" s="4" t="b">
        <v>0</v>
      </c>
      <c r="O251" s="4" t="b">
        <v>0</v>
      </c>
      <c r="P251" s="4"/>
      <c r="Q251" s="4" t="b">
        <v>0</v>
      </c>
    </row>
    <row r="252" spans="1:17" ht="13">
      <c r="A252" s="4" t="s">
        <v>12291</v>
      </c>
      <c r="B252" s="4" t="s">
        <v>4926</v>
      </c>
      <c r="C252" s="4" t="s">
        <v>4927</v>
      </c>
      <c r="D252" s="4" t="s">
        <v>41</v>
      </c>
      <c r="E252" s="4" t="s">
        <v>8</v>
      </c>
      <c r="F252" s="4" t="s">
        <v>6085</v>
      </c>
      <c r="G252" s="4" t="s">
        <v>6086</v>
      </c>
      <c r="M252" s="4" t="b">
        <v>0</v>
      </c>
      <c r="N252" s="4" t="b">
        <v>0</v>
      </c>
      <c r="O252" s="4" t="b">
        <v>0</v>
      </c>
      <c r="P252" s="4"/>
      <c r="Q252" s="4" t="b">
        <v>0</v>
      </c>
    </row>
    <row r="253" spans="1:17" ht="13">
      <c r="A253" s="4" t="s">
        <v>12292</v>
      </c>
      <c r="B253" s="4" t="s">
        <v>4926</v>
      </c>
      <c r="C253" s="4" t="s">
        <v>4927</v>
      </c>
      <c r="D253" s="4" t="s">
        <v>41</v>
      </c>
      <c r="E253" s="4" t="s">
        <v>8</v>
      </c>
      <c r="F253" s="4" t="s">
        <v>5150</v>
      </c>
      <c r="G253" s="4" t="s">
        <v>778</v>
      </c>
      <c r="M253" s="4" t="b">
        <v>0</v>
      </c>
      <c r="N253" s="4" t="b">
        <v>0</v>
      </c>
      <c r="O253" s="4" t="b">
        <v>0</v>
      </c>
      <c r="P253" s="4"/>
      <c r="Q253" s="4" t="b">
        <v>1</v>
      </c>
    </row>
    <row r="254" spans="1:17" ht="13">
      <c r="A254" s="4" t="s">
        <v>12293</v>
      </c>
      <c r="B254" s="4" t="s">
        <v>4926</v>
      </c>
      <c r="C254" s="4" t="s">
        <v>4927</v>
      </c>
      <c r="D254" s="4" t="s">
        <v>41</v>
      </c>
      <c r="E254" s="4" t="s">
        <v>8</v>
      </c>
      <c r="F254" s="4" t="s">
        <v>6024</v>
      </c>
      <c r="G254" s="4" t="s">
        <v>6025</v>
      </c>
      <c r="M254" s="4" t="b">
        <v>0</v>
      </c>
      <c r="N254" s="4" t="b">
        <v>0</v>
      </c>
      <c r="O254" s="41" t="b">
        <v>0</v>
      </c>
      <c r="P254" s="41"/>
      <c r="Q254" s="41" t="b">
        <v>0</v>
      </c>
    </row>
    <row r="255" spans="1:17" ht="13">
      <c r="A255" s="4" t="s">
        <v>12294</v>
      </c>
      <c r="B255" s="4" t="s">
        <v>4926</v>
      </c>
      <c r="C255" s="4" t="s">
        <v>4927</v>
      </c>
      <c r="D255" s="4" t="s">
        <v>41</v>
      </c>
      <c r="E255" s="4" t="s">
        <v>8</v>
      </c>
      <c r="F255" s="4" t="s">
        <v>6044</v>
      </c>
      <c r="G255" s="4" t="s">
        <v>782</v>
      </c>
      <c r="M255" s="4" t="b">
        <v>0</v>
      </c>
      <c r="N255" s="4" t="b">
        <v>0</v>
      </c>
      <c r="O255" s="4" t="b">
        <v>0</v>
      </c>
      <c r="P255" s="4"/>
      <c r="Q255" s="4" t="b">
        <v>0</v>
      </c>
    </row>
    <row r="256" spans="1:17" ht="13">
      <c r="A256" s="4" t="s">
        <v>12295</v>
      </c>
      <c r="B256" s="4" t="s">
        <v>4926</v>
      </c>
      <c r="C256" s="4" t="s">
        <v>4927</v>
      </c>
      <c r="D256" s="4" t="s">
        <v>41</v>
      </c>
      <c r="E256" s="4" t="s">
        <v>8</v>
      </c>
      <c r="F256" s="4" t="s">
        <v>6064</v>
      </c>
      <c r="G256" s="4" t="s">
        <v>6065</v>
      </c>
      <c r="M256" s="4" t="b">
        <v>0</v>
      </c>
      <c r="N256" s="4" t="b">
        <v>0</v>
      </c>
      <c r="O256" s="4" t="b">
        <v>0</v>
      </c>
      <c r="P256" s="4"/>
      <c r="Q256" s="4" t="b">
        <v>0</v>
      </c>
    </row>
    <row r="257" spans="1:17" ht="13">
      <c r="A257" s="4" t="s">
        <v>12296</v>
      </c>
      <c r="B257" s="4" t="s">
        <v>4926</v>
      </c>
      <c r="C257" s="4" t="s">
        <v>4927</v>
      </c>
      <c r="D257" s="4" t="s">
        <v>41</v>
      </c>
      <c r="E257" s="4" t="s">
        <v>8</v>
      </c>
      <c r="F257" s="4" t="s">
        <v>5991</v>
      </c>
      <c r="G257" s="4" t="s">
        <v>5992</v>
      </c>
      <c r="M257" s="4" t="b">
        <v>0</v>
      </c>
      <c r="N257" s="4" t="b">
        <v>0</v>
      </c>
      <c r="O257" s="4" t="b">
        <v>0</v>
      </c>
      <c r="P257" s="4"/>
      <c r="Q257" s="4" t="b">
        <v>0</v>
      </c>
    </row>
    <row r="258" spans="1:17" ht="13">
      <c r="A258" s="4" t="s">
        <v>12297</v>
      </c>
      <c r="B258" s="4" t="s">
        <v>4926</v>
      </c>
      <c r="C258" s="4" t="s">
        <v>4927</v>
      </c>
      <c r="D258" s="4" t="s">
        <v>41</v>
      </c>
      <c r="E258" s="4" t="s">
        <v>8</v>
      </c>
      <c r="F258" s="4" t="s">
        <v>5046</v>
      </c>
      <c r="G258" s="4" t="s">
        <v>779</v>
      </c>
      <c r="M258" s="4" t="b">
        <v>0</v>
      </c>
      <c r="N258" s="4" t="b">
        <v>0</v>
      </c>
      <c r="O258" s="4" t="b">
        <v>0</v>
      </c>
      <c r="P258" s="4"/>
      <c r="Q258" s="4" t="b">
        <v>1</v>
      </c>
    </row>
    <row r="259" spans="1:17" ht="13">
      <c r="A259" s="4" t="s">
        <v>12298</v>
      </c>
      <c r="B259" s="4" t="s">
        <v>4926</v>
      </c>
      <c r="C259" s="4" t="s">
        <v>4927</v>
      </c>
      <c r="D259" s="4" t="s">
        <v>41</v>
      </c>
      <c r="E259" s="4" t="s">
        <v>8</v>
      </c>
      <c r="F259" s="4" t="s">
        <v>6027</v>
      </c>
      <c r="G259" s="4" t="s">
        <v>6028</v>
      </c>
      <c r="M259" s="4" t="b">
        <v>0</v>
      </c>
      <c r="N259" s="4" t="b">
        <v>0</v>
      </c>
      <c r="O259" s="4" t="b">
        <v>0</v>
      </c>
      <c r="P259" s="4"/>
      <c r="Q259" s="4" t="b">
        <v>0</v>
      </c>
    </row>
    <row r="260" spans="1:17" ht="13">
      <c r="A260" s="4" t="s">
        <v>12299</v>
      </c>
      <c r="B260" s="4" t="s">
        <v>4926</v>
      </c>
      <c r="C260" s="4" t="s">
        <v>4927</v>
      </c>
      <c r="D260" s="4" t="s">
        <v>41</v>
      </c>
      <c r="E260" s="4" t="s">
        <v>8</v>
      </c>
      <c r="F260" s="4" t="s">
        <v>6046</v>
      </c>
      <c r="G260" s="4" t="s">
        <v>6047</v>
      </c>
      <c r="M260" s="4" t="b">
        <v>0</v>
      </c>
      <c r="N260" s="4" t="b">
        <v>0</v>
      </c>
      <c r="O260" s="41" t="b">
        <v>0</v>
      </c>
      <c r="P260" s="41"/>
      <c r="Q260" s="41" t="b">
        <v>0</v>
      </c>
    </row>
    <row r="261" spans="1:17" ht="13">
      <c r="A261" s="4" t="s">
        <v>12300</v>
      </c>
      <c r="B261" s="4" t="s">
        <v>4926</v>
      </c>
      <c r="C261" s="4" t="s">
        <v>4927</v>
      </c>
      <c r="D261" s="4" t="s">
        <v>41</v>
      </c>
      <c r="E261" s="4" t="s">
        <v>8</v>
      </c>
      <c r="F261" s="4" t="s">
        <v>6067</v>
      </c>
      <c r="G261" s="4" t="s">
        <v>6068</v>
      </c>
      <c r="M261" s="4" t="b">
        <v>0</v>
      </c>
      <c r="N261" s="4" t="b">
        <v>0</v>
      </c>
      <c r="O261" s="41" t="b">
        <v>0</v>
      </c>
      <c r="P261" s="41"/>
      <c r="Q261" s="41" t="b">
        <v>0</v>
      </c>
    </row>
    <row r="262" spans="1:17" ht="13">
      <c r="A262" s="4" t="s">
        <v>12301</v>
      </c>
      <c r="B262" s="4" t="s">
        <v>4926</v>
      </c>
      <c r="C262" s="4" t="s">
        <v>4927</v>
      </c>
      <c r="D262" s="4" t="s">
        <v>41</v>
      </c>
      <c r="E262" s="4" t="s">
        <v>8</v>
      </c>
      <c r="F262" s="4" t="s">
        <v>6215</v>
      </c>
      <c r="G262" s="4" t="s">
        <v>6216</v>
      </c>
      <c r="M262" s="4" t="b">
        <v>0</v>
      </c>
      <c r="N262" s="4" t="b">
        <v>0</v>
      </c>
      <c r="O262" s="4" t="b">
        <v>0</v>
      </c>
      <c r="P262" s="4"/>
      <c r="Q262" s="4" t="b">
        <v>0</v>
      </c>
    </row>
    <row r="263" spans="1:17" ht="13">
      <c r="A263" s="4" t="s">
        <v>12302</v>
      </c>
      <c r="B263" s="4" t="s">
        <v>4926</v>
      </c>
      <c r="C263" s="4" t="s">
        <v>4927</v>
      </c>
      <c r="D263" s="4" t="s">
        <v>41</v>
      </c>
      <c r="E263" s="4" t="s">
        <v>8</v>
      </c>
      <c r="F263" s="4" t="s">
        <v>5994</v>
      </c>
      <c r="G263" s="4" t="s">
        <v>5995</v>
      </c>
      <c r="M263" s="4" t="b">
        <v>0</v>
      </c>
      <c r="N263" s="4" t="b">
        <v>0</v>
      </c>
      <c r="O263" s="4" t="b">
        <v>0</v>
      </c>
      <c r="P263" s="4"/>
      <c r="Q263" s="4" t="b">
        <v>0</v>
      </c>
    </row>
    <row r="264" spans="1:17" ht="13">
      <c r="A264" s="4" t="s">
        <v>12303</v>
      </c>
      <c r="B264" s="4" t="s">
        <v>4926</v>
      </c>
      <c r="C264" s="4" t="s">
        <v>4927</v>
      </c>
      <c r="D264" s="4" t="s">
        <v>41</v>
      </c>
      <c r="E264" s="4" t="s">
        <v>8</v>
      </c>
      <c r="F264" s="4" t="s">
        <v>5167</v>
      </c>
      <c r="G264" s="4" t="s">
        <v>780</v>
      </c>
      <c r="M264" s="4" t="b">
        <v>0</v>
      </c>
      <c r="N264" s="4" t="b">
        <v>0</v>
      </c>
      <c r="O264" s="4" t="b">
        <v>0</v>
      </c>
      <c r="P264" s="4"/>
      <c r="Q264" s="4" t="b">
        <v>1</v>
      </c>
    </row>
    <row r="265" spans="1:17" ht="13">
      <c r="A265" s="4" t="s">
        <v>12304</v>
      </c>
      <c r="B265" s="4" t="s">
        <v>4926</v>
      </c>
      <c r="C265" s="4" t="s">
        <v>4927</v>
      </c>
      <c r="D265" s="4" t="s">
        <v>41</v>
      </c>
      <c r="E265" s="4" t="s">
        <v>8</v>
      </c>
      <c r="F265" s="4" t="s">
        <v>6030</v>
      </c>
      <c r="G265" s="4" t="s">
        <v>6031</v>
      </c>
      <c r="M265" s="4" t="b">
        <v>0</v>
      </c>
      <c r="N265" s="4" t="b">
        <v>0</v>
      </c>
      <c r="O265" s="4" t="b">
        <v>0</v>
      </c>
      <c r="P265" s="4"/>
      <c r="Q265" s="4" t="b">
        <v>0</v>
      </c>
    </row>
    <row r="266" spans="1:17" ht="13">
      <c r="A266" s="4" t="s">
        <v>12305</v>
      </c>
      <c r="B266" s="4" t="s">
        <v>4926</v>
      </c>
      <c r="C266" s="4" t="s">
        <v>4927</v>
      </c>
      <c r="D266" s="4" t="s">
        <v>41</v>
      </c>
      <c r="E266" s="4" t="s">
        <v>8</v>
      </c>
      <c r="F266" s="4" t="s">
        <v>6049</v>
      </c>
      <c r="G266" s="4" t="s">
        <v>6050</v>
      </c>
      <c r="M266" s="4" t="b">
        <v>0</v>
      </c>
      <c r="N266" s="4" t="b">
        <v>0</v>
      </c>
      <c r="O266" s="4" t="b">
        <v>0</v>
      </c>
      <c r="P266" s="4"/>
      <c r="Q266" s="4" t="b">
        <v>0</v>
      </c>
    </row>
    <row r="267" spans="1:17" ht="13">
      <c r="A267" s="4" t="s">
        <v>12306</v>
      </c>
      <c r="B267" s="4" t="s">
        <v>4926</v>
      </c>
      <c r="C267" s="4" t="s">
        <v>4927</v>
      </c>
      <c r="D267" s="4" t="s">
        <v>41</v>
      </c>
      <c r="E267" s="4" t="s">
        <v>8</v>
      </c>
      <c r="F267" s="4" t="s">
        <v>6070</v>
      </c>
      <c r="G267" s="4" t="s">
        <v>6071</v>
      </c>
      <c r="M267" s="4" t="b">
        <v>0</v>
      </c>
      <c r="N267" s="4" t="b">
        <v>0</v>
      </c>
      <c r="O267" s="4" t="b">
        <v>0</v>
      </c>
      <c r="P267" s="4"/>
      <c r="Q267" s="4" t="b">
        <v>0</v>
      </c>
    </row>
    <row r="268" spans="1:17" ht="13">
      <c r="A268" s="4" t="s">
        <v>12307</v>
      </c>
      <c r="B268" s="4" t="s">
        <v>4926</v>
      </c>
      <c r="C268" s="4" t="s">
        <v>4927</v>
      </c>
      <c r="D268" s="4" t="s">
        <v>41</v>
      </c>
      <c r="E268" s="4" t="s">
        <v>9</v>
      </c>
      <c r="F268" s="4" t="s">
        <v>5673</v>
      </c>
      <c r="G268" s="4" t="s">
        <v>5674</v>
      </c>
      <c r="M268" s="4" t="b">
        <v>0</v>
      </c>
      <c r="N268" s="4" t="b">
        <v>0</v>
      </c>
      <c r="O268" s="4" t="b">
        <v>0</v>
      </c>
      <c r="P268" s="4"/>
      <c r="Q268" s="4" t="b">
        <v>0</v>
      </c>
    </row>
    <row r="269" spans="1:17" ht="13">
      <c r="A269" s="4" t="s">
        <v>12308</v>
      </c>
      <c r="B269" s="4" t="s">
        <v>4926</v>
      </c>
      <c r="C269" s="4" t="s">
        <v>4927</v>
      </c>
      <c r="D269" s="4" t="s">
        <v>41</v>
      </c>
      <c r="E269" s="4" t="s">
        <v>9</v>
      </c>
      <c r="F269" s="4" t="s">
        <v>5022</v>
      </c>
      <c r="G269" s="4" t="s">
        <v>734</v>
      </c>
      <c r="M269" s="4" t="b">
        <v>0</v>
      </c>
      <c r="N269" s="4" t="b">
        <v>0</v>
      </c>
      <c r="O269" s="4" t="b">
        <v>0</v>
      </c>
      <c r="P269" s="4"/>
      <c r="Q269" s="4" t="b">
        <v>1</v>
      </c>
    </row>
    <row r="270" spans="1:17" ht="13">
      <c r="A270" s="4" t="s">
        <v>12309</v>
      </c>
      <c r="B270" s="4" t="s">
        <v>4926</v>
      </c>
      <c r="C270" s="4" t="s">
        <v>4927</v>
      </c>
      <c r="D270" s="4" t="s">
        <v>41</v>
      </c>
      <c r="E270" s="4" t="s">
        <v>9</v>
      </c>
      <c r="F270" s="4" t="s">
        <v>5168</v>
      </c>
      <c r="G270" s="4" t="s">
        <v>790</v>
      </c>
      <c r="M270" s="4" t="b">
        <v>0</v>
      </c>
      <c r="N270" s="4" t="b">
        <v>0</v>
      </c>
      <c r="O270" s="4" t="b">
        <v>0</v>
      </c>
      <c r="P270" s="4"/>
      <c r="Q270" s="4" t="b">
        <v>1</v>
      </c>
    </row>
    <row r="271" spans="1:17" ht="13">
      <c r="A271" s="4" t="s">
        <v>12310</v>
      </c>
      <c r="B271" s="4" t="s">
        <v>4926</v>
      </c>
      <c r="C271" s="4" t="s">
        <v>4927</v>
      </c>
      <c r="D271" s="4" t="s">
        <v>41</v>
      </c>
      <c r="E271" s="4" t="s">
        <v>9</v>
      </c>
      <c r="F271" s="4" t="s">
        <v>5095</v>
      </c>
      <c r="G271" s="4" t="s">
        <v>702</v>
      </c>
      <c r="M271" s="4" t="b">
        <v>0</v>
      </c>
      <c r="N271" s="4" t="b">
        <v>0</v>
      </c>
      <c r="O271" s="4" t="b">
        <v>0</v>
      </c>
      <c r="P271" s="4"/>
      <c r="Q271" s="4" t="b">
        <v>1</v>
      </c>
    </row>
    <row r="272" spans="1:17" ht="13">
      <c r="A272" s="4" t="s">
        <v>12311</v>
      </c>
      <c r="B272" s="4" t="s">
        <v>4926</v>
      </c>
      <c r="C272" s="4" t="s">
        <v>4927</v>
      </c>
      <c r="D272" s="4" t="s">
        <v>41</v>
      </c>
      <c r="E272" s="4" t="s">
        <v>9</v>
      </c>
      <c r="F272" s="4" t="s">
        <v>5676</v>
      </c>
      <c r="G272" s="4" t="s">
        <v>5677</v>
      </c>
      <c r="M272" s="4" t="b">
        <v>0</v>
      </c>
      <c r="N272" s="4" t="b">
        <v>0</v>
      </c>
      <c r="O272" s="4" t="b">
        <v>0</v>
      </c>
      <c r="P272" s="4"/>
      <c r="Q272" s="4" t="b">
        <v>0</v>
      </c>
    </row>
    <row r="273" spans="1:17" ht="13">
      <c r="A273" s="4" t="s">
        <v>12312</v>
      </c>
      <c r="B273" s="4" t="s">
        <v>4926</v>
      </c>
      <c r="C273" s="4" t="s">
        <v>4927</v>
      </c>
      <c r="D273" s="4" t="s">
        <v>41</v>
      </c>
      <c r="E273" s="4" t="s">
        <v>9</v>
      </c>
      <c r="F273" s="4" t="s">
        <v>5400</v>
      </c>
      <c r="G273" s="4" t="s">
        <v>5401</v>
      </c>
      <c r="M273" s="4" t="b">
        <v>0</v>
      </c>
      <c r="N273" s="4" t="b">
        <v>0</v>
      </c>
      <c r="O273" s="4" t="b">
        <v>0</v>
      </c>
      <c r="P273" s="4"/>
      <c r="Q273" s="4" t="b">
        <v>0</v>
      </c>
    </row>
    <row r="274" spans="1:17" ht="13">
      <c r="A274" s="4" t="s">
        <v>12313</v>
      </c>
      <c r="B274" s="4" t="s">
        <v>4926</v>
      </c>
      <c r="C274" s="4" t="s">
        <v>4927</v>
      </c>
      <c r="D274" s="4" t="s">
        <v>41</v>
      </c>
      <c r="E274" s="4" t="s">
        <v>9</v>
      </c>
      <c r="F274" s="4" t="s">
        <v>5679</v>
      </c>
      <c r="G274" s="4" t="s">
        <v>5680</v>
      </c>
      <c r="M274" s="4" t="b">
        <v>0</v>
      </c>
      <c r="N274" s="4" t="b">
        <v>0</v>
      </c>
      <c r="O274" s="4" t="b">
        <v>0</v>
      </c>
      <c r="P274" s="4"/>
      <c r="Q274" s="4" t="b">
        <v>0</v>
      </c>
    </row>
    <row r="275" spans="1:17" ht="13">
      <c r="A275" s="4" t="s">
        <v>12314</v>
      </c>
      <c r="B275" s="4" t="s">
        <v>4926</v>
      </c>
      <c r="C275" s="4" t="s">
        <v>4927</v>
      </c>
      <c r="D275" s="4" t="s">
        <v>41</v>
      </c>
      <c r="E275" s="4" t="s">
        <v>9</v>
      </c>
      <c r="F275" s="4" t="s">
        <v>5706</v>
      </c>
      <c r="G275" s="4" t="s">
        <v>5707</v>
      </c>
      <c r="M275" s="4" t="b">
        <v>0</v>
      </c>
      <c r="N275" s="4" t="b">
        <v>0</v>
      </c>
      <c r="O275" s="4" t="b">
        <v>0</v>
      </c>
      <c r="P275" s="4"/>
      <c r="Q275" s="4" t="b">
        <v>0</v>
      </c>
    </row>
    <row r="276" spans="1:17" ht="13">
      <c r="A276" s="4" t="s">
        <v>12315</v>
      </c>
      <c r="B276" s="4" t="s">
        <v>4926</v>
      </c>
      <c r="C276" s="4" t="s">
        <v>4927</v>
      </c>
      <c r="D276" s="4" t="s">
        <v>41</v>
      </c>
      <c r="E276" s="4" t="s">
        <v>9</v>
      </c>
      <c r="F276" s="4" t="s">
        <v>5551</v>
      </c>
      <c r="G276" s="4" t="s">
        <v>5552</v>
      </c>
      <c r="M276" s="4" t="b">
        <v>0</v>
      </c>
      <c r="N276" s="4" t="b">
        <v>0</v>
      </c>
      <c r="O276" s="41" t="b">
        <v>0</v>
      </c>
      <c r="P276" s="41"/>
      <c r="Q276" s="41" t="b">
        <v>0</v>
      </c>
    </row>
    <row r="277" spans="1:17" ht="13">
      <c r="A277" s="4" t="s">
        <v>12316</v>
      </c>
      <c r="B277" s="4" t="s">
        <v>4926</v>
      </c>
      <c r="C277" s="4" t="s">
        <v>4927</v>
      </c>
      <c r="D277" s="4" t="s">
        <v>41</v>
      </c>
      <c r="E277" s="4" t="s">
        <v>9</v>
      </c>
      <c r="F277" s="4" t="s">
        <v>5595</v>
      </c>
      <c r="G277" s="4" t="s">
        <v>5596</v>
      </c>
      <c r="M277" s="4" t="b">
        <v>0</v>
      </c>
      <c r="N277" s="4" t="b">
        <v>0</v>
      </c>
      <c r="O277" s="41" t="b">
        <v>0</v>
      </c>
      <c r="P277" s="41"/>
      <c r="Q277" s="41" t="b">
        <v>0</v>
      </c>
    </row>
    <row r="278" spans="1:17" ht="13">
      <c r="A278" s="4" t="s">
        <v>12317</v>
      </c>
      <c r="B278" s="4" t="s">
        <v>4926</v>
      </c>
      <c r="C278" s="4" t="s">
        <v>4927</v>
      </c>
      <c r="D278" s="4" t="s">
        <v>41</v>
      </c>
      <c r="E278" s="4" t="s">
        <v>9</v>
      </c>
      <c r="F278" s="4" t="s">
        <v>5646</v>
      </c>
      <c r="G278" s="4" t="s">
        <v>5647</v>
      </c>
      <c r="M278" s="4" t="b">
        <v>0</v>
      </c>
      <c r="N278" s="4" t="b">
        <v>0</v>
      </c>
      <c r="O278" s="4" t="b">
        <v>0</v>
      </c>
      <c r="P278" s="4"/>
      <c r="Q278" s="4" t="b">
        <v>0</v>
      </c>
    </row>
    <row r="279" spans="1:17" ht="13">
      <c r="A279" s="4" t="s">
        <v>12321</v>
      </c>
      <c r="B279" s="4" t="s">
        <v>4926</v>
      </c>
      <c r="C279" s="4" t="s">
        <v>4927</v>
      </c>
      <c r="D279" s="4" t="s">
        <v>41</v>
      </c>
      <c r="E279" s="4" t="s">
        <v>9</v>
      </c>
      <c r="F279" s="4" t="s">
        <v>5548</v>
      </c>
      <c r="G279" s="4" t="s">
        <v>5549</v>
      </c>
      <c r="H279" s="4">
        <v>6.6</v>
      </c>
      <c r="I279" s="4">
        <v>1.42</v>
      </c>
      <c r="J279" s="4" t="s">
        <v>12322</v>
      </c>
      <c r="K279" s="4" t="s">
        <v>12323</v>
      </c>
      <c r="M279" s="4" t="b">
        <v>0</v>
      </c>
      <c r="N279" s="4" t="b">
        <v>0</v>
      </c>
      <c r="O279" s="41" t="b">
        <v>0</v>
      </c>
      <c r="P279" s="41"/>
      <c r="Q279" s="41" t="b">
        <v>0</v>
      </c>
    </row>
    <row r="280" spans="1:17" ht="13">
      <c r="A280" s="4" t="s">
        <v>12327</v>
      </c>
      <c r="B280" s="4" t="s">
        <v>4926</v>
      </c>
      <c r="C280" s="4" t="s">
        <v>4927</v>
      </c>
      <c r="D280" s="4" t="s">
        <v>41</v>
      </c>
      <c r="E280" s="4" t="s">
        <v>9</v>
      </c>
      <c r="F280" s="4" t="s">
        <v>5530</v>
      </c>
      <c r="G280" s="4" t="s">
        <v>5531</v>
      </c>
      <c r="H280" s="4">
        <v>6.25</v>
      </c>
      <c r="I280" s="4">
        <v>1.28</v>
      </c>
      <c r="J280" s="4" t="s">
        <v>12322</v>
      </c>
      <c r="K280" s="4" t="s">
        <v>12328</v>
      </c>
      <c r="M280" s="4" t="b">
        <v>0</v>
      </c>
      <c r="N280" s="4" t="b">
        <v>0</v>
      </c>
      <c r="O280" s="4" t="b">
        <v>0</v>
      </c>
      <c r="P280" s="4"/>
      <c r="Q280" s="4" t="b">
        <v>0</v>
      </c>
    </row>
    <row r="281" spans="1:17" ht="13">
      <c r="A281" s="4" t="s">
        <v>12330</v>
      </c>
      <c r="B281" s="4" t="s">
        <v>4926</v>
      </c>
      <c r="C281" s="4" t="s">
        <v>4927</v>
      </c>
      <c r="D281" s="4" t="s">
        <v>41</v>
      </c>
      <c r="E281" s="4" t="s">
        <v>9</v>
      </c>
      <c r="F281" s="4" t="s">
        <v>5533</v>
      </c>
      <c r="G281" s="4" t="s">
        <v>5534</v>
      </c>
      <c r="H281" s="4">
        <v>6.32</v>
      </c>
      <c r="I281" s="4">
        <v>1.48</v>
      </c>
      <c r="J281" s="4" t="s">
        <v>12322</v>
      </c>
      <c r="K281" s="4" t="s">
        <v>12331</v>
      </c>
      <c r="M281" s="4" t="b">
        <v>0</v>
      </c>
      <c r="N281" s="4" t="b">
        <v>0</v>
      </c>
      <c r="O281" s="4" t="b">
        <v>0</v>
      </c>
      <c r="P281" s="4"/>
      <c r="Q281" s="4" t="b">
        <v>0</v>
      </c>
    </row>
    <row r="282" spans="1:17" ht="13">
      <c r="A282" s="4" t="s">
        <v>12333</v>
      </c>
      <c r="B282" s="4" t="s">
        <v>4926</v>
      </c>
      <c r="C282" s="4" t="s">
        <v>4927</v>
      </c>
      <c r="D282" s="4" t="s">
        <v>41</v>
      </c>
      <c r="E282" s="4" t="s">
        <v>9</v>
      </c>
      <c r="F282" s="4" t="s">
        <v>5539</v>
      </c>
      <c r="G282" s="4" t="s">
        <v>5540</v>
      </c>
      <c r="H282" s="4">
        <v>6.38</v>
      </c>
      <c r="I282" s="4">
        <v>1.49</v>
      </c>
      <c r="J282" s="4" t="s">
        <v>12322</v>
      </c>
      <c r="K282" s="4" t="s">
        <v>12328</v>
      </c>
      <c r="M282" s="4" t="b">
        <v>0</v>
      </c>
      <c r="N282" s="4" t="b">
        <v>0</v>
      </c>
      <c r="O282" s="41" t="b">
        <v>0</v>
      </c>
      <c r="P282" s="41"/>
      <c r="Q282" s="41" t="b">
        <v>0</v>
      </c>
    </row>
    <row r="283" spans="1:17" ht="13">
      <c r="A283" s="4" t="s">
        <v>12336</v>
      </c>
      <c r="B283" s="4" t="s">
        <v>4926</v>
      </c>
      <c r="C283" s="4" t="s">
        <v>4927</v>
      </c>
      <c r="D283" s="4" t="s">
        <v>41</v>
      </c>
      <c r="E283" s="4" t="s">
        <v>9</v>
      </c>
      <c r="F283" s="4" t="s">
        <v>5542</v>
      </c>
      <c r="G283" s="4" t="s">
        <v>5543</v>
      </c>
      <c r="H283" s="4">
        <v>6.5</v>
      </c>
      <c r="I283" s="4">
        <v>1.64</v>
      </c>
      <c r="J283" s="4" t="s">
        <v>12322</v>
      </c>
      <c r="K283" s="4" t="s">
        <v>12328</v>
      </c>
      <c r="M283" s="4" t="b">
        <v>0</v>
      </c>
      <c r="N283" s="4" t="b">
        <v>0</v>
      </c>
      <c r="O283" s="4" t="b">
        <v>0</v>
      </c>
      <c r="P283" s="4"/>
      <c r="Q283" s="4" t="b">
        <v>0</v>
      </c>
    </row>
    <row r="284" spans="1:17" ht="13">
      <c r="A284" s="4" t="s">
        <v>12338</v>
      </c>
      <c r="B284" s="4" t="s">
        <v>4926</v>
      </c>
      <c r="C284" s="4" t="s">
        <v>4927</v>
      </c>
      <c r="D284" s="4" t="s">
        <v>41</v>
      </c>
      <c r="E284" s="4" t="s">
        <v>9</v>
      </c>
      <c r="F284" s="4" t="s">
        <v>5337</v>
      </c>
      <c r="G284" s="4" t="s">
        <v>5338</v>
      </c>
      <c r="H284" s="4">
        <v>7.12</v>
      </c>
      <c r="I284" s="4">
        <v>1.63</v>
      </c>
      <c r="J284" s="4" t="s">
        <v>12322</v>
      </c>
      <c r="K284" s="4" t="s">
        <v>12328</v>
      </c>
      <c r="M284" s="4" t="b">
        <v>0</v>
      </c>
      <c r="N284" s="4" t="b">
        <v>0</v>
      </c>
      <c r="O284" s="4" t="b">
        <v>0</v>
      </c>
      <c r="P284" s="4"/>
      <c r="Q284" s="4" t="b">
        <v>0</v>
      </c>
    </row>
    <row r="285" spans="1:17" ht="13">
      <c r="A285" s="4" t="s">
        <v>12342</v>
      </c>
      <c r="B285" s="4" t="s">
        <v>4926</v>
      </c>
      <c r="C285" s="4" t="s">
        <v>4927</v>
      </c>
      <c r="D285" s="4" t="s">
        <v>41</v>
      </c>
      <c r="E285" s="4" t="s">
        <v>9</v>
      </c>
      <c r="F285" s="4" t="s">
        <v>5340</v>
      </c>
      <c r="G285" s="4" t="s">
        <v>5341</v>
      </c>
      <c r="H285" s="4">
        <v>7.27</v>
      </c>
      <c r="I285" s="4">
        <v>1.21</v>
      </c>
      <c r="J285" s="4" t="s">
        <v>12322</v>
      </c>
      <c r="K285" s="4" t="s">
        <v>12323</v>
      </c>
      <c r="M285" s="4" t="b">
        <v>0</v>
      </c>
      <c r="N285" s="4" t="b">
        <v>0</v>
      </c>
      <c r="O285" s="4" t="b">
        <v>0</v>
      </c>
      <c r="P285" s="4"/>
      <c r="Q285" s="4" t="b">
        <v>0</v>
      </c>
    </row>
    <row r="286" spans="1:17" ht="13">
      <c r="A286" s="4" t="s">
        <v>12343</v>
      </c>
      <c r="B286" s="4" t="s">
        <v>4926</v>
      </c>
      <c r="C286" s="4" t="s">
        <v>4927</v>
      </c>
      <c r="D286" s="4" t="s">
        <v>41</v>
      </c>
      <c r="E286" s="4" t="s">
        <v>9</v>
      </c>
      <c r="F286" s="4" t="s">
        <v>6153</v>
      </c>
      <c r="G286" s="4" t="s">
        <v>6154</v>
      </c>
      <c r="H286" s="4">
        <v>7.3</v>
      </c>
      <c r="I286" s="4">
        <v>1.45</v>
      </c>
      <c r="J286" s="4" t="s">
        <v>12269</v>
      </c>
      <c r="K286" s="4" t="s">
        <v>12344</v>
      </c>
      <c r="M286" s="4" t="b">
        <v>0</v>
      </c>
      <c r="N286" s="4" t="b">
        <v>0</v>
      </c>
      <c r="O286" s="41" t="b">
        <v>0</v>
      </c>
      <c r="P286" s="41"/>
      <c r="Q286" s="41" t="b">
        <v>0</v>
      </c>
    </row>
    <row r="287" spans="1:17" ht="13">
      <c r="A287" s="4" t="s">
        <v>12345</v>
      </c>
      <c r="B287" s="4" t="s">
        <v>4926</v>
      </c>
      <c r="C287" s="4" t="s">
        <v>4927</v>
      </c>
      <c r="D287" s="4" t="s">
        <v>41</v>
      </c>
      <c r="E287" s="4" t="s">
        <v>9</v>
      </c>
      <c r="F287" s="4" t="s">
        <v>5014</v>
      </c>
      <c r="G287" s="4" t="s">
        <v>722</v>
      </c>
      <c r="H287" s="4">
        <v>7.35</v>
      </c>
      <c r="I287" s="4">
        <v>1.54</v>
      </c>
      <c r="J287" s="4" t="s">
        <v>12269</v>
      </c>
      <c r="K287" s="4" t="s">
        <v>12344</v>
      </c>
      <c r="M287" s="4" t="b">
        <v>0</v>
      </c>
      <c r="N287" s="4" t="b">
        <v>0</v>
      </c>
      <c r="O287" s="4" t="b">
        <v>0</v>
      </c>
      <c r="P287" s="4"/>
      <c r="Q287" s="4" t="b">
        <v>1</v>
      </c>
    </row>
    <row r="288" spans="1:17" ht="13">
      <c r="A288" s="4" t="s">
        <v>12346</v>
      </c>
      <c r="B288" s="4" t="s">
        <v>4926</v>
      </c>
      <c r="C288" s="4" t="s">
        <v>4927</v>
      </c>
      <c r="D288" s="4" t="s">
        <v>41</v>
      </c>
      <c r="E288" s="4" t="s">
        <v>9</v>
      </c>
      <c r="F288" s="4" t="s">
        <v>5105</v>
      </c>
      <c r="G288" s="4" t="s">
        <v>720</v>
      </c>
      <c r="H288" s="4">
        <v>6.82</v>
      </c>
      <c r="I288" s="4">
        <v>1.49</v>
      </c>
      <c r="J288" s="4" t="s">
        <v>12322</v>
      </c>
      <c r="K288" s="4" t="s">
        <v>12328</v>
      </c>
      <c r="M288" s="4" t="b">
        <v>0</v>
      </c>
      <c r="N288" s="4" t="b">
        <v>0</v>
      </c>
      <c r="O288" s="4" t="b">
        <v>0</v>
      </c>
      <c r="P288" s="4"/>
      <c r="Q288" s="4" t="b">
        <v>1</v>
      </c>
    </row>
    <row r="289" spans="1:17" ht="13">
      <c r="A289" s="4" t="s">
        <v>12349</v>
      </c>
      <c r="B289" s="4" t="s">
        <v>4926</v>
      </c>
      <c r="C289" s="4" t="s">
        <v>4927</v>
      </c>
      <c r="D289" s="4" t="s">
        <v>41</v>
      </c>
      <c r="E289" s="4" t="s">
        <v>9</v>
      </c>
      <c r="F289" s="4" t="s">
        <v>5331</v>
      </c>
      <c r="G289" s="4" t="s">
        <v>5332</v>
      </c>
      <c r="H289" s="4">
        <v>6.93</v>
      </c>
      <c r="I289" s="4">
        <v>1.18</v>
      </c>
      <c r="J289" s="4" t="s">
        <v>12322</v>
      </c>
      <c r="K289" s="4" t="s">
        <v>12323</v>
      </c>
      <c r="M289" s="4" t="b">
        <v>0</v>
      </c>
      <c r="N289" s="4" t="b">
        <v>0</v>
      </c>
      <c r="O289" s="41" t="b">
        <v>0</v>
      </c>
      <c r="P289" s="41"/>
      <c r="Q289" s="41" t="b">
        <v>0</v>
      </c>
    </row>
    <row r="290" spans="1:17" ht="13">
      <c r="A290" s="4" t="s">
        <v>12350</v>
      </c>
      <c r="B290" s="4" t="s">
        <v>4926</v>
      </c>
      <c r="C290" s="4" t="s">
        <v>4927</v>
      </c>
      <c r="D290" s="4" t="s">
        <v>41</v>
      </c>
      <c r="E290" s="4" t="s">
        <v>9</v>
      </c>
      <c r="F290" s="4" t="s">
        <v>5334</v>
      </c>
      <c r="G290" s="4" t="s">
        <v>5335</v>
      </c>
      <c r="H290" s="4">
        <v>6.97</v>
      </c>
      <c r="I290" s="4">
        <v>1.6</v>
      </c>
      <c r="J290" s="4" t="s">
        <v>12322</v>
      </c>
      <c r="K290" s="4" t="s">
        <v>12323</v>
      </c>
      <c r="M290" s="4" t="b">
        <v>0</v>
      </c>
      <c r="N290" s="4" t="b">
        <v>0</v>
      </c>
      <c r="O290" s="4" t="b">
        <v>0</v>
      </c>
      <c r="P290" s="4"/>
      <c r="Q290" s="4" t="b">
        <v>0</v>
      </c>
    </row>
    <row r="291" spans="1:17" ht="13">
      <c r="A291" s="4" t="s">
        <v>12352</v>
      </c>
      <c r="B291" s="4" t="s">
        <v>4926</v>
      </c>
      <c r="C291" s="4" t="s">
        <v>4927</v>
      </c>
      <c r="D291" s="4" t="s">
        <v>41</v>
      </c>
      <c r="E291" s="4" t="s">
        <v>9</v>
      </c>
      <c r="F291" s="4" t="s">
        <v>6109</v>
      </c>
      <c r="G291" s="4" t="s">
        <v>6110</v>
      </c>
      <c r="H291" s="4">
        <v>7.05</v>
      </c>
      <c r="I291" s="4">
        <v>1.45</v>
      </c>
      <c r="J291" s="4" t="s">
        <v>12322</v>
      </c>
      <c r="K291" s="4" t="s">
        <v>12323</v>
      </c>
      <c r="M291" s="4" t="b">
        <v>0</v>
      </c>
      <c r="N291" s="4" t="b">
        <v>0</v>
      </c>
      <c r="O291" s="4" t="b">
        <v>0</v>
      </c>
      <c r="P291" s="4"/>
      <c r="Q291" s="4" t="b">
        <v>0</v>
      </c>
    </row>
    <row r="292" spans="1:17" ht="13">
      <c r="A292" s="4" t="s">
        <v>12353</v>
      </c>
      <c r="B292" s="4" t="s">
        <v>4926</v>
      </c>
      <c r="C292" s="4" t="s">
        <v>4927</v>
      </c>
      <c r="D292" s="4" t="s">
        <v>41</v>
      </c>
      <c r="E292" s="4" t="s">
        <v>9</v>
      </c>
      <c r="F292" s="4" t="s">
        <v>5569</v>
      </c>
      <c r="G292" s="4" t="s">
        <v>5570</v>
      </c>
      <c r="H292" s="4">
        <v>7.08</v>
      </c>
      <c r="I292" s="4">
        <v>1.32</v>
      </c>
      <c r="J292" s="4" t="s">
        <v>12322</v>
      </c>
      <c r="K292" s="4" t="s">
        <v>12328</v>
      </c>
      <c r="M292" s="4" t="b">
        <v>0</v>
      </c>
      <c r="N292" s="4" t="b">
        <v>0</v>
      </c>
      <c r="O292" s="4" t="b">
        <v>0</v>
      </c>
      <c r="P292" s="4"/>
      <c r="Q292" s="4" t="b">
        <v>0</v>
      </c>
    </row>
    <row r="293" spans="1:17" ht="13">
      <c r="A293" s="4" t="s">
        <v>12354</v>
      </c>
      <c r="B293" s="4" t="s">
        <v>4926</v>
      </c>
      <c r="C293" s="4" t="s">
        <v>4927</v>
      </c>
      <c r="D293" s="4" t="s">
        <v>41</v>
      </c>
      <c r="E293" s="4" t="s">
        <v>9</v>
      </c>
      <c r="F293" s="4" t="s">
        <v>5015</v>
      </c>
      <c r="G293" s="4" t="s">
        <v>723</v>
      </c>
      <c r="H293" s="4">
        <v>7.38</v>
      </c>
      <c r="I293" s="4">
        <v>1.35</v>
      </c>
      <c r="J293" s="4" t="s">
        <v>12269</v>
      </c>
      <c r="K293" s="4" t="s">
        <v>12344</v>
      </c>
      <c r="M293" s="4" t="b">
        <v>0</v>
      </c>
      <c r="N293" s="4" t="b">
        <v>0</v>
      </c>
      <c r="O293" s="41" t="b">
        <v>0</v>
      </c>
      <c r="P293" s="41"/>
      <c r="Q293" s="41" t="b">
        <v>1</v>
      </c>
    </row>
    <row r="294" spans="1:17" ht="13">
      <c r="A294" s="4" t="s">
        <v>12355</v>
      </c>
      <c r="B294" s="4" t="s">
        <v>4926</v>
      </c>
      <c r="C294" s="4" t="s">
        <v>4927</v>
      </c>
      <c r="D294" s="4" t="s">
        <v>41</v>
      </c>
      <c r="E294" s="4" t="s">
        <v>9</v>
      </c>
      <c r="F294" s="4" t="s">
        <v>5598</v>
      </c>
      <c r="G294" s="4" t="s">
        <v>5599</v>
      </c>
      <c r="H294" s="4">
        <v>7.75</v>
      </c>
      <c r="I294" s="4">
        <v>1.2</v>
      </c>
      <c r="J294" s="4" t="s">
        <v>12269</v>
      </c>
      <c r="K294" s="4" t="s">
        <v>12344</v>
      </c>
      <c r="M294" s="4" t="b">
        <v>0</v>
      </c>
      <c r="N294" s="4" t="b">
        <v>0</v>
      </c>
      <c r="O294" s="4" t="b">
        <v>0</v>
      </c>
      <c r="P294" s="4"/>
      <c r="Q294" s="4" t="b">
        <v>0</v>
      </c>
    </row>
    <row r="295" spans="1:17" ht="13">
      <c r="A295" s="4" t="s">
        <v>12356</v>
      </c>
      <c r="B295" s="4" t="s">
        <v>4926</v>
      </c>
      <c r="C295" s="4" t="s">
        <v>4927</v>
      </c>
      <c r="D295" s="4" t="s">
        <v>41</v>
      </c>
      <c r="E295" s="4" t="s">
        <v>9</v>
      </c>
      <c r="F295" s="4" t="s">
        <v>5604</v>
      </c>
      <c r="G295" s="4" t="s">
        <v>5605</v>
      </c>
      <c r="H295" s="4">
        <v>7.78</v>
      </c>
      <c r="I295" s="4">
        <v>1.6</v>
      </c>
      <c r="J295" s="4" t="s">
        <v>12322</v>
      </c>
      <c r="K295" s="4" t="s">
        <v>12328</v>
      </c>
      <c r="M295" s="4" t="b">
        <v>0</v>
      </c>
      <c r="N295" s="4" t="b">
        <v>0</v>
      </c>
      <c r="O295" s="41" t="b">
        <v>0</v>
      </c>
      <c r="P295" s="41"/>
      <c r="Q295" s="41" t="b">
        <v>0</v>
      </c>
    </row>
    <row r="296" spans="1:17" ht="13">
      <c r="A296" s="4" t="s">
        <v>12365</v>
      </c>
      <c r="B296" s="4" t="s">
        <v>4926</v>
      </c>
      <c r="C296" s="4" t="s">
        <v>4927</v>
      </c>
      <c r="D296" s="4" t="s">
        <v>41</v>
      </c>
      <c r="E296" s="4" t="s">
        <v>9</v>
      </c>
      <c r="F296" s="4" t="s">
        <v>5583</v>
      </c>
      <c r="G296" s="4" t="s">
        <v>5584</v>
      </c>
      <c r="H296" s="4">
        <v>7.55</v>
      </c>
      <c r="I296" s="4">
        <v>1.43</v>
      </c>
      <c r="J296" s="4" t="s">
        <v>12322</v>
      </c>
      <c r="K296" s="4" t="s">
        <v>12323</v>
      </c>
      <c r="M296" s="4" t="b">
        <v>0</v>
      </c>
      <c r="N296" s="4" t="b">
        <v>0</v>
      </c>
      <c r="O296" s="4" t="b">
        <v>0</v>
      </c>
      <c r="P296" s="4"/>
      <c r="Q296" s="4" t="b">
        <v>0</v>
      </c>
    </row>
    <row r="297" spans="1:17" ht="13">
      <c r="A297" s="4" t="s">
        <v>12369</v>
      </c>
      <c r="B297" s="4" t="s">
        <v>4926</v>
      </c>
      <c r="C297" s="4" t="s">
        <v>4927</v>
      </c>
      <c r="D297" s="4" t="s">
        <v>41</v>
      </c>
      <c r="E297" s="4" t="s">
        <v>9</v>
      </c>
      <c r="F297" s="4" t="s">
        <v>5589</v>
      </c>
      <c r="G297" s="4" t="s">
        <v>5590</v>
      </c>
      <c r="H297" s="4">
        <v>7.7</v>
      </c>
      <c r="I297" s="4">
        <v>1.45</v>
      </c>
      <c r="J297" s="4" t="s">
        <v>12269</v>
      </c>
      <c r="K297" s="4" t="s">
        <v>12271</v>
      </c>
      <c r="M297" s="4" t="b">
        <v>0</v>
      </c>
      <c r="N297" s="4" t="b">
        <v>0</v>
      </c>
      <c r="O297" s="4" t="b">
        <v>0</v>
      </c>
      <c r="P297" s="4"/>
      <c r="Q297" s="4" t="b">
        <v>0</v>
      </c>
    </row>
    <row r="298" spans="1:17" ht="13">
      <c r="A298" s="4" t="s">
        <v>12371</v>
      </c>
      <c r="B298" s="4" t="s">
        <v>4926</v>
      </c>
      <c r="C298" s="4" t="s">
        <v>4927</v>
      </c>
      <c r="D298" s="4" t="s">
        <v>41</v>
      </c>
      <c r="E298" s="4" t="s">
        <v>9</v>
      </c>
      <c r="F298" s="4" t="s">
        <v>5106</v>
      </c>
      <c r="G298" s="4" t="s">
        <v>727</v>
      </c>
      <c r="H298" s="4">
        <v>4.05</v>
      </c>
      <c r="I298" s="4">
        <v>1.35</v>
      </c>
      <c r="J298" s="4" t="s">
        <v>12322</v>
      </c>
      <c r="K298" s="4" t="s">
        <v>12323</v>
      </c>
      <c r="M298" s="4" t="b">
        <v>0</v>
      </c>
      <c r="N298" s="4" t="b">
        <v>0</v>
      </c>
      <c r="O298" s="4" t="b">
        <v>0</v>
      </c>
      <c r="P298" s="4"/>
      <c r="Q298" s="4" t="b">
        <v>1</v>
      </c>
    </row>
    <row r="299" spans="1:17" ht="13">
      <c r="A299" s="4" t="s">
        <v>12372</v>
      </c>
      <c r="B299" s="4" t="s">
        <v>4926</v>
      </c>
      <c r="C299" s="4" t="s">
        <v>4927</v>
      </c>
      <c r="D299" s="4" t="s">
        <v>41</v>
      </c>
      <c r="E299" s="4" t="s">
        <v>9</v>
      </c>
      <c r="F299" s="4" t="s">
        <v>5019</v>
      </c>
      <c r="G299" s="4" t="s">
        <v>728</v>
      </c>
      <c r="H299" s="4">
        <v>4.08</v>
      </c>
      <c r="I299" s="4">
        <v>1.49</v>
      </c>
      <c r="J299" s="4" t="s">
        <v>12322</v>
      </c>
      <c r="K299" s="4" t="s">
        <v>12331</v>
      </c>
      <c r="M299" s="4" t="b">
        <v>0</v>
      </c>
      <c r="N299" s="4" t="b">
        <v>0</v>
      </c>
      <c r="O299" s="4" t="b">
        <v>0</v>
      </c>
      <c r="P299" s="4"/>
      <c r="Q299" s="4" t="b">
        <v>1</v>
      </c>
    </row>
    <row r="300" spans="1:17" ht="13">
      <c r="A300" s="4" t="s">
        <v>12375</v>
      </c>
      <c r="B300" s="4" t="s">
        <v>4926</v>
      </c>
      <c r="C300" s="4" t="s">
        <v>4927</v>
      </c>
      <c r="D300" s="4" t="s">
        <v>41</v>
      </c>
      <c r="E300" s="4" t="s">
        <v>9</v>
      </c>
      <c r="F300" s="4" t="s">
        <v>5147</v>
      </c>
      <c r="G300" s="4" t="s">
        <v>729</v>
      </c>
      <c r="H300" s="4">
        <v>4.2</v>
      </c>
      <c r="I300" s="4">
        <v>1.76</v>
      </c>
      <c r="J300" s="4" t="s">
        <v>12322</v>
      </c>
      <c r="K300" s="4" t="s">
        <v>12331</v>
      </c>
      <c r="M300" s="4" t="b">
        <v>0</v>
      </c>
      <c r="N300" s="4" t="b">
        <v>0</v>
      </c>
      <c r="O300" s="4" t="b">
        <v>0</v>
      </c>
      <c r="P300" s="4"/>
      <c r="Q300" s="4" t="b">
        <v>1</v>
      </c>
    </row>
    <row r="301" spans="1:17" ht="13">
      <c r="A301" s="4" t="s">
        <v>12378</v>
      </c>
      <c r="B301" s="4" t="s">
        <v>4926</v>
      </c>
      <c r="C301" s="4" t="s">
        <v>4927</v>
      </c>
      <c r="D301" s="4" t="s">
        <v>41</v>
      </c>
      <c r="E301" s="4" t="s">
        <v>9</v>
      </c>
      <c r="F301" s="4" t="s">
        <v>5016</v>
      </c>
      <c r="G301" s="4" t="s">
        <v>724</v>
      </c>
      <c r="H301" s="4">
        <v>3.73</v>
      </c>
      <c r="I301" s="4">
        <v>1.59</v>
      </c>
      <c r="J301" s="4" t="s">
        <v>12322</v>
      </c>
      <c r="K301" s="4" t="s">
        <v>12323</v>
      </c>
      <c r="M301" s="4" t="b">
        <v>0</v>
      </c>
      <c r="N301" s="4" t="b">
        <v>0</v>
      </c>
      <c r="O301" s="4" t="b">
        <v>0</v>
      </c>
      <c r="P301" s="4"/>
      <c r="Q301" s="4" t="b">
        <v>1</v>
      </c>
    </row>
    <row r="302" spans="1:17" ht="13">
      <c r="A302" s="4" t="s">
        <v>12379</v>
      </c>
      <c r="B302" s="4" t="s">
        <v>4926</v>
      </c>
      <c r="C302" s="4" t="s">
        <v>4927</v>
      </c>
      <c r="D302" s="4" t="s">
        <v>41</v>
      </c>
      <c r="E302" s="4" t="s">
        <v>9</v>
      </c>
      <c r="F302" s="4" t="s">
        <v>5098</v>
      </c>
      <c r="G302" s="4" t="s">
        <v>707</v>
      </c>
      <c r="H302" s="4">
        <v>3.77</v>
      </c>
      <c r="I302" s="4">
        <v>1.27</v>
      </c>
      <c r="J302" s="4" t="s">
        <v>12322</v>
      </c>
      <c r="K302" s="4" t="s">
        <v>12323</v>
      </c>
      <c r="M302" s="4" t="b">
        <v>0</v>
      </c>
      <c r="N302" s="4" t="b">
        <v>0</v>
      </c>
      <c r="O302" s="4" t="b">
        <v>0</v>
      </c>
      <c r="P302" s="4"/>
      <c r="Q302" s="4" t="b">
        <v>1</v>
      </c>
    </row>
    <row r="303" spans="1:17" ht="13">
      <c r="A303" s="4" t="s">
        <v>12380</v>
      </c>
      <c r="B303" s="4" t="s">
        <v>4926</v>
      </c>
      <c r="C303" s="4" t="s">
        <v>4927</v>
      </c>
      <c r="D303" s="4" t="s">
        <v>41</v>
      </c>
      <c r="E303" s="4" t="s">
        <v>9</v>
      </c>
      <c r="F303" s="4" t="s">
        <v>5349</v>
      </c>
      <c r="G303" s="4" t="s">
        <v>5350</v>
      </c>
      <c r="H303" s="4">
        <v>3.85</v>
      </c>
      <c r="I303" s="4">
        <v>1.3</v>
      </c>
      <c r="J303" s="4" t="s">
        <v>12269</v>
      </c>
      <c r="K303" s="4" t="s">
        <v>12344</v>
      </c>
      <c r="M303" s="4" t="b">
        <v>0</v>
      </c>
      <c r="N303" s="4" t="b">
        <v>0</v>
      </c>
      <c r="O303" s="4" t="b">
        <v>0</v>
      </c>
      <c r="P303" s="4"/>
      <c r="Q303" s="4" t="b">
        <v>0</v>
      </c>
    </row>
    <row r="304" spans="1:17" ht="13">
      <c r="A304" s="4" t="s">
        <v>12383</v>
      </c>
      <c r="B304" s="4" t="s">
        <v>4926</v>
      </c>
      <c r="C304" s="4" t="s">
        <v>4927</v>
      </c>
      <c r="D304" s="4" t="s">
        <v>41</v>
      </c>
      <c r="E304" s="4" t="s">
        <v>9</v>
      </c>
      <c r="F304" s="4" t="s">
        <v>5355</v>
      </c>
      <c r="G304" s="4" t="s">
        <v>5356</v>
      </c>
      <c r="H304" s="4">
        <v>3.97</v>
      </c>
      <c r="I304" s="4">
        <v>1.58</v>
      </c>
      <c r="J304" s="4" t="s">
        <v>12322</v>
      </c>
      <c r="K304" s="4" t="s">
        <v>12328</v>
      </c>
      <c r="M304" s="4" t="b">
        <v>0</v>
      </c>
      <c r="N304" s="4" t="b">
        <v>0</v>
      </c>
      <c r="O304" s="4" t="b">
        <v>0</v>
      </c>
      <c r="P304" s="4"/>
      <c r="Q304" s="4" t="b">
        <v>0</v>
      </c>
    </row>
    <row r="305" spans="1:17" ht="13">
      <c r="A305" s="4" t="s">
        <v>12384</v>
      </c>
      <c r="B305" s="4" t="s">
        <v>4926</v>
      </c>
      <c r="C305" s="4" t="s">
        <v>4927</v>
      </c>
      <c r="D305" s="4" t="s">
        <v>41</v>
      </c>
      <c r="E305" s="4" t="s">
        <v>9</v>
      </c>
      <c r="F305" s="4" t="s">
        <v>5616</v>
      </c>
      <c r="G305" s="4" t="s">
        <v>5617</v>
      </c>
      <c r="H305" s="4">
        <v>4</v>
      </c>
      <c r="I305" s="4">
        <v>1.63</v>
      </c>
      <c r="J305" s="4" t="s">
        <v>12322</v>
      </c>
      <c r="K305" s="4" t="s">
        <v>12323</v>
      </c>
      <c r="M305" s="4" t="b">
        <v>0</v>
      </c>
      <c r="N305" s="4" t="b">
        <v>0</v>
      </c>
      <c r="O305" s="4" t="b">
        <v>0</v>
      </c>
      <c r="P305" s="4"/>
      <c r="Q305" s="4" t="b">
        <v>0</v>
      </c>
    </row>
    <row r="306" spans="1:17" ht="13">
      <c r="A306" s="4" t="s">
        <v>12387</v>
      </c>
      <c r="B306" s="4" t="s">
        <v>4926</v>
      </c>
      <c r="C306" s="4" t="s">
        <v>4927</v>
      </c>
      <c r="D306" s="4" t="s">
        <v>41</v>
      </c>
      <c r="E306" s="4" t="s">
        <v>9</v>
      </c>
      <c r="F306" s="4" t="s">
        <v>5307</v>
      </c>
      <c r="G306" s="4" t="s">
        <v>5308</v>
      </c>
      <c r="H306" s="4">
        <v>4.7300000000000004</v>
      </c>
      <c r="I306" s="4">
        <v>0.97499999999999998</v>
      </c>
      <c r="J306" s="4" t="s">
        <v>12322</v>
      </c>
      <c r="K306" s="4" t="s">
        <v>12328</v>
      </c>
      <c r="M306" s="4" t="b">
        <v>0</v>
      </c>
      <c r="N306" s="4" t="b">
        <v>0</v>
      </c>
      <c r="O306" s="4" t="b">
        <v>0</v>
      </c>
      <c r="P306" s="4"/>
      <c r="Q306" s="4" t="b">
        <v>0</v>
      </c>
    </row>
    <row r="307" spans="1:17" ht="13">
      <c r="A307" s="4" t="s">
        <v>12388</v>
      </c>
      <c r="B307" s="4" t="s">
        <v>4926</v>
      </c>
      <c r="C307" s="4" t="s">
        <v>4927</v>
      </c>
      <c r="D307" s="4" t="s">
        <v>41</v>
      </c>
      <c r="E307" s="4" t="s">
        <v>9</v>
      </c>
      <c r="F307" s="4" t="s">
        <v>5048</v>
      </c>
      <c r="G307" s="4" t="s">
        <v>785</v>
      </c>
      <c r="H307" s="4">
        <v>4.78</v>
      </c>
      <c r="I307" s="4">
        <v>1.33</v>
      </c>
      <c r="J307" s="4" t="s">
        <v>12269</v>
      </c>
      <c r="K307" s="4" t="s">
        <v>12344</v>
      </c>
      <c r="M307" s="4" t="b">
        <v>0</v>
      </c>
      <c r="N307" s="4" t="b">
        <v>0</v>
      </c>
      <c r="O307" s="4" t="b">
        <v>0</v>
      </c>
      <c r="P307" s="4"/>
      <c r="Q307" s="4" t="b">
        <v>1</v>
      </c>
    </row>
    <row r="308" spans="1:17" ht="13">
      <c r="A308" s="4" t="s">
        <v>12389</v>
      </c>
      <c r="B308" s="4" t="s">
        <v>4926</v>
      </c>
      <c r="C308" s="4" t="s">
        <v>4927</v>
      </c>
      <c r="D308" s="4" t="s">
        <v>41</v>
      </c>
      <c r="E308" s="4" t="s">
        <v>9</v>
      </c>
      <c r="F308" s="4" t="s">
        <v>5310</v>
      </c>
      <c r="G308" s="4" t="s">
        <v>5311</v>
      </c>
      <c r="H308" s="4">
        <v>4.82</v>
      </c>
      <c r="I308" s="4">
        <v>1.2</v>
      </c>
      <c r="J308" s="4" t="s">
        <v>12322</v>
      </c>
      <c r="K308" s="4" t="s">
        <v>12328</v>
      </c>
      <c r="M308" s="4" t="b">
        <v>0</v>
      </c>
      <c r="N308" s="4" t="b">
        <v>0</v>
      </c>
      <c r="O308" s="4" t="b">
        <v>0</v>
      </c>
      <c r="P308" s="4"/>
      <c r="Q308" s="4" t="b">
        <v>0</v>
      </c>
    </row>
    <row r="309" spans="1:17" ht="13">
      <c r="A309" s="4" t="s">
        <v>12390</v>
      </c>
      <c r="B309" s="4" t="s">
        <v>4926</v>
      </c>
      <c r="C309" s="4" t="s">
        <v>4927</v>
      </c>
      <c r="D309" s="4" t="s">
        <v>41</v>
      </c>
      <c r="E309" s="4" t="s">
        <v>9</v>
      </c>
      <c r="F309" s="4" t="s">
        <v>5477</v>
      </c>
      <c r="G309" s="4" t="s">
        <v>5478</v>
      </c>
      <c r="H309" s="4">
        <v>4.8499999999999996</v>
      </c>
      <c r="I309" s="4">
        <v>1.28</v>
      </c>
      <c r="J309" s="4" t="s">
        <v>12322</v>
      </c>
      <c r="K309" s="4" t="s">
        <v>12328</v>
      </c>
      <c r="M309" s="4" t="b">
        <v>0</v>
      </c>
      <c r="N309" s="4" t="b">
        <v>0</v>
      </c>
      <c r="O309" s="4" t="b">
        <v>0</v>
      </c>
      <c r="P309" s="4"/>
      <c r="Q309" s="4" t="b">
        <v>0</v>
      </c>
    </row>
    <row r="310" spans="1:17" ht="13">
      <c r="A310" s="4" t="s">
        <v>12392</v>
      </c>
      <c r="B310" s="4" t="s">
        <v>4926</v>
      </c>
      <c r="C310" s="4" t="s">
        <v>4927</v>
      </c>
      <c r="D310" s="4" t="s">
        <v>41</v>
      </c>
      <c r="E310" s="4" t="s">
        <v>9</v>
      </c>
      <c r="F310" s="4" t="s">
        <v>6129</v>
      </c>
      <c r="G310" s="4" t="s">
        <v>6130</v>
      </c>
      <c r="H310" s="4">
        <v>4.93</v>
      </c>
      <c r="I310" s="4">
        <v>1.2</v>
      </c>
      <c r="J310" s="4" t="s">
        <v>12269</v>
      </c>
      <c r="K310" s="4" t="s">
        <v>12344</v>
      </c>
      <c r="M310" s="4" t="b">
        <v>0</v>
      </c>
      <c r="N310" s="4" t="b">
        <v>0</v>
      </c>
      <c r="O310" s="41" t="b">
        <v>0</v>
      </c>
      <c r="P310" s="41"/>
      <c r="Q310" s="41" t="b">
        <v>0</v>
      </c>
    </row>
    <row r="311" spans="1:17" ht="13">
      <c r="A311" s="4" t="s">
        <v>12397</v>
      </c>
      <c r="B311" s="4" t="s">
        <v>4926</v>
      </c>
      <c r="C311" s="4" t="s">
        <v>4927</v>
      </c>
      <c r="D311" s="4" t="s">
        <v>41</v>
      </c>
      <c r="E311" s="4" t="s">
        <v>9</v>
      </c>
      <c r="F311" s="4" t="s">
        <v>5468</v>
      </c>
      <c r="G311" s="4" t="s">
        <v>5469</v>
      </c>
      <c r="H311" s="4">
        <v>4.55</v>
      </c>
      <c r="I311" s="4">
        <v>1.42</v>
      </c>
      <c r="J311" s="4" t="s">
        <v>12322</v>
      </c>
      <c r="K311" s="4" t="s">
        <v>12323</v>
      </c>
      <c r="M311" s="4" t="b">
        <v>0</v>
      </c>
      <c r="N311" s="4" t="b">
        <v>0</v>
      </c>
      <c r="O311" s="41" t="b">
        <v>0</v>
      </c>
      <c r="P311" s="41"/>
      <c r="Q311" s="41" t="b">
        <v>0</v>
      </c>
    </row>
    <row r="312" spans="1:17" ht="13">
      <c r="A312" s="4" t="s">
        <v>12404</v>
      </c>
      <c r="B312" s="4" t="s">
        <v>4926</v>
      </c>
      <c r="C312" s="4" t="s">
        <v>4927</v>
      </c>
      <c r="D312" s="4" t="s">
        <v>41</v>
      </c>
      <c r="E312" s="4" t="s">
        <v>9</v>
      </c>
      <c r="F312" s="4" t="s">
        <v>5504</v>
      </c>
      <c r="G312" s="4" t="s">
        <v>5505</v>
      </c>
      <c r="H312" s="4">
        <v>5.45</v>
      </c>
      <c r="I312" s="4">
        <v>1.2</v>
      </c>
      <c r="J312" s="4" t="s">
        <v>12322</v>
      </c>
      <c r="K312" s="4" t="s">
        <v>12323</v>
      </c>
      <c r="M312" s="4" t="b">
        <v>0</v>
      </c>
      <c r="N312" s="4" t="b">
        <v>0</v>
      </c>
      <c r="O312" s="4" t="b">
        <v>0</v>
      </c>
      <c r="P312" s="4"/>
      <c r="Q312" s="4" t="b">
        <v>0</v>
      </c>
    </row>
    <row r="313" spans="1:17" ht="13">
      <c r="A313" s="4" t="s">
        <v>12405</v>
      </c>
      <c r="B313" s="4" t="s">
        <v>4926</v>
      </c>
      <c r="C313" s="4" t="s">
        <v>4927</v>
      </c>
      <c r="D313" s="4" t="s">
        <v>41</v>
      </c>
      <c r="E313" s="4" t="s">
        <v>9</v>
      </c>
      <c r="F313" s="4" t="s">
        <v>5507</v>
      </c>
      <c r="G313" s="4" t="s">
        <v>5508</v>
      </c>
      <c r="H313" s="4">
        <v>5.5</v>
      </c>
      <c r="I313" s="4">
        <v>1.41</v>
      </c>
      <c r="J313" s="4" t="s">
        <v>12269</v>
      </c>
      <c r="K313" s="4" t="s">
        <v>12344</v>
      </c>
      <c r="M313" s="4" t="b">
        <v>0</v>
      </c>
      <c r="N313" s="4" t="b">
        <v>0</v>
      </c>
      <c r="O313" s="4" t="b">
        <v>0</v>
      </c>
      <c r="P313" s="4"/>
      <c r="Q313" s="4" t="b">
        <v>0</v>
      </c>
    </row>
    <row r="314" spans="1:17" ht="13">
      <c r="A314" s="4" t="s">
        <v>12408</v>
      </c>
      <c r="B314" s="4" t="s">
        <v>4926</v>
      </c>
      <c r="C314" s="4" t="s">
        <v>4927</v>
      </c>
      <c r="D314" s="4" t="s">
        <v>41</v>
      </c>
      <c r="E314" s="4" t="s">
        <v>9</v>
      </c>
      <c r="F314" s="4" t="s">
        <v>5480</v>
      </c>
      <c r="G314" s="4" t="s">
        <v>5481</v>
      </c>
      <c r="H314" s="4">
        <v>5.0199999999999996</v>
      </c>
      <c r="I314" s="4">
        <v>1.55</v>
      </c>
      <c r="J314" s="4" t="s">
        <v>12322</v>
      </c>
      <c r="K314" s="4" t="s">
        <v>12328</v>
      </c>
      <c r="M314" s="4" t="b">
        <v>0</v>
      </c>
      <c r="N314" s="4" t="b">
        <v>0</v>
      </c>
      <c r="O314" s="4" t="b">
        <v>0</v>
      </c>
      <c r="P314" s="4"/>
      <c r="Q314" s="4" t="b">
        <v>0</v>
      </c>
    </row>
    <row r="315" spans="1:17" ht="13">
      <c r="A315" s="4" t="s">
        <v>12413</v>
      </c>
      <c r="B315" s="4" t="s">
        <v>4926</v>
      </c>
      <c r="C315" s="4" t="s">
        <v>4927</v>
      </c>
      <c r="D315" s="4" t="s">
        <v>41</v>
      </c>
      <c r="E315" s="4" t="s">
        <v>9</v>
      </c>
      <c r="F315" s="4" t="s">
        <v>5492</v>
      </c>
      <c r="G315" s="4" t="s">
        <v>5493</v>
      </c>
      <c r="H315" s="4">
        <v>5.23</v>
      </c>
      <c r="I315" s="4">
        <v>1.35</v>
      </c>
      <c r="J315" s="4" t="s">
        <v>12269</v>
      </c>
      <c r="K315" s="4" t="s">
        <v>12344</v>
      </c>
      <c r="M315" s="4" t="b">
        <v>0</v>
      </c>
      <c r="N315" s="4" t="b">
        <v>0</v>
      </c>
      <c r="O315" s="4" t="b">
        <v>0</v>
      </c>
      <c r="P315" s="4"/>
      <c r="Q315" s="4" t="b">
        <v>0</v>
      </c>
    </row>
    <row r="316" spans="1:17" ht="13">
      <c r="A316" s="4" t="s">
        <v>12415</v>
      </c>
      <c r="B316" s="4" t="s">
        <v>4926</v>
      </c>
      <c r="C316" s="4" t="s">
        <v>4927</v>
      </c>
      <c r="D316" s="4" t="s">
        <v>41</v>
      </c>
      <c r="E316" s="4" t="s">
        <v>9</v>
      </c>
      <c r="F316" s="4" t="s">
        <v>6138</v>
      </c>
      <c r="G316" s="4" t="s">
        <v>6139</v>
      </c>
      <c r="H316" s="4">
        <v>5.32</v>
      </c>
      <c r="I316" s="4">
        <v>1.2</v>
      </c>
      <c r="J316" s="4" t="s">
        <v>12269</v>
      </c>
      <c r="K316" s="4" t="s">
        <v>12344</v>
      </c>
      <c r="M316" s="4" t="b">
        <v>0</v>
      </c>
      <c r="N316" s="4" t="b">
        <v>0</v>
      </c>
      <c r="O316" s="4" t="b">
        <v>0</v>
      </c>
      <c r="P316" s="4"/>
      <c r="Q316" s="4" t="b">
        <v>0</v>
      </c>
    </row>
    <row r="317" spans="1:17" ht="13">
      <c r="A317" s="4" t="s">
        <v>12416</v>
      </c>
      <c r="B317" s="4" t="s">
        <v>4926</v>
      </c>
      <c r="C317" s="4" t="s">
        <v>4927</v>
      </c>
      <c r="D317" s="4" t="s">
        <v>41</v>
      </c>
      <c r="E317" s="4" t="s">
        <v>9</v>
      </c>
      <c r="F317" s="4" t="s">
        <v>5316</v>
      </c>
      <c r="G317" s="4" t="s">
        <v>5317</v>
      </c>
      <c r="H317" s="4">
        <v>5.67</v>
      </c>
      <c r="I317" s="4">
        <v>1.27</v>
      </c>
      <c r="J317" s="4" t="s">
        <v>12269</v>
      </c>
      <c r="K317" s="4" t="s">
        <v>12344</v>
      </c>
      <c r="M317" s="4" t="b">
        <v>0</v>
      </c>
      <c r="N317" s="4" t="b">
        <v>0</v>
      </c>
      <c r="O317" s="4" t="b">
        <v>0</v>
      </c>
      <c r="P317" s="4"/>
      <c r="Q317" s="4" t="b">
        <v>0</v>
      </c>
    </row>
    <row r="318" spans="1:17" ht="13">
      <c r="A318" s="4" t="s">
        <v>12418</v>
      </c>
      <c r="B318" s="4" t="s">
        <v>4926</v>
      </c>
      <c r="C318" s="4" t="s">
        <v>4927</v>
      </c>
      <c r="D318" s="4" t="s">
        <v>41</v>
      </c>
      <c r="E318" s="4" t="s">
        <v>9</v>
      </c>
      <c r="F318" s="4" t="s">
        <v>5527</v>
      </c>
      <c r="G318" s="4" t="s">
        <v>5528</v>
      </c>
      <c r="H318" s="4">
        <v>6.03</v>
      </c>
      <c r="I318" s="4">
        <v>1.55</v>
      </c>
      <c r="J318" s="4" t="s">
        <v>12322</v>
      </c>
      <c r="K318" s="4" t="s">
        <v>12323</v>
      </c>
      <c r="M318" s="4" t="b">
        <v>0</v>
      </c>
      <c r="N318" s="4" t="b">
        <v>0</v>
      </c>
      <c r="O318" s="4" t="b">
        <v>0</v>
      </c>
      <c r="P318" s="4"/>
      <c r="Q318" s="4" t="b">
        <v>0</v>
      </c>
    </row>
    <row r="319" spans="1:17" ht="13">
      <c r="A319" s="4" t="s">
        <v>12421</v>
      </c>
      <c r="B319" s="4" t="s">
        <v>4926</v>
      </c>
      <c r="C319" s="4" t="s">
        <v>4927</v>
      </c>
      <c r="D319" s="4" t="s">
        <v>41</v>
      </c>
      <c r="E319" s="4" t="s">
        <v>9</v>
      </c>
      <c r="F319" s="4" t="s">
        <v>5325</v>
      </c>
      <c r="G319" s="4" t="s">
        <v>5326</v>
      </c>
      <c r="H319" s="4">
        <v>6.13</v>
      </c>
      <c r="I319" s="4">
        <v>1.28</v>
      </c>
      <c r="J319" s="4" t="s">
        <v>12322</v>
      </c>
      <c r="K319" s="4" t="s">
        <v>12331</v>
      </c>
      <c r="M319" s="4" t="b">
        <v>0</v>
      </c>
      <c r="N319" s="4" t="b">
        <v>0</v>
      </c>
      <c r="O319" s="4" t="b">
        <v>0</v>
      </c>
      <c r="P319" s="4"/>
      <c r="Q319" s="4" t="b">
        <v>0</v>
      </c>
    </row>
    <row r="320" spans="1:17" ht="13">
      <c r="A320" s="4" t="s">
        <v>12422</v>
      </c>
      <c r="B320" s="4" t="s">
        <v>4926</v>
      </c>
      <c r="C320" s="4" t="s">
        <v>4927</v>
      </c>
      <c r="D320" s="4" t="s">
        <v>41</v>
      </c>
      <c r="E320" s="4" t="s">
        <v>9</v>
      </c>
      <c r="F320" s="4" t="s">
        <v>5011</v>
      </c>
      <c r="G320" s="4" t="s">
        <v>718</v>
      </c>
      <c r="H320" s="4">
        <v>6.18</v>
      </c>
      <c r="I320" s="4">
        <v>1.08</v>
      </c>
      <c r="J320" s="4" t="s">
        <v>12322</v>
      </c>
      <c r="K320" s="4" t="s">
        <v>12331</v>
      </c>
      <c r="M320" s="4" t="b">
        <v>0</v>
      </c>
      <c r="N320" s="4" t="b">
        <v>0</v>
      </c>
      <c r="O320" s="4" t="b">
        <v>0</v>
      </c>
      <c r="P320" s="4"/>
      <c r="Q320" s="4" t="b">
        <v>1</v>
      </c>
    </row>
    <row r="321" spans="1:17" ht="13">
      <c r="A321" s="4" t="s">
        <v>12425</v>
      </c>
      <c r="B321" s="4" t="s">
        <v>4926</v>
      </c>
      <c r="C321" s="4" t="s">
        <v>4927</v>
      </c>
      <c r="D321" s="4" t="s">
        <v>41</v>
      </c>
      <c r="E321" s="4" t="s">
        <v>9</v>
      </c>
      <c r="F321" s="4" t="s">
        <v>5322</v>
      </c>
      <c r="G321" s="4" t="s">
        <v>5323</v>
      </c>
      <c r="H321" s="4">
        <v>5.8</v>
      </c>
      <c r="I321" s="4">
        <v>1.2</v>
      </c>
      <c r="J321" s="4" t="s">
        <v>12322</v>
      </c>
      <c r="K321" s="4" t="s">
        <v>12331</v>
      </c>
      <c r="M321" s="4" t="b">
        <v>0</v>
      </c>
      <c r="N321" s="4" t="b">
        <v>0</v>
      </c>
      <c r="O321" s="41" t="b">
        <v>0</v>
      </c>
      <c r="P321" s="41"/>
      <c r="Q321" s="41" t="b">
        <v>0</v>
      </c>
    </row>
    <row r="322" spans="1:17" ht="13">
      <c r="A322" s="4" t="s">
        <v>12429</v>
      </c>
      <c r="B322" s="4" t="s">
        <v>4926</v>
      </c>
      <c r="C322" s="4" t="s">
        <v>4927</v>
      </c>
      <c r="D322" s="4" t="s">
        <v>41</v>
      </c>
      <c r="E322" s="4" t="s">
        <v>8</v>
      </c>
      <c r="F322" s="4" t="s">
        <v>6033</v>
      </c>
      <c r="G322" s="4" t="s">
        <v>6034</v>
      </c>
      <c r="H322" s="4">
        <v>3.48</v>
      </c>
      <c r="I322" s="4">
        <v>1.2</v>
      </c>
      <c r="J322" s="4" t="s">
        <v>12322</v>
      </c>
      <c r="K322" s="4" t="s">
        <v>12323</v>
      </c>
      <c r="M322" s="4" t="b">
        <v>0</v>
      </c>
      <c r="N322" s="4" t="b">
        <v>0</v>
      </c>
      <c r="O322" s="4" t="b">
        <v>0</v>
      </c>
      <c r="P322" s="4"/>
      <c r="Q322" s="4" t="b">
        <v>0</v>
      </c>
    </row>
    <row r="323" spans="1:17" ht="13">
      <c r="A323" s="4" t="s">
        <v>12432</v>
      </c>
      <c r="B323" s="4" t="s">
        <v>4926</v>
      </c>
      <c r="C323" s="4" t="s">
        <v>4927</v>
      </c>
      <c r="D323" s="4" t="s">
        <v>41</v>
      </c>
      <c r="E323" s="4" t="s">
        <v>8</v>
      </c>
      <c r="F323" s="4" t="s">
        <v>6073</v>
      </c>
      <c r="G323" s="4" t="s">
        <v>6074</v>
      </c>
      <c r="H323" s="4">
        <v>4.03</v>
      </c>
      <c r="I323" s="4">
        <v>1.66</v>
      </c>
      <c r="J323" s="4" t="s">
        <v>12269</v>
      </c>
      <c r="K323" s="4" t="s">
        <v>12344</v>
      </c>
      <c r="M323" s="4" t="b">
        <v>0</v>
      </c>
      <c r="N323" s="4" t="b">
        <v>0</v>
      </c>
      <c r="O323" s="41" t="b">
        <v>0</v>
      </c>
      <c r="P323" s="41"/>
      <c r="Q323" s="41" t="b">
        <v>0</v>
      </c>
    </row>
    <row r="324" spans="1:17" ht="13">
      <c r="A324" s="4" t="s">
        <v>12433</v>
      </c>
      <c r="B324" s="4" t="s">
        <v>4926</v>
      </c>
      <c r="C324" s="4" t="s">
        <v>4927</v>
      </c>
      <c r="D324" s="4" t="s">
        <v>41</v>
      </c>
      <c r="E324" s="4" t="s">
        <v>8</v>
      </c>
      <c r="F324" s="4" t="s">
        <v>6103</v>
      </c>
      <c r="G324" s="4" t="s">
        <v>6104</v>
      </c>
      <c r="H324" s="4">
        <v>2.17</v>
      </c>
      <c r="I324" s="4">
        <v>1.38</v>
      </c>
      <c r="J324" s="4" t="s">
        <v>12322</v>
      </c>
      <c r="K324" s="4" t="s">
        <v>12328</v>
      </c>
      <c r="M324" s="4" t="b">
        <v>0</v>
      </c>
      <c r="N324" s="4" t="b">
        <v>0</v>
      </c>
      <c r="O324" s="4" t="b">
        <v>0</v>
      </c>
      <c r="P324" s="4"/>
      <c r="Q324" s="4" t="b">
        <v>0</v>
      </c>
    </row>
    <row r="325" spans="1:17" ht="13">
      <c r="A325" s="4" t="s">
        <v>12435</v>
      </c>
      <c r="B325" s="4" t="s">
        <v>4926</v>
      </c>
      <c r="C325" s="4" t="s">
        <v>4927</v>
      </c>
      <c r="D325" s="4" t="s">
        <v>41</v>
      </c>
      <c r="E325" s="4" t="s">
        <v>9</v>
      </c>
      <c r="F325" s="4" t="s">
        <v>5592</v>
      </c>
      <c r="G325" s="4" t="s">
        <v>5593</v>
      </c>
      <c r="H325" s="4">
        <v>2.27</v>
      </c>
      <c r="I325" s="4">
        <v>1.51</v>
      </c>
      <c r="J325" s="4" t="s">
        <v>12269</v>
      </c>
      <c r="K325" s="4" t="s">
        <v>12273</v>
      </c>
      <c r="L325" s="41">
        <v>0.44624000000000003</v>
      </c>
      <c r="M325" s="4" t="b">
        <v>0</v>
      </c>
      <c r="N325" s="4" t="b">
        <v>0</v>
      </c>
      <c r="O325" s="4" t="b">
        <v>0</v>
      </c>
      <c r="P325" s="4"/>
      <c r="Q325" s="4" t="b">
        <v>0</v>
      </c>
    </row>
    <row r="326" spans="1:17" ht="13">
      <c r="A326" s="4" t="s">
        <v>12436</v>
      </c>
      <c r="B326" s="4" t="s">
        <v>4926</v>
      </c>
      <c r="C326" s="4" t="s">
        <v>4927</v>
      </c>
      <c r="D326" s="4" t="s">
        <v>41</v>
      </c>
      <c r="E326" s="4" t="s">
        <v>9</v>
      </c>
      <c r="F326" s="4" t="s">
        <v>5601</v>
      </c>
      <c r="G326" s="4" t="s">
        <v>5602</v>
      </c>
      <c r="H326" s="4">
        <v>2.33</v>
      </c>
      <c r="I326" s="4">
        <v>1.2</v>
      </c>
      <c r="J326" s="4" t="s">
        <v>12269</v>
      </c>
      <c r="K326" s="4" t="s">
        <v>12344</v>
      </c>
      <c r="M326" s="4" t="b">
        <v>0</v>
      </c>
      <c r="N326" s="4" t="b">
        <v>0</v>
      </c>
      <c r="O326" s="4" t="b">
        <v>0</v>
      </c>
      <c r="P326" s="4"/>
      <c r="Q326" s="4" t="b">
        <v>0</v>
      </c>
    </row>
    <row r="327" spans="1:17" ht="13">
      <c r="A327" s="4" t="s">
        <v>12439</v>
      </c>
      <c r="B327" s="4" t="s">
        <v>4926</v>
      </c>
      <c r="C327" s="4" t="s">
        <v>4927</v>
      </c>
      <c r="D327" s="4" t="s">
        <v>41</v>
      </c>
      <c r="E327" s="4" t="s">
        <v>8</v>
      </c>
      <c r="F327" s="4" t="s">
        <v>6079</v>
      </c>
      <c r="G327" s="4" t="s">
        <v>6080</v>
      </c>
      <c r="H327" s="4">
        <v>4.0999999999999996</v>
      </c>
      <c r="I327" s="4">
        <v>1.53</v>
      </c>
      <c r="J327" s="4" t="s">
        <v>12269</v>
      </c>
      <c r="K327" s="4" t="s">
        <v>12344</v>
      </c>
      <c r="M327" s="4" t="b">
        <v>0</v>
      </c>
      <c r="N327" s="4" t="b">
        <v>0</v>
      </c>
      <c r="O327" s="4" t="b">
        <v>0</v>
      </c>
      <c r="P327" s="4"/>
      <c r="Q327" s="4" t="b">
        <v>0</v>
      </c>
    </row>
    <row r="328" spans="1:17" ht="13">
      <c r="A328" s="4" t="s">
        <v>12440</v>
      </c>
      <c r="B328" s="4" t="s">
        <v>4926</v>
      </c>
      <c r="C328" s="4" t="s">
        <v>4927</v>
      </c>
      <c r="D328" s="4" t="s">
        <v>41</v>
      </c>
      <c r="E328" s="4" t="s">
        <v>8</v>
      </c>
      <c r="F328" s="4" t="s">
        <v>6088</v>
      </c>
      <c r="G328" s="4" t="s">
        <v>6089</v>
      </c>
      <c r="H328" s="4">
        <v>4.17</v>
      </c>
      <c r="I328" s="4">
        <v>1.67</v>
      </c>
      <c r="J328" s="4" t="s">
        <v>12322</v>
      </c>
      <c r="K328" s="4" t="s">
        <v>12328</v>
      </c>
      <c r="M328" s="4" t="b">
        <v>0</v>
      </c>
      <c r="N328" s="4" t="b">
        <v>0</v>
      </c>
      <c r="O328" s="4" t="b">
        <v>0</v>
      </c>
      <c r="P328" s="4"/>
      <c r="Q328" s="4" t="b">
        <v>0</v>
      </c>
    </row>
    <row r="329" spans="1:17" ht="13">
      <c r="A329" s="4" t="s">
        <v>12441</v>
      </c>
      <c r="B329" s="4" t="s">
        <v>4926</v>
      </c>
      <c r="C329" s="4" t="s">
        <v>4927</v>
      </c>
      <c r="D329" s="4" t="s">
        <v>41</v>
      </c>
      <c r="E329" s="4" t="s">
        <v>8</v>
      </c>
      <c r="F329" s="4" t="s">
        <v>6091</v>
      </c>
      <c r="G329" s="4" t="s">
        <v>6092</v>
      </c>
      <c r="H329" s="4">
        <v>2.0299999999999998</v>
      </c>
      <c r="I329" s="4">
        <v>1.74</v>
      </c>
      <c r="J329" s="4" t="s">
        <v>12322</v>
      </c>
      <c r="K329" s="4" t="s">
        <v>12323</v>
      </c>
      <c r="M329" s="4" t="b">
        <v>0</v>
      </c>
      <c r="N329" s="4" t="b">
        <v>0</v>
      </c>
      <c r="O329" s="4" t="b">
        <v>0</v>
      </c>
      <c r="P329" s="4"/>
      <c r="Q329" s="4" t="b">
        <v>0</v>
      </c>
    </row>
    <row r="330" spans="1:17" ht="13">
      <c r="A330" s="4" t="s">
        <v>12442</v>
      </c>
      <c r="B330" s="4" t="s">
        <v>4926</v>
      </c>
      <c r="C330" s="4" t="s">
        <v>4927</v>
      </c>
      <c r="D330" s="4" t="s">
        <v>41</v>
      </c>
      <c r="E330" s="4" t="s">
        <v>8</v>
      </c>
      <c r="F330" s="4" t="s">
        <v>6094</v>
      </c>
      <c r="G330" s="4" t="s">
        <v>6095</v>
      </c>
      <c r="H330" s="4">
        <v>2.0699999999999998</v>
      </c>
      <c r="I330" s="4">
        <v>1.77</v>
      </c>
      <c r="J330" s="4" t="s">
        <v>12269</v>
      </c>
      <c r="K330" s="4" t="s">
        <v>12271</v>
      </c>
      <c r="M330" s="4" t="b">
        <v>0</v>
      </c>
      <c r="N330" s="4" t="b">
        <v>0</v>
      </c>
      <c r="O330" s="4" t="b">
        <v>0</v>
      </c>
      <c r="P330" s="4"/>
      <c r="Q330" s="4" t="b">
        <v>0</v>
      </c>
    </row>
    <row r="331" spans="1:17" ht="13">
      <c r="A331" s="4" t="s">
        <v>12444</v>
      </c>
      <c r="B331" s="4" t="s">
        <v>4926</v>
      </c>
      <c r="C331" s="4" t="s">
        <v>4927</v>
      </c>
      <c r="D331" s="4" t="s">
        <v>41</v>
      </c>
      <c r="E331" s="4" t="s">
        <v>8</v>
      </c>
      <c r="F331" s="4" t="s">
        <v>6100</v>
      </c>
      <c r="G331" s="4" t="s">
        <v>6101</v>
      </c>
      <c r="H331" s="4">
        <v>2.13</v>
      </c>
      <c r="I331" s="4">
        <v>1.38</v>
      </c>
      <c r="J331" s="4" t="s">
        <v>12322</v>
      </c>
      <c r="K331" s="4" t="s">
        <v>12328</v>
      </c>
      <c r="M331" s="4" t="b">
        <v>0</v>
      </c>
      <c r="N331" s="4" t="b">
        <v>0</v>
      </c>
      <c r="O331" s="4" t="b">
        <v>0</v>
      </c>
      <c r="P331" s="4"/>
      <c r="Q331" s="4" t="b">
        <v>0</v>
      </c>
    </row>
    <row r="332" spans="1:17" ht="13">
      <c r="A332" s="4" t="s">
        <v>12445</v>
      </c>
      <c r="B332" s="4" t="s">
        <v>4926</v>
      </c>
      <c r="C332" s="4" t="s">
        <v>4927</v>
      </c>
      <c r="D332" s="4" t="s">
        <v>41</v>
      </c>
      <c r="E332" s="4" t="s">
        <v>9</v>
      </c>
      <c r="F332" s="4" t="s">
        <v>5352</v>
      </c>
      <c r="G332" s="4" t="s">
        <v>5353</v>
      </c>
      <c r="H332" s="4">
        <v>2.38</v>
      </c>
      <c r="I332" s="4">
        <v>1.28</v>
      </c>
      <c r="J332" s="4" t="s">
        <v>12322</v>
      </c>
      <c r="K332" s="4" t="s">
        <v>12323</v>
      </c>
      <c r="M332" s="4" t="b">
        <v>0</v>
      </c>
      <c r="N332" s="4" t="b">
        <v>0</v>
      </c>
      <c r="O332" s="41" t="b">
        <v>0</v>
      </c>
      <c r="P332" s="41"/>
      <c r="Q332" s="41" t="b">
        <v>0</v>
      </c>
    </row>
    <row r="333" spans="1:17" ht="13">
      <c r="A333" s="4" t="s">
        <v>12447</v>
      </c>
      <c r="B333" s="4" t="s">
        <v>4926</v>
      </c>
      <c r="C333" s="4" t="s">
        <v>4927</v>
      </c>
      <c r="D333" s="4" t="s">
        <v>41</v>
      </c>
      <c r="E333" s="4" t="s">
        <v>9</v>
      </c>
      <c r="F333" s="4" t="s">
        <v>5111</v>
      </c>
      <c r="G333" s="4" t="s">
        <v>743</v>
      </c>
      <c r="H333" s="4">
        <v>2.7</v>
      </c>
      <c r="I333" s="4">
        <v>1.29</v>
      </c>
      <c r="J333" s="4" t="s">
        <v>12269</v>
      </c>
      <c r="K333" s="4" t="s">
        <v>12344</v>
      </c>
      <c r="M333" s="4" t="b">
        <v>0</v>
      </c>
      <c r="N333" s="4" t="b">
        <v>0</v>
      </c>
      <c r="O333" s="4" t="b">
        <v>0</v>
      </c>
      <c r="P333" s="4"/>
      <c r="Q333" s="4" t="b">
        <v>1</v>
      </c>
    </row>
    <row r="334" spans="1:17" ht="13">
      <c r="A334" s="4" t="s">
        <v>12450</v>
      </c>
      <c r="B334" s="4" t="s">
        <v>4926</v>
      </c>
      <c r="C334" s="4" t="s">
        <v>4927</v>
      </c>
      <c r="D334" s="4" t="s">
        <v>41</v>
      </c>
      <c r="E334" s="4" t="s">
        <v>9</v>
      </c>
      <c r="F334" s="4" t="s">
        <v>5029</v>
      </c>
      <c r="G334" s="4" t="s">
        <v>745</v>
      </c>
      <c r="H334" s="4">
        <v>2.8</v>
      </c>
      <c r="I334" s="4">
        <v>1.26</v>
      </c>
      <c r="J334" s="4" t="s">
        <v>12269</v>
      </c>
      <c r="K334" s="4" t="s">
        <v>12344</v>
      </c>
      <c r="M334" s="4" t="b">
        <v>0</v>
      </c>
      <c r="N334" s="4" t="b">
        <v>0</v>
      </c>
      <c r="O334" s="4" t="b">
        <v>0</v>
      </c>
      <c r="P334" s="4"/>
      <c r="Q334" s="4" t="b">
        <v>1</v>
      </c>
    </row>
    <row r="335" spans="1:17" ht="13">
      <c r="A335" s="4" t="s">
        <v>12451</v>
      </c>
      <c r="B335" s="4" t="s">
        <v>4926</v>
      </c>
      <c r="C335" s="4" t="s">
        <v>4927</v>
      </c>
      <c r="D335" s="4" t="s">
        <v>41</v>
      </c>
      <c r="E335" s="4" t="s">
        <v>9</v>
      </c>
      <c r="F335" s="4" t="s">
        <v>5631</v>
      </c>
      <c r="G335" s="4" t="s">
        <v>5632</v>
      </c>
      <c r="H335" s="4">
        <v>2.42</v>
      </c>
      <c r="I335" s="4">
        <v>1.7</v>
      </c>
      <c r="J335" s="4" t="s">
        <v>12269</v>
      </c>
      <c r="K335" s="4" t="s">
        <v>12273</v>
      </c>
      <c r="L335" s="41">
        <v>0.42892000000000002</v>
      </c>
      <c r="M335" s="4" t="b">
        <v>0</v>
      </c>
      <c r="N335" s="4" t="b">
        <v>0</v>
      </c>
      <c r="O335" s="4" t="b">
        <v>0</v>
      </c>
      <c r="P335" s="4"/>
      <c r="Q335" s="4" t="b">
        <v>0</v>
      </c>
    </row>
    <row r="336" spans="1:17" ht="13">
      <c r="A336" s="4" t="s">
        <v>12453</v>
      </c>
      <c r="B336" s="4" t="s">
        <v>4926</v>
      </c>
      <c r="C336" s="4" t="s">
        <v>4927</v>
      </c>
      <c r="D336" s="4" t="s">
        <v>41</v>
      </c>
      <c r="E336" s="4" t="s">
        <v>9</v>
      </c>
      <c r="F336" s="4" t="s">
        <v>5649</v>
      </c>
      <c r="G336" s="4" t="s">
        <v>5650</v>
      </c>
      <c r="H336" s="4">
        <v>2.48</v>
      </c>
      <c r="I336" s="4">
        <v>1.2</v>
      </c>
      <c r="J336" s="4" t="s">
        <v>12269</v>
      </c>
      <c r="K336" s="4" t="s">
        <v>12273</v>
      </c>
      <c r="L336" s="41">
        <v>0.41458</v>
      </c>
      <c r="M336" s="4" t="b">
        <v>0</v>
      </c>
      <c r="N336" s="4" t="b">
        <v>0</v>
      </c>
      <c r="O336" s="41" t="b">
        <v>0</v>
      </c>
      <c r="P336" s="41"/>
      <c r="Q336" s="41" t="b">
        <v>0</v>
      </c>
    </row>
    <row r="337" spans="1:17" ht="13">
      <c r="A337" s="4" t="s">
        <v>12455</v>
      </c>
      <c r="B337" s="4" t="s">
        <v>4926</v>
      </c>
      <c r="C337" s="4" t="s">
        <v>4927</v>
      </c>
      <c r="D337" s="4" t="s">
        <v>41</v>
      </c>
      <c r="E337" s="4" t="s">
        <v>9</v>
      </c>
      <c r="F337" s="4" t="s">
        <v>6242</v>
      </c>
      <c r="G337" s="4" t="s">
        <v>6243</v>
      </c>
      <c r="H337" s="4">
        <v>2.5499999999999998</v>
      </c>
      <c r="I337" s="4">
        <v>1.32</v>
      </c>
      <c r="J337" s="4" t="s">
        <v>12322</v>
      </c>
      <c r="K337" s="4" t="s">
        <v>12323</v>
      </c>
      <c r="M337" s="4" t="b">
        <v>0</v>
      </c>
      <c r="N337" s="4" t="b">
        <v>0</v>
      </c>
      <c r="O337" s="4" t="b">
        <v>0</v>
      </c>
      <c r="P337" s="4"/>
      <c r="Q337" s="4" t="b">
        <v>0</v>
      </c>
    </row>
    <row r="338" spans="1:17" ht="13">
      <c r="A338" s="4" t="s">
        <v>12461</v>
      </c>
      <c r="B338" s="4" t="s">
        <v>4926</v>
      </c>
      <c r="C338" s="4" t="s">
        <v>12274</v>
      </c>
      <c r="D338" s="4" t="s">
        <v>41</v>
      </c>
      <c r="E338" s="4" t="s">
        <v>8</v>
      </c>
      <c r="F338" s="4" t="s">
        <v>6206</v>
      </c>
      <c r="G338" s="4" t="s">
        <v>6207</v>
      </c>
      <c r="H338" s="4">
        <v>3.15</v>
      </c>
      <c r="I338" s="4">
        <v>1.63</v>
      </c>
      <c r="J338" s="4" t="s">
        <v>12322</v>
      </c>
      <c r="K338" s="4" t="s">
        <v>12328</v>
      </c>
      <c r="M338" s="4" t="b">
        <v>0</v>
      </c>
      <c r="N338" s="4" t="b">
        <v>0</v>
      </c>
      <c r="O338" s="41" t="b">
        <v>0</v>
      </c>
      <c r="P338" s="41"/>
      <c r="Q338" s="41" t="b">
        <v>0</v>
      </c>
    </row>
    <row r="339" spans="1:17" ht="13">
      <c r="A339" s="4" t="s">
        <v>12462</v>
      </c>
      <c r="B339" s="4" t="s">
        <v>4926</v>
      </c>
      <c r="C339" s="4" t="s">
        <v>12274</v>
      </c>
      <c r="D339" s="4" t="s">
        <v>41</v>
      </c>
      <c r="E339" s="4" t="s">
        <v>8</v>
      </c>
      <c r="F339" s="4" t="s">
        <v>6082</v>
      </c>
      <c r="G339" s="4" t="s">
        <v>6083</v>
      </c>
      <c r="H339" s="4">
        <v>3.18</v>
      </c>
      <c r="I339" s="4">
        <v>1.2010000000000001</v>
      </c>
      <c r="J339" s="4" t="s">
        <v>12269</v>
      </c>
      <c r="K339" s="4" t="s">
        <v>12344</v>
      </c>
      <c r="M339" s="4" t="b">
        <v>0</v>
      </c>
      <c r="N339" s="4" t="b">
        <v>0</v>
      </c>
      <c r="O339" s="4" t="b">
        <v>0</v>
      </c>
      <c r="P339" s="4"/>
      <c r="Q339" s="4" t="b">
        <v>0</v>
      </c>
    </row>
    <row r="340" spans="1:17" ht="13">
      <c r="A340" s="4" t="s">
        <v>12463</v>
      </c>
      <c r="B340" s="4" t="s">
        <v>4926</v>
      </c>
      <c r="C340" s="4" t="s">
        <v>12274</v>
      </c>
      <c r="D340" s="4" t="s">
        <v>41</v>
      </c>
      <c r="E340" s="4" t="s">
        <v>9</v>
      </c>
      <c r="F340" s="4" t="s">
        <v>5031</v>
      </c>
      <c r="G340" s="4" t="s">
        <v>746</v>
      </c>
      <c r="H340" s="4">
        <v>2.92</v>
      </c>
      <c r="I340" s="4">
        <v>1.49</v>
      </c>
      <c r="J340" s="4" t="s">
        <v>12269</v>
      </c>
      <c r="K340" s="4" t="s">
        <v>12344</v>
      </c>
      <c r="M340" s="4" t="b">
        <v>0</v>
      </c>
      <c r="N340" s="4" t="b">
        <v>0</v>
      </c>
      <c r="O340" s="4" t="b">
        <v>0</v>
      </c>
      <c r="P340" s="4"/>
      <c r="Q340" s="4" t="b">
        <v>1</v>
      </c>
    </row>
    <row r="341" spans="1:17" ht="13">
      <c r="A341" s="4" t="s">
        <v>12465</v>
      </c>
      <c r="B341" s="4" t="s">
        <v>4926</v>
      </c>
      <c r="C341" s="4" t="s">
        <v>12274</v>
      </c>
      <c r="D341" s="4" t="s">
        <v>41</v>
      </c>
      <c r="E341" s="4" t="s">
        <v>9</v>
      </c>
      <c r="F341" s="4" t="s">
        <v>5816</v>
      </c>
      <c r="G341" s="4" t="s">
        <v>5817</v>
      </c>
      <c r="H341" s="4">
        <v>2.97</v>
      </c>
      <c r="I341" s="4">
        <v>1.36</v>
      </c>
      <c r="J341" s="4" t="s">
        <v>12322</v>
      </c>
      <c r="K341" s="4" t="s">
        <v>12328</v>
      </c>
      <c r="M341" s="4" t="b">
        <v>0</v>
      </c>
      <c r="N341" s="4" t="b">
        <v>0</v>
      </c>
      <c r="O341" s="4" t="b">
        <v>0</v>
      </c>
      <c r="P341" s="4"/>
      <c r="Q341" s="4" t="b">
        <v>0</v>
      </c>
    </row>
    <row r="342" spans="1:17" ht="13">
      <c r="A342" s="4" t="s">
        <v>12466</v>
      </c>
      <c r="B342" s="4" t="s">
        <v>4926</v>
      </c>
      <c r="C342" s="4" t="s">
        <v>12274</v>
      </c>
      <c r="D342" s="4" t="s">
        <v>41</v>
      </c>
      <c r="E342" s="4" t="s">
        <v>9</v>
      </c>
      <c r="F342" s="4" t="s">
        <v>5819</v>
      </c>
      <c r="G342" s="4" t="s">
        <v>5820</v>
      </c>
      <c r="H342" s="4">
        <v>3.05</v>
      </c>
      <c r="I342" s="4">
        <v>1.8</v>
      </c>
      <c r="J342" s="4" t="s">
        <v>12322</v>
      </c>
      <c r="K342" s="4" t="s">
        <v>12328</v>
      </c>
      <c r="M342" s="4" t="b">
        <v>0</v>
      </c>
      <c r="N342" s="4" t="b">
        <v>0</v>
      </c>
      <c r="O342" s="4" t="b">
        <v>0</v>
      </c>
      <c r="P342" s="4"/>
      <c r="Q342" s="4" t="b">
        <v>0</v>
      </c>
    </row>
    <row r="343" spans="1:17" ht="13">
      <c r="A343" s="4" t="s">
        <v>12467</v>
      </c>
      <c r="B343" s="4" t="s">
        <v>4926</v>
      </c>
      <c r="C343" s="4" t="s">
        <v>12274</v>
      </c>
      <c r="D343" s="4" t="s">
        <v>41</v>
      </c>
      <c r="E343" s="4" t="s">
        <v>9</v>
      </c>
      <c r="F343" s="4" t="s">
        <v>12468</v>
      </c>
      <c r="G343" s="4" t="s">
        <v>773</v>
      </c>
      <c r="H343" s="4">
        <v>3.07</v>
      </c>
      <c r="I343" s="4">
        <v>1.23</v>
      </c>
      <c r="J343" s="4" t="s">
        <v>12322</v>
      </c>
      <c r="K343" s="4" t="s">
        <v>12323</v>
      </c>
      <c r="M343" s="4" t="b">
        <v>0</v>
      </c>
      <c r="N343" s="4" t="b">
        <v>0</v>
      </c>
      <c r="O343" s="4" t="b">
        <v>0</v>
      </c>
      <c r="P343" s="4"/>
      <c r="Q343" s="4" t="b">
        <v>1</v>
      </c>
    </row>
    <row r="344" spans="1:17" ht="13">
      <c r="A344" s="4" t="s">
        <v>12470</v>
      </c>
      <c r="B344" s="4" t="s">
        <v>4926</v>
      </c>
      <c r="C344" s="4" t="s">
        <v>12274</v>
      </c>
      <c r="D344" s="4" t="s">
        <v>41</v>
      </c>
      <c r="E344" s="4" t="s">
        <v>8</v>
      </c>
      <c r="F344" s="4" t="s">
        <v>5955</v>
      </c>
      <c r="G344" s="4" t="s">
        <v>5956</v>
      </c>
      <c r="H344" s="4">
        <v>2.4</v>
      </c>
      <c r="I344" s="4">
        <v>1.65</v>
      </c>
      <c r="J344" s="4" t="s">
        <v>12322</v>
      </c>
      <c r="K344" s="4" t="s">
        <v>12323</v>
      </c>
      <c r="M344" s="4" t="b">
        <v>0</v>
      </c>
      <c r="N344" s="4" t="b">
        <v>0</v>
      </c>
      <c r="O344" s="4" t="b">
        <v>0</v>
      </c>
      <c r="P344" s="4"/>
      <c r="Q344" s="4" t="b">
        <v>0</v>
      </c>
    </row>
    <row r="345" spans="1:17" ht="13">
      <c r="A345" s="4" t="s">
        <v>12475</v>
      </c>
      <c r="B345" s="4" t="s">
        <v>4926</v>
      </c>
      <c r="C345" s="4" t="s">
        <v>12274</v>
      </c>
      <c r="D345" s="4" t="s">
        <v>41</v>
      </c>
      <c r="E345" s="4" t="s">
        <v>8</v>
      </c>
      <c r="F345" s="4" t="s">
        <v>5976</v>
      </c>
      <c r="G345" s="4" t="s">
        <v>5977</v>
      </c>
      <c r="H345" s="4">
        <v>2.4300000000000002</v>
      </c>
      <c r="I345" s="4">
        <v>1.49</v>
      </c>
      <c r="J345" s="4" t="s">
        <v>12322</v>
      </c>
      <c r="K345" s="4" t="s">
        <v>12323</v>
      </c>
      <c r="M345" s="4" t="b">
        <v>0</v>
      </c>
      <c r="N345" s="4" t="b">
        <v>0</v>
      </c>
      <c r="O345" s="4" t="b">
        <v>0</v>
      </c>
      <c r="P345" s="4"/>
      <c r="Q345" s="4" t="b">
        <v>0</v>
      </c>
    </row>
    <row r="346" spans="1:17" ht="13">
      <c r="A346" s="4" t="s">
        <v>12477</v>
      </c>
      <c r="B346" s="4" t="s">
        <v>4926</v>
      </c>
      <c r="C346" s="4" t="s">
        <v>12274</v>
      </c>
      <c r="D346" s="4" t="s">
        <v>41</v>
      </c>
      <c r="E346" s="4" t="s">
        <v>8</v>
      </c>
      <c r="F346" s="4" t="s">
        <v>5898</v>
      </c>
      <c r="G346" s="4" t="s">
        <v>5899</v>
      </c>
      <c r="H346" s="4">
        <v>2.5299999999999998</v>
      </c>
      <c r="I346" s="4">
        <v>1.036</v>
      </c>
      <c r="J346" s="4" t="s">
        <v>12269</v>
      </c>
      <c r="K346" s="4" t="s">
        <v>12344</v>
      </c>
      <c r="M346" s="4" t="b">
        <v>0</v>
      </c>
      <c r="N346" s="4" t="b">
        <v>0</v>
      </c>
      <c r="O346" s="4" t="b">
        <v>0</v>
      </c>
      <c r="P346" s="4"/>
      <c r="Q346" s="4" t="b">
        <v>0</v>
      </c>
    </row>
    <row r="347" spans="1:17" ht="13">
      <c r="A347" s="4" t="s">
        <v>12483</v>
      </c>
      <c r="B347" s="4" t="s">
        <v>4926</v>
      </c>
      <c r="C347" s="4" t="s">
        <v>12274</v>
      </c>
      <c r="D347" s="4" t="s">
        <v>41</v>
      </c>
      <c r="E347" s="4" t="s">
        <v>9</v>
      </c>
      <c r="F347" s="4" t="s">
        <v>5658</v>
      </c>
      <c r="G347" s="4" t="s">
        <v>5659</v>
      </c>
      <c r="H347" s="4">
        <v>3.48</v>
      </c>
      <c r="I347" s="4">
        <v>1.2</v>
      </c>
      <c r="J347" s="4" t="s">
        <v>12322</v>
      </c>
      <c r="K347" s="4" t="s">
        <v>12323</v>
      </c>
      <c r="M347" s="4" t="b">
        <v>0</v>
      </c>
      <c r="N347" s="4" t="b">
        <v>0</v>
      </c>
      <c r="O347" s="4" t="b">
        <v>0</v>
      </c>
      <c r="P347" s="4"/>
      <c r="Q347" s="4" t="b">
        <v>0</v>
      </c>
    </row>
    <row r="348" spans="1:17" ht="13">
      <c r="A348" s="4" t="s">
        <v>12484</v>
      </c>
      <c r="B348" s="4" t="s">
        <v>4926</v>
      </c>
      <c r="C348" s="4" t="s">
        <v>12274</v>
      </c>
      <c r="D348" s="4" t="s">
        <v>41</v>
      </c>
      <c r="E348" s="4" t="s">
        <v>9</v>
      </c>
      <c r="F348" s="4" t="s">
        <v>5373</v>
      </c>
      <c r="G348" s="4" t="s">
        <v>5374</v>
      </c>
      <c r="H348" s="4">
        <v>3.53</v>
      </c>
      <c r="I348" s="4">
        <v>1.26</v>
      </c>
      <c r="J348" s="4" t="s">
        <v>12269</v>
      </c>
      <c r="K348" s="4" t="s">
        <v>12344</v>
      </c>
      <c r="M348" s="4" t="b">
        <v>0</v>
      </c>
      <c r="N348" s="4" t="b">
        <v>0</v>
      </c>
      <c r="O348" s="41" t="b">
        <v>0</v>
      </c>
      <c r="P348" s="41"/>
      <c r="Q348" s="41" t="b">
        <v>0</v>
      </c>
    </row>
    <row r="349" spans="1:17" ht="13">
      <c r="A349" s="4" t="s">
        <v>12488</v>
      </c>
      <c r="B349" s="4" t="s">
        <v>4926</v>
      </c>
      <c r="C349" s="4" t="s">
        <v>12274</v>
      </c>
      <c r="D349" s="4" t="s">
        <v>41</v>
      </c>
      <c r="E349" s="4" t="s">
        <v>9</v>
      </c>
      <c r="F349" s="4" t="s">
        <v>5432</v>
      </c>
      <c r="G349" s="4" t="s">
        <v>5433</v>
      </c>
      <c r="H349" s="4">
        <v>3.63</v>
      </c>
      <c r="I349" s="4">
        <v>1.48</v>
      </c>
      <c r="J349" s="4" t="s">
        <v>12269</v>
      </c>
      <c r="K349" s="4" t="s">
        <v>12344</v>
      </c>
      <c r="M349" s="4" t="b">
        <v>0</v>
      </c>
      <c r="N349" s="4" t="b">
        <v>0</v>
      </c>
      <c r="O349" s="4" t="b">
        <v>0</v>
      </c>
      <c r="P349" s="4"/>
      <c r="Q349" s="4" t="b">
        <v>0</v>
      </c>
    </row>
    <row r="350" spans="1:17" ht="13">
      <c r="A350" s="4" t="s">
        <v>12497</v>
      </c>
      <c r="B350" s="4" t="s">
        <v>4926</v>
      </c>
      <c r="C350" s="4" t="s">
        <v>12274</v>
      </c>
      <c r="D350" s="4" t="s">
        <v>41</v>
      </c>
      <c r="E350" s="4" t="s">
        <v>9</v>
      </c>
      <c r="F350" s="4" t="s">
        <v>5828</v>
      </c>
      <c r="G350" s="4" t="s">
        <v>5829</v>
      </c>
      <c r="H350" s="4">
        <v>4.05</v>
      </c>
      <c r="I350" s="4">
        <v>1.31</v>
      </c>
      <c r="J350" s="4" t="s">
        <v>12269</v>
      </c>
      <c r="K350" s="4" t="s">
        <v>12344</v>
      </c>
      <c r="M350" s="4" t="b">
        <v>0</v>
      </c>
      <c r="N350" s="4" t="b">
        <v>0</v>
      </c>
      <c r="O350" s="4" t="b">
        <v>0</v>
      </c>
      <c r="P350" s="4"/>
      <c r="Q350" s="4" t="b">
        <v>0</v>
      </c>
    </row>
    <row r="351" spans="1:17" ht="13">
      <c r="A351" s="4" t="s">
        <v>12499</v>
      </c>
      <c r="B351" s="4" t="s">
        <v>4926</v>
      </c>
      <c r="C351" s="4" t="s">
        <v>12274</v>
      </c>
      <c r="D351" s="4" t="s">
        <v>41</v>
      </c>
      <c r="E351" s="4" t="s">
        <v>9</v>
      </c>
      <c r="F351" s="4" t="s">
        <v>5700</v>
      </c>
      <c r="G351" s="4" t="s">
        <v>5701</v>
      </c>
      <c r="H351" s="4">
        <v>4.12</v>
      </c>
      <c r="I351" s="4">
        <v>1.48</v>
      </c>
      <c r="J351" s="4" t="s">
        <v>12322</v>
      </c>
      <c r="K351" s="4" t="s">
        <v>12323</v>
      </c>
      <c r="M351" s="4" t="b">
        <v>0</v>
      </c>
      <c r="N351" s="4" t="b">
        <v>0</v>
      </c>
      <c r="O351" s="4" t="b">
        <v>0</v>
      </c>
      <c r="P351" s="4"/>
      <c r="Q351" s="4" t="b">
        <v>0</v>
      </c>
    </row>
    <row r="352" spans="1:17" ht="13">
      <c r="A352" s="4" t="s">
        <v>12502</v>
      </c>
      <c r="B352" s="4" t="s">
        <v>4926</v>
      </c>
      <c r="C352" s="4" t="s">
        <v>12274</v>
      </c>
      <c r="D352" s="4" t="s">
        <v>41</v>
      </c>
      <c r="E352" s="4" t="s">
        <v>9</v>
      </c>
      <c r="F352" s="4" t="s">
        <v>5637</v>
      </c>
      <c r="G352" s="4" t="s">
        <v>5638</v>
      </c>
      <c r="H352" s="4">
        <v>3.9</v>
      </c>
      <c r="I352" s="4">
        <v>1.2</v>
      </c>
      <c r="J352" s="4" t="s">
        <v>12269</v>
      </c>
      <c r="K352" s="4" t="s">
        <v>12344</v>
      </c>
      <c r="M352" s="4" t="b">
        <v>0</v>
      </c>
      <c r="N352" s="4" t="b">
        <v>0</v>
      </c>
      <c r="O352" s="41" t="b">
        <v>0</v>
      </c>
      <c r="P352" s="41"/>
      <c r="Q352" s="41" t="b">
        <v>0</v>
      </c>
    </row>
    <row r="353" spans="1:17" ht="13">
      <c r="A353" s="4" t="s">
        <v>12503</v>
      </c>
      <c r="B353" s="4" t="s">
        <v>4926</v>
      </c>
      <c r="C353" s="4" t="s">
        <v>12274</v>
      </c>
      <c r="D353" s="4" t="s">
        <v>41</v>
      </c>
      <c r="E353" s="4" t="s">
        <v>9</v>
      </c>
      <c r="F353" s="4" t="s">
        <v>5032</v>
      </c>
      <c r="G353" s="4" t="s">
        <v>751</v>
      </c>
      <c r="H353" s="4">
        <v>3.93</v>
      </c>
      <c r="I353" s="4">
        <v>1.29</v>
      </c>
      <c r="J353" s="4" t="s">
        <v>12269</v>
      </c>
      <c r="K353" s="4" t="s">
        <v>12344</v>
      </c>
      <c r="M353" s="4" t="b">
        <v>0</v>
      </c>
      <c r="N353" s="4" t="b">
        <v>0</v>
      </c>
      <c r="O353" s="4" t="b">
        <v>0</v>
      </c>
      <c r="P353" s="4"/>
      <c r="Q353" s="4" t="b">
        <v>1</v>
      </c>
    </row>
    <row r="354" spans="1:17" ht="13">
      <c r="A354" s="4" t="s">
        <v>12504</v>
      </c>
      <c r="B354" s="4" t="s">
        <v>4926</v>
      </c>
      <c r="C354" s="4" t="s">
        <v>12274</v>
      </c>
      <c r="D354" s="4" t="s">
        <v>41</v>
      </c>
      <c r="E354" s="4" t="s">
        <v>9</v>
      </c>
      <c r="F354" s="4" t="s">
        <v>5667</v>
      </c>
      <c r="G354" s="4" t="s">
        <v>5668</v>
      </c>
      <c r="H354" s="4">
        <v>4</v>
      </c>
      <c r="I354" s="4">
        <v>1.43</v>
      </c>
      <c r="J354" s="4" t="s">
        <v>12269</v>
      </c>
      <c r="K354" s="4" t="s">
        <v>12344</v>
      </c>
      <c r="M354" s="4" t="b">
        <v>0</v>
      </c>
      <c r="N354" s="4" t="b">
        <v>0</v>
      </c>
      <c r="O354" s="4" t="b">
        <v>0</v>
      </c>
      <c r="P354" s="4"/>
      <c r="Q354" s="4" t="b">
        <v>0</v>
      </c>
    </row>
    <row r="355" spans="1:17" ht="13">
      <c r="A355" s="4" t="s">
        <v>12505</v>
      </c>
      <c r="B355" s="4" t="s">
        <v>4926</v>
      </c>
      <c r="C355" s="4" t="s">
        <v>12274</v>
      </c>
      <c r="D355" s="4" t="s">
        <v>41</v>
      </c>
      <c r="E355" s="4" t="s">
        <v>9</v>
      </c>
      <c r="F355" s="4" t="s">
        <v>5789</v>
      </c>
      <c r="G355" s="4" t="s">
        <v>5790</v>
      </c>
      <c r="H355" s="4">
        <v>4.0199999999999996</v>
      </c>
      <c r="I355" s="4">
        <v>1.2010000000000001</v>
      </c>
      <c r="J355" s="4" t="s">
        <v>12269</v>
      </c>
      <c r="K355" s="4" t="s">
        <v>12344</v>
      </c>
      <c r="M355" s="4" t="b">
        <v>0</v>
      </c>
      <c r="N355" s="4" t="b">
        <v>0</v>
      </c>
      <c r="O355" s="4" t="b">
        <v>0</v>
      </c>
      <c r="P355" s="4"/>
      <c r="Q355" s="4" t="b">
        <v>0</v>
      </c>
    </row>
    <row r="356" spans="1:17" ht="13">
      <c r="A356" s="4" t="s">
        <v>12509</v>
      </c>
      <c r="B356" s="4" t="s">
        <v>4926</v>
      </c>
      <c r="C356" s="4" t="s">
        <v>12274</v>
      </c>
      <c r="D356" s="4" t="s">
        <v>41</v>
      </c>
      <c r="E356" s="4" t="s">
        <v>9</v>
      </c>
      <c r="F356" s="4" t="s">
        <v>12257</v>
      </c>
      <c r="G356" s="4" t="s">
        <v>12258</v>
      </c>
      <c r="H356" s="4">
        <v>4.63</v>
      </c>
      <c r="I356" s="4">
        <v>1.23</v>
      </c>
      <c r="J356" s="4" t="s">
        <v>12269</v>
      </c>
      <c r="K356" s="4" t="s">
        <v>12344</v>
      </c>
      <c r="M356" s="4" t="b">
        <v>0</v>
      </c>
      <c r="N356" s="4" t="b">
        <v>0</v>
      </c>
      <c r="O356" s="4" t="b">
        <v>0</v>
      </c>
      <c r="P356" s="4"/>
      <c r="Q356" s="4" t="b">
        <v>0</v>
      </c>
    </row>
    <row r="357" spans="1:17" ht="13">
      <c r="A357" s="4" t="s">
        <v>12511</v>
      </c>
      <c r="B357" s="4" t="s">
        <v>4926</v>
      </c>
      <c r="C357" s="4" t="s">
        <v>12274</v>
      </c>
      <c r="D357" s="4" t="s">
        <v>41</v>
      </c>
      <c r="E357" s="4" t="s">
        <v>9</v>
      </c>
      <c r="F357" s="4" t="s">
        <v>5107</v>
      </c>
      <c r="G357" s="4" t="s">
        <v>730</v>
      </c>
      <c r="H357" s="4">
        <v>4.72</v>
      </c>
      <c r="I357" s="4">
        <v>1.44</v>
      </c>
      <c r="J357" s="4" t="s">
        <v>12269</v>
      </c>
      <c r="K357" s="4" t="s">
        <v>12344</v>
      </c>
      <c r="M357" s="4" t="b">
        <v>0</v>
      </c>
      <c r="N357" s="4" t="b">
        <v>0</v>
      </c>
      <c r="O357" s="4" t="b">
        <v>0</v>
      </c>
      <c r="P357" s="4"/>
      <c r="Q357" s="4" t="b">
        <v>1</v>
      </c>
    </row>
    <row r="358" spans="1:17" ht="13">
      <c r="A358" s="4" t="s">
        <v>12512</v>
      </c>
      <c r="B358" s="4" t="s">
        <v>4926</v>
      </c>
      <c r="C358" s="4" t="s">
        <v>12274</v>
      </c>
      <c r="D358" s="4" t="s">
        <v>41</v>
      </c>
      <c r="E358" s="4" t="s">
        <v>9</v>
      </c>
      <c r="F358" s="4" t="s">
        <v>6115</v>
      </c>
      <c r="G358" s="4" t="s">
        <v>6116</v>
      </c>
      <c r="H358" s="4">
        <v>4.75</v>
      </c>
      <c r="I358" s="4">
        <v>1.2</v>
      </c>
      <c r="J358" s="4" t="s">
        <v>12269</v>
      </c>
      <c r="K358" s="4" t="s">
        <v>12344</v>
      </c>
      <c r="M358" s="4" t="b">
        <v>0</v>
      </c>
      <c r="N358" s="4" t="b">
        <v>0</v>
      </c>
      <c r="O358" s="4" t="b">
        <v>0</v>
      </c>
      <c r="P358" s="4"/>
      <c r="Q358" s="4" t="b">
        <v>0</v>
      </c>
    </row>
    <row r="359" spans="1:17" ht="13">
      <c r="A359" s="4" t="s">
        <v>12513</v>
      </c>
      <c r="B359" s="4" t="s">
        <v>4926</v>
      </c>
      <c r="C359" s="4" t="s">
        <v>12274</v>
      </c>
      <c r="D359" s="4" t="s">
        <v>41</v>
      </c>
      <c r="E359" s="4" t="s">
        <v>9</v>
      </c>
      <c r="F359" s="4" t="s">
        <v>5020</v>
      </c>
      <c r="G359" s="4" t="s">
        <v>731</v>
      </c>
      <c r="H359" s="4">
        <v>4.8</v>
      </c>
      <c r="I359" s="4">
        <v>1.3</v>
      </c>
      <c r="J359" s="4" t="s">
        <v>12269</v>
      </c>
      <c r="K359" s="4" t="s">
        <v>12344</v>
      </c>
      <c r="M359" s="4" t="b">
        <v>0</v>
      </c>
      <c r="N359" s="4" t="b">
        <v>0</v>
      </c>
      <c r="O359" s="4" t="b">
        <v>0</v>
      </c>
      <c r="P359" s="4"/>
      <c r="Q359" s="4" t="b">
        <v>1</v>
      </c>
    </row>
    <row r="360" spans="1:17" ht="13">
      <c r="A360" s="4" t="s">
        <v>12515</v>
      </c>
      <c r="B360" s="4" t="s">
        <v>4926</v>
      </c>
      <c r="C360" s="4" t="s">
        <v>12274</v>
      </c>
      <c r="D360" s="4" t="s">
        <v>41</v>
      </c>
      <c r="E360" s="4" t="s">
        <v>9</v>
      </c>
      <c r="F360" s="4" t="s">
        <v>5652</v>
      </c>
      <c r="G360" s="4" t="s">
        <v>5653</v>
      </c>
      <c r="H360" s="4">
        <v>4.88</v>
      </c>
      <c r="I360" s="4">
        <v>1.43</v>
      </c>
      <c r="J360" s="4" t="s">
        <v>12322</v>
      </c>
      <c r="K360" s="4" t="s">
        <v>12328</v>
      </c>
      <c r="M360" s="4" t="b">
        <v>0</v>
      </c>
      <c r="N360" s="4" t="b">
        <v>0</v>
      </c>
      <c r="O360" s="41" t="b">
        <v>0</v>
      </c>
      <c r="P360" s="41"/>
      <c r="Q360" s="41" t="b">
        <v>0</v>
      </c>
    </row>
    <row r="361" spans="1:17" ht="13">
      <c r="A361" s="4" t="s">
        <v>12522</v>
      </c>
      <c r="B361" s="4" t="s">
        <v>4926</v>
      </c>
      <c r="C361" s="4" t="s">
        <v>12274</v>
      </c>
      <c r="D361" s="4" t="s">
        <v>41</v>
      </c>
      <c r="E361" s="4" t="s">
        <v>9</v>
      </c>
      <c r="F361" s="4" t="s">
        <v>5423</v>
      </c>
      <c r="G361" s="4" t="s">
        <v>5424</v>
      </c>
      <c r="H361" s="4">
        <v>5.28</v>
      </c>
      <c r="I361" s="4">
        <v>1.5</v>
      </c>
      <c r="J361" s="4" t="s">
        <v>12269</v>
      </c>
      <c r="K361" s="4" t="s">
        <v>12271</v>
      </c>
      <c r="M361" s="4" t="b">
        <v>0</v>
      </c>
      <c r="N361" s="4" t="b">
        <v>0</v>
      </c>
      <c r="O361" s="4" t="b">
        <v>0</v>
      </c>
      <c r="P361" s="4"/>
      <c r="Q361" s="4" t="b">
        <v>0</v>
      </c>
    </row>
    <row r="362" spans="1:17" ht="13">
      <c r="A362" s="4" t="s">
        <v>12527</v>
      </c>
      <c r="B362" s="4" t="s">
        <v>4926</v>
      </c>
      <c r="C362" s="4" t="s">
        <v>12274</v>
      </c>
      <c r="D362" s="4" t="s">
        <v>41</v>
      </c>
      <c r="E362" s="4" t="s">
        <v>9</v>
      </c>
      <c r="F362" s="4" t="s">
        <v>5768</v>
      </c>
      <c r="G362" s="4" t="s">
        <v>5769</v>
      </c>
      <c r="H362" s="4">
        <v>5.47</v>
      </c>
      <c r="I362" s="4">
        <v>1.79</v>
      </c>
      <c r="J362" s="4" t="s">
        <v>12269</v>
      </c>
      <c r="K362" s="4" t="s">
        <v>12271</v>
      </c>
      <c r="L362" s="41">
        <v>0.56974999999999998</v>
      </c>
      <c r="M362" s="4" t="b">
        <v>0</v>
      </c>
      <c r="N362" s="4" t="b">
        <v>0</v>
      </c>
      <c r="O362" s="4" t="b">
        <v>0</v>
      </c>
      <c r="P362" s="4"/>
      <c r="Q362" s="4" t="b">
        <v>0</v>
      </c>
    </row>
    <row r="363" spans="1:17" ht="13">
      <c r="A363" s="4" t="s">
        <v>12537</v>
      </c>
      <c r="B363" s="4" t="s">
        <v>4926</v>
      </c>
      <c r="C363" s="4" t="s">
        <v>12274</v>
      </c>
      <c r="D363" s="4" t="s">
        <v>41</v>
      </c>
      <c r="E363" s="4" t="s">
        <v>9</v>
      </c>
      <c r="F363" s="4" t="s">
        <v>5034</v>
      </c>
      <c r="G363" s="4" t="s">
        <v>754</v>
      </c>
      <c r="H363" s="4">
        <v>4.9000000000000004</v>
      </c>
      <c r="I363" s="4">
        <v>1.3</v>
      </c>
      <c r="J363" s="4" t="s">
        <v>12269</v>
      </c>
      <c r="K363" s="4" t="s">
        <v>12344</v>
      </c>
      <c r="M363" s="4" t="b">
        <v>0</v>
      </c>
      <c r="N363" s="4" t="b">
        <v>0</v>
      </c>
      <c r="O363" s="4" t="b">
        <v>0</v>
      </c>
      <c r="P363" s="4"/>
      <c r="Q363" s="4" t="b">
        <v>1</v>
      </c>
    </row>
    <row r="364" spans="1:17" ht="13">
      <c r="A364" s="4" t="s">
        <v>12540</v>
      </c>
      <c r="B364" s="4" t="s">
        <v>4926</v>
      </c>
      <c r="C364" s="4" t="s">
        <v>12274</v>
      </c>
      <c r="D364" s="4" t="s">
        <v>41</v>
      </c>
      <c r="E364" s="4" t="s">
        <v>9</v>
      </c>
      <c r="F364" s="4" t="s">
        <v>5411</v>
      </c>
      <c r="G364" s="4" t="s">
        <v>5412</v>
      </c>
      <c r="H364" s="4">
        <v>4.9800000000000004</v>
      </c>
      <c r="I364" s="4">
        <v>1.56</v>
      </c>
      <c r="J364" s="4" t="s">
        <v>12269</v>
      </c>
      <c r="K364" s="4" t="s">
        <v>12273</v>
      </c>
      <c r="L364" s="41">
        <v>0.50893999999999995</v>
      </c>
      <c r="M364" s="4" t="b">
        <v>0</v>
      </c>
      <c r="N364" s="4" t="b">
        <v>0</v>
      </c>
      <c r="O364" s="4" t="b">
        <v>0</v>
      </c>
      <c r="P364" s="4"/>
      <c r="Q364" s="4" t="b">
        <v>0</v>
      </c>
    </row>
    <row r="365" spans="1:17" ht="13">
      <c r="A365" s="4" t="s">
        <v>12541</v>
      </c>
      <c r="B365" s="4" t="s">
        <v>4926</v>
      </c>
      <c r="C365" s="4" t="s">
        <v>12274</v>
      </c>
      <c r="D365" s="4" t="s">
        <v>41</v>
      </c>
      <c r="E365" s="4" t="s">
        <v>9</v>
      </c>
      <c r="F365" s="4" t="s">
        <v>5753</v>
      </c>
      <c r="G365" s="4" t="s">
        <v>5754</v>
      </c>
      <c r="H365" s="4">
        <v>5.0199999999999996</v>
      </c>
      <c r="I365" s="4">
        <v>1.3</v>
      </c>
      <c r="J365" s="4" t="s">
        <v>12269</v>
      </c>
      <c r="K365" s="4" t="s">
        <v>12344</v>
      </c>
      <c r="M365" s="4" t="b">
        <v>0</v>
      </c>
      <c r="N365" s="4" t="b">
        <v>0</v>
      </c>
      <c r="O365" s="4" t="b">
        <v>0</v>
      </c>
      <c r="P365" s="4"/>
      <c r="Q365" s="4" t="b">
        <v>0</v>
      </c>
    </row>
    <row r="366" spans="1:17" ht="13">
      <c r="A366" s="4" t="s">
        <v>12543</v>
      </c>
      <c r="B366" s="4" t="s">
        <v>4926</v>
      </c>
      <c r="C366" s="4" t="s">
        <v>12274</v>
      </c>
      <c r="D366" s="4" t="s">
        <v>41</v>
      </c>
      <c r="E366" s="4" t="s">
        <v>9</v>
      </c>
      <c r="F366" s="4" t="s">
        <v>5756</v>
      </c>
      <c r="G366" s="4" t="s">
        <v>5757</v>
      </c>
      <c r="H366" s="4">
        <v>5.05</v>
      </c>
      <c r="I366" s="4">
        <v>1.65</v>
      </c>
      <c r="J366" s="4" t="s">
        <v>12269</v>
      </c>
      <c r="K366" s="4" t="s">
        <v>12271</v>
      </c>
      <c r="M366" s="4" t="b">
        <v>0</v>
      </c>
      <c r="N366" s="4" t="b">
        <v>0</v>
      </c>
      <c r="O366" s="4" t="b">
        <v>0</v>
      </c>
      <c r="P366" s="4"/>
      <c r="Q366" s="4" t="b">
        <v>0</v>
      </c>
    </row>
    <row r="367" spans="1:17" ht="13">
      <c r="A367" s="4" t="s">
        <v>12545</v>
      </c>
      <c r="B367" s="4" t="s">
        <v>4926</v>
      </c>
      <c r="C367" s="4" t="s">
        <v>12274</v>
      </c>
      <c r="D367" s="4" t="s">
        <v>41</v>
      </c>
      <c r="E367" s="4" t="s">
        <v>9</v>
      </c>
      <c r="F367" s="4" t="s">
        <v>5759</v>
      </c>
      <c r="G367" s="4" t="s">
        <v>5760</v>
      </c>
      <c r="H367" s="4">
        <v>5.0999999999999996</v>
      </c>
      <c r="I367" s="4">
        <v>1.44</v>
      </c>
      <c r="J367" s="4" t="s">
        <v>12269</v>
      </c>
      <c r="K367" s="4" t="s">
        <v>12273</v>
      </c>
      <c r="L367" s="41">
        <v>0.50349999999999995</v>
      </c>
      <c r="M367" s="4" t="b">
        <v>0</v>
      </c>
      <c r="N367" s="4" t="b">
        <v>0</v>
      </c>
      <c r="O367" s="4" t="b">
        <v>0</v>
      </c>
      <c r="P367" s="4"/>
      <c r="Q367" s="4" t="b">
        <v>0</v>
      </c>
    </row>
    <row r="368" spans="1:17" ht="13">
      <c r="A368" s="4" t="s">
        <v>12557</v>
      </c>
      <c r="B368" s="4" t="s">
        <v>4926</v>
      </c>
      <c r="C368" s="4" t="s">
        <v>12274</v>
      </c>
      <c r="D368" s="4" t="s">
        <v>41</v>
      </c>
      <c r="E368" s="4" t="s">
        <v>9</v>
      </c>
      <c r="F368" s="4" t="s">
        <v>5033</v>
      </c>
      <c r="G368" s="4" t="s">
        <v>752</v>
      </c>
      <c r="H368" s="4">
        <v>4.72</v>
      </c>
      <c r="I368" s="4">
        <v>1.05</v>
      </c>
      <c r="J368" s="4" t="s">
        <v>12269</v>
      </c>
      <c r="K368" s="4" t="s">
        <v>12271</v>
      </c>
      <c r="M368" s="4" t="b">
        <v>0</v>
      </c>
      <c r="N368" s="4" t="b">
        <v>0</v>
      </c>
      <c r="O368" s="4" t="b">
        <v>0</v>
      </c>
      <c r="P368" s="4"/>
      <c r="Q368" s="4" t="b">
        <v>1</v>
      </c>
    </row>
    <row r="369" spans="1:17" ht="13">
      <c r="A369" s="4" t="s">
        <v>12558</v>
      </c>
      <c r="B369" s="4" t="s">
        <v>4926</v>
      </c>
      <c r="C369" s="4" t="s">
        <v>12274</v>
      </c>
      <c r="D369" s="4" t="s">
        <v>41</v>
      </c>
      <c r="E369" s="4" t="s">
        <v>9</v>
      </c>
      <c r="F369" s="4" t="s">
        <v>5148</v>
      </c>
      <c r="G369" s="4" t="s">
        <v>753</v>
      </c>
      <c r="H369" s="4">
        <v>4.75</v>
      </c>
      <c r="I369" s="4">
        <v>1.44</v>
      </c>
      <c r="J369" s="4" t="s">
        <v>12322</v>
      </c>
      <c r="K369" s="4" t="s">
        <v>12323</v>
      </c>
      <c r="M369" s="4" t="b">
        <v>0</v>
      </c>
      <c r="N369" s="4" t="b">
        <v>0</v>
      </c>
      <c r="O369" s="4" t="b">
        <v>0</v>
      </c>
      <c r="P369" s="4"/>
      <c r="Q369" s="4" t="b">
        <v>1</v>
      </c>
    </row>
    <row r="370" spans="1:17" ht="13">
      <c r="A370" s="4" t="s">
        <v>12559</v>
      </c>
      <c r="B370" s="4" t="s">
        <v>4926</v>
      </c>
      <c r="C370" s="4" t="s">
        <v>12274</v>
      </c>
      <c r="D370" s="4" t="s">
        <v>41</v>
      </c>
      <c r="E370" s="4" t="s">
        <v>9</v>
      </c>
      <c r="F370" s="4" t="s">
        <v>6158</v>
      </c>
      <c r="G370" s="4" t="s">
        <v>6159</v>
      </c>
      <c r="H370" s="41">
        <v>4.7699999999999996</v>
      </c>
      <c r="I370" s="41">
        <v>1.04</v>
      </c>
      <c r="J370" s="41" t="s">
        <v>12269</v>
      </c>
      <c r="K370" s="41" t="s">
        <v>12344</v>
      </c>
      <c r="M370" s="4" t="b">
        <v>0</v>
      </c>
      <c r="N370" s="4" t="b">
        <v>0</v>
      </c>
      <c r="O370" s="4" t="b">
        <v>0</v>
      </c>
      <c r="P370" s="4"/>
      <c r="Q370" s="4" t="b">
        <v>0</v>
      </c>
    </row>
    <row r="371" spans="1:17" ht="13">
      <c r="A371" s="4" t="s">
        <v>12562</v>
      </c>
      <c r="B371" s="4" t="s">
        <v>4926</v>
      </c>
      <c r="C371" s="4" t="s">
        <v>12274</v>
      </c>
      <c r="D371" s="4" t="s">
        <v>41</v>
      </c>
      <c r="E371" s="4" t="s">
        <v>9</v>
      </c>
      <c r="F371" s="4" t="s">
        <v>6239</v>
      </c>
      <c r="G371" s="4" t="s">
        <v>6240</v>
      </c>
      <c r="H371" s="41">
        <v>6.13</v>
      </c>
      <c r="I371" s="41">
        <v>1.4</v>
      </c>
      <c r="J371" s="41" t="s">
        <v>12269</v>
      </c>
      <c r="K371" s="41" t="s">
        <v>12344</v>
      </c>
      <c r="M371" s="4" t="b">
        <v>0</v>
      </c>
      <c r="N371" s="4" t="b">
        <v>0</v>
      </c>
      <c r="O371" s="4" t="b">
        <v>0</v>
      </c>
      <c r="P371" s="4"/>
      <c r="Q371" s="4" t="b">
        <v>0</v>
      </c>
    </row>
    <row r="372" spans="1:17" ht="13">
      <c r="A372" s="4" t="s">
        <v>12574</v>
      </c>
      <c r="B372" s="4" t="s">
        <v>4926</v>
      </c>
      <c r="C372" s="4" t="s">
        <v>12274</v>
      </c>
      <c r="D372" s="4" t="s">
        <v>41</v>
      </c>
      <c r="E372" s="4" t="s">
        <v>9</v>
      </c>
      <c r="F372" s="4" t="s">
        <v>5023</v>
      </c>
      <c r="G372" s="4" t="s">
        <v>735</v>
      </c>
      <c r="H372" s="41">
        <v>5.5</v>
      </c>
      <c r="I372" s="41">
        <v>1.2</v>
      </c>
      <c r="J372" s="41" t="s">
        <v>12322</v>
      </c>
      <c r="K372" s="41" t="s">
        <v>12328</v>
      </c>
      <c r="M372" s="4" t="b">
        <v>0</v>
      </c>
      <c r="N372" s="4" t="b">
        <v>0</v>
      </c>
      <c r="O372" s="41" t="b">
        <v>0</v>
      </c>
      <c r="P372" s="41"/>
      <c r="Q372" s="41" t="b">
        <v>1</v>
      </c>
    </row>
    <row r="373" spans="1:17" ht="13">
      <c r="A373" s="4" t="s">
        <v>12576</v>
      </c>
      <c r="B373" s="4" t="s">
        <v>4926</v>
      </c>
      <c r="C373" s="4" t="s">
        <v>12274</v>
      </c>
      <c r="D373" s="4" t="s">
        <v>41</v>
      </c>
      <c r="E373" s="4" t="s">
        <v>9</v>
      </c>
      <c r="F373" s="4" t="s">
        <v>5688</v>
      </c>
      <c r="G373" s="4" t="s">
        <v>5689</v>
      </c>
      <c r="H373" s="41">
        <v>5.63</v>
      </c>
      <c r="I373" s="41">
        <v>1.42</v>
      </c>
      <c r="J373" s="41" t="s">
        <v>12269</v>
      </c>
      <c r="K373" s="41" t="s">
        <v>12344</v>
      </c>
      <c r="M373" s="4" t="b">
        <v>0</v>
      </c>
      <c r="N373" s="4" t="b">
        <v>0</v>
      </c>
      <c r="O373" s="4" t="b">
        <v>0</v>
      </c>
      <c r="P373" s="4"/>
      <c r="Q373" s="4" t="b">
        <v>0</v>
      </c>
    </row>
    <row r="374" spans="1:17" ht="13">
      <c r="A374" s="4" t="s">
        <v>12583</v>
      </c>
      <c r="B374" s="4" t="s">
        <v>4926</v>
      </c>
      <c r="C374" s="4" t="s">
        <v>12274</v>
      </c>
      <c r="D374" s="4" t="s">
        <v>41</v>
      </c>
      <c r="E374" s="4" t="s">
        <v>9</v>
      </c>
      <c r="F374" s="4" t="s">
        <v>4947</v>
      </c>
      <c r="G374" s="4" t="s">
        <v>709</v>
      </c>
      <c r="H374" s="41">
        <v>5.87</v>
      </c>
      <c r="I374" s="41">
        <v>1.22</v>
      </c>
      <c r="J374" s="41" t="s">
        <v>12269</v>
      </c>
      <c r="K374" s="41" t="s">
        <v>12344</v>
      </c>
      <c r="M374" s="4" t="b">
        <v>0</v>
      </c>
      <c r="N374" s="4" t="b">
        <v>0</v>
      </c>
      <c r="O374" s="4" t="b">
        <v>0</v>
      </c>
      <c r="P374" s="4"/>
      <c r="Q374" s="4" t="b">
        <v>1</v>
      </c>
    </row>
    <row r="375" spans="1:17" ht="13">
      <c r="A375" s="4" t="s">
        <v>12585</v>
      </c>
      <c r="B375" s="4" t="s">
        <v>4926</v>
      </c>
      <c r="C375" s="4" t="s">
        <v>12274</v>
      </c>
      <c r="D375" s="4" t="s">
        <v>41</v>
      </c>
      <c r="E375" s="4" t="s">
        <v>9</v>
      </c>
      <c r="F375" s="4" t="s">
        <v>5382</v>
      </c>
      <c r="G375" s="4" t="s">
        <v>5383</v>
      </c>
      <c r="H375" s="41">
        <v>5.93</v>
      </c>
      <c r="I375" s="41">
        <v>1.76</v>
      </c>
      <c r="J375" s="41" t="s">
        <v>12322</v>
      </c>
      <c r="K375" s="41" t="s">
        <v>12328</v>
      </c>
      <c r="M375" s="4" t="b">
        <v>0</v>
      </c>
      <c r="N375" s="4" t="b">
        <v>0</v>
      </c>
      <c r="O375" s="4" t="b">
        <v>0</v>
      </c>
      <c r="P375" s="4"/>
      <c r="Q375" s="4" t="b">
        <v>0</v>
      </c>
    </row>
    <row r="376" spans="1:17" ht="13">
      <c r="A376" s="4" t="s">
        <v>12586</v>
      </c>
      <c r="B376" s="4" t="s">
        <v>4926</v>
      </c>
      <c r="C376" s="4" t="s">
        <v>12274</v>
      </c>
      <c r="D376" s="4" t="s">
        <v>41</v>
      </c>
      <c r="E376" s="4" t="s">
        <v>9</v>
      </c>
      <c r="F376" s="4" t="s">
        <v>5385</v>
      </c>
      <c r="G376" s="4" t="s">
        <v>5386</v>
      </c>
      <c r="H376" s="41">
        <v>6.02</v>
      </c>
      <c r="I376" s="41">
        <v>2.2000000000000002</v>
      </c>
      <c r="J376" s="41" t="s">
        <v>12322</v>
      </c>
      <c r="K376" s="41" t="s">
        <v>12323</v>
      </c>
      <c r="M376" s="4" t="b">
        <v>0</v>
      </c>
      <c r="N376" s="4" t="b">
        <v>0</v>
      </c>
      <c r="O376" s="4" t="b">
        <v>0</v>
      </c>
      <c r="P376" s="4"/>
      <c r="Q376" s="4" t="b">
        <v>0</v>
      </c>
    </row>
    <row r="377" spans="1:17" ht="13">
      <c r="A377" s="4" t="s">
        <v>12587</v>
      </c>
      <c r="B377" s="4" t="s">
        <v>4926</v>
      </c>
      <c r="C377" s="4" t="s">
        <v>12274</v>
      </c>
      <c r="D377" s="4" t="s">
        <v>41</v>
      </c>
      <c r="E377" s="4" t="s">
        <v>9</v>
      </c>
      <c r="F377" s="4" t="s">
        <v>5370</v>
      </c>
      <c r="G377" s="4" t="s">
        <v>5371</v>
      </c>
      <c r="H377" s="41">
        <v>5</v>
      </c>
      <c r="I377" s="41">
        <v>1.41</v>
      </c>
      <c r="J377" s="41" t="s">
        <v>12269</v>
      </c>
      <c r="K377" s="41" t="s">
        <v>12344</v>
      </c>
      <c r="M377" s="4" t="b">
        <v>0</v>
      </c>
      <c r="N377" s="4" t="b">
        <v>0</v>
      </c>
      <c r="O377" s="4" t="b">
        <v>0</v>
      </c>
      <c r="P377" s="4"/>
      <c r="Q377" s="4" t="b">
        <v>0</v>
      </c>
    </row>
    <row r="378" spans="1:17" ht="13">
      <c r="A378" s="4" t="s">
        <v>12588</v>
      </c>
      <c r="B378" s="4" t="s">
        <v>4926</v>
      </c>
      <c r="C378" s="4" t="s">
        <v>12274</v>
      </c>
      <c r="D378" s="4" t="s">
        <v>41</v>
      </c>
      <c r="E378" s="4" t="s">
        <v>9</v>
      </c>
      <c r="F378" s="4" t="s">
        <v>5661</v>
      </c>
      <c r="G378" s="4" t="s">
        <v>5662</v>
      </c>
      <c r="H378" s="41">
        <v>5.0999999999999996</v>
      </c>
      <c r="I378" s="41">
        <v>1.79</v>
      </c>
      <c r="J378" s="41" t="s">
        <v>12322</v>
      </c>
      <c r="K378" s="41" t="s">
        <v>12331</v>
      </c>
      <c r="M378" s="4" t="b">
        <v>0</v>
      </c>
      <c r="N378" s="4" t="b">
        <v>0</v>
      </c>
      <c r="O378" s="4" t="b">
        <v>0</v>
      </c>
      <c r="P378" s="4"/>
      <c r="Q378" s="4" t="b">
        <v>0</v>
      </c>
    </row>
    <row r="379" spans="1:17" ht="13">
      <c r="A379" s="4" t="s">
        <v>12589</v>
      </c>
      <c r="B379" s="4" t="s">
        <v>4926</v>
      </c>
      <c r="C379" s="4" t="s">
        <v>12274</v>
      </c>
      <c r="D379" s="4" t="s">
        <v>41</v>
      </c>
      <c r="E379" s="4" t="s">
        <v>9</v>
      </c>
      <c r="F379" s="4" t="s">
        <v>6118</v>
      </c>
      <c r="G379" s="4" t="s">
        <v>6119</v>
      </c>
      <c r="H379" s="41">
        <v>5.13</v>
      </c>
      <c r="I379" s="41">
        <v>1.46</v>
      </c>
      <c r="J379" s="41" t="s">
        <v>12322</v>
      </c>
      <c r="K379" s="41" t="s">
        <v>12323</v>
      </c>
      <c r="M379" s="4" t="b">
        <v>0</v>
      </c>
      <c r="N379" s="4" t="b">
        <v>0</v>
      </c>
      <c r="O379" s="4" t="b">
        <v>0</v>
      </c>
      <c r="P379" s="4"/>
      <c r="Q379" s="4" t="b">
        <v>0</v>
      </c>
    </row>
    <row r="380" spans="1:17" ht="13">
      <c r="A380" s="4" t="s">
        <v>12590</v>
      </c>
      <c r="B380" s="4" t="s">
        <v>4926</v>
      </c>
      <c r="C380" s="4" t="s">
        <v>12274</v>
      </c>
      <c r="D380" s="4" t="s">
        <v>41</v>
      </c>
      <c r="E380" s="4" t="s">
        <v>9</v>
      </c>
      <c r="F380" s="4" t="s">
        <v>5108</v>
      </c>
      <c r="G380" s="4" t="s">
        <v>732</v>
      </c>
      <c r="H380" s="41">
        <v>5.15</v>
      </c>
      <c r="I380" s="41">
        <v>1.45</v>
      </c>
      <c r="J380" s="41" t="s">
        <v>12322</v>
      </c>
      <c r="K380" s="41" t="s">
        <v>12328</v>
      </c>
      <c r="M380" s="4" t="b">
        <v>0</v>
      </c>
      <c r="N380" s="4" t="b">
        <v>0</v>
      </c>
      <c r="O380" s="4" t="b">
        <v>0</v>
      </c>
      <c r="P380" s="4"/>
      <c r="Q380" s="4" t="b">
        <v>1</v>
      </c>
    </row>
    <row r="381" spans="1:17" ht="13">
      <c r="A381" s="4" t="s">
        <v>12592</v>
      </c>
      <c r="B381" s="4" t="s">
        <v>4926</v>
      </c>
      <c r="C381" s="4" t="s">
        <v>12274</v>
      </c>
      <c r="D381" s="4" t="s">
        <v>41</v>
      </c>
      <c r="E381" s="4" t="s">
        <v>9</v>
      </c>
      <c r="F381" s="4" t="s">
        <v>5021</v>
      </c>
      <c r="G381" s="4" t="s">
        <v>733</v>
      </c>
      <c r="H381" s="41">
        <v>5.22</v>
      </c>
      <c r="I381" s="41">
        <v>1.73</v>
      </c>
      <c r="J381" s="41" t="s">
        <v>12322</v>
      </c>
      <c r="K381" s="41" t="s">
        <v>12323</v>
      </c>
      <c r="M381" s="4" t="b">
        <v>0</v>
      </c>
      <c r="N381" s="4" t="b">
        <v>0</v>
      </c>
      <c r="O381" s="4" t="b">
        <v>0</v>
      </c>
      <c r="P381" s="4"/>
      <c r="Q381" s="4" t="b">
        <v>1</v>
      </c>
    </row>
    <row r="382" spans="1:17" ht="13">
      <c r="A382" s="4" t="s">
        <v>12593</v>
      </c>
      <c r="B382" s="4" t="s">
        <v>4926</v>
      </c>
      <c r="C382" s="4" t="s">
        <v>12274</v>
      </c>
      <c r="D382" s="4" t="s">
        <v>41</v>
      </c>
      <c r="E382" s="4" t="s">
        <v>9</v>
      </c>
      <c r="F382" s="4" t="s">
        <v>5670</v>
      </c>
      <c r="G382" s="4" t="s">
        <v>5671</v>
      </c>
      <c r="H382" s="41">
        <v>5.28</v>
      </c>
      <c r="I382" s="41">
        <v>1.2</v>
      </c>
      <c r="J382" s="41" t="s">
        <v>12322</v>
      </c>
      <c r="K382" s="41" t="s">
        <v>12328</v>
      </c>
      <c r="M382" s="4" t="b">
        <v>0</v>
      </c>
      <c r="N382" s="4" t="b">
        <v>0</v>
      </c>
      <c r="O382" s="4" t="b">
        <v>0</v>
      </c>
      <c r="P382" s="4"/>
      <c r="Q382" s="4" t="b">
        <v>0</v>
      </c>
    </row>
    <row r="383" spans="1:17" ht="13">
      <c r="A383" s="4" t="s">
        <v>12595</v>
      </c>
      <c r="B383" s="4" t="s">
        <v>4926</v>
      </c>
      <c r="C383" s="4" t="s">
        <v>12274</v>
      </c>
      <c r="D383" s="4" t="s">
        <v>41</v>
      </c>
      <c r="E383" s="4" t="s">
        <v>9</v>
      </c>
      <c r="F383" s="4" t="s">
        <v>5786</v>
      </c>
      <c r="G383" s="4" t="s">
        <v>5787</v>
      </c>
      <c r="H383" s="41">
        <v>5.72</v>
      </c>
      <c r="I383" s="41">
        <v>1.48</v>
      </c>
      <c r="J383" s="41" t="s">
        <v>12269</v>
      </c>
      <c r="K383" s="41" t="s">
        <v>12344</v>
      </c>
      <c r="M383" s="4" t="b">
        <v>0</v>
      </c>
      <c r="N383" s="4" t="b">
        <v>0</v>
      </c>
      <c r="O383" s="41" t="b">
        <v>0</v>
      </c>
      <c r="P383" s="41"/>
      <c r="Q383" s="41" t="b">
        <v>0</v>
      </c>
    </row>
    <row r="384" spans="1:17" ht="13">
      <c r="A384" s="4" t="s">
        <v>12597</v>
      </c>
      <c r="B384" s="4" t="s">
        <v>4926</v>
      </c>
      <c r="C384" s="4" t="s">
        <v>12274</v>
      </c>
      <c r="D384" s="4" t="s">
        <v>41</v>
      </c>
      <c r="E384" s="4" t="s">
        <v>9</v>
      </c>
      <c r="F384" s="4" t="s">
        <v>5119</v>
      </c>
      <c r="G384" s="4" t="s">
        <v>764</v>
      </c>
      <c r="H384" s="41">
        <v>6.07</v>
      </c>
      <c r="I384" s="41">
        <v>1.72</v>
      </c>
      <c r="J384" s="41" t="s">
        <v>12322</v>
      </c>
      <c r="K384" s="41" t="s">
        <v>12323</v>
      </c>
      <c r="M384" s="4" t="b">
        <v>0</v>
      </c>
      <c r="N384" s="4" t="b">
        <v>0</v>
      </c>
      <c r="O384" s="4" t="b">
        <v>0</v>
      </c>
      <c r="P384" s="4"/>
      <c r="Q384" s="4" t="b">
        <v>1</v>
      </c>
    </row>
    <row r="385" spans="1:17" ht="13">
      <c r="A385" s="4" t="s">
        <v>12598</v>
      </c>
      <c r="B385" s="4" t="s">
        <v>4926</v>
      </c>
      <c r="C385" s="4" t="s">
        <v>12274</v>
      </c>
      <c r="D385" s="4" t="s">
        <v>41</v>
      </c>
      <c r="E385" s="4" t="s">
        <v>9</v>
      </c>
      <c r="F385" s="4" t="s">
        <v>4950</v>
      </c>
      <c r="G385" s="4" t="s">
        <v>715</v>
      </c>
      <c r="H385" s="41">
        <v>6.1</v>
      </c>
      <c r="I385" s="41">
        <v>1.58</v>
      </c>
      <c r="J385" s="41" t="s">
        <v>12322</v>
      </c>
      <c r="K385" s="41" t="s">
        <v>12328</v>
      </c>
      <c r="M385" s="4" t="b">
        <v>0</v>
      </c>
      <c r="N385" s="4" t="b">
        <v>0</v>
      </c>
      <c r="O385" s="4" t="b">
        <v>0</v>
      </c>
      <c r="P385" s="4"/>
      <c r="Q385" s="4" t="b">
        <v>1</v>
      </c>
    </row>
    <row r="386" spans="1:17" ht="13">
      <c r="A386" s="4" t="s">
        <v>12599</v>
      </c>
      <c r="B386" s="4" t="s">
        <v>4926</v>
      </c>
      <c r="C386" s="4" t="s">
        <v>12274</v>
      </c>
      <c r="D386" s="4" t="s">
        <v>41</v>
      </c>
      <c r="E386" s="4" t="s">
        <v>9</v>
      </c>
      <c r="F386" s="4" t="s">
        <v>6161</v>
      </c>
      <c r="G386" s="4" t="s">
        <v>6162</v>
      </c>
      <c r="H386" s="41">
        <v>6.13</v>
      </c>
      <c r="I386" s="41">
        <v>1.49</v>
      </c>
      <c r="J386" s="41" t="s">
        <v>12322</v>
      </c>
      <c r="K386" s="41" t="s">
        <v>12323</v>
      </c>
      <c r="M386" s="4" t="b">
        <v>0</v>
      </c>
      <c r="N386" s="4" t="b">
        <v>0</v>
      </c>
      <c r="O386" s="4" t="b">
        <v>0</v>
      </c>
      <c r="P386" s="4"/>
      <c r="Q386" s="4" t="b">
        <v>0</v>
      </c>
    </row>
    <row r="387" spans="1:17" ht="13">
      <c r="A387" s="4" t="s">
        <v>12600</v>
      </c>
      <c r="B387" s="4" t="s">
        <v>4926</v>
      </c>
      <c r="C387" s="4" t="s">
        <v>12274</v>
      </c>
      <c r="D387" s="4" t="s">
        <v>41</v>
      </c>
      <c r="E387" s="4" t="s">
        <v>9</v>
      </c>
      <c r="F387" s="4" t="s">
        <v>5426</v>
      </c>
      <c r="G387" s="4" t="s">
        <v>5427</v>
      </c>
      <c r="H387" s="41">
        <v>6.17</v>
      </c>
      <c r="I387" s="41">
        <v>1.24</v>
      </c>
      <c r="J387" s="41" t="s">
        <v>12322</v>
      </c>
      <c r="K387" s="41" t="s">
        <v>12328</v>
      </c>
      <c r="M387" s="4" t="b">
        <v>0</v>
      </c>
      <c r="N387" s="4" t="b">
        <v>0</v>
      </c>
      <c r="O387" s="4" t="b">
        <v>0</v>
      </c>
      <c r="P387" s="4"/>
      <c r="Q387" s="4" t="b">
        <v>0</v>
      </c>
    </row>
    <row r="388" spans="1:17" ht="13">
      <c r="A388" s="4" t="s">
        <v>12603</v>
      </c>
      <c r="B388" s="4" t="s">
        <v>4926</v>
      </c>
      <c r="C388" s="4" t="s">
        <v>12274</v>
      </c>
      <c r="D388" s="4" t="s">
        <v>41</v>
      </c>
      <c r="E388" s="4" t="s">
        <v>9</v>
      </c>
      <c r="F388" s="4" t="s">
        <v>5795</v>
      </c>
      <c r="G388" s="4" t="s">
        <v>5796</v>
      </c>
      <c r="H388" s="41">
        <v>5.82</v>
      </c>
      <c r="I388" s="41">
        <v>1.62</v>
      </c>
      <c r="J388" s="41" t="s">
        <v>12322</v>
      </c>
      <c r="K388" s="41" t="s">
        <v>12328</v>
      </c>
      <c r="M388" s="4" t="b">
        <v>0</v>
      </c>
      <c r="N388" s="4" t="b">
        <v>0</v>
      </c>
      <c r="O388" s="4" t="b">
        <v>0</v>
      </c>
      <c r="P388" s="4"/>
      <c r="Q388" s="4" t="b">
        <v>0</v>
      </c>
    </row>
    <row r="389" spans="1:17" ht="13">
      <c r="A389" s="4" t="s">
        <v>12605</v>
      </c>
      <c r="B389" s="4" t="s">
        <v>4926</v>
      </c>
      <c r="C389" s="4" t="s">
        <v>12274</v>
      </c>
      <c r="D389" s="4" t="s">
        <v>41</v>
      </c>
      <c r="E389" s="4" t="s">
        <v>9</v>
      </c>
      <c r="F389" s="4" t="s">
        <v>5041</v>
      </c>
      <c r="G389" s="4" t="s">
        <v>763</v>
      </c>
      <c r="H389" s="41">
        <v>5.88</v>
      </c>
      <c r="I389" s="41">
        <v>1.77</v>
      </c>
      <c r="J389" s="41" t="s">
        <v>12322</v>
      </c>
      <c r="K389" s="41" t="s">
        <v>12328</v>
      </c>
      <c r="M389" s="4" t="b">
        <v>0</v>
      </c>
      <c r="N389" s="4" t="b">
        <v>0</v>
      </c>
      <c r="O389" s="4" t="b">
        <v>0</v>
      </c>
      <c r="P389" s="4"/>
      <c r="Q389" s="4" t="b">
        <v>1</v>
      </c>
    </row>
    <row r="390" spans="1:17" ht="13">
      <c r="A390" s="4" t="s">
        <v>12606</v>
      </c>
      <c r="B390" s="4" t="s">
        <v>4926</v>
      </c>
      <c r="C390" s="4" t="s">
        <v>12274</v>
      </c>
      <c r="D390" s="4" t="s">
        <v>41</v>
      </c>
      <c r="E390" s="4" t="s">
        <v>9</v>
      </c>
      <c r="F390" s="4" t="s">
        <v>6221</v>
      </c>
      <c r="G390" s="4" t="s">
        <v>6222</v>
      </c>
      <c r="H390" s="41">
        <v>5.95</v>
      </c>
      <c r="I390" s="41">
        <v>1.64</v>
      </c>
      <c r="J390" s="41" t="s">
        <v>12322</v>
      </c>
      <c r="K390" s="41" t="s">
        <v>12328</v>
      </c>
      <c r="M390" s="4" t="b">
        <v>0</v>
      </c>
      <c r="N390" s="4" t="b">
        <v>0</v>
      </c>
      <c r="O390" s="4" t="b">
        <v>0</v>
      </c>
      <c r="P390" s="4"/>
      <c r="Q390" s="4" t="b">
        <v>0</v>
      </c>
    </row>
    <row r="391" spans="1:17" ht="13">
      <c r="A391" s="4" t="s">
        <v>12613</v>
      </c>
      <c r="B391" s="4" t="s">
        <v>4926</v>
      </c>
      <c r="C391" s="4" t="s">
        <v>12274</v>
      </c>
      <c r="D391" s="4" t="s">
        <v>41</v>
      </c>
      <c r="E391" s="4" t="s">
        <v>9</v>
      </c>
      <c r="F391" s="4" t="s">
        <v>5833</v>
      </c>
      <c r="G391" s="4" t="s">
        <v>5834</v>
      </c>
      <c r="H391" s="41">
        <v>6.65</v>
      </c>
      <c r="I391" s="41">
        <v>1.34</v>
      </c>
      <c r="J391" s="41" t="s">
        <v>12322</v>
      </c>
      <c r="K391" s="41" t="s">
        <v>12323</v>
      </c>
      <c r="M391" s="4" t="b">
        <v>0</v>
      </c>
      <c r="N391" s="4" t="b">
        <v>0</v>
      </c>
      <c r="O391" s="4" t="b">
        <v>0</v>
      </c>
      <c r="P391" s="4"/>
      <c r="Q391" s="4" t="b">
        <v>0</v>
      </c>
    </row>
    <row r="392" spans="1:17" ht="13">
      <c r="A392" s="4" t="s">
        <v>12616</v>
      </c>
      <c r="B392" s="4" t="s">
        <v>4926</v>
      </c>
      <c r="C392" s="4" t="s">
        <v>12274</v>
      </c>
      <c r="D392" s="4" t="s">
        <v>41</v>
      </c>
      <c r="E392" s="4" t="s">
        <v>9</v>
      </c>
      <c r="F392" s="4" t="s">
        <v>6233</v>
      </c>
      <c r="G392" s="4" t="s">
        <v>6234</v>
      </c>
      <c r="H392" s="41">
        <v>6.25</v>
      </c>
      <c r="I392" s="41">
        <v>1.43</v>
      </c>
      <c r="J392" s="41" t="s">
        <v>12322</v>
      </c>
      <c r="K392" s="41" t="s">
        <v>12323</v>
      </c>
      <c r="M392" s="4" t="b">
        <v>0</v>
      </c>
      <c r="N392" s="4" t="b">
        <v>0</v>
      </c>
      <c r="O392" s="4" t="b">
        <v>0</v>
      </c>
      <c r="P392" s="4"/>
      <c r="Q392" s="4" t="b">
        <v>0</v>
      </c>
    </row>
    <row r="393" spans="1:17" ht="13">
      <c r="A393" s="4" t="s">
        <v>12617</v>
      </c>
      <c r="B393" s="4" t="s">
        <v>4926</v>
      </c>
      <c r="C393" s="4" t="s">
        <v>12274</v>
      </c>
      <c r="D393" s="4" t="s">
        <v>41</v>
      </c>
      <c r="E393" s="4" t="s">
        <v>9</v>
      </c>
      <c r="F393" s="4" t="s">
        <v>5103</v>
      </c>
      <c r="G393" s="4" t="s">
        <v>716</v>
      </c>
      <c r="H393" s="41">
        <v>6.28</v>
      </c>
      <c r="I393" s="41">
        <v>1.49</v>
      </c>
      <c r="J393" s="41" t="s">
        <v>12322</v>
      </c>
      <c r="K393" s="41" t="s">
        <v>12323</v>
      </c>
      <c r="M393" s="4" t="b">
        <v>0</v>
      </c>
      <c r="N393" s="4" t="b">
        <v>0</v>
      </c>
      <c r="O393" s="4" t="b">
        <v>0</v>
      </c>
      <c r="P393" s="4"/>
      <c r="Q393" s="4" t="b">
        <v>1</v>
      </c>
    </row>
    <row r="394" spans="1:17" ht="13">
      <c r="A394" s="4" t="s">
        <v>12621</v>
      </c>
      <c r="B394" s="4" t="s">
        <v>4926</v>
      </c>
      <c r="C394" s="4" t="s">
        <v>12274</v>
      </c>
      <c r="D394" s="4" t="s">
        <v>41</v>
      </c>
      <c r="E394" s="4" t="s">
        <v>9</v>
      </c>
      <c r="F394" s="4" t="s">
        <v>5813</v>
      </c>
      <c r="G394" s="4" t="s">
        <v>5814</v>
      </c>
      <c r="H394" s="41">
        <v>6.48</v>
      </c>
      <c r="I394" s="41">
        <v>1.65</v>
      </c>
      <c r="J394" s="41" t="s">
        <v>12322</v>
      </c>
      <c r="K394" s="41" t="s">
        <v>12328</v>
      </c>
      <c r="M394" s="4" t="b">
        <v>0</v>
      </c>
      <c r="N394" s="4" t="b">
        <v>0</v>
      </c>
      <c r="O394" s="4" t="b">
        <v>0</v>
      </c>
      <c r="P394" s="4"/>
      <c r="Q394" s="4" t="b">
        <v>0</v>
      </c>
    </row>
    <row r="395" spans="1:17" ht="13">
      <c r="A395" s="4" t="s">
        <v>12622</v>
      </c>
      <c r="B395" s="4" t="s">
        <v>4926</v>
      </c>
      <c r="C395" s="4" t="s">
        <v>12274</v>
      </c>
      <c r="D395" s="4" t="s">
        <v>41</v>
      </c>
      <c r="E395" s="4" t="s">
        <v>9</v>
      </c>
      <c r="F395" s="4" t="s">
        <v>5042</v>
      </c>
      <c r="G395" s="4" t="s">
        <v>766</v>
      </c>
      <c r="H395" s="41">
        <v>6.73</v>
      </c>
      <c r="I395" s="41">
        <v>1.65</v>
      </c>
      <c r="J395" s="41" t="s">
        <v>12322</v>
      </c>
      <c r="K395" s="41" t="s">
        <v>12328</v>
      </c>
      <c r="M395" s="4" t="b">
        <v>0</v>
      </c>
      <c r="N395" s="4" t="b">
        <v>0</v>
      </c>
      <c r="O395" s="4" t="b">
        <v>0</v>
      </c>
      <c r="P395" s="4"/>
      <c r="Q395" s="4" t="b">
        <v>1</v>
      </c>
    </row>
    <row r="396" spans="1:17" ht="13">
      <c r="A396" s="4" t="s">
        <v>12624</v>
      </c>
      <c r="B396" s="4" t="s">
        <v>4926</v>
      </c>
      <c r="C396" s="4" t="s">
        <v>12274</v>
      </c>
      <c r="D396" s="4" t="s">
        <v>41</v>
      </c>
      <c r="E396" s="4" t="s">
        <v>9</v>
      </c>
      <c r="F396" s="4" t="s">
        <v>5450</v>
      </c>
      <c r="G396" s="4" t="s">
        <v>5451</v>
      </c>
      <c r="H396" s="41">
        <v>4.07</v>
      </c>
      <c r="I396" s="41">
        <v>1.98</v>
      </c>
      <c r="J396" s="41" t="s">
        <v>12322</v>
      </c>
      <c r="K396" s="41" t="s">
        <v>12328</v>
      </c>
      <c r="M396" s="4" t="b">
        <v>0</v>
      </c>
      <c r="N396" s="4" t="b">
        <v>0</v>
      </c>
      <c r="O396" s="4" t="b">
        <v>0</v>
      </c>
      <c r="P396" s="4"/>
      <c r="Q396" s="4" t="b">
        <v>0</v>
      </c>
    </row>
    <row r="397" spans="1:17" ht="13">
      <c r="A397" s="4" t="s">
        <v>12630</v>
      </c>
      <c r="B397" s="4" t="s">
        <v>4926</v>
      </c>
      <c r="C397" s="4" t="s">
        <v>12274</v>
      </c>
      <c r="D397" s="4" t="s">
        <v>41</v>
      </c>
      <c r="E397" s="4" t="s">
        <v>9</v>
      </c>
      <c r="F397" s="4" t="s">
        <v>12631</v>
      </c>
      <c r="G397" s="4" t="s">
        <v>12632</v>
      </c>
      <c r="H397" s="41">
        <v>4.2</v>
      </c>
      <c r="I397" s="41">
        <v>1.9</v>
      </c>
      <c r="J397" s="41" t="s">
        <v>12322</v>
      </c>
      <c r="K397" s="41" t="s">
        <v>12328</v>
      </c>
      <c r="M397" s="4" t="b">
        <v>0</v>
      </c>
      <c r="N397" s="4" t="b">
        <v>0</v>
      </c>
      <c r="O397" s="4" t="b">
        <v>0</v>
      </c>
      <c r="P397" s="4"/>
      <c r="Q397" s="4" t="b">
        <v>0</v>
      </c>
    </row>
    <row r="398" spans="1:17" ht="13">
      <c r="A398" s="4" t="s">
        <v>12635</v>
      </c>
      <c r="B398" s="4" t="s">
        <v>4926</v>
      </c>
      <c r="C398" s="4" t="s">
        <v>12274</v>
      </c>
      <c r="D398" s="4" t="s">
        <v>41</v>
      </c>
      <c r="E398" s="4" t="s">
        <v>9</v>
      </c>
      <c r="F398" s="4" t="s">
        <v>5845</v>
      </c>
      <c r="G398" s="4" t="s">
        <v>5846</v>
      </c>
      <c r="H398" s="41">
        <v>6.78</v>
      </c>
      <c r="I398" s="41">
        <v>1.27</v>
      </c>
      <c r="J398" s="41" t="s">
        <v>12322</v>
      </c>
      <c r="K398" s="41" t="s">
        <v>12328</v>
      </c>
      <c r="M398" s="4" t="b">
        <v>0</v>
      </c>
      <c r="N398" s="4" t="b">
        <v>0</v>
      </c>
      <c r="O398" s="4" t="b">
        <v>0</v>
      </c>
      <c r="P398" s="4"/>
      <c r="Q398" s="4" t="b">
        <v>0</v>
      </c>
    </row>
    <row r="399" spans="1:17" ht="13">
      <c r="A399" s="4" t="s">
        <v>12640</v>
      </c>
      <c r="B399" s="4" t="s">
        <v>4926</v>
      </c>
      <c r="C399" s="4" t="s">
        <v>12274</v>
      </c>
      <c r="D399" s="4" t="s">
        <v>41</v>
      </c>
      <c r="E399" s="4" t="s">
        <v>9</v>
      </c>
      <c r="F399" s="4" t="s">
        <v>5874</v>
      </c>
      <c r="G399" s="4" t="s">
        <v>5875</v>
      </c>
      <c r="H399" s="41">
        <v>4.53</v>
      </c>
      <c r="I399" s="41">
        <v>1.41</v>
      </c>
      <c r="J399" s="41" t="s">
        <v>12269</v>
      </c>
      <c r="K399" s="41" t="s">
        <v>12344</v>
      </c>
      <c r="M399" s="4" t="b">
        <v>0</v>
      </c>
      <c r="N399" s="4" t="b">
        <v>0</v>
      </c>
      <c r="O399" s="4" t="b">
        <v>0</v>
      </c>
      <c r="P399" s="4"/>
      <c r="Q399" s="4" t="b">
        <v>0</v>
      </c>
    </row>
    <row r="400" spans="1:17" ht="13">
      <c r="A400" s="4" t="s">
        <v>12644</v>
      </c>
      <c r="B400" s="4" t="s">
        <v>4926</v>
      </c>
      <c r="C400" s="4" t="s">
        <v>12274</v>
      </c>
      <c r="D400" s="4" t="s">
        <v>41</v>
      </c>
      <c r="E400" s="4" t="s">
        <v>9</v>
      </c>
      <c r="F400" s="4" t="s">
        <v>5125</v>
      </c>
      <c r="G400" s="4" t="s">
        <v>774</v>
      </c>
      <c r="H400" s="41">
        <v>4.67</v>
      </c>
      <c r="I400" s="41">
        <v>1.43</v>
      </c>
      <c r="J400" s="41" t="s">
        <v>12269</v>
      </c>
      <c r="K400" s="41" t="s">
        <v>12344</v>
      </c>
      <c r="M400" s="4" t="b">
        <v>0</v>
      </c>
      <c r="N400" s="4" t="b">
        <v>0</v>
      </c>
      <c r="O400" s="4" t="b">
        <v>0</v>
      </c>
      <c r="P400" s="4"/>
      <c r="Q400" s="4" t="b">
        <v>1</v>
      </c>
    </row>
    <row r="401" spans="1:17" ht="13">
      <c r="A401" s="4" t="s">
        <v>12648</v>
      </c>
      <c r="B401" s="4" t="s">
        <v>4926</v>
      </c>
      <c r="C401" s="4" t="s">
        <v>12274</v>
      </c>
      <c r="D401" s="4" t="s">
        <v>41</v>
      </c>
      <c r="E401" s="4" t="s">
        <v>9</v>
      </c>
      <c r="F401" s="4" t="s">
        <v>5459</v>
      </c>
      <c r="G401" s="4" t="s">
        <v>5460</v>
      </c>
      <c r="H401" s="41">
        <v>4.32</v>
      </c>
      <c r="I401" s="41">
        <v>1.43</v>
      </c>
      <c r="J401" s="41" t="s">
        <v>12322</v>
      </c>
      <c r="K401" s="41" t="s">
        <v>12323</v>
      </c>
      <c r="M401" s="4" t="b">
        <v>0</v>
      </c>
      <c r="N401" s="4" t="b">
        <v>0</v>
      </c>
      <c r="O401" s="4" t="b">
        <v>0</v>
      </c>
      <c r="P401" s="4"/>
      <c r="Q401" s="4" t="b">
        <v>0</v>
      </c>
    </row>
    <row r="402" spans="1:17" ht="13">
      <c r="A402" s="4" t="s">
        <v>12650</v>
      </c>
      <c r="B402" s="4" t="s">
        <v>4926</v>
      </c>
      <c r="C402" s="4" t="s">
        <v>12274</v>
      </c>
      <c r="D402" s="4" t="s">
        <v>41</v>
      </c>
      <c r="E402" s="4" t="s">
        <v>9</v>
      </c>
      <c r="F402" s="4" t="s">
        <v>5862</v>
      </c>
      <c r="G402" s="4" t="s">
        <v>5863</v>
      </c>
      <c r="H402" s="41">
        <v>4.42</v>
      </c>
      <c r="I402" s="41">
        <v>1.36</v>
      </c>
      <c r="J402" s="41" t="s">
        <v>12269</v>
      </c>
      <c r="K402" s="41" t="s">
        <v>12344</v>
      </c>
      <c r="M402" s="4" t="b">
        <v>0</v>
      </c>
      <c r="N402" s="4" t="b">
        <v>0</v>
      </c>
      <c r="O402" s="4" t="b">
        <v>0</v>
      </c>
      <c r="P402" s="4"/>
      <c r="Q402" s="4" t="b">
        <v>0</v>
      </c>
    </row>
    <row r="403" spans="1:17" ht="13">
      <c r="A403" s="4" t="s">
        <v>12652</v>
      </c>
      <c r="B403" s="4" t="s">
        <v>4926</v>
      </c>
      <c r="C403" s="4" t="s">
        <v>12274</v>
      </c>
      <c r="D403" s="4" t="s">
        <v>41</v>
      </c>
      <c r="E403" s="4" t="s">
        <v>9</v>
      </c>
      <c r="F403" s="4" t="s">
        <v>5868</v>
      </c>
      <c r="G403" s="4" t="s">
        <v>5869</v>
      </c>
      <c r="H403" s="41">
        <v>4.4800000000000004</v>
      </c>
      <c r="I403" s="41">
        <v>1.2</v>
      </c>
      <c r="J403" s="41" t="s">
        <v>12269</v>
      </c>
      <c r="K403" s="41" t="s">
        <v>12344</v>
      </c>
      <c r="M403" s="4" t="b">
        <v>0</v>
      </c>
      <c r="N403" s="4" t="b">
        <v>0</v>
      </c>
      <c r="O403" s="4" t="b">
        <v>0</v>
      </c>
      <c r="P403" s="4"/>
      <c r="Q403" s="4" t="b">
        <v>0</v>
      </c>
    </row>
    <row r="404" spans="1:17" ht="13">
      <c r="A404" s="4" t="s">
        <v>12660</v>
      </c>
      <c r="B404" s="4" t="s">
        <v>4926</v>
      </c>
      <c r="C404" s="4" t="s">
        <v>12274</v>
      </c>
      <c r="D404" s="4" t="s">
        <v>41</v>
      </c>
      <c r="E404" s="4" t="s">
        <v>9</v>
      </c>
      <c r="F404" s="4" t="s">
        <v>5892</v>
      </c>
      <c r="G404" s="4" t="s">
        <v>5893</v>
      </c>
      <c r="H404" s="41">
        <v>4.78</v>
      </c>
      <c r="I404" s="41">
        <v>1.39</v>
      </c>
      <c r="J404" s="41" t="s">
        <v>12322</v>
      </c>
      <c r="K404" s="41" t="s">
        <v>12328</v>
      </c>
      <c r="M404" s="4" t="b">
        <v>0</v>
      </c>
      <c r="N404" s="4" t="b">
        <v>0</v>
      </c>
      <c r="O404" s="4" t="b">
        <v>0</v>
      </c>
      <c r="P404" s="4"/>
      <c r="Q404" s="4" t="b">
        <v>0</v>
      </c>
    </row>
    <row r="405" spans="1:17" ht="13">
      <c r="A405" s="4" t="s">
        <v>12662</v>
      </c>
      <c r="B405" s="4" t="s">
        <v>4926</v>
      </c>
      <c r="C405" s="4" t="s">
        <v>12274</v>
      </c>
      <c r="D405" s="4" t="s">
        <v>41</v>
      </c>
      <c r="E405" s="4" t="s">
        <v>8</v>
      </c>
      <c r="F405" s="4" t="s">
        <v>5895</v>
      </c>
      <c r="G405" s="4" t="s">
        <v>5896</v>
      </c>
      <c r="H405" s="41">
        <v>4.83</v>
      </c>
      <c r="I405" s="41">
        <v>1.43</v>
      </c>
      <c r="J405" s="41" t="s">
        <v>12269</v>
      </c>
      <c r="K405" s="41" t="s">
        <v>12344</v>
      </c>
      <c r="M405" s="4" t="b">
        <v>0</v>
      </c>
      <c r="N405" s="4" t="b">
        <v>0</v>
      </c>
      <c r="O405" s="4" t="b">
        <v>0</v>
      </c>
      <c r="P405" s="4"/>
      <c r="Q405" s="4" t="b">
        <v>0</v>
      </c>
    </row>
    <row r="406" spans="1:17" ht="13">
      <c r="A406" s="4" t="s">
        <v>12664</v>
      </c>
      <c r="B406" s="4" t="s">
        <v>4926</v>
      </c>
      <c r="C406" s="4" t="s">
        <v>12274</v>
      </c>
      <c r="D406" s="4" t="s">
        <v>41</v>
      </c>
      <c r="E406" s="4" t="s">
        <v>8</v>
      </c>
      <c r="F406" s="4" t="s">
        <v>5904</v>
      </c>
      <c r="G406" s="4" t="s">
        <v>5905</v>
      </c>
      <c r="H406" s="41">
        <v>4.95</v>
      </c>
      <c r="I406" s="41">
        <v>1.29</v>
      </c>
      <c r="J406" s="41" t="s">
        <v>12322</v>
      </c>
      <c r="K406" s="41" t="s">
        <v>12328</v>
      </c>
      <c r="M406" s="4" t="b">
        <v>0</v>
      </c>
      <c r="N406" s="4" t="b">
        <v>0</v>
      </c>
      <c r="O406" s="4" t="b">
        <v>0</v>
      </c>
      <c r="P406" s="4"/>
      <c r="Q406" s="4" t="b">
        <v>0</v>
      </c>
    </row>
    <row r="407" spans="1:17" ht="13">
      <c r="A407" s="4" t="s">
        <v>12669</v>
      </c>
      <c r="B407" s="4" t="s">
        <v>4926</v>
      </c>
      <c r="C407" s="4" t="s">
        <v>12274</v>
      </c>
      <c r="D407" s="4" t="s">
        <v>41</v>
      </c>
      <c r="E407" s="4" t="s">
        <v>8</v>
      </c>
      <c r="F407" s="4" t="s">
        <v>5943</v>
      </c>
      <c r="G407" s="4" t="s">
        <v>5944</v>
      </c>
      <c r="H407" s="41">
        <v>5.57</v>
      </c>
      <c r="I407" s="41">
        <v>1.48</v>
      </c>
      <c r="J407" s="41" t="s">
        <v>12269</v>
      </c>
      <c r="K407" s="41" t="s">
        <v>12344</v>
      </c>
      <c r="M407" s="4" t="b">
        <v>0</v>
      </c>
      <c r="N407" s="4" t="b">
        <v>0</v>
      </c>
      <c r="O407" s="4" t="b">
        <v>0</v>
      </c>
      <c r="P407" s="4"/>
      <c r="Q407" s="4" t="b">
        <v>0</v>
      </c>
    </row>
    <row r="408" spans="1:17" ht="13">
      <c r="A408" s="4" t="s">
        <v>12670</v>
      </c>
      <c r="B408" s="4" t="s">
        <v>4926</v>
      </c>
      <c r="C408" s="4" t="s">
        <v>12274</v>
      </c>
      <c r="D408" s="4" t="s">
        <v>41</v>
      </c>
      <c r="E408" s="4" t="s">
        <v>8</v>
      </c>
      <c r="F408" s="4" t="s">
        <v>5946</v>
      </c>
      <c r="G408" s="4" t="s">
        <v>5947</v>
      </c>
      <c r="H408" s="41">
        <v>5.6</v>
      </c>
      <c r="I408" s="41">
        <v>1.45</v>
      </c>
      <c r="J408" s="41" t="s">
        <v>12269</v>
      </c>
      <c r="K408" s="41" t="s">
        <v>12344</v>
      </c>
      <c r="M408" s="4" t="b">
        <v>0</v>
      </c>
      <c r="N408" s="4" t="b">
        <v>0</v>
      </c>
      <c r="O408" s="4" t="b">
        <v>0</v>
      </c>
      <c r="P408" s="4"/>
      <c r="Q408" s="4" t="b">
        <v>0</v>
      </c>
    </row>
    <row r="409" spans="1:17" ht="13">
      <c r="A409" s="4" t="s">
        <v>12672</v>
      </c>
      <c r="B409" s="4" t="s">
        <v>4926</v>
      </c>
      <c r="C409" s="4" t="s">
        <v>12274</v>
      </c>
      <c r="D409" s="4" t="s">
        <v>41</v>
      </c>
      <c r="E409" s="4" t="s">
        <v>8</v>
      </c>
      <c r="F409" s="4" t="s">
        <v>5949</v>
      </c>
      <c r="G409" s="4" t="s">
        <v>5950</v>
      </c>
      <c r="H409" s="41">
        <v>5.67</v>
      </c>
      <c r="I409" s="41">
        <v>1.39</v>
      </c>
      <c r="J409" s="41" t="s">
        <v>12322</v>
      </c>
      <c r="K409" s="41" t="s">
        <v>12323</v>
      </c>
      <c r="M409" s="4" t="b">
        <v>0</v>
      </c>
      <c r="N409" s="4" t="b">
        <v>0</v>
      </c>
      <c r="O409" s="4" t="b">
        <v>0</v>
      </c>
      <c r="P409" s="4"/>
      <c r="Q409" s="4" t="b">
        <v>0</v>
      </c>
    </row>
    <row r="410" spans="1:17" ht="13">
      <c r="A410" s="4" t="s">
        <v>12677</v>
      </c>
      <c r="B410" s="4" t="s">
        <v>4926</v>
      </c>
      <c r="C410" s="4" t="s">
        <v>12274</v>
      </c>
      <c r="D410" s="4" t="s">
        <v>41</v>
      </c>
      <c r="E410" s="4" t="s">
        <v>8</v>
      </c>
      <c r="F410" s="4" t="s">
        <v>5925</v>
      </c>
      <c r="G410" s="4" t="s">
        <v>5926</v>
      </c>
      <c r="H410" s="41">
        <v>5.37</v>
      </c>
      <c r="I410" s="41">
        <v>1.38</v>
      </c>
      <c r="J410" s="41" t="s">
        <v>12269</v>
      </c>
      <c r="K410" s="41" t="s">
        <v>12344</v>
      </c>
      <c r="M410" s="4" t="b">
        <v>0</v>
      </c>
      <c r="N410" s="4" t="b">
        <v>0</v>
      </c>
      <c r="O410" s="4" t="b">
        <v>0</v>
      </c>
      <c r="P410" s="4"/>
      <c r="Q410" s="4" t="b">
        <v>0</v>
      </c>
    </row>
    <row r="411" spans="1:17" ht="13">
      <c r="A411" s="4" t="s">
        <v>12683</v>
      </c>
      <c r="B411" s="4" t="s">
        <v>4926</v>
      </c>
      <c r="C411" s="4" t="s">
        <v>12274</v>
      </c>
      <c r="D411" s="4" t="s">
        <v>41</v>
      </c>
      <c r="E411" s="4" t="s">
        <v>8</v>
      </c>
      <c r="F411" s="4" t="s">
        <v>5985</v>
      </c>
      <c r="G411" s="4" t="s">
        <v>5986</v>
      </c>
      <c r="H411" s="41">
        <v>6.2</v>
      </c>
      <c r="I411" s="41">
        <v>1.68</v>
      </c>
      <c r="J411" s="41" t="s">
        <v>12269</v>
      </c>
      <c r="K411" s="41" t="s">
        <v>12344</v>
      </c>
      <c r="M411" s="4" t="b">
        <v>0</v>
      </c>
      <c r="N411" s="4" t="b">
        <v>0</v>
      </c>
      <c r="O411" s="4" t="b">
        <v>0</v>
      </c>
      <c r="P411" s="4"/>
      <c r="Q411" s="4" t="b">
        <v>0</v>
      </c>
    </row>
    <row r="412" spans="1:17" ht="13">
      <c r="A412" s="4" t="s">
        <v>12687</v>
      </c>
      <c r="B412" s="4" t="s">
        <v>4926</v>
      </c>
      <c r="C412" s="4" t="s">
        <v>12274</v>
      </c>
      <c r="D412" s="4" t="s">
        <v>41</v>
      </c>
      <c r="E412" s="4" t="s">
        <v>8</v>
      </c>
      <c r="F412" s="4" t="s">
        <v>5964</v>
      </c>
      <c r="G412" s="4" t="s">
        <v>5965</v>
      </c>
      <c r="H412" s="41">
        <v>5.9</v>
      </c>
      <c r="I412" s="41">
        <v>1.35</v>
      </c>
      <c r="J412" s="41" t="s">
        <v>12269</v>
      </c>
      <c r="K412" s="41" t="s">
        <v>12344</v>
      </c>
      <c r="M412" s="4" t="b">
        <v>0</v>
      </c>
      <c r="N412" s="4" t="b">
        <v>0</v>
      </c>
      <c r="O412" s="4" t="b">
        <v>0</v>
      </c>
      <c r="P412" s="4"/>
      <c r="Q412" s="4" t="b">
        <v>0</v>
      </c>
    </row>
  </sheetData>
  <sortState xmlns:xlrd2="http://schemas.microsoft.com/office/spreadsheetml/2017/richdata2" ref="A2:S413">
    <sortCondition descending="1" ref="M1:M413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O24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1048576"/>
    </sheetView>
  </sheetViews>
  <sheetFormatPr baseColWidth="10" defaultColWidth="14.5" defaultRowHeight="15.75" customHeight="1"/>
  <cols>
    <col min="35" max="35" width="19.5" customWidth="1"/>
    <col min="37" max="37" width="21.1640625" customWidth="1"/>
  </cols>
  <sheetData>
    <row r="1" spans="1:41" ht="32" customHeight="1">
      <c r="A1" s="3"/>
      <c r="B1" s="3"/>
      <c r="C1" s="4"/>
      <c r="D1" s="3"/>
      <c r="E1" s="3"/>
      <c r="F1" s="3"/>
      <c r="G1" s="3"/>
      <c r="H1" s="42"/>
      <c r="I1" s="3"/>
      <c r="J1" s="3"/>
      <c r="K1" s="3"/>
      <c r="L1" s="3"/>
      <c r="M1" s="3"/>
      <c r="N1" s="43" t="s">
        <v>12690</v>
      </c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4"/>
      <c r="AC1" s="43"/>
      <c r="AD1" s="43"/>
      <c r="AE1" s="43"/>
      <c r="AF1" s="43"/>
      <c r="AG1" s="43"/>
      <c r="AH1" s="43"/>
      <c r="AI1" s="45" t="s">
        <v>12691</v>
      </c>
      <c r="AJ1" s="24"/>
      <c r="AK1" s="46" t="s">
        <v>12692</v>
      </c>
      <c r="AL1" s="47"/>
      <c r="AM1" s="47"/>
      <c r="AO1" s="3"/>
    </row>
    <row r="2" spans="1:41" ht="15.75" customHeight="1">
      <c r="A2" s="3" t="s">
        <v>4914</v>
      </c>
      <c r="B2" s="3" t="s">
        <v>12693</v>
      </c>
      <c r="C2" s="27" t="s">
        <v>51</v>
      </c>
      <c r="D2" s="3" t="s">
        <v>4915</v>
      </c>
      <c r="E2" s="3" t="s">
        <v>114</v>
      </c>
      <c r="F2" s="3" t="s">
        <v>1</v>
      </c>
      <c r="G2" s="3" t="s">
        <v>4916</v>
      </c>
      <c r="H2" s="31" t="s">
        <v>304</v>
      </c>
      <c r="I2" s="3" t="s">
        <v>4917</v>
      </c>
      <c r="J2" s="3" t="s">
        <v>4918</v>
      </c>
      <c r="K2" s="3" t="s">
        <v>4919</v>
      </c>
      <c r="L2" s="3" t="s">
        <v>12694</v>
      </c>
      <c r="M2" s="3" t="s">
        <v>12695</v>
      </c>
      <c r="N2" s="3" t="s">
        <v>12696</v>
      </c>
      <c r="O2" s="3" t="s">
        <v>12697</v>
      </c>
      <c r="P2" s="3" t="s">
        <v>12698</v>
      </c>
      <c r="Q2" s="3" t="s">
        <v>12699</v>
      </c>
      <c r="R2" s="3" t="s">
        <v>12700</v>
      </c>
      <c r="S2" s="3" t="s">
        <v>12701</v>
      </c>
      <c r="T2" s="3" t="s">
        <v>12702</v>
      </c>
      <c r="U2" s="3" t="s">
        <v>12703</v>
      </c>
      <c r="V2" s="3" t="s">
        <v>12704</v>
      </c>
      <c r="W2" s="3" t="s">
        <v>12705</v>
      </c>
      <c r="X2" s="3" t="s">
        <v>12706</v>
      </c>
      <c r="Y2" s="3" t="s">
        <v>12707</v>
      </c>
      <c r="Z2" s="3" t="s">
        <v>12708</v>
      </c>
      <c r="AA2" s="3" t="s">
        <v>12709</v>
      </c>
      <c r="AB2" s="48" t="s">
        <v>12710</v>
      </c>
      <c r="AC2" s="3" t="s">
        <v>12711</v>
      </c>
      <c r="AD2" s="3" t="s">
        <v>12712</v>
      </c>
      <c r="AE2" s="3" t="s">
        <v>12713</v>
      </c>
      <c r="AF2" s="3" t="s">
        <v>12714</v>
      </c>
      <c r="AG2" s="3" t="s">
        <v>12715</v>
      </c>
      <c r="AH2" s="3" t="s">
        <v>12716</v>
      </c>
      <c r="AI2" s="49" t="s">
        <v>12717</v>
      </c>
      <c r="AJ2" s="3" t="s">
        <v>12718</v>
      </c>
      <c r="AK2" s="49" t="s">
        <v>12717</v>
      </c>
      <c r="AL2" s="3" t="s">
        <v>12719</v>
      </c>
      <c r="AM2" s="1" t="s">
        <v>12720</v>
      </c>
      <c r="AO2" s="3"/>
    </row>
    <row r="3" spans="1:41" ht="15.75" customHeight="1">
      <c r="A3" s="4" t="s">
        <v>3124</v>
      </c>
      <c r="B3" s="50" t="s">
        <v>12791</v>
      </c>
      <c r="C3" s="4" t="s">
        <v>2916</v>
      </c>
      <c r="D3" s="4" t="s">
        <v>4951</v>
      </c>
      <c r="E3" s="4" t="s">
        <v>108</v>
      </c>
      <c r="F3" s="4" t="s">
        <v>18</v>
      </c>
      <c r="G3" s="4" t="s">
        <v>4953</v>
      </c>
      <c r="H3" s="4" t="s">
        <v>3020</v>
      </c>
      <c r="I3" s="4">
        <v>0.81</v>
      </c>
      <c r="J3" s="4">
        <v>1.1299999999999999</v>
      </c>
      <c r="K3" s="4">
        <v>0.24796000000000001</v>
      </c>
      <c r="L3" s="4" t="s">
        <v>12272</v>
      </c>
      <c r="M3" s="4" t="s">
        <v>4929</v>
      </c>
      <c r="N3" s="60">
        <v>3.1447551250000001</v>
      </c>
      <c r="O3" s="60">
        <v>3.046283007</v>
      </c>
      <c r="P3" s="60">
        <v>3.6861531730000001</v>
      </c>
      <c r="Q3" s="60">
        <v>3.046283007</v>
      </c>
      <c r="R3" s="51" t="b">
        <v>1</v>
      </c>
      <c r="S3" s="60">
        <v>3.4893233779999999</v>
      </c>
      <c r="T3" s="60">
        <v>5.5782876010000004</v>
      </c>
      <c r="U3" s="60">
        <v>3.4893233779999999</v>
      </c>
      <c r="V3" s="51" t="b">
        <v>0</v>
      </c>
      <c r="W3" s="60">
        <v>4.4960708619999998</v>
      </c>
      <c r="X3" s="60">
        <v>7.1386656759999996</v>
      </c>
      <c r="Y3" s="51" t="b">
        <v>0</v>
      </c>
      <c r="Z3" s="60">
        <v>0.85441708599999999</v>
      </c>
      <c r="AA3" s="60">
        <v>3.8760302069999999</v>
      </c>
      <c r="AB3" s="60">
        <v>5.3307833670000004</v>
      </c>
      <c r="AC3" s="60">
        <v>8.0947494510000002</v>
      </c>
      <c r="AD3" s="60">
        <v>7.0466513629999996</v>
      </c>
      <c r="AE3" s="60">
        <v>9.3536520000000003</v>
      </c>
      <c r="AF3" s="60">
        <v>13.804446220000001</v>
      </c>
      <c r="AG3" s="60">
        <v>19.451444630000001</v>
      </c>
      <c r="AH3" s="60">
        <v>18.0050621</v>
      </c>
      <c r="AI3" s="41">
        <v>2</v>
      </c>
      <c r="AJ3" s="41">
        <v>1</v>
      </c>
      <c r="AK3" s="41" t="s">
        <v>12272</v>
      </c>
      <c r="AO3" s="50"/>
    </row>
    <row r="4" spans="1:41" ht="15.75" customHeight="1">
      <c r="A4" s="4" t="s">
        <v>3125</v>
      </c>
      <c r="B4" s="50" t="s">
        <v>12823</v>
      </c>
      <c r="C4" s="4" t="s">
        <v>2917</v>
      </c>
      <c r="D4" s="4" t="s">
        <v>4951</v>
      </c>
      <c r="E4" s="4" t="s">
        <v>108</v>
      </c>
      <c r="F4" s="4" t="s">
        <v>18</v>
      </c>
      <c r="G4" s="4" t="s">
        <v>4954</v>
      </c>
      <c r="H4" s="4" t="s">
        <v>3021</v>
      </c>
      <c r="I4" s="4">
        <v>0.88</v>
      </c>
      <c r="J4" s="4">
        <v>1.06</v>
      </c>
      <c r="K4" s="4">
        <v>0.24503</v>
      </c>
      <c r="L4" s="4" t="s">
        <v>12272</v>
      </c>
      <c r="M4" s="4" t="s">
        <v>4929</v>
      </c>
      <c r="N4" s="60">
        <v>3.5248610970000001</v>
      </c>
      <c r="O4" s="60">
        <v>2.8308300970000002</v>
      </c>
      <c r="P4" s="60">
        <v>4.6203846930000001</v>
      </c>
      <c r="Q4" s="60">
        <v>2.8308300970000002</v>
      </c>
      <c r="R4" s="51" t="b">
        <v>1</v>
      </c>
      <c r="S4" s="60">
        <v>4.3593645099999998</v>
      </c>
      <c r="T4" s="60">
        <v>6.4316940310000001</v>
      </c>
      <c r="U4" s="60">
        <v>4.3593645099999998</v>
      </c>
      <c r="V4" s="51" t="b">
        <v>0</v>
      </c>
      <c r="W4" s="60">
        <v>3.870084286</v>
      </c>
      <c r="X4" s="60">
        <v>39.051151279999999</v>
      </c>
      <c r="Y4" s="51" t="b">
        <v>0</v>
      </c>
      <c r="Z4" s="60">
        <v>0.48089584699999999</v>
      </c>
      <c r="AA4" s="60">
        <v>3.0632698540000001</v>
      </c>
      <c r="AB4" s="60">
        <v>5.7083630559999996</v>
      </c>
      <c r="AC4" s="60">
        <v>7.0721993449999996</v>
      </c>
      <c r="AD4" s="60">
        <v>5.8905429839999996</v>
      </c>
      <c r="AE4" s="60">
        <v>8.4021739960000001</v>
      </c>
      <c r="AF4" s="60">
        <v>13.223038669999999</v>
      </c>
      <c r="AG4" s="60">
        <v>18.185644150000002</v>
      </c>
      <c r="AH4" s="60">
        <v>17.921493529999999</v>
      </c>
      <c r="AI4" s="41">
        <v>1</v>
      </c>
      <c r="AO4" s="50"/>
    </row>
    <row r="5" spans="1:41" ht="15.75" customHeight="1">
      <c r="A5" s="4" t="s">
        <v>3125</v>
      </c>
      <c r="B5" s="50" t="s">
        <v>12927</v>
      </c>
      <c r="C5" s="4" t="s">
        <v>2917</v>
      </c>
      <c r="D5" s="4" t="s">
        <v>4951</v>
      </c>
      <c r="E5" s="4" t="s">
        <v>108</v>
      </c>
      <c r="F5" s="4" t="s">
        <v>18</v>
      </c>
      <c r="G5" s="4" t="s">
        <v>4954</v>
      </c>
      <c r="H5" s="4" t="s">
        <v>3021</v>
      </c>
      <c r="I5" s="4">
        <v>0.88</v>
      </c>
      <c r="J5" s="4">
        <v>1.06</v>
      </c>
      <c r="K5" s="4">
        <v>0.24503</v>
      </c>
      <c r="L5" s="4" t="s">
        <v>4955</v>
      </c>
      <c r="M5" s="4" t="s">
        <v>4955</v>
      </c>
      <c r="N5" s="60">
        <v>13.736824990000001</v>
      </c>
      <c r="O5" s="60">
        <v>15.18364143</v>
      </c>
      <c r="P5" s="60">
        <v>17.82069778</v>
      </c>
      <c r="Q5" s="60">
        <v>13.736824990000001</v>
      </c>
      <c r="R5" s="51" t="b">
        <v>0</v>
      </c>
      <c r="S5" s="60">
        <v>17.79682159</v>
      </c>
      <c r="T5" s="60">
        <v>18.445339199999999</v>
      </c>
      <c r="U5" s="60">
        <v>17.79682159</v>
      </c>
      <c r="V5" s="51" t="b">
        <v>0</v>
      </c>
      <c r="W5" s="60">
        <v>15.4238596</v>
      </c>
      <c r="X5" s="60">
        <v>29.870267869999999</v>
      </c>
      <c r="Y5" s="51" t="b">
        <v>0</v>
      </c>
      <c r="Z5" s="60">
        <v>13.65712929</v>
      </c>
      <c r="AA5" s="60">
        <v>15.254627230000001</v>
      </c>
      <c r="AB5" s="60">
        <v>10.64146328</v>
      </c>
      <c r="AC5" s="60">
        <v>17.529806140000002</v>
      </c>
      <c r="AD5" s="60">
        <v>12.83721924</v>
      </c>
      <c r="AE5" s="60">
        <v>9.6471586229999993</v>
      </c>
      <c r="AF5" s="60">
        <v>9.7870311739999991</v>
      </c>
      <c r="AG5" s="60">
        <v>16.21884155</v>
      </c>
      <c r="AH5" s="60">
        <v>19.347383499999999</v>
      </c>
      <c r="AO5" s="50"/>
    </row>
    <row r="6" spans="1:41" ht="15.75" customHeight="1">
      <c r="A6" s="4" t="s">
        <v>3126</v>
      </c>
      <c r="B6" s="50" t="s">
        <v>12866</v>
      </c>
      <c r="C6" s="4" t="s">
        <v>2918</v>
      </c>
      <c r="D6" s="4" t="s">
        <v>4951</v>
      </c>
      <c r="E6" s="4" t="s">
        <v>108</v>
      </c>
      <c r="F6" s="4" t="s">
        <v>18</v>
      </c>
      <c r="G6" s="4" t="s">
        <v>4956</v>
      </c>
      <c r="H6" s="4" t="s">
        <v>3022</v>
      </c>
      <c r="I6" s="4">
        <v>0.94</v>
      </c>
      <c r="J6" s="4">
        <v>1.1200000000000001</v>
      </c>
      <c r="K6" s="4">
        <v>0.23874999999999999</v>
      </c>
      <c r="L6" s="4" t="s">
        <v>12272</v>
      </c>
      <c r="M6" s="4" t="s">
        <v>4929</v>
      </c>
      <c r="N6" s="60">
        <v>2.4581904410000002</v>
      </c>
      <c r="O6" s="60">
        <v>4.3206610679999997</v>
      </c>
      <c r="P6" s="60">
        <v>6.8809552189999996</v>
      </c>
      <c r="Q6" s="60">
        <v>2.4581904410000002</v>
      </c>
      <c r="R6" s="51" t="b">
        <v>1</v>
      </c>
      <c r="S6" s="60">
        <v>5.9086952210000003</v>
      </c>
      <c r="T6" s="60">
        <v>7.3531393999999999</v>
      </c>
      <c r="U6" s="60">
        <v>5.9086952210000003</v>
      </c>
      <c r="V6" s="51" t="b">
        <v>0</v>
      </c>
      <c r="W6" s="60">
        <v>4.3910298350000003</v>
      </c>
      <c r="X6" s="60">
        <v>3.0556750300000002</v>
      </c>
      <c r="Y6" s="51" t="b">
        <v>1</v>
      </c>
      <c r="Z6" s="60">
        <v>2.3278563019999998</v>
      </c>
      <c r="AA6" s="60">
        <v>6.8123307229999996</v>
      </c>
      <c r="AB6" s="60">
        <v>0.852140605</v>
      </c>
      <c r="AC6" s="60">
        <v>10.33850956</v>
      </c>
      <c r="AD6" s="60">
        <v>9.0758209230000002</v>
      </c>
      <c r="AE6" s="60">
        <v>10.309140210000001</v>
      </c>
      <c r="AF6" s="60">
        <v>14.39643669</v>
      </c>
      <c r="AG6" s="60">
        <v>20.361524580000001</v>
      </c>
      <c r="AH6" s="60">
        <v>18.510738369999999</v>
      </c>
      <c r="AI6" s="41">
        <v>1</v>
      </c>
      <c r="AO6" s="50"/>
    </row>
    <row r="7" spans="1:41" ht="15.75" customHeight="1">
      <c r="A7" s="4" t="s">
        <v>3127</v>
      </c>
      <c r="B7" s="50" t="s">
        <v>12809</v>
      </c>
      <c r="C7" s="4" t="s">
        <v>2919</v>
      </c>
      <c r="D7" s="4" t="s">
        <v>4951</v>
      </c>
      <c r="E7" s="4" t="s">
        <v>108</v>
      </c>
      <c r="F7" s="4" t="s">
        <v>18</v>
      </c>
      <c r="G7" s="4" t="s">
        <v>4957</v>
      </c>
      <c r="H7" s="4" t="s">
        <v>3023</v>
      </c>
      <c r="I7" s="4">
        <v>1.1000000000000001</v>
      </c>
      <c r="J7" s="4">
        <v>1.1599999999999999</v>
      </c>
      <c r="K7" s="4">
        <v>0.25552000000000002</v>
      </c>
      <c r="L7" s="4" t="s">
        <v>12272</v>
      </c>
      <c r="M7" s="4" t="s">
        <v>4929</v>
      </c>
      <c r="N7" s="60">
        <v>3.5042464729999998</v>
      </c>
      <c r="O7" s="60">
        <v>3.0205047129999998</v>
      </c>
      <c r="P7" s="60">
        <v>4.3678665160000003</v>
      </c>
      <c r="Q7" s="60">
        <v>3.0205047129999998</v>
      </c>
      <c r="R7" s="51" t="b">
        <v>1</v>
      </c>
      <c r="S7" s="60">
        <v>4.0951495170000003</v>
      </c>
      <c r="T7" s="60">
        <v>6.0715265269999996</v>
      </c>
      <c r="U7" s="60">
        <v>4.0951495170000003</v>
      </c>
      <c r="V7" s="51" t="b">
        <v>0</v>
      </c>
      <c r="W7" s="60">
        <v>3.9252605439999999</v>
      </c>
      <c r="X7" s="60">
        <v>4.9038438800000002</v>
      </c>
      <c r="Y7" s="51" t="b">
        <v>0</v>
      </c>
      <c r="Z7" s="60">
        <v>1.0388258699999999</v>
      </c>
      <c r="AA7" s="60">
        <v>4.4831838609999997</v>
      </c>
      <c r="AB7" s="60">
        <v>3.5600485800000001</v>
      </c>
      <c r="AC7" s="60">
        <v>8.5583486559999997</v>
      </c>
      <c r="AD7" s="60">
        <v>7.387715816</v>
      </c>
      <c r="AE7" s="60">
        <v>9.6909465790000002</v>
      </c>
      <c r="AF7" s="60">
        <v>14.26735687</v>
      </c>
      <c r="AG7" s="60">
        <v>19.673582079999999</v>
      </c>
      <c r="AH7" s="60">
        <v>18.110349660000001</v>
      </c>
      <c r="AI7" s="41">
        <v>1</v>
      </c>
      <c r="AJ7" s="41"/>
      <c r="AO7" s="50"/>
    </row>
    <row r="8" spans="1:41" ht="15.75" customHeight="1">
      <c r="A8" s="4" t="s">
        <v>3128</v>
      </c>
      <c r="B8" s="50" t="s">
        <v>12905</v>
      </c>
      <c r="C8" s="4" t="s">
        <v>2920</v>
      </c>
      <c r="D8" s="4" t="s">
        <v>4951</v>
      </c>
      <c r="E8" s="4" t="s">
        <v>108</v>
      </c>
      <c r="F8" s="4" t="s">
        <v>18</v>
      </c>
      <c r="G8" s="4" t="s">
        <v>4958</v>
      </c>
      <c r="H8" s="4" t="s">
        <v>3024</v>
      </c>
      <c r="I8" s="4">
        <v>1.46</v>
      </c>
      <c r="J8" s="4">
        <v>1.06</v>
      </c>
      <c r="K8" s="4">
        <v>0.23246</v>
      </c>
      <c r="L8" s="4" t="s">
        <v>12272</v>
      </c>
      <c r="M8" s="4" t="s">
        <v>4929</v>
      </c>
      <c r="N8" s="60">
        <v>2.7920835020000001</v>
      </c>
      <c r="O8" s="60">
        <v>5.28864336</v>
      </c>
      <c r="P8" s="60">
        <v>9.6202182769999993</v>
      </c>
      <c r="Q8" s="60">
        <v>2.7920835020000001</v>
      </c>
      <c r="R8" s="51" t="b">
        <v>1</v>
      </c>
      <c r="S8" s="60">
        <v>8.4316205980000003</v>
      </c>
      <c r="T8" s="60">
        <v>9.1185951230000004</v>
      </c>
      <c r="U8" s="60">
        <v>8.4316205980000003</v>
      </c>
      <c r="V8" s="51" t="b">
        <v>0</v>
      </c>
      <c r="W8" s="60">
        <v>4.1807036399999999</v>
      </c>
      <c r="X8" s="60">
        <v>2.8453204630000002</v>
      </c>
      <c r="Y8" s="51" t="b">
        <v>1</v>
      </c>
      <c r="Z8" s="60">
        <v>2.2446868420000001</v>
      </c>
      <c r="AA8" s="60">
        <v>5.9912695879999998</v>
      </c>
      <c r="AB8" s="60">
        <v>2.3209047319999998</v>
      </c>
      <c r="AC8" s="60">
        <v>9.5176048279999996</v>
      </c>
      <c r="AD8" s="60">
        <v>7.8129978180000004</v>
      </c>
      <c r="AE8" s="60">
        <v>8.5490722659999996</v>
      </c>
      <c r="AF8" s="60">
        <v>12.808439249999999</v>
      </c>
      <c r="AG8" s="60">
        <v>18.582202909999999</v>
      </c>
      <c r="AH8" s="60">
        <v>18.249761580000001</v>
      </c>
      <c r="AI8" s="41">
        <v>1</v>
      </c>
      <c r="AO8" s="50"/>
    </row>
    <row r="9" spans="1:41" ht="15.75" customHeight="1">
      <c r="A9" s="4" t="s">
        <v>3129</v>
      </c>
      <c r="B9" s="50" t="s">
        <v>12865</v>
      </c>
      <c r="C9" s="4" t="s">
        <v>2921</v>
      </c>
      <c r="D9" s="4" t="s">
        <v>4951</v>
      </c>
      <c r="E9" s="4" t="s">
        <v>108</v>
      </c>
      <c r="F9" s="4" t="s">
        <v>18</v>
      </c>
      <c r="G9" s="4" t="s">
        <v>4959</v>
      </c>
      <c r="H9" s="4" t="s">
        <v>3025</v>
      </c>
      <c r="I9" s="4">
        <v>1.58</v>
      </c>
      <c r="J9" s="4">
        <v>1.03</v>
      </c>
      <c r="K9" s="4">
        <v>0.22997999999999999</v>
      </c>
      <c r="L9" s="4" t="s">
        <v>12272</v>
      </c>
      <c r="M9" s="4" t="s">
        <v>4929</v>
      </c>
      <c r="N9" s="60">
        <v>2.8982648850000001</v>
      </c>
      <c r="O9" s="60">
        <v>4.0081143380000004</v>
      </c>
      <c r="P9" s="60">
        <v>6.9976992610000002</v>
      </c>
      <c r="Q9" s="60">
        <v>2.8982648850000001</v>
      </c>
      <c r="R9" s="51" t="b">
        <v>1</v>
      </c>
      <c r="S9" s="60">
        <v>5.9017724989999998</v>
      </c>
      <c r="T9" s="60">
        <v>6.6093440059999997</v>
      </c>
      <c r="U9" s="60">
        <v>5.9017724989999998</v>
      </c>
      <c r="V9" s="51" t="b">
        <v>0</v>
      </c>
      <c r="W9" s="60">
        <v>4.0303869250000002</v>
      </c>
      <c r="X9" s="60">
        <v>3.5432899</v>
      </c>
      <c r="Y9" s="51" t="b">
        <v>0</v>
      </c>
      <c r="Z9" s="60">
        <v>2.6573627000000002</v>
      </c>
      <c r="AA9" s="60">
        <v>4.0175318720000002</v>
      </c>
      <c r="AB9" s="60">
        <v>3.3106372359999998</v>
      </c>
      <c r="AC9" s="60">
        <v>7.6844959260000003</v>
      </c>
      <c r="AD9" s="60">
        <v>6.7774157519999996</v>
      </c>
      <c r="AE9" s="60">
        <v>8.6762886049999999</v>
      </c>
      <c r="AF9" s="60">
        <v>13.35720062</v>
      </c>
      <c r="AG9" s="60">
        <v>18.633548739999998</v>
      </c>
      <c r="AH9" s="60">
        <v>18.126539229999999</v>
      </c>
      <c r="AI9" s="41">
        <v>1</v>
      </c>
      <c r="AO9" s="50"/>
    </row>
    <row r="10" spans="1:41" ht="15.75" customHeight="1">
      <c r="A10" s="4" t="s">
        <v>3130</v>
      </c>
      <c r="B10" s="50" t="s">
        <v>12883</v>
      </c>
      <c r="C10" s="4" t="s">
        <v>2922</v>
      </c>
      <c r="D10" s="4" t="s">
        <v>4951</v>
      </c>
      <c r="E10" s="4" t="s">
        <v>108</v>
      </c>
      <c r="F10" s="4" t="s">
        <v>18</v>
      </c>
      <c r="G10" s="4" t="s">
        <v>4960</v>
      </c>
      <c r="H10" s="4" t="s">
        <v>3026</v>
      </c>
      <c r="I10" s="4">
        <v>1.72</v>
      </c>
      <c r="J10" s="4">
        <v>1.06</v>
      </c>
      <c r="K10" s="4">
        <v>0.24385000000000001</v>
      </c>
      <c r="L10" s="4" t="s">
        <v>12272</v>
      </c>
      <c r="M10" s="4" t="s">
        <v>4929</v>
      </c>
      <c r="N10" s="60">
        <v>2.6953353880000002</v>
      </c>
      <c r="O10" s="60">
        <v>5.8273248669999997</v>
      </c>
      <c r="P10" s="60">
        <v>8.6605176929999992</v>
      </c>
      <c r="Q10" s="60">
        <v>2.6953353880000002</v>
      </c>
      <c r="R10" s="51" t="b">
        <v>1</v>
      </c>
      <c r="S10" s="60">
        <v>6.9045553210000001</v>
      </c>
      <c r="T10" s="60">
        <v>7.6127376560000002</v>
      </c>
      <c r="U10" s="60">
        <v>6.9045553210000001</v>
      </c>
      <c r="V10" s="51" t="b">
        <v>0</v>
      </c>
      <c r="W10" s="60">
        <v>3.8324065209999998</v>
      </c>
      <c r="X10" s="60">
        <v>2.950012922</v>
      </c>
      <c r="Y10" s="51" t="b">
        <v>1</v>
      </c>
      <c r="Z10" s="60">
        <v>1.972303033</v>
      </c>
      <c r="AA10" s="60">
        <v>5.5667309759999997</v>
      </c>
      <c r="AB10" s="60">
        <v>1.2822232250000001</v>
      </c>
      <c r="AC10" s="60">
        <v>9.3774785999999999</v>
      </c>
      <c r="AD10" s="60">
        <v>7.9159197810000004</v>
      </c>
      <c r="AE10" s="60">
        <v>8.7431783680000006</v>
      </c>
      <c r="AF10" s="60">
        <v>13.06244659</v>
      </c>
      <c r="AG10" s="60">
        <v>18.82977867</v>
      </c>
      <c r="AH10" s="60">
        <v>19.08009148</v>
      </c>
      <c r="AI10" s="41">
        <v>1</v>
      </c>
      <c r="AO10" s="50"/>
    </row>
    <row r="11" spans="1:41" ht="15.75" customHeight="1">
      <c r="A11" s="4" t="s">
        <v>3131</v>
      </c>
      <c r="B11" s="50" t="s">
        <v>12818</v>
      </c>
      <c r="C11" s="4" t="s">
        <v>2923</v>
      </c>
      <c r="D11" s="4" t="s">
        <v>4951</v>
      </c>
      <c r="E11" s="4" t="s">
        <v>108</v>
      </c>
      <c r="F11" s="4" t="s">
        <v>18</v>
      </c>
      <c r="G11" s="4" t="s">
        <v>4961</v>
      </c>
      <c r="H11" s="4" t="s">
        <v>3027</v>
      </c>
      <c r="I11" s="4">
        <v>2.13</v>
      </c>
      <c r="J11" s="4">
        <v>1.1399999999999999</v>
      </c>
      <c r="K11" s="4">
        <v>0.23932</v>
      </c>
      <c r="L11" s="4" t="s">
        <v>12272</v>
      </c>
      <c r="M11" s="4" t="s">
        <v>4929</v>
      </c>
      <c r="N11" s="60">
        <v>3.2966899870000002</v>
      </c>
      <c r="O11" s="60">
        <v>2.9146656989999999</v>
      </c>
      <c r="P11" s="60">
        <v>4.6651697160000003</v>
      </c>
      <c r="Q11" s="60">
        <v>2.9146656989999999</v>
      </c>
      <c r="R11" s="51" t="b">
        <v>1</v>
      </c>
      <c r="S11" s="60">
        <v>4.2890114779999999</v>
      </c>
      <c r="T11" s="60">
        <v>6.1359720229999999</v>
      </c>
      <c r="U11" s="60">
        <v>4.2890114779999999</v>
      </c>
      <c r="V11" s="51" t="b">
        <v>0</v>
      </c>
      <c r="W11" s="60">
        <v>3.973662853</v>
      </c>
      <c r="X11" s="60">
        <v>3.8511362079999998</v>
      </c>
      <c r="Y11" s="51" t="b">
        <v>0</v>
      </c>
      <c r="Z11" s="60">
        <v>1.200995684</v>
      </c>
      <c r="AA11" s="60">
        <v>4.614317894</v>
      </c>
      <c r="AB11" s="60">
        <v>3.3677911759999999</v>
      </c>
      <c r="AC11" s="60">
        <v>8.6421813959999998</v>
      </c>
      <c r="AD11" s="60">
        <v>7.5445756910000004</v>
      </c>
      <c r="AE11" s="60">
        <v>9.7620553969999992</v>
      </c>
      <c r="AF11" s="60">
        <v>14.35962486</v>
      </c>
      <c r="AG11" s="60">
        <v>19.790018079999999</v>
      </c>
      <c r="AH11" s="60">
        <v>18.13080025</v>
      </c>
      <c r="AI11" s="41">
        <v>2</v>
      </c>
      <c r="AJ11" s="41">
        <v>1</v>
      </c>
      <c r="AO11" s="50"/>
    </row>
    <row r="12" spans="1:41" ht="15.75" customHeight="1">
      <c r="A12" s="4" t="s">
        <v>3132</v>
      </c>
      <c r="B12" s="50" t="s">
        <v>12780</v>
      </c>
      <c r="C12" s="4" t="s">
        <v>2924</v>
      </c>
      <c r="D12" s="4" t="s">
        <v>4951</v>
      </c>
      <c r="E12" s="4" t="s">
        <v>108</v>
      </c>
      <c r="F12" s="4" t="s">
        <v>18</v>
      </c>
      <c r="G12" s="4" t="s">
        <v>4962</v>
      </c>
      <c r="H12" s="4" t="s">
        <v>3028</v>
      </c>
      <c r="I12" s="4">
        <v>2.14</v>
      </c>
      <c r="J12" s="4">
        <v>1.0900000000000001</v>
      </c>
      <c r="K12" s="4">
        <v>0.25902999999999998</v>
      </c>
      <c r="L12" s="4" t="s">
        <v>12272</v>
      </c>
      <c r="M12" s="4" t="s">
        <v>4929</v>
      </c>
      <c r="N12" s="60">
        <v>2.998890877</v>
      </c>
      <c r="O12" s="60">
        <v>2.9102017880000002</v>
      </c>
      <c r="P12" s="60">
        <v>3.6569283010000002</v>
      </c>
      <c r="Q12" s="60">
        <v>2.9102017880000002</v>
      </c>
      <c r="R12" s="51" t="b">
        <v>1</v>
      </c>
      <c r="S12" s="60">
        <v>3.2746982569999998</v>
      </c>
      <c r="T12" s="60">
        <v>5.2680349350000002</v>
      </c>
      <c r="U12" s="60">
        <v>3.2746982569999998</v>
      </c>
      <c r="V12" s="51" t="b">
        <v>0</v>
      </c>
      <c r="W12" s="60">
        <v>4.6481933590000004</v>
      </c>
      <c r="X12" s="60">
        <v>5.2924013140000001</v>
      </c>
      <c r="Y12" s="51" t="b">
        <v>0</v>
      </c>
      <c r="Z12" s="60">
        <v>1.1933473349999999</v>
      </c>
      <c r="AA12" s="60">
        <v>3.7373549939999999</v>
      </c>
      <c r="AB12" s="60">
        <v>4.9611201290000002</v>
      </c>
      <c r="AC12" s="60">
        <v>7.8443760869999997</v>
      </c>
      <c r="AD12" s="60">
        <v>7.4395627979999999</v>
      </c>
      <c r="AE12" s="60">
        <v>9.4986286159999995</v>
      </c>
      <c r="AF12" s="60">
        <v>13.87241936</v>
      </c>
      <c r="AG12" s="60">
        <v>19.611900330000001</v>
      </c>
      <c r="AH12" s="60">
        <v>17.973691939999998</v>
      </c>
      <c r="AI12" s="41">
        <v>2</v>
      </c>
      <c r="AJ12" s="41">
        <v>1</v>
      </c>
      <c r="AK12" s="41" t="s">
        <v>12272</v>
      </c>
      <c r="AO12" s="50"/>
    </row>
    <row r="13" spans="1:41" ht="15.75" customHeight="1">
      <c r="A13" s="4" t="s">
        <v>3133</v>
      </c>
      <c r="B13" s="50" t="s">
        <v>12856</v>
      </c>
      <c r="C13" s="4" t="s">
        <v>2925</v>
      </c>
      <c r="D13" s="4" t="s">
        <v>4951</v>
      </c>
      <c r="E13" s="4" t="s">
        <v>108</v>
      </c>
      <c r="F13" s="4" t="s">
        <v>18</v>
      </c>
      <c r="G13" s="4" t="s">
        <v>4963</v>
      </c>
      <c r="H13" s="4" t="s">
        <v>3029</v>
      </c>
      <c r="I13" s="4">
        <v>1.07</v>
      </c>
      <c r="J13" s="4">
        <v>1.1100000000000001</v>
      </c>
      <c r="K13" s="4">
        <v>0.24826000000000001</v>
      </c>
      <c r="L13" s="4" t="s">
        <v>12272</v>
      </c>
      <c r="M13" s="4" t="s">
        <v>4929</v>
      </c>
      <c r="N13" s="60">
        <v>3.0396363740000001</v>
      </c>
      <c r="O13" s="60">
        <v>3.4962730409999998</v>
      </c>
      <c r="P13" s="60">
        <v>6.4252524380000002</v>
      </c>
      <c r="Q13" s="60">
        <v>3.0396363740000001</v>
      </c>
      <c r="R13" s="51" t="b">
        <v>1</v>
      </c>
      <c r="S13" s="60">
        <v>5.5315780639999996</v>
      </c>
      <c r="T13" s="60">
        <v>7.1316609379999996</v>
      </c>
      <c r="U13" s="60">
        <v>5.5315780639999996</v>
      </c>
      <c r="V13" s="51" t="b">
        <v>0</v>
      </c>
      <c r="W13" s="60">
        <v>4.5215611459999998</v>
      </c>
      <c r="X13" s="60">
        <v>5.2178292270000002</v>
      </c>
      <c r="Y13" s="51" t="b">
        <v>0</v>
      </c>
      <c r="Z13" s="60">
        <v>0.848756909</v>
      </c>
      <c r="AA13" s="60">
        <v>4.2274022100000002</v>
      </c>
      <c r="AB13" s="60">
        <v>4.9065432549999999</v>
      </c>
      <c r="AC13" s="60">
        <v>8.2000198359999992</v>
      </c>
      <c r="AD13" s="60">
        <v>6.8137898449999996</v>
      </c>
      <c r="AE13" s="60">
        <v>8.3945579529999996</v>
      </c>
      <c r="AF13" s="60">
        <v>13.023785589999999</v>
      </c>
      <c r="AG13" s="60">
        <v>18.420349120000001</v>
      </c>
      <c r="AH13" s="60">
        <v>18.17479706</v>
      </c>
      <c r="AI13" s="41">
        <v>1</v>
      </c>
      <c r="AO13" s="50"/>
    </row>
    <row r="14" spans="1:41" ht="15.75" customHeight="1">
      <c r="A14" s="4" t="s">
        <v>3134</v>
      </c>
      <c r="B14" s="50" t="s">
        <v>12789</v>
      </c>
      <c r="C14" s="4" t="s">
        <v>2926</v>
      </c>
      <c r="D14" s="4" t="s">
        <v>4951</v>
      </c>
      <c r="E14" s="4" t="s">
        <v>108</v>
      </c>
      <c r="F14" s="4" t="s">
        <v>18</v>
      </c>
      <c r="G14" s="4" t="s">
        <v>4964</v>
      </c>
      <c r="H14" s="4" t="s">
        <v>3030</v>
      </c>
      <c r="I14" s="4">
        <v>1.08</v>
      </c>
      <c r="J14" s="4">
        <v>1.1100000000000001</v>
      </c>
      <c r="K14" s="4">
        <v>0.24740999999999999</v>
      </c>
      <c r="L14" s="4" t="s">
        <v>12272</v>
      </c>
      <c r="M14" s="4" t="s">
        <v>4929</v>
      </c>
      <c r="N14" s="60">
        <v>4.6275210380000003</v>
      </c>
      <c r="O14" s="60">
        <v>3.031480551</v>
      </c>
      <c r="P14" s="60">
        <v>3.5183465479999998</v>
      </c>
      <c r="Q14" s="60">
        <v>3.031480551</v>
      </c>
      <c r="R14" s="51" t="b">
        <v>1</v>
      </c>
      <c r="S14" s="60">
        <v>3.4520547389999998</v>
      </c>
      <c r="T14" s="60">
        <v>5.4078226090000001</v>
      </c>
      <c r="U14" s="60">
        <v>3.4520547389999998</v>
      </c>
      <c r="V14" s="51" t="b">
        <v>0</v>
      </c>
      <c r="W14" s="60">
        <v>4.0012059210000004</v>
      </c>
      <c r="X14" s="60">
        <v>5.0655422210000003</v>
      </c>
      <c r="Y14" s="51" t="b">
        <v>0</v>
      </c>
      <c r="Z14" s="60">
        <v>1.2564103600000001</v>
      </c>
      <c r="AA14" s="60">
        <v>3.8234264850000002</v>
      </c>
      <c r="AB14" s="60">
        <v>4.4789743419999999</v>
      </c>
      <c r="AC14" s="60">
        <v>7.9252591130000001</v>
      </c>
      <c r="AD14" s="60">
        <v>7.2278351780000003</v>
      </c>
      <c r="AE14" s="60">
        <v>9.4533205030000005</v>
      </c>
      <c r="AF14" s="60">
        <v>13.945427889999999</v>
      </c>
      <c r="AG14" s="60">
        <v>19.570787429999999</v>
      </c>
      <c r="AH14" s="60">
        <v>18.161138529999999</v>
      </c>
      <c r="AI14" s="41">
        <v>1</v>
      </c>
      <c r="AK14" s="41" t="s">
        <v>12272</v>
      </c>
      <c r="AO14" s="50"/>
    </row>
    <row r="15" spans="1:41" ht="15.75" customHeight="1">
      <c r="A15" s="4" t="s">
        <v>3135</v>
      </c>
      <c r="B15" s="50" t="s">
        <v>12814</v>
      </c>
      <c r="C15" s="4" t="s">
        <v>2927</v>
      </c>
      <c r="D15" s="4" t="s">
        <v>4951</v>
      </c>
      <c r="E15" s="4" t="s">
        <v>108</v>
      </c>
      <c r="F15" s="4" t="s">
        <v>18</v>
      </c>
      <c r="G15" s="4" t="s">
        <v>4965</v>
      </c>
      <c r="H15" s="4" t="s">
        <v>3031</v>
      </c>
      <c r="I15" s="4">
        <v>1.28</v>
      </c>
      <c r="J15" s="4">
        <v>1.01</v>
      </c>
      <c r="K15" s="4">
        <v>0.23408000000000001</v>
      </c>
      <c r="L15" s="4" t="s">
        <v>12272</v>
      </c>
      <c r="M15" s="4" t="s">
        <v>4929</v>
      </c>
      <c r="N15" s="60">
        <v>3.9010446070000002</v>
      </c>
      <c r="O15" s="60">
        <v>2.778704882</v>
      </c>
      <c r="P15" s="60">
        <v>4.3941473960000001</v>
      </c>
      <c r="Q15" s="60">
        <v>2.778704882</v>
      </c>
      <c r="R15" s="51" t="b">
        <v>1</v>
      </c>
      <c r="S15" s="60">
        <v>4.243966103</v>
      </c>
      <c r="T15" s="60">
        <v>6.2664594649999996</v>
      </c>
      <c r="U15" s="60">
        <v>4.243966103</v>
      </c>
      <c r="V15" s="51" t="b">
        <v>0</v>
      </c>
      <c r="W15" s="60">
        <v>4.1004309650000001</v>
      </c>
      <c r="X15" s="60">
        <v>2.8055822849999998</v>
      </c>
      <c r="Y15" s="51" t="b">
        <v>1</v>
      </c>
      <c r="Z15" s="60">
        <v>0.46568885399999999</v>
      </c>
      <c r="AA15" s="60">
        <v>5.0156545640000001</v>
      </c>
      <c r="AB15" s="60">
        <v>4.5057592389999996</v>
      </c>
      <c r="AC15" s="60">
        <v>8.8237924579999998</v>
      </c>
      <c r="AD15" s="60">
        <v>7.323519707</v>
      </c>
      <c r="AE15" s="60">
        <v>9.0139827730000004</v>
      </c>
      <c r="AF15" s="60">
        <v>13.551038739999999</v>
      </c>
      <c r="AG15" s="60">
        <v>19.078712459999998</v>
      </c>
      <c r="AH15" s="60">
        <v>18.049125669999999</v>
      </c>
      <c r="AI15" s="41">
        <v>1</v>
      </c>
      <c r="AO15" s="50"/>
    </row>
    <row r="16" spans="1:41" ht="15.75" customHeight="1">
      <c r="A16" s="4" t="s">
        <v>3136</v>
      </c>
      <c r="B16" s="50" t="s">
        <v>12847</v>
      </c>
      <c r="C16" s="4" t="s">
        <v>2928</v>
      </c>
      <c r="D16" s="4" t="s">
        <v>4951</v>
      </c>
      <c r="E16" s="4" t="s">
        <v>108</v>
      </c>
      <c r="F16" s="4" t="s">
        <v>18</v>
      </c>
      <c r="G16" s="4" t="s">
        <v>5010</v>
      </c>
      <c r="H16" s="4" t="s">
        <v>3032</v>
      </c>
      <c r="I16" s="4">
        <v>1.93</v>
      </c>
      <c r="J16" s="4">
        <v>1.1100000000000001</v>
      </c>
      <c r="K16" s="4">
        <v>0.23807</v>
      </c>
      <c r="L16" s="4" t="s">
        <v>12272</v>
      </c>
      <c r="M16" s="4" t="s">
        <v>4929</v>
      </c>
      <c r="N16" s="60">
        <v>2.4957919120000001</v>
      </c>
      <c r="O16" s="60">
        <v>3.7759039400000001</v>
      </c>
      <c r="P16" s="60">
        <v>5.9344029430000003</v>
      </c>
      <c r="Q16" s="60">
        <v>2.4957919120000001</v>
      </c>
      <c r="R16" s="51" t="b">
        <v>1</v>
      </c>
      <c r="S16" s="60">
        <v>5.2553362850000003</v>
      </c>
      <c r="T16" s="60">
        <v>6.4406633380000002</v>
      </c>
      <c r="U16" s="60">
        <v>5.2553362850000003</v>
      </c>
      <c r="V16" s="51" t="b">
        <v>0</v>
      </c>
      <c r="W16" s="60">
        <v>3.969341993</v>
      </c>
      <c r="X16" s="60">
        <v>2.9499289989999999</v>
      </c>
      <c r="Y16" s="51" t="b">
        <v>1</v>
      </c>
      <c r="Z16" s="60">
        <v>1.4439405199999999</v>
      </c>
      <c r="AA16" s="60">
        <v>3.0161287780000001</v>
      </c>
      <c r="AB16" s="60">
        <v>3.4726872439999998</v>
      </c>
      <c r="AC16" s="60">
        <v>6.9263505939999996</v>
      </c>
      <c r="AD16" s="60">
        <v>6.1282191279999996</v>
      </c>
      <c r="AE16" s="60">
        <v>8.5396003720000007</v>
      </c>
      <c r="AF16" s="60">
        <v>13.25306702</v>
      </c>
      <c r="AG16" s="60">
        <v>18.318819049999998</v>
      </c>
      <c r="AH16" s="60">
        <v>18.068571089999999</v>
      </c>
      <c r="AI16" s="41">
        <v>1</v>
      </c>
      <c r="AO16" s="50"/>
    </row>
    <row r="17" spans="1:41" ht="15.75" customHeight="1">
      <c r="A17" s="4" t="s">
        <v>3137</v>
      </c>
      <c r="B17" s="50" t="s">
        <v>12911</v>
      </c>
      <c r="C17" s="4" t="s">
        <v>2929</v>
      </c>
      <c r="D17" s="4" t="s">
        <v>4951</v>
      </c>
      <c r="E17" s="4" t="s">
        <v>108</v>
      </c>
      <c r="F17" s="4" t="s">
        <v>18</v>
      </c>
      <c r="G17" s="41" t="s">
        <v>4966</v>
      </c>
      <c r="H17" s="4" t="s">
        <v>3033</v>
      </c>
      <c r="I17" s="4">
        <v>2.34</v>
      </c>
      <c r="J17" s="4">
        <v>1.06</v>
      </c>
      <c r="K17" s="4">
        <v>0.24095</v>
      </c>
      <c r="L17" s="4" t="s">
        <v>12272</v>
      </c>
      <c r="M17" s="4" t="s">
        <v>4929</v>
      </c>
      <c r="N17" s="60">
        <v>2.663049698</v>
      </c>
      <c r="O17" s="60">
        <v>7.1153740880000003</v>
      </c>
      <c r="P17" s="60">
        <v>10.63656902</v>
      </c>
      <c r="Q17" s="60">
        <v>2.663049698</v>
      </c>
      <c r="R17" s="51" t="b">
        <v>1</v>
      </c>
      <c r="S17" s="60">
        <v>8.7678222659999996</v>
      </c>
      <c r="T17" s="60">
        <v>9.0464124679999998</v>
      </c>
      <c r="U17" s="60">
        <v>8.7678222659999996</v>
      </c>
      <c r="V17" s="51" t="b">
        <v>0</v>
      </c>
      <c r="W17" s="60">
        <v>4.1007328029999996</v>
      </c>
      <c r="X17" s="60">
        <v>2.9624412059999998</v>
      </c>
      <c r="Y17" s="51" t="b">
        <v>1</v>
      </c>
      <c r="Z17" s="60">
        <v>2.483458519</v>
      </c>
      <c r="AA17" s="60">
        <v>5.0399093629999996</v>
      </c>
      <c r="AB17" s="60">
        <v>1.094484687</v>
      </c>
      <c r="AC17" s="60">
        <v>8.6816215519999993</v>
      </c>
      <c r="AD17" s="60">
        <v>7.2827572820000004</v>
      </c>
      <c r="AE17" s="60">
        <v>8.8228626250000008</v>
      </c>
      <c r="AF17" s="60">
        <v>13.38277721</v>
      </c>
      <c r="AG17" s="60">
        <v>18.904108050000001</v>
      </c>
      <c r="AH17" s="60">
        <v>18.952737809999999</v>
      </c>
      <c r="AI17" s="41">
        <v>1</v>
      </c>
      <c r="AO17" s="50"/>
    </row>
    <row r="18" spans="1:41" ht="15.75" customHeight="1">
      <c r="A18" s="4" t="s">
        <v>3138</v>
      </c>
      <c r="B18" s="50" t="s">
        <v>12939</v>
      </c>
      <c r="C18" s="4" t="s">
        <v>2930</v>
      </c>
      <c r="D18" s="4" t="s">
        <v>4951</v>
      </c>
      <c r="E18" s="4" t="s">
        <v>108</v>
      </c>
      <c r="F18" s="4" t="s">
        <v>18</v>
      </c>
      <c r="G18" s="4" t="s">
        <v>5093</v>
      </c>
      <c r="H18" s="4" t="s">
        <v>3034</v>
      </c>
      <c r="I18" s="4">
        <v>2.5499999999999998</v>
      </c>
      <c r="J18" s="4">
        <v>1.03</v>
      </c>
      <c r="K18" s="4">
        <v>0.23033000000000001</v>
      </c>
      <c r="L18" s="4" t="s">
        <v>5087</v>
      </c>
      <c r="M18" s="4" t="s">
        <v>5087</v>
      </c>
      <c r="N18" s="60">
        <v>17.02092743</v>
      </c>
      <c r="O18" s="60">
        <v>15.401679039999999</v>
      </c>
      <c r="P18" s="60">
        <v>17.005054470000001</v>
      </c>
      <c r="Q18" s="60">
        <v>15.401679039999999</v>
      </c>
      <c r="R18" s="51" t="b">
        <v>0</v>
      </c>
      <c r="S18" s="60">
        <v>20.249254229999998</v>
      </c>
      <c r="T18" s="60">
        <v>22.842378620000002</v>
      </c>
      <c r="U18" s="60">
        <v>20.249254229999998</v>
      </c>
      <c r="V18" s="51" t="b">
        <v>0</v>
      </c>
      <c r="W18" s="60">
        <v>14.119637490000001</v>
      </c>
      <c r="X18" s="60">
        <v>25.437118529999999</v>
      </c>
      <c r="Y18" s="51" t="b">
        <v>0</v>
      </c>
      <c r="Z18" s="60">
        <v>12.808597560000001</v>
      </c>
      <c r="AA18" s="60">
        <v>16.997844700000002</v>
      </c>
      <c r="AB18" s="60">
        <v>19.34312439</v>
      </c>
      <c r="AC18" s="60">
        <v>20.509071349999999</v>
      </c>
      <c r="AD18" s="60">
        <v>17.76867485</v>
      </c>
      <c r="AE18" s="60">
        <v>18.76152802</v>
      </c>
      <c r="AF18" s="60">
        <v>21.441444400000002</v>
      </c>
      <c r="AG18" s="60">
        <v>27.2852459</v>
      </c>
      <c r="AH18" s="60">
        <v>8.1080827709999994</v>
      </c>
      <c r="AO18" s="50"/>
    </row>
    <row r="19" spans="1:41" ht="15.75" customHeight="1">
      <c r="A19" s="4" t="s">
        <v>3139</v>
      </c>
      <c r="B19" s="50" t="s">
        <v>12912</v>
      </c>
      <c r="C19" s="4" t="s">
        <v>2931</v>
      </c>
      <c r="D19" s="4" t="s">
        <v>4951</v>
      </c>
      <c r="E19" s="4" t="s">
        <v>108</v>
      </c>
      <c r="F19" s="4" t="s">
        <v>18</v>
      </c>
      <c r="G19" s="4" t="s">
        <v>4967</v>
      </c>
      <c r="H19" s="4" t="s">
        <v>3035</v>
      </c>
      <c r="I19" s="4">
        <v>1.1499999999999999</v>
      </c>
      <c r="J19" s="4">
        <v>1.1499999999999999</v>
      </c>
      <c r="K19" s="4">
        <v>0.27310000000000001</v>
      </c>
      <c r="L19" s="4" t="s">
        <v>12272</v>
      </c>
      <c r="M19" s="4" t="s">
        <v>4929</v>
      </c>
      <c r="N19" s="60">
        <v>2.790378332</v>
      </c>
      <c r="O19" s="60">
        <v>6.434202194</v>
      </c>
      <c r="P19" s="60">
        <v>10.585363389999999</v>
      </c>
      <c r="Q19" s="60">
        <v>2.790378332</v>
      </c>
      <c r="R19" s="51" t="b">
        <v>1</v>
      </c>
      <c r="S19" s="60">
        <v>8.8687648770000003</v>
      </c>
      <c r="T19" s="60">
        <v>9.2308778759999992</v>
      </c>
      <c r="U19" s="60">
        <v>8.8687648770000003</v>
      </c>
      <c r="V19" s="51" t="b">
        <v>0</v>
      </c>
      <c r="W19" s="60">
        <v>4.0111584660000004</v>
      </c>
      <c r="X19" s="60">
        <v>3.1298351289999999</v>
      </c>
      <c r="Y19" s="51" t="b">
        <v>1</v>
      </c>
      <c r="Z19" s="60">
        <v>2.5290229320000002</v>
      </c>
      <c r="AA19" s="60">
        <v>5.1104536060000001</v>
      </c>
      <c r="AB19" s="60">
        <v>0.728463113</v>
      </c>
      <c r="AC19" s="60">
        <v>8.7949762339999999</v>
      </c>
      <c r="AD19" s="60">
        <v>7.3541154860000004</v>
      </c>
      <c r="AE19" s="60">
        <v>8.9094753269999991</v>
      </c>
      <c r="AF19" s="60">
        <v>13.360862729999999</v>
      </c>
      <c r="AG19" s="60">
        <v>19.011640549999999</v>
      </c>
      <c r="AH19" s="60">
        <v>18.541574480000001</v>
      </c>
      <c r="AI19" s="41">
        <v>1</v>
      </c>
      <c r="AO19" s="50"/>
    </row>
    <row r="20" spans="1:41" ht="15.75" customHeight="1">
      <c r="A20" s="4" t="s">
        <v>3140</v>
      </c>
      <c r="B20" s="50" t="s">
        <v>12907</v>
      </c>
      <c r="C20" s="4" t="s">
        <v>2932</v>
      </c>
      <c r="D20" s="4" t="s">
        <v>4951</v>
      </c>
      <c r="E20" s="4" t="s">
        <v>108</v>
      </c>
      <c r="F20" s="4" t="s">
        <v>18</v>
      </c>
      <c r="G20" s="4" t="s">
        <v>4968</v>
      </c>
      <c r="H20" s="4" t="s">
        <v>3036</v>
      </c>
      <c r="I20" s="4">
        <v>2.27</v>
      </c>
      <c r="J20" s="4">
        <v>1.1299999999999999</v>
      </c>
      <c r="K20" s="4">
        <v>0.27361000000000002</v>
      </c>
      <c r="L20" s="4" t="s">
        <v>12272</v>
      </c>
      <c r="M20" s="4" t="s">
        <v>4929</v>
      </c>
      <c r="N20" s="60">
        <v>3.197812796</v>
      </c>
      <c r="O20" s="60">
        <v>6.5067896840000001</v>
      </c>
      <c r="P20" s="60">
        <v>10.19917965</v>
      </c>
      <c r="Q20" s="60">
        <v>3.197812796</v>
      </c>
      <c r="R20" s="51" t="b">
        <v>1</v>
      </c>
      <c r="S20" s="60">
        <v>8.4446630480000007</v>
      </c>
      <c r="T20" s="60">
        <v>8.9819383619999993</v>
      </c>
      <c r="U20" s="60">
        <v>8.4446630480000007</v>
      </c>
      <c r="V20" s="51" t="b">
        <v>0</v>
      </c>
      <c r="W20" s="60">
        <v>4.0495972629999999</v>
      </c>
      <c r="X20" s="60">
        <v>2.9856736659999998</v>
      </c>
      <c r="Y20" s="51" t="b">
        <v>1</v>
      </c>
      <c r="Z20" s="60">
        <v>2.2851371770000002</v>
      </c>
      <c r="AA20" s="60">
        <v>5.4793157580000003</v>
      </c>
      <c r="AB20" s="60">
        <v>0.65691053899999996</v>
      </c>
      <c r="AC20" s="60">
        <v>9.2944831850000007</v>
      </c>
      <c r="AD20" s="60">
        <v>7.7404565810000001</v>
      </c>
      <c r="AE20" s="60">
        <v>8.9645118709999991</v>
      </c>
      <c r="AF20" s="60">
        <v>13.399589539999999</v>
      </c>
      <c r="AG20" s="60">
        <v>19.08505821</v>
      </c>
      <c r="AH20" s="60">
        <v>17.986892699999999</v>
      </c>
      <c r="AI20" s="41">
        <v>1</v>
      </c>
      <c r="AO20" s="50"/>
    </row>
    <row r="21" spans="1:41" ht="15.75" customHeight="1">
      <c r="A21" s="4" t="s">
        <v>3141</v>
      </c>
      <c r="B21" s="50" t="s">
        <v>12903</v>
      </c>
      <c r="C21" s="4" t="s">
        <v>2933</v>
      </c>
      <c r="D21" s="4" t="s">
        <v>4951</v>
      </c>
      <c r="E21" s="4" t="s">
        <v>108</v>
      </c>
      <c r="F21" s="4" t="s">
        <v>18</v>
      </c>
      <c r="G21" s="41" t="s">
        <v>4969</v>
      </c>
      <c r="H21" s="4" t="s">
        <v>3037</v>
      </c>
      <c r="I21" s="4">
        <v>2.34</v>
      </c>
      <c r="J21" s="4">
        <v>1.05</v>
      </c>
      <c r="K21" s="4">
        <v>0.25196000000000002</v>
      </c>
      <c r="L21" s="4" t="s">
        <v>12272</v>
      </c>
      <c r="M21" s="4" t="s">
        <v>4929</v>
      </c>
      <c r="N21" s="60">
        <v>2.5100226399999999</v>
      </c>
      <c r="O21" s="60">
        <v>5.1384716030000002</v>
      </c>
      <c r="P21" s="60">
        <v>9.4517250060000002</v>
      </c>
      <c r="Q21" s="60">
        <v>2.5100226399999999</v>
      </c>
      <c r="R21" s="51" t="b">
        <v>1</v>
      </c>
      <c r="S21" s="60">
        <v>8.2422704699999993</v>
      </c>
      <c r="T21" s="60">
        <v>9.3195123669999997</v>
      </c>
      <c r="U21" s="60">
        <v>8.2422704699999993</v>
      </c>
      <c r="V21" s="51" t="b">
        <v>0</v>
      </c>
      <c r="W21" s="60">
        <v>4.1336765289999997</v>
      </c>
      <c r="X21" s="60">
        <v>2.9286456109999999</v>
      </c>
      <c r="Y21" s="51" t="b">
        <v>1</v>
      </c>
      <c r="Z21" s="60">
        <v>2.9055559639999999</v>
      </c>
      <c r="AA21" s="60">
        <v>5.7730083470000002</v>
      </c>
      <c r="AB21" s="60">
        <v>4.7700000000000005E-7</v>
      </c>
      <c r="AC21" s="60">
        <v>9.0429563519999991</v>
      </c>
      <c r="AD21" s="60">
        <v>8.4980211259999994</v>
      </c>
      <c r="AE21" s="60">
        <v>9.2455024720000001</v>
      </c>
      <c r="AF21" s="60">
        <v>13.218669889999999</v>
      </c>
      <c r="AG21" s="60">
        <v>19.137956620000001</v>
      </c>
      <c r="AH21" s="60">
        <v>18.242542270000001</v>
      </c>
      <c r="AI21" s="41">
        <v>2</v>
      </c>
      <c r="AJ21" s="41">
        <v>9</v>
      </c>
      <c r="AO21" s="50"/>
    </row>
    <row r="22" spans="1:41" ht="15.75" customHeight="1">
      <c r="A22" s="4" t="s">
        <v>3142</v>
      </c>
      <c r="B22" s="50" t="s">
        <v>12977</v>
      </c>
      <c r="C22" s="4" t="s">
        <v>2934</v>
      </c>
      <c r="D22" s="4" t="s">
        <v>4951</v>
      </c>
      <c r="E22" s="4" t="s">
        <v>108</v>
      </c>
      <c r="F22" s="4" t="s">
        <v>18</v>
      </c>
      <c r="G22" s="41" t="s">
        <v>5174</v>
      </c>
      <c r="H22" s="4" t="s">
        <v>3038</v>
      </c>
      <c r="I22" s="4">
        <v>2.5</v>
      </c>
      <c r="J22" s="4">
        <v>1.05</v>
      </c>
      <c r="K22" s="4">
        <v>0.26885999999999999</v>
      </c>
      <c r="L22" s="4" t="s">
        <v>5164</v>
      </c>
      <c r="M22" s="4" t="s">
        <v>5164</v>
      </c>
      <c r="N22" s="60">
        <v>32.288875580000003</v>
      </c>
      <c r="O22" s="60">
        <v>31.596984859999999</v>
      </c>
      <c r="P22" s="60">
        <v>31.123321529999998</v>
      </c>
      <c r="Q22" s="60">
        <v>31.123321529999998</v>
      </c>
      <c r="R22" s="51" t="b">
        <v>0</v>
      </c>
      <c r="S22" s="60">
        <v>33.500919340000003</v>
      </c>
      <c r="T22" s="60">
        <v>35.379886630000001</v>
      </c>
      <c r="U22" s="60">
        <v>33.500919340000003</v>
      </c>
      <c r="V22" s="51" t="b">
        <v>0</v>
      </c>
      <c r="W22" s="60">
        <v>20.611469270000001</v>
      </c>
      <c r="X22" s="60">
        <v>40.808082579999997</v>
      </c>
      <c r="Y22" s="51" t="b">
        <v>0</v>
      </c>
      <c r="Z22" s="60">
        <v>18.460353850000001</v>
      </c>
      <c r="AA22" s="60">
        <v>21.055589680000001</v>
      </c>
      <c r="AB22" s="60">
        <v>29.20639229</v>
      </c>
      <c r="AC22" s="60">
        <v>23.984348300000001</v>
      </c>
      <c r="AD22" s="60">
        <v>18.608303070000002</v>
      </c>
      <c r="AE22" s="60">
        <v>17.13835907</v>
      </c>
      <c r="AF22" s="60">
        <v>14.19633389</v>
      </c>
      <c r="AG22" s="60">
        <v>12.82625771</v>
      </c>
      <c r="AH22" s="60">
        <v>22.029272079999998</v>
      </c>
      <c r="AO22" s="50"/>
    </row>
    <row r="23" spans="1:41" ht="15.75" customHeight="1">
      <c r="A23" s="4" t="s">
        <v>3143</v>
      </c>
      <c r="B23" s="50" t="s">
        <v>12904</v>
      </c>
      <c r="C23" s="4" t="s">
        <v>2935</v>
      </c>
      <c r="D23" s="4" t="s">
        <v>4951</v>
      </c>
      <c r="E23" s="4" t="s">
        <v>108</v>
      </c>
      <c r="F23" s="4" t="s">
        <v>18</v>
      </c>
      <c r="G23" s="41" t="s">
        <v>4970</v>
      </c>
      <c r="H23" s="4" t="s">
        <v>3039</v>
      </c>
      <c r="I23" s="4">
        <v>3.09</v>
      </c>
      <c r="J23" s="4">
        <v>1.07</v>
      </c>
      <c r="K23" s="4">
        <v>0.25034000000000001</v>
      </c>
      <c r="L23" s="4" t="s">
        <v>12272</v>
      </c>
      <c r="M23" s="4" t="s">
        <v>4929</v>
      </c>
      <c r="N23" s="60">
        <v>2.8665063380000002</v>
      </c>
      <c r="O23" s="60">
        <v>5.5711731909999997</v>
      </c>
      <c r="P23" s="60">
        <v>9.7528190610000003</v>
      </c>
      <c r="Q23" s="60">
        <v>2.8665063380000002</v>
      </c>
      <c r="R23" s="51" t="b">
        <v>1</v>
      </c>
      <c r="S23" s="60">
        <v>8.2563228609999992</v>
      </c>
      <c r="T23" s="60">
        <v>9.1264686580000003</v>
      </c>
      <c r="U23" s="60">
        <v>8.2563228609999992</v>
      </c>
      <c r="V23" s="51" t="b">
        <v>0</v>
      </c>
      <c r="W23" s="60">
        <v>3.8778455260000002</v>
      </c>
      <c r="X23" s="60">
        <v>3.0338175299999999</v>
      </c>
      <c r="Y23" s="51" t="b">
        <v>1</v>
      </c>
      <c r="Z23" s="60">
        <v>2.4838924410000001</v>
      </c>
      <c r="AA23" s="60">
        <v>4.5972890849999999</v>
      </c>
      <c r="AB23" s="60">
        <v>0.63056188800000001</v>
      </c>
      <c r="AC23" s="60">
        <v>8.0937004090000002</v>
      </c>
      <c r="AD23" s="60">
        <v>6.8752827639999996</v>
      </c>
      <c r="AE23" s="60">
        <v>8.4299726489999998</v>
      </c>
      <c r="AF23" s="60">
        <v>12.7592783</v>
      </c>
      <c r="AG23" s="60">
        <v>18.441396709999999</v>
      </c>
      <c r="AH23" s="60">
        <v>18.18038559</v>
      </c>
      <c r="AI23" s="41">
        <v>2</v>
      </c>
      <c r="AJ23" s="41">
        <v>8</v>
      </c>
      <c r="AO23" s="50"/>
    </row>
    <row r="24" spans="1:41" ht="15.75" customHeight="1">
      <c r="A24" s="4" t="s">
        <v>3144</v>
      </c>
      <c r="B24" s="50" t="s">
        <v>12875</v>
      </c>
      <c r="C24" s="4" t="s">
        <v>2936</v>
      </c>
      <c r="D24" s="4" t="s">
        <v>4951</v>
      </c>
      <c r="E24" s="4" t="s">
        <v>108</v>
      </c>
      <c r="F24" s="4" t="s">
        <v>18</v>
      </c>
      <c r="G24" s="41" t="s">
        <v>4971</v>
      </c>
      <c r="H24" s="4" t="s">
        <v>3040</v>
      </c>
      <c r="I24" s="4">
        <v>0.23</v>
      </c>
      <c r="J24" s="4">
        <v>1.29</v>
      </c>
      <c r="K24" s="4">
        <v>0.2626</v>
      </c>
      <c r="L24" s="4" t="s">
        <v>12272</v>
      </c>
      <c r="M24" s="4" t="s">
        <v>4929</v>
      </c>
      <c r="N24" s="60">
        <v>2.7685978410000001</v>
      </c>
      <c r="O24" s="60">
        <v>6.848403931</v>
      </c>
      <c r="P24" s="60">
        <v>7.4452667239999997</v>
      </c>
      <c r="Q24" s="60">
        <v>2.7685978410000001</v>
      </c>
      <c r="R24" s="51" t="b">
        <v>1</v>
      </c>
      <c r="S24" s="60">
        <v>6.2156748769999997</v>
      </c>
      <c r="T24" s="60">
        <v>7.0343227390000003</v>
      </c>
      <c r="U24" s="60">
        <v>6.2156748769999997</v>
      </c>
      <c r="V24" s="51" t="b">
        <v>0</v>
      </c>
      <c r="W24" s="60">
        <v>4.2534003260000004</v>
      </c>
      <c r="X24" s="60">
        <v>3.2783169750000001</v>
      </c>
      <c r="Y24" s="51" t="b">
        <v>1</v>
      </c>
      <c r="Z24" s="60">
        <v>2.8605082039999998</v>
      </c>
      <c r="AA24" s="60">
        <v>4.3904724120000003</v>
      </c>
      <c r="AB24" s="60">
        <v>0.62204825900000005</v>
      </c>
      <c r="AC24" s="60">
        <v>8.1314296719999994</v>
      </c>
      <c r="AD24" s="60">
        <v>6.6336069110000002</v>
      </c>
      <c r="AE24" s="60">
        <v>8.4251890179999993</v>
      </c>
      <c r="AF24" s="60">
        <v>13.18678474</v>
      </c>
      <c r="AG24" s="60">
        <v>18.47201347</v>
      </c>
      <c r="AH24" s="60">
        <v>18.672521589999999</v>
      </c>
      <c r="AI24" s="41">
        <v>1</v>
      </c>
      <c r="AO24" s="50"/>
    </row>
    <row r="25" spans="1:41" ht="15.75" customHeight="1">
      <c r="A25" s="4" t="s">
        <v>3145</v>
      </c>
      <c r="B25" s="50" t="s">
        <v>12884</v>
      </c>
      <c r="C25" s="4" t="s">
        <v>2937</v>
      </c>
      <c r="D25" s="4" t="s">
        <v>4951</v>
      </c>
      <c r="E25" s="4" t="s">
        <v>108</v>
      </c>
      <c r="F25" s="4" t="s">
        <v>18</v>
      </c>
      <c r="G25" s="41" t="s">
        <v>5138</v>
      </c>
      <c r="H25" s="4" t="s">
        <v>3041</v>
      </c>
      <c r="I25" s="4">
        <v>0.28999999999999998</v>
      </c>
      <c r="J25" s="4">
        <v>1.08</v>
      </c>
      <c r="K25" s="4">
        <v>0.24068999999999999</v>
      </c>
      <c r="L25" s="4" t="s">
        <v>12779</v>
      </c>
      <c r="M25" s="4" t="s">
        <v>4929</v>
      </c>
      <c r="N25" s="60">
        <v>13.93319988</v>
      </c>
      <c r="O25" s="60">
        <v>13.14279938</v>
      </c>
      <c r="P25" s="60">
        <v>10.17415619</v>
      </c>
      <c r="Q25" s="60">
        <v>10.17415619</v>
      </c>
      <c r="R25" s="51" t="b">
        <v>0</v>
      </c>
      <c r="S25" s="60">
        <v>8.2807922359999999</v>
      </c>
      <c r="T25" s="60">
        <v>6.9412803649999999</v>
      </c>
      <c r="U25" s="60">
        <v>6.9412803649999999</v>
      </c>
      <c r="V25" s="51" t="b">
        <v>0</v>
      </c>
      <c r="W25" s="60">
        <v>8.3012981410000002</v>
      </c>
      <c r="X25" s="60">
        <v>10.936166760000001</v>
      </c>
      <c r="Y25" s="51" t="b">
        <v>0</v>
      </c>
      <c r="Z25" s="60">
        <v>9.1404848100000002</v>
      </c>
      <c r="AA25" s="60">
        <v>3.741461277</v>
      </c>
      <c r="AB25" s="60">
        <v>14.343829149999999</v>
      </c>
      <c r="AC25" s="60">
        <v>0.67167073499999996</v>
      </c>
      <c r="AD25" s="60">
        <v>8.5603084559999996</v>
      </c>
      <c r="AE25" s="60">
        <v>11.67745113</v>
      </c>
      <c r="AF25" s="60">
        <v>16.466362</v>
      </c>
      <c r="AG25" s="60">
        <v>18.489685059999999</v>
      </c>
      <c r="AH25" s="60">
        <v>25.296550750000002</v>
      </c>
      <c r="AO25" s="50"/>
    </row>
    <row r="26" spans="1:41" ht="15.75" customHeight="1">
      <c r="A26" s="4" t="s">
        <v>3146</v>
      </c>
      <c r="B26" s="50" t="s">
        <v>12892</v>
      </c>
      <c r="C26" s="4" t="s">
        <v>2938</v>
      </c>
      <c r="D26" s="4" t="s">
        <v>4951</v>
      </c>
      <c r="E26" s="4" t="s">
        <v>108</v>
      </c>
      <c r="F26" s="4" t="s">
        <v>18</v>
      </c>
      <c r="G26" s="41" t="s">
        <v>5139</v>
      </c>
      <c r="H26" s="4" t="s">
        <v>3042</v>
      </c>
      <c r="I26" s="4">
        <v>0.49</v>
      </c>
      <c r="J26" s="4">
        <v>1.1100000000000001</v>
      </c>
      <c r="K26" s="4">
        <v>0.23796999999999999</v>
      </c>
      <c r="L26" s="4" t="s">
        <v>12779</v>
      </c>
      <c r="M26" s="4" t="s">
        <v>4929</v>
      </c>
      <c r="N26" s="60">
        <v>14.434401510000001</v>
      </c>
      <c r="O26" s="60">
        <v>13.96254444</v>
      </c>
      <c r="P26" s="60">
        <v>11.30808163</v>
      </c>
      <c r="Q26" s="60">
        <v>11.30808163</v>
      </c>
      <c r="R26" s="51" t="b">
        <v>0</v>
      </c>
      <c r="S26" s="60">
        <v>8.9960851670000004</v>
      </c>
      <c r="T26" s="60">
        <v>7.4418053630000003</v>
      </c>
      <c r="U26" s="60">
        <v>7.4418053630000003</v>
      </c>
      <c r="V26" s="51" t="b">
        <v>0</v>
      </c>
      <c r="W26" s="60">
        <v>8.7439794539999998</v>
      </c>
      <c r="X26" s="60">
        <v>10.67956066</v>
      </c>
      <c r="Y26" s="51" t="b">
        <v>0</v>
      </c>
      <c r="Z26" s="60">
        <v>9.7870645520000004</v>
      </c>
      <c r="AA26" s="60">
        <v>4.607108116</v>
      </c>
      <c r="AB26" s="60">
        <v>14.95508671</v>
      </c>
      <c r="AC26" s="60">
        <v>0.88067299099999996</v>
      </c>
      <c r="AD26" s="60">
        <v>8.8076505659999995</v>
      </c>
      <c r="AE26" s="60">
        <v>11.615691180000001</v>
      </c>
      <c r="AF26" s="60">
        <v>16.18703842</v>
      </c>
      <c r="AG26" s="60">
        <v>18.340272899999999</v>
      </c>
      <c r="AH26" s="60">
        <v>24.587991710000001</v>
      </c>
      <c r="AO26" s="50"/>
    </row>
    <row r="27" spans="1:41" ht="15.75" customHeight="1">
      <c r="A27" s="4" t="s">
        <v>3147</v>
      </c>
      <c r="B27" s="50" t="s">
        <v>12778</v>
      </c>
      <c r="C27" s="4" t="s">
        <v>2939</v>
      </c>
      <c r="D27" s="4" t="s">
        <v>4951</v>
      </c>
      <c r="E27" s="4" t="s">
        <v>108</v>
      </c>
      <c r="F27" s="4" t="s">
        <v>18</v>
      </c>
      <c r="G27" s="4" t="s">
        <v>5140</v>
      </c>
      <c r="H27" s="4" t="s">
        <v>3043</v>
      </c>
      <c r="I27" s="4">
        <v>0.83</v>
      </c>
      <c r="J27" s="4">
        <v>1.07</v>
      </c>
      <c r="K27" s="4">
        <v>0.23710999999999999</v>
      </c>
      <c r="L27" s="4" t="s">
        <v>12779</v>
      </c>
      <c r="M27" s="4" t="s">
        <v>4929</v>
      </c>
      <c r="N27" s="60">
        <v>9.0810308460000009</v>
      </c>
      <c r="O27" s="60">
        <v>7.6179490090000002</v>
      </c>
      <c r="P27" s="60">
        <v>4.7473134989999997</v>
      </c>
      <c r="Q27" s="60">
        <v>4.7473134989999997</v>
      </c>
      <c r="R27" s="51" t="b">
        <v>0</v>
      </c>
      <c r="S27" s="60">
        <v>3.2474143510000002</v>
      </c>
      <c r="T27" s="60">
        <v>3.1974263189999999</v>
      </c>
      <c r="U27" s="60">
        <v>3.1974263189999999</v>
      </c>
      <c r="V27" s="51" t="b">
        <v>1</v>
      </c>
      <c r="W27" s="60">
        <v>6.1041946410000003</v>
      </c>
      <c r="X27" s="60">
        <v>9.3512582779999995</v>
      </c>
      <c r="Y27" s="51" t="b">
        <v>0</v>
      </c>
      <c r="Z27" s="60">
        <v>4.0306625370000004</v>
      </c>
      <c r="AA27" s="60">
        <v>0.77858507600000004</v>
      </c>
      <c r="AB27" s="60">
        <v>11.32730484</v>
      </c>
      <c r="AC27" s="60">
        <v>0.425711542</v>
      </c>
      <c r="AD27" s="60">
        <v>7.2989850040000004</v>
      </c>
      <c r="AE27" s="60">
        <v>10.66290379</v>
      </c>
      <c r="AF27" s="60">
        <v>15.6284914</v>
      </c>
      <c r="AG27" s="60">
        <v>19.037178040000001</v>
      </c>
      <c r="AH27" s="60">
        <v>21.964384079999999</v>
      </c>
      <c r="AK27" s="41">
        <v>2</v>
      </c>
      <c r="AL27" s="41">
        <v>3</v>
      </c>
      <c r="AM27" s="41" t="s">
        <v>12724</v>
      </c>
      <c r="AO27" s="50"/>
    </row>
    <row r="28" spans="1:41" ht="15.75" customHeight="1">
      <c r="A28" s="4" t="s">
        <v>3148</v>
      </c>
      <c r="B28" s="50" t="s">
        <v>12937</v>
      </c>
      <c r="C28" s="4" t="s">
        <v>2940</v>
      </c>
      <c r="D28" s="4" t="s">
        <v>4951</v>
      </c>
      <c r="E28" s="4" t="s">
        <v>108</v>
      </c>
      <c r="F28" s="4" t="s">
        <v>2911</v>
      </c>
      <c r="G28" s="4" t="s">
        <v>5153</v>
      </c>
      <c r="H28" s="4" t="s">
        <v>3044</v>
      </c>
      <c r="I28" s="4">
        <v>1.69</v>
      </c>
      <c r="J28" s="4">
        <v>1.06</v>
      </c>
      <c r="K28" s="4">
        <v>0.22655</v>
      </c>
      <c r="L28" s="4" t="s">
        <v>4955</v>
      </c>
      <c r="M28" s="4" t="s">
        <v>4955</v>
      </c>
      <c r="N28" s="60">
        <v>19.79654884</v>
      </c>
      <c r="O28" s="60">
        <v>17.57156372</v>
      </c>
      <c r="P28" s="60">
        <v>16.854551319999999</v>
      </c>
      <c r="Q28" s="60">
        <v>16.854551319999999</v>
      </c>
      <c r="R28" s="51" t="b">
        <v>0</v>
      </c>
      <c r="S28" s="60">
        <v>20.03368378</v>
      </c>
      <c r="T28" s="60">
        <v>22.48116302</v>
      </c>
      <c r="U28" s="60">
        <v>20.03368378</v>
      </c>
      <c r="V28" s="51" t="b">
        <v>0</v>
      </c>
      <c r="W28" s="60">
        <v>23.18519783</v>
      </c>
      <c r="X28" s="60">
        <v>28.40867424</v>
      </c>
      <c r="Y28" s="51" t="b">
        <v>0</v>
      </c>
      <c r="Z28" s="60">
        <v>19.76639175</v>
      </c>
      <c r="AA28" s="60">
        <v>22.20362854</v>
      </c>
      <c r="AB28" s="60">
        <v>23.161575320000001</v>
      </c>
      <c r="AC28" s="60">
        <v>24.595859529999998</v>
      </c>
      <c r="AD28" s="60">
        <v>19.272621149999999</v>
      </c>
      <c r="AE28" s="60">
        <v>19.329153059999999</v>
      </c>
      <c r="AF28" s="60">
        <v>19.00730896</v>
      </c>
      <c r="AG28" s="60">
        <v>32.738101960000002</v>
      </c>
      <c r="AH28" s="60">
        <v>13.15426064</v>
      </c>
      <c r="AO28" s="50"/>
    </row>
    <row r="29" spans="1:41" ht="15.75" customHeight="1">
      <c r="A29" s="4" t="s">
        <v>3149</v>
      </c>
      <c r="B29" s="50" t="s">
        <v>12872</v>
      </c>
      <c r="C29" s="4" t="s">
        <v>2941</v>
      </c>
      <c r="D29" s="4" t="s">
        <v>4951</v>
      </c>
      <c r="E29" s="4" t="s">
        <v>108</v>
      </c>
      <c r="F29" s="4" t="s">
        <v>2911</v>
      </c>
      <c r="G29" s="4" t="s">
        <v>4972</v>
      </c>
      <c r="H29" s="4" t="s">
        <v>3045</v>
      </c>
      <c r="I29" s="4">
        <v>0.83</v>
      </c>
      <c r="J29" s="4">
        <v>1.1100000000000001</v>
      </c>
      <c r="K29" s="4">
        <v>0.247</v>
      </c>
      <c r="L29" s="4" t="s">
        <v>12272</v>
      </c>
      <c r="M29" s="4" t="s">
        <v>4929</v>
      </c>
      <c r="N29" s="60">
        <v>2.8712396619999998</v>
      </c>
      <c r="O29" s="60">
        <v>5.6677541729999996</v>
      </c>
      <c r="P29" s="60">
        <v>7.5609111789999996</v>
      </c>
      <c r="Q29" s="60">
        <v>2.8712396619999998</v>
      </c>
      <c r="R29" s="51" t="b">
        <v>1</v>
      </c>
      <c r="S29" s="60">
        <v>6.0997662540000004</v>
      </c>
      <c r="T29" s="60">
        <v>7.085391521</v>
      </c>
      <c r="U29" s="60">
        <v>6.0997662540000004</v>
      </c>
      <c r="V29" s="51" t="b">
        <v>0</v>
      </c>
      <c r="W29" s="60">
        <v>4.0794491769999999</v>
      </c>
      <c r="X29" s="60">
        <v>4.0903582570000001</v>
      </c>
      <c r="Y29" s="51" t="b">
        <v>0</v>
      </c>
      <c r="Z29" s="60">
        <v>2.8866991999999998</v>
      </c>
      <c r="AA29" s="60">
        <v>4.0728135109999997</v>
      </c>
      <c r="AB29" s="60">
        <v>0.65576350699999997</v>
      </c>
      <c r="AC29" s="60">
        <v>7.699026108</v>
      </c>
      <c r="AD29" s="60">
        <v>6.480987549</v>
      </c>
      <c r="AE29" s="60">
        <v>8.3035001749999999</v>
      </c>
      <c r="AF29" s="60">
        <v>12.998392109999999</v>
      </c>
      <c r="AG29" s="60">
        <v>18.255439760000002</v>
      </c>
      <c r="AH29" s="60">
        <v>18.537061690000002</v>
      </c>
      <c r="AI29" s="41">
        <v>2</v>
      </c>
      <c r="AJ29" s="41">
        <v>8</v>
      </c>
      <c r="AO29" s="50"/>
    </row>
    <row r="30" spans="1:41" ht="15.75" customHeight="1">
      <c r="A30" s="4" t="s">
        <v>3150</v>
      </c>
      <c r="B30" s="50" t="s">
        <v>12902</v>
      </c>
      <c r="C30" s="4" t="s">
        <v>2942</v>
      </c>
      <c r="D30" s="4" t="s">
        <v>4951</v>
      </c>
      <c r="E30" s="4" t="s">
        <v>108</v>
      </c>
      <c r="F30" s="4" t="s">
        <v>2911</v>
      </c>
      <c r="G30" s="4" t="s">
        <v>4973</v>
      </c>
      <c r="H30" s="4" t="s">
        <v>3046</v>
      </c>
      <c r="I30" s="4">
        <v>1.02</v>
      </c>
      <c r="J30" s="4">
        <v>1.08</v>
      </c>
      <c r="K30" s="4">
        <v>0.25290000000000001</v>
      </c>
      <c r="L30" s="4" t="s">
        <v>12272</v>
      </c>
      <c r="M30" s="4" t="s">
        <v>4929</v>
      </c>
      <c r="N30" s="60">
        <v>2.8334732059999999</v>
      </c>
      <c r="O30" s="60">
        <v>5.6337690350000003</v>
      </c>
      <c r="P30" s="60">
        <v>9.6383590699999999</v>
      </c>
      <c r="Q30" s="60">
        <v>2.8334732059999999</v>
      </c>
      <c r="R30" s="51" t="b">
        <v>1</v>
      </c>
      <c r="S30" s="60">
        <v>8.1850519179999992</v>
      </c>
      <c r="T30" s="60">
        <v>9.0128774640000007</v>
      </c>
      <c r="U30" s="60">
        <v>8.1850519179999992</v>
      </c>
      <c r="V30" s="51" t="b">
        <v>0</v>
      </c>
      <c r="W30" s="60">
        <v>4.1214632990000002</v>
      </c>
      <c r="X30" s="60">
        <v>3.0122668739999998</v>
      </c>
      <c r="Y30" s="51" t="b">
        <v>1</v>
      </c>
      <c r="Z30" s="60">
        <v>2.79285264</v>
      </c>
      <c r="AA30" s="60">
        <v>5.9276103969999996</v>
      </c>
      <c r="AB30" s="60">
        <v>0.66343104799999997</v>
      </c>
      <c r="AC30" s="60">
        <v>9.2580442430000005</v>
      </c>
      <c r="AD30" s="60">
        <v>8.084340096</v>
      </c>
      <c r="AE30" s="60">
        <v>9.1239290240000006</v>
      </c>
      <c r="AF30" s="60">
        <v>13.445018770000001</v>
      </c>
      <c r="AG30" s="60">
        <v>19.182359699999999</v>
      </c>
      <c r="AH30" s="60">
        <v>17.202058789999999</v>
      </c>
      <c r="AI30" s="41">
        <v>2</v>
      </c>
      <c r="AJ30" s="41">
        <v>8</v>
      </c>
      <c r="AO30" s="50"/>
    </row>
    <row r="31" spans="1:41" ht="15.75" customHeight="1">
      <c r="A31" s="4" t="s">
        <v>3151</v>
      </c>
      <c r="B31" s="50" t="s">
        <v>12862</v>
      </c>
      <c r="C31" s="4" t="s">
        <v>2943</v>
      </c>
      <c r="D31" s="4" t="s">
        <v>4951</v>
      </c>
      <c r="E31" s="4" t="s">
        <v>108</v>
      </c>
      <c r="F31" s="4" t="s">
        <v>2911</v>
      </c>
      <c r="G31" s="41" t="s">
        <v>4974</v>
      </c>
      <c r="H31" s="4" t="s">
        <v>3047</v>
      </c>
      <c r="I31" s="4">
        <v>1.1399999999999999</v>
      </c>
      <c r="J31" s="4">
        <v>1.19</v>
      </c>
      <c r="K31" s="4">
        <v>0.24109</v>
      </c>
      <c r="L31" s="4" t="s">
        <v>12272</v>
      </c>
      <c r="M31" s="4" t="s">
        <v>4929</v>
      </c>
      <c r="N31" s="60">
        <v>3.047987461</v>
      </c>
      <c r="O31" s="60">
        <v>5.563705444</v>
      </c>
      <c r="P31" s="60">
        <v>7.0192441939999997</v>
      </c>
      <c r="Q31" s="60">
        <v>3.047987461</v>
      </c>
      <c r="R31" s="51" t="b">
        <v>1</v>
      </c>
      <c r="S31" s="60">
        <v>5.8260803220000001</v>
      </c>
      <c r="T31" s="60">
        <v>6.7301163669999999</v>
      </c>
      <c r="U31" s="60">
        <v>5.8260803220000001</v>
      </c>
      <c r="V31" s="51" t="b">
        <v>0</v>
      </c>
      <c r="W31" s="60">
        <v>4.1551637650000002</v>
      </c>
      <c r="X31" s="60">
        <v>3.137652874</v>
      </c>
      <c r="Y31" s="51" t="b">
        <v>1</v>
      </c>
      <c r="Z31" s="60">
        <v>1.6271634100000001</v>
      </c>
      <c r="AA31" s="60">
        <v>4.0402674669999996</v>
      </c>
      <c r="AB31" s="60">
        <v>0.98540288200000004</v>
      </c>
      <c r="AC31" s="60">
        <v>7.8918151859999996</v>
      </c>
      <c r="AD31" s="60">
        <v>6.5917434689999999</v>
      </c>
      <c r="AE31" s="60">
        <v>8.2995615009999995</v>
      </c>
      <c r="AF31" s="60">
        <v>12.876138689999999</v>
      </c>
      <c r="AG31" s="60">
        <v>18.292490010000002</v>
      </c>
      <c r="AH31" s="60">
        <v>19.294538500000002</v>
      </c>
      <c r="AI31" s="41">
        <v>2</v>
      </c>
      <c r="AJ31" s="41">
        <v>8</v>
      </c>
      <c r="AO31" s="50"/>
    </row>
    <row r="32" spans="1:41" ht="15.75" customHeight="1">
      <c r="A32" s="4" t="s">
        <v>3152</v>
      </c>
      <c r="B32" s="50" t="s">
        <v>12924</v>
      </c>
      <c r="C32" s="4" t="s">
        <v>2944</v>
      </c>
      <c r="D32" s="4" t="s">
        <v>4951</v>
      </c>
      <c r="E32" s="4" t="s">
        <v>108</v>
      </c>
      <c r="F32" s="4" t="s">
        <v>2911</v>
      </c>
      <c r="G32" s="4" t="s">
        <v>5154</v>
      </c>
      <c r="H32" s="4" t="s">
        <v>3048</v>
      </c>
      <c r="I32" s="4">
        <v>1.25</v>
      </c>
      <c r="J32" s="4">
        <v>1.03</v>
      </c>
      <c r="K32" s="4">
        <v>0.22505</v>
      </c>
      <c r="L32" s="4" t="s">
        <v>4955</v>
      </c>
      <c r="M32" s="4" t="s">
        <v>4955</v>
      </c>
      <c r="N32" s="60">
        <v>17.06672859</v>
      </c>
      <c r="O32" s="60">
        <v>14.696050639999999</v>
      </c>
      <c r="P32" s="60">
        <v>13.80540085</v>
      </c>
      <c r="Q32" s="60">
        <v>13.80540085</v>
      </c>
      <c r="R32" s="51" t="b">
        <v>0</v>
      </c>
      <c r="S32" s="60">
        <v>15.67318058</v>
      </c>
      <c r="T32" s="60">
        <v>17.603454589999998</v>
      </c>
      <c r="U32" s="60">
        <v>15.67318058</v>
      </c>
      <c r="V32" s="51" t="b">
        <v>0</v>
      </c>
      <c r="W32" s="60">
        <v>19.146272660000001</v>
      </c>
      <c r="X32" s="60">
        <v>23.975137709999998</v>
      </c>
      <c r="Y32" s="51" t="b">
        <v>0</v>
      </c>
      <c r="Z32" s="60">
        <v>17.539640429999999</v>
      </c>
      <c r="AA32" s="60">
        <v>20.556612009999998</v>
      </c>
      <c r="AB32" s="60">
        <v>21.219688420000001</v>
      </c>
      <c r="AC32" s="60">
        <v>23.425724030000001</v>
      </c>
      <c r="AD32" s="60">
        <v>19.047964100000002</v>
      </c>
      <c r="AE32" s="60">
        <v>19.38049316</v>
      </c>
      <c r="AF32" s="60">
        <v>19.372341160000001</v>
      </c>
      <c r="AG32" s="60">
        <v>34.792194369999997</v>
      </c>
      <c r="AH32" s="60">
        <v>18.5731945</v>
      </c>
      <c r="AO32" s="50"/>
    </row>
    <row r="33" spans="1:41" ht="15.75" customHeight="1">
      <c r="A33" s="4" t="s">
        <v>3153</v>
      </c>
      <c r="B33" s="50" t="s">
        <v>12915</v>
      </c>
      <c r="C33" s="4" t="s">
        <v>2945</v>
      </c>
      <c r="D33" s="4" t="s">
        <v>4951</v>
      </c>
      <c r="E33" s="4" t="s">
        <v>108</v>
      </c>
      <c r="F33" s="4" t="s">
        <v>2911</v>
      </c>
      <c r="G33" s="4" t="s">
        <v>5141</v>
      </c>
      <c r="H33" s="4" t="s">
        <v>3049</v>
      </c>
      <c r="I33" s="4">
        <v>1.26</v>
      </c>
      <c r="J33" s="4">
        <v>1.05</v>
      </c>
      <c r="K33" s="4">
        <v>0.22771</v>
      </c>
      <c r="L33" s="4" t="s">
        <v>12779</v>
      </c>
      <c r="M33" s="4" t="s">
        <v>4929</v>
      </c>
      <c r="N33" s="60">
        <v>17.232799530000001</v>
      </c>
      <c r="O33" s="60">
        <v>16.064002989999999</v>
      </c>
      <c r="P33" s="60">
        <v>12.290146829999999</v>
      </c>
      <c r="Q33" s="60">
        <v>12.290146829999999</v>
      </c>
      <c r="R33" s="51" t="b">
        <v>0</v>
      </c>
      <c r="S33" s="60">
        <v>10.861243249999999</v>
      </c>
      <c r="T33" s="60">
        <v>9.7956724170000005</v>
      </c>
      <c r="U33" s="60">
        <v>9.7956724170000005</v>
      </c>
      <c r="V33" s="51" t="b">
        <v>0</v>
      </c>
      <c r="W33" s="60">
        <v>10.84217072</v>
      </c>
      <c r="X33" s="60">
        <v>18.180439</v>
      </c>
      <c r="Y33" s="51" t="b">
        <v>0</v>
      </c>
      <c r="Z33" s="60">
        <v>12.18002033</v>
      </c>
      <c r="AA33" s="60">
        <v>6.8893065450000002</v>
      </c>
      <c r="AB33" s="60">
        <v>17.52350616</v>
      </c>
      <c r="AC33" s="60">
        <v>3.793576002</v>
      </c>
      <c r="AD33" s="60">
        <v>10.54618454</v>
      </c>
      <c r="AE33" s="60">
        <v>13.621622090000001</v>
      </c>
      <c r="AF33" s="60">
        <v>15.01369762</v>
      </c>
      <c r="AG33" s="60">
        <v>18.435251239999999</v>
      </c>
      <c r="AH33" s="60">
        <v>29.603212360000001</v>
      </c>
      <c r="AO33" s="50"/>
    </row>
    <row r="34" spans="1:41" ht="15.75" customHeight="1">
      <c r="A34" s="4" t="s">
        <v>3154</v>
      </c>
      <c r="B34" s="50" t="s">
        <v>12942</v>
      </c>
      <c r="C34" s="4" t="s">
        <v>2946</v>
      </c>
      <c r="D34" s="4" t="s">
        <v>4951</v>
      </c>
      <c r="E34" s="4" t="s">
        <v>108</v>
      </c>
      <c r="F34" s="4" t="s">
        <v>2911</v>
      </c>
      <c r="G34" s="4" t="s">
        <v>5175</v>
      </c>
      <c r="H34" s="4" t="s">
        <v>3050</v>
      </c>
      <c r="I34" s="4">
        <v>1.34</v>
      </c>
      <c r="J34" s="4">
        <v>1.05</v>
      </c>
      <c r="K34" s="4">
        <v>0.23277</v>
      </c>
      <c r="L34" s="4" t="s">
        <v>5164</v>
      </c>
      <c r="M34" s="4" t="s">
        <v>5164</v>
      </c>
      <c r="N34" s="60">
        <v>26.5443821</v>
      </c>
      <c r="O34" s="60">
        <v>23.709997179999998</v>
      </c>
      <c r="P34" s="60">
        <v>18.5850811</v>
      </c>
      <c r="Q34" s="60">
        <v>18.5850811</v>
      </c>
      <c r="R34" s="51" t="b">
        <v>0</v>
      </c>
      <c r="S34" s="60">
        <v>20.63617897</v>
      </c>
      <c r="T34" s="60">
        <v>20.909873959999999</v>
      </c>
      <c r="U34" s="60">
        <v>20.63617897</v>
      </c>
      <c r="V34" s="51" t="b">
        <v>0</v>
      </c>
      <c r="W34" s="60">
        <v>24.228300090000001</v>
      </c>
      <c r="X34" s="60">
        <v>30.55163383</v>
      </c>
      <c r="Y34" s="51" t="b">
        <v>0</v>
      </c>
      <c r="Z34" s="60">
        <v>21.069921489999999</v>
      </c>
      <c r="AA34" s="60">
        <v>17.088680270000001</v>
      </c>
      <c r="AB34" s="60">
        <v>26.891605380000001</v>
      </c>
      <c r="AC34" s="60">
        <v>16.166213989999999</v>
      </c>
      <c r="AD34" s="60">
        <v>15.28310394</v>
      </c>
      <c r="AE34" s="60">
        <v>15.4385376</v>
      </c>
      <c r="AF34" s="60">
        <v>14.709810259999999</v>
      </c>
      <c r="AG34" s="60">
        <v>19.530527110000001</v>
      </c>
      <c r="AH34" s="60">
        <v>27.855592730000001</v>
      </c>
      <c r="AO34" s="50"/>
    </row>
    <row r="35" spans="1:41" ht="15.75" customHeight="1">
      <c r="A35" s="4" t="s">
        <v>3155</v>
      </c>
      <c r="B35" s="50" t="s">
        <v>12963</v>
      </c>
      <c r="C35" s="4" t="s">
        <v>2947</v>
      </c>
      <c r="D35" s="4" t="s">
        <v>4951</v>
      </c>
      <c r="E35" s="4" t="s">
        <v>108</v>
      </c>
      <c r="F35" s="4" t="s">
        <v>2911</v>
      </c>
      <c r="G35" s="4" t="s">
        <v>5169</v>
      </c>
      <c r="H35" s="4" t="s">
        <v>3051</v>
      </c>
      <c r="I35" s="4">
        <v>1.38</v>
      </c>
      <c r="J35" s="4">
        <v>1.08</v>
      </c>
      <c r="K35" s="4">
        <v>0.22871</v>
      </c>
      <c r="L35" s="4" t="s">
        <v>5164</v>
      </c>
      <c r="M35" s="4" t="s">
        <v>5164</v>
      </c>
      <c r="N35" s="60">
        <v>26.80905533</v>
      </c>
      <c r="O35" s="60">
        <v>24.02846336</v>
      </c>
      <c r="P35" s="60">
        <v>21.765645979999999</v>
      </c>
      <c r="Q35" s="60">
        <v>21.765645979999999</v>
      </c>
      <c r="R35" s="51" t="b">
        <v>0</v>
      </c>
      <c r="S35" s="60">
        <v>25.745054240000002</v>
      </c>
      <c r="T35" s="60">
        <v>28.3769989</v>
      </c>
      <c r="U35" s="60">
        <v>25.745054240000002</v>
      </c>
      <c r="V35" s="51" t="b">
        <v>0</v>
      </c>
      <c r="W35" s="60">
        <v>28.50007248</v>
      </c>
      <c r="X35" s="60">
        <v>32.367588040000001</v>
      </c>
      <c r="Y35" s="51" t="b">
        <v>0</v>
      </c>
      <c r="Z35" s="60">
        <v>23.632204059999999</v>
      </c>
      <c r="AA35" s="60">
        <v>26.321519850000001</v>
      </c>
      <c r="AB35" s="60">
        <v>28.12533569</v>
      </c>
      <c r="AC35" s="60">
        <v>29.914213180000001</v>
      </c>
      <c r="AD35" s="60">
        <v>23.35462952</v>
      </c>
      <c r="AE35" s="60">
        <v>25.17533302</v>
      </c>
      <c r="AF35" s="60">
        <v>26.001375199999998</v>
      </c>
      <c r="AG35" s="60">
        <v>28.65352249</v>
      </c>
      <c r="AH35" s="60">
        <v>15.097004889999999</v>
      </c>
      <c r="AO35" s="50"/>
    </row>
    <row r="36" spans="1:41" ht="15.75" customHeight="1">
      <c r="A36" s="4" t="s">
        <v>3156</v>
      </c>
      <c r="B36" s="50" t="s">
        <v>12944</v>
      </c>
      <c r="C36" s="4" t="s">
        <v>2948</v>
      </c>
      <c r="D36" s="4" t="s">
        <v>4951</v>
      </c>
      <c r="E36" s="4" t="s">
        <v>108</v>
      </c>
      <c r="F36" s="4" t="s">
        <v>2911</v>
      </c>
      <c r="G36" s="4" t="s">
        <v>5086</v>
      </c>
      <c r="H36" s="4" t="s">
        <v>3052</v>
      </c>
      <c r="I36" s="4">
        <v>1.5</v>
      </c>
      <c r="J36" s="4">
        <v>1.07</v>
      </c>
      <c r="K36" s="4">
        <v>0.21249000000000001</v>
      </c>
      <c r="L36" s="4" t="s">
        <v>4995</v>
      </c>
      <c r="M36" s="4" t="s">
        <v>4995</v>
      </c>
      <c r="N36" s="60">
        <v>21.190011980000001</v>
      </c>
      <c r="O36" s="60">
        <v>21.273063659999998</v>
      </c>
      <c r="P36" s="60">
        <v>20.79787636</v>
      </c>
      <c r="Q36" s="60">
        <v>20.79787636</v>
      </c>
      <c r="R36" s="51" t="b">
        <v>0</v>
      </c>
      <c r="S36" s="60">
        <v>21.131217960000001</v>
      </c>
      <c r="T36" s="60">
        <v>21.668863300000002</v>
      </c>
      <c r="U36" s="60">
        <v>21.131217960000001</v>
      </c>
      <c r="V36" s="51" t="b">
        <v>0</v>
      </c>
      <c r="W36" s="60">
        <v>17.594301219999998</v>
      </c>
      <c r="X36" s="60">
        <v>23.085618969999999</v>
      </c>
      <c r="Y36" s="51" t="b">
        <v>0</v>
      </c>
      <c r="Z36" s="60">
        <v>13.62230873</v>
      </c>
      <c r="AA36" s="60">
        <v>12.706302640000001</v>
      </c>
      <c r="AB36" s="60">
        <v>16.620508189999999</v>
      </c>
      <c r="AC36" s="60">
        <v>14.65821075</v>
      </c>
      <c r="AD36" s="60">
        <v>6.5184555050000004</v>
      </c>
      <c r="AE36" s="60">
        <v>3.09326911</v>
      </c>
      <c r="AF36" s="60">
        <v>3.367118359</v>
      </c>
      <c r="AG36" s="60">
        <v>1.911969662</v>
      </c>
      <c r="AH36" s="60">
        <v>23.141920089999999</v>
      </c>
      <c r="AO36" s="50"/>
    </row>
    <row r="37" spans="1:41" ht="15.75" customHeight="1">
      <c r="A37" s="4" t="s">
        <v>3156</v>
      </c>
      <c r="B37" s="50" t="s">
        <v>12943</v>
      </c>
      <c r="C37" s="4" t="s">
        <v>2948</v>
      </c>
      <c r="D37" s="4" t="s">
        <v>4951</v>
      </c>
      <c r="E37" s="4" t="s">
        <v>108</v>
      </c>
      <c r="F37" s="4" t="s">
        <v>2911</v>
      </c>
      <c r="G37" s="4" t="s">
        <v>5086</v>
      </c>
      <c r="H37" s="4" t="s">
        <v>3052</v>
      </c>
      <c r="I37" s="4">
        <v>1.5</v>
      </c>
      <c r="J37" s="4">
        <v>1.07</v>
      </c>
      <c r="K37" s="4">
        <v>0.21249000000000001</v>
      </c>
      <c r="L37" s="4" t="s">
        <v>5087</v>
      </c>
      <c r="M37" s="4" t="s">
        <v>5087</v>
      </c>
      <c r="N37" s="60">
        <v>15.68588066</v>
      </c>
      <c r="O37" s="60">
        <v>15.042671199999999</v>
      </c>
      <c r="P37" s="60">
        <v>18.288839339999999</v>
      </c>
      <c r="Q37" s="60">
        <v>15.042671199999999</v>
      </c>
      <c r="R37" s="51" t="b">
        <v>0</v>
      </c>
      <c r="S37" s="60">
        <v>20.67334747</v>
      </c>
      <c r="T37" s="60">
        <v>23.26842117</v>
      </c>
      <c r="U37" s="60">
        <v>20.67334747</v>
      </c>
      <c r="V37" s="51" t="b">
        <v>0</v>
      </c>
      <c r="W37" s="60">
        <v>20.738487240000001</v>
      </c>
      <c r="X37" s="60">
        <v>25.633384700000001</v>
      </c>
      <c r="Y37" s="51" t="b">
        <v>0</v>
      </c>
      <c r="Z37" s="60">
        <v>17.85733604</v>
      </c>
      <c r="AA37" s="60">
        <v>23.1262188</v>
      </c>
      <c r="AB37" s="60">
        <v>16.217414860000002</v>
      </c>
      <c r="AC37" s="60">
        <v>27.338199620000001</v>
      </c>
      <c r="AD37" s="60">
        <v>21.93981552</v>
      </c>
      <c r="AE37" s="60">
        <v>22.12647247</v>
      </c>
      <c r="AF37" s="60">
        <v>23.184032439999999</v>
      </c>
      <c r="AG37" s="60">
        <v>29.441484450000001</v>
      </c>
      <c r="AH37" s="60">
        <v>3.7257380489999998</v>
      </c>
      <c r="AO37" s="50"/>
    </row>
    <row r="38" spans="1:41" ht="15.75" customHeight="1">
      <c r="A38" s="4" t="s">
        <v>3157</v>
      </c>
      <c r="B38" s="50" t="s">
        <v>12756</v>
      </c>
      <c r="C38" s="4" t="s">
        <v>2949</v>
      </c>
      <c r="D38" s="4" t="s">
        <v>4951</v>
      </c>
      <c r="E38" s="4" t="s">
        <v>108</v>
      </c>
      <c r="F38" s="4" t="s">
        <v>2911</v>
      </c>
      <c r="G38" s="4" t="s">
        <v>5129</v>
      </c>
      <c r="H38" s="4" t="s">
        <v>3053</v>
      </c>
      <c r="I38" s="4">
        <v>1.7</v>
      </c>
      <c r="J38" s="4">
        <v>1.05</v>
      </c>
      <c r="K38" s="4">
        <v>0.22953000000000001</v>
      </c>
      <c r="L38" s="4" t="s">
        <v>12722</v>
      </c>
      <c r="M38" s="4" t="s">
        <v>4929</v>
      </c>
      <c r="N38" s="60">
        <v>9.2057113650000009</v>
      </c>
      <c r="O38" s="60">
        <v>7.4962821010000003</v>
      </c>
      <c r="P38" s="60">
        <v>4.0053954120000004</v>
      </c>
      <c r="Q38" s="60">
        <v>4.0053954120000004</v>
      </c>
      <c r="R38" s="51" t="b">
        <v>0</v>
      </c>
      <c r="S38" s="60">
        <v>2.9085714820000002</v>
      </c>
      <c r="T38" s="60">
        <v>2.8789410590000002</v>
      </c>
      <c r="U38" s="60">
        <v>2.8789410590000002</v>
      </c>
      <c r="V38" s="51" t="b">
        <v>1</v>
      </c>
      <c r="W38" s="60">
        <v>5.789885044</v>
      </c>
      <c r="X38" s="60">
        <v>9.8060140610000008</v>
      </c>
      <c r="Y38" s="51" t="b">
        <v>0</v>
      </c>
      <c r="Z38" s="60">
        <v>4.1879510880000002</v>
      </c>
      <c r="AA38" s="60">
        <v>1.833909988</v>
      </c>
      <c r="AB38" s="60">
        <v>11.71557999</v>
      </c>
      <c r="AC38" s="60">
        <v>0.78845113499999997</v>
      </c>
      <c r="AD38" s="60">
        <v>7.0992398259999998</v>
      </c>
      <c r="AE38" s="60">
        <v>10.83258343</v>
      </c>
      <c r="AF38" s="60">
        <v>15.636729239999999</v>
      </c>
      <c r="AG38" s="60">
        <v>18.882448199999999</v>
      </c>
      <c r="AH38" s="60">
        <v>21.581399919999999</v>
      </c>
      <c r="AK38" s="41">
        <v>2</v>
      </c>
      <c r="AL38" s="41">
        <v>1</v>
      </c>
      <c r="AM38" s="41" t="s">
        <v>12724</v>
      </c>
      <c r="AO38" s="50"/>
    </row>
    <row r="39" spans="1:41" ht="15.75" customHeight="1">
      <c r="A39" s="4" t="s">
        <v>3158</v>
      </c>
      <c r="B39" s="50" t="s">
        <v>12961</v>
      </c>
      <c r="C39" s="4" t="s">
        <v>2950</v>
      </c>
      <c r="D39" s="4" t="s">
        <v>4951</v>
      </c>
      <c r="E39" s="4" t="s">
        <v>108</v>
      </c>
      <c r="F39" s="4" t="s">
        <v>2911</v>
      </c>
      <c r="G39" s="4" t="s">
        <v>5170</v>
      </c>
      <c r="H39" s="4" t="s">
        <v>3054</v>
      </c>
      <c r="I39" s="4">
        <v>1.79</v>
      </c>
      <c r="J39" s="4">
        <v>1.07</v>
      </c>
      <c r="K39" s="4">
        <v>0.22867999999999999</v>
      </c>
      <c r="L39" s="4" t="s">
        <v>5164</v>
      </c>
      <c r="M39" s="4" t="s">
        <v>5164</v>
      </c>
      <c r="N39" s="60">
        <v>26.046794890000001</v>
      </c>
      <c r="O39" s="60">
        <v>23.480430599999998</v>
      </c>
      <c r="P39" s="60">
        <v>21.30978584</v>
      </c>
      <c r="Q39" s="60">
        <v>21.30978584</v>
      </c>
      <c r="R39" s="51" t="b">
        <v>0</v>
      </c>
      <c r="S39" s="60">
        <v>25.22843933</v>
      </c>
      <c r="T39" s="60">
        <v>27.771162029999999</v>
      </c>
      <c r="U39" s="60">
        <v>25.22843933</v>
      </c>
      <c r="V39" s="51" t="b">
        <v>0</v>
      </c>
      <c r="W39" s="60">
        <v>28.746475220000001</v>
      </c>
      <c r="X39" s="60">
        <v>31.42221451</v>
      </c>
      <c r="Y39" s="51" t="b">
        <v>0</v>
      </c>
      <c r="Z39" s="60">
        <v>23.971916199999999</v>
      </c>
      <c r="AA39" s="60">
        <v>26.43837929</v>
      </c>
      <c r="AB39" s="60">
        <v>28.543348309999999</v>
      </c>
      <c r="AC39" s="60">
        <v>29.52349281</v>
      </c>
      <c r="AD39" s="60">
        <v>23.65653992</v>
      </c>
      <c r="AE39" s="60">
        <v>25.518556589999999</v>
      </c>
      <c r="AF39" s="60">
        <v>26.25882339</v>
      </c>
      <c r="AG39" s="60">
        <v>28.827339169999998</v>
      </c>
      <c r="AH39" s="60">
        <v>15.21727276</v>
      </c>
      <c r="AO39" s="50"/>
    </row>
    <row r="40" spans="1:41" ht="15.75" customHeight="1">
      <c r="A40" s="4" t="s">
        <v>3159</v>
      </c>
      <c r="B40" s="50" t="s">
        <v>12808</v>
      </c>
      <c r="C40" s="4" t="s">
        <v>2951</v>
      </c>
      <c r="D40" s="4" t="s">
        <v>4951</v>
      </c>
      <c r="E40" s="4" t="s">
        <v>108</v>
      </c>
      <c r="F40" s="4" t="s">
        <v>2911</v>
      </c>
      <c r="G40" s="4" t="s">
        <v>4975</v>
      </c>
      <c r="H40" s="4" t="s">
        <v>3055</v>
      </c>
      <c r="I40" s="4">
        <v>2.02</v>
      </c>
      <c r="J40" s="4">
        <v>1.06</v>
      </c>
      <c r="K40" s="4">
        <v>0.21132999999999999</v>
      </c>
      <c r="L40" s="4" t="s">
        <v>12272</v>
      </c>
      <c r="M40" s="4" t="s">
        <v>4929</v>
      </c>
      <c r="N40" s="60">
        <v>4.5483427049999996</v>
      </c>
      <c r="O40" s="60">
        <v>3.0408792500000001</v>
      </c>
      <c r="P40" s="60">
        <v>4.4919023510000002</v>
      </c>
      <c r="Q40" s="60">
        <v>3.0408792500000001</v>
      </c>
      <c r="R40" s="51" t="b">
        <v>1</v>
      </c>
      <c r="S40" s="60">
        <v>4.0899171829999998</v>
      </c>
      <c r="T40" s="60">
        <v>5.9291710850000001</v>
      </c>
      <c r="U40" s="60">
        <v>4.0899171829999998</v>
      </c>
      <c r="V40" s="51" t="b">
        <v>0</v>
      </c>
      <c r="W40" s="60">
        <v>3.9413375849999999</v>
      </c>
      <c r="X40" s="60">
        <v>3.1637237069999999</v>
      </c>
      <c r="Y40" s="51" t="b">
        <v>1</v>
      </c>
      <c r="Z40" s="60">
        <v>0.55642503499999996</v>
      </c>
      <c r="AA40" s="60">
        <v>4.1250224109999998</v>
      </c>
      <c r="AB40" s="60">
        <v>3.5843465330000002</v>
      </c>
      <c r="AC40" s="60">
        <v>8.3367939</v>
      </c>
      <c r="AD40" s="60">
        <v>7.3130359650000001</v>
      </c>
      <c r="AE40" s="60">
        <v>9.7021236420000001</v>
      </c>
      <c r="AF40" s="60">
        <v>13.87652016</v>
      </c>
      <c r="AG40" s="60">
        <v>19.79502106</v>
      </c>
      <c r="AH40" s="60">
        <v>18.13581276</v>
      </c>
      <c r="AI40" s="41">
        <v>1</v>
      </c>
      <c r="AO40" s="50"/>
    </row>
    <row r="41" spans="1:41" ht="15.75" customHeight="1">
      <c r="A41" s="4" t="s">
        <v>3160</v>
      </c>
      <c r="B41" s="50" t="s">
        <v>12822</v>
      </c>
      <c r="C41" s="4" t="s">
        <v>2952</v>
      </c>
      <c r="D41" s="4" t="s">
        <v>4951</v>
      </c>
      <c r="E41" s="4" t="s">
        <v>108</v>
      </c>
      <c r="F41" s="4" t="s">
        <v>2911</v>
      </c>
      <c r="G41" s="4" t="s">
        <v>4976</v>
      </c>
      <c r="H41" s="4" t="s">
        <v>3056</v>
      </c>
      <c r="I41" s="4">
        <v>2.1</v>
      </c>
      <c r="J41" s="4">
        <v>1.03</v>
      </c>
      <c r="K41" s="4">
        <v>0.21509</v>
      </c>
      <c r="L41" s="4" t="s">
        <v>12272</v>
      </c>
      <c r="M41" s="4" t="s">
        <v>4929</v>
      </c>
      <c r="N41" s="60">
        <v>3.2984509470000001</v>
      </c>
      <c r="O41" s="60">
        <v>2.9268681999999999</v>
      </c>
      <c r="P41" s="60">
        <v>4.8317723270000004</v>
      </c>
      <c r="Q41" s="60">
        <v>2.9268681999999999</v>
      </c>
      <c r="R41" s="51" t="b">
        <v>1</v>
      </c>
      <c r="S41" s="60">
        <v>4.3448495859999996</v>
      </c>
      <c r="T41" s="60">
        <v>6.4680104260000002</v>
      </c>
      <c r="U41" s="60">
        <v>4.3448495859999996</v>
      </c>
      <c r="V41" s="51" t="b">
        <v>0</v>
      </c>
      <c r="W41" s="60">
        <v>3.8471217160000002</v>
      </c>
      <c r="X41" s="60">
        <v>4.3851537699999996</v>
      </c>
      <c r="Y41" s="51" t="b">
        <v>0</v>
      </c>
      <c r="Z41" s="60">
        <v>1.2863204479999999</v>
      </c>
      <c r="AA41" s="60">
        <v>2.9461271760000001</v>
      </c>
      <c r="AB41" s="60">
        <v>3.0595767500000002</v>
      </c>
      <c r="AC41" s="60">
        <v>7.1891527179999999</v>
      </c>
      <c r="AD41" s="60">
        <v>6.0944900510000002</v>
      </c>
      <c r="AE41" s="60">
        <v>8.9414882660000004</v>
      </c>
      <c r="AF41" s="60">
        <v>13.719992639999999</v>
      </c>
      <c r="AG41" s="60">
        <v>18.640092849999998</v>
      </c>
      <c r="AH41" s="60">
        <v>18.079988480000001</v>
      </c>
      <c r="AI41" s="41">
        <v>2</v>
      </c>
      <c r="AJ41" s="41">
        <v>1</v>
      </c>
      <c r="AO41" s="50"/>
    </row>
    <row r="42" spans="1:41" ht="15.75" customHeight="1">
      <c r="A42" s="4" t="s">
        <v>3161</v>
      </c>
      <c r="B42" s="50" t="s">
        <v>12896</v>
      </c>
      <c r="C42" s="4" t="s">
        <v>2953</v>
      </c>
      <c r="D42" s="4" t="s">
        <v>4951</v>
      </c>
      <c r="E42" s="4" t="s">
        <v>108</v>
      </c>
      <c r="F42" s="4" t="s">
        <v>2911</v>
      </c>
      <c r="G42" s="41" t="s">
        <v>4977</v>
      </c>
      <c r="H42" s="4" t="s">
        <v>3057</v>
      </c>
      <c r="I42" s="4">
        <v>2.2799999999999998</v>
      </c>
      <c r="J42" s="4">
        <v>1.28</v>
      </c>
      <c r="K42" s="4">
        <v>0.21346000000000001</v>
      </c>
      <c r="L42" s="4" t="s">
        <v>12272</v>
      </c>
      <c r="M42" s="4" t="s">
        <v>4929</v>
      </c>
      <c r="N42" s="60">
        <v>3.317337513</v>
      </c>
      <c r="O42" s="60">
        <v>5.7313747409999998</v>
      </c>
      <c r="P42" s="60">
        <v>9.2743263240000005</v>
      </c>
      <c r="Q42" s="60">
        <v>3.317337513</v>
      </c>
      <c r="R42" s="51" t="b">
        <v>1</v>
      </c>
      <c r="S42" s="60">
        <v>7.605944633</v>
      </c>
      <c r="T42" s="60">
        <v>8.3931016920000001</v>
      </c>
      <c r="U42" s="60">
        <v>7.605944633</v>
      </c>
      <c r="V42" s="51" t="b">
        <v>0</v>
      </c>
      <c r="W42" s="60">
        <v>4.1070427890000003</v>
      </c>
      <c r="X42" s="60">
        <v>3.1278431420000001</v>
      </c>
      <c r="Y42" s="51" t="b">
        <v>1</v>
      </c>
      <c r="Z42" s="60">
        <v>1.769325137</v>
      </c>
      <c r="AA42" s="60">
        <v>4.9714865680000004</v>
      </c>
      <c r="AB42" s="60">
        <v>0.60455274599999997</v>
      </c>
      <c r="AC42" s="60">
        <v>8.6895875930000006</v>
      </c>
      <c r="AD42" s="60">
        <v>6.9555377959999998</v>
      </c>
      <c r="AE42" s="60">
        <v>8.5505352020000007</v>
      </c>
      <c r="AF42" s="60">
        <v>13.045915600000001</v>
      </c>
      <c r="AG42" s="60">
        <v>18.607061389999998</v>
      </c>
      <c r="AH42" s="60">
        <v>18.252771379999999</v>
      </c>
      <c r="AI42" s="41">
        <v>2</v>
      </c>
      <c r="AJ42" s="51">
        <v>9</v>
      </c>
      <c r="AO42" s="50"/>
    </row>
    <row r="43" spans="1:41" ht="15.75" customHeight="1">
      <c r="A43" s="4" t="s">
        <v>3162</v>
      </c>
      <c r="B43" s="50" t="s">
        <v>12964</v>
      </c>
      <c r="C43" s="4" t="s">
        <v>2954</v>
      </c>
      <c r="D43" s="4" t="s">
        <v>4951</v>
      </c>
      <c r="E43" s="4" t="s">
        <v>108</v>
      </c>
      <c r="F43" s="4" t="s">
        <v>2911</v>
      </c>
      <c r="G43" s="4" t="s">
        <v>5171</v>
      </c>
      <c r="H43" s="4" t="s">
        <v>3058</v>
      </c>
      <c r="I43" s="4">
        <v>2.29</v>
      </c>
      <c r="J43" s="4">
        <v>1.1100000000000001</v>
      </c>
      <c r="K43" s="4">
        <v>0.22352</v>
      </c>
      <c r="L43" s="4" t="s">
        <v>5164</v>
      </c>
      <c r="M43" s="4" t="s">
        <v>5164</v>
      </c>
      <c r="N43" s="60">
        <v>26.82995605</v>
      </c>
      <c r="O43" s="60">
        <v>24.215528490000001</v>
      </c>
      <c r="P43" s="60">
        <v>21.872341160000001</v>
      </c>
      <c r="Q43" s="60">
        <v>21.872341160000001</v>
      </c>
      <c r="R43" s="51" t="b">
        <v>0</v>
      </c>
      <c r="S43" s="60">
        <v>25.858995440000001</v>
      </c>
      <c r="T43" s="60">
        <v>28.5185833</v>
      </c>
      <c r="U43" s="60">
        <v>25.858995440000001</v>
      </c>
      <c r="V43" s="51" t="b">
        <v>0</v>
      </c>
      <c r="W43" s="60">
        <v>27.458274840000001</v>
      </c>
      <c r="X43" s="60">
        <v>37.322261810000001</v>
      </c>
      <c r="Y43" s="51" t="b">
        <v>0</v>
      </c>
      <c r="Z43" s="60">
        <v>22.837121960000001</v>
      </c>
      <c r="AA43" s="60">
        <v>23.193786620000001</v>
      </c>
      <c r="AB43" s="60">
        <v>27.065706250000002</v>
      </c>
      <c r="AC43" s="60">
        <v>25.499885559999999</v>
      </c>
      <c r="AD43" s="60">
        <v>18.681289670000002</v>
      </c>
      <c r="AE43" s="60">
        <v>18.526439669999998</v>
      </c>
      <c r="AF43" s="60">
        <v>17.426111219999999</v>
      </c>
      <c r="AG43" s="60">
        <v>27.776336669999999</v>
      </c>
      <c r="AH43" s="60">
        <v>16.558279039999999</v>
      </c>
      <c r="AO43" s="50"/>
    </row>
    <row r="44" spans="1:41" ht="15.75" customHeight="1">
      <c r="A44" s="4" t="s">
        <v>3163</v>
      </c>
      <c r="B44" s="50" t="s">
        <v>12948</v>
      </c>
      <c r="C44" s="4" t="s">
        <v>2955</v>
      </c>
      <c r="D44" s="4" t="s">
        <v>4951</v>
      </c>
      <c r="E44" s="4" t="s">
        <v>108</v>
      </c>
      <c r="F44" s="4" t="s">
        <v>2911</v>
      </c>
      <c r="G44" s="4" t="s">
        <v>5088</v>
      </c>
      <c r="H44" s="4" t="s">
        <v>3059</v>
      </c>
      <c r="I44" s="4">
        <v>2.6</v>
      </c>
      <c r="J44" s="4">
        <v>1.08</v>
      </c>
      <c r="K44" s="4">
        <v>0.21521999999999999</v>
      </c>
      <c r="L44" s="4" t="s">
        <v>5087</v>
      </c>
      <c r="M44" s="4" t="s">
        <v>5087</v>
      </c>
      <c r="N44" s="60">
        <v>16.072063450000002</v>
      </c>
      <c r="O44" s="60">
        <v>15.868463520000001</v>
      </c>
      <c r="P44" s="60">
        <v>18.73651886</v>
      </c>
      <c r="Q44" s="60">
        <v>15.868463520000001</v>
      </c>
      <c r="R44" s="51" t="b">
        <v>0</v>
      </c>
      <c r="S44" s="60">
        <v>21.47076607</v>
      </c>
      <c r="T44" s="60">
        <v>24.15810394</v>
      </c>
      <c r="U44" s="60">
        <v>21.47076607</v>
      </c>
      <c r="V44" s="51" t="b">
        <v>0</v>
      </c>
      <c r="W44" s="60">
        <v>20.781106950000002</v>
      </c>
      <c r="X44" s="60">
        <v>23.2193985</v>
      </c>
      <c r="Y44" s="51" t="b">
        <v>0</v>
      </c>
      <c r="Z44" s="60">
        <v>18.1235733</v>
      </c>
      <c r="AA44" s="60">
        <v>23.416448590000002</v>
      </c>
      <c r="AB44" s="60">
        <v>15.90473843</v>
      </c>
      <c r="AC44" s="60">
        <v>27.60429001</v>
      </c>
      <c r="AD44" s="60">
        <v>22.185588840000001</v>
      </c>
      <c r="AE44" s="60">
        <v>22.135480879999999</v>
      </c>
      <c r="AF44" s="60">
        <v>23.143268590000002</v>
      </c>
      <c r="AG44" s="60">
        <v>29.4467392</v>
      </c>
      <c r="AH44" s="60">
        <v>4.0826663969999997</v>
      </c>
      <c r="AO44" s="50"/>
    </row>
    <row r="45" spans="1:41" ht="15.75" customHeight="1">
      <c r="A45" s="4" t="s">
        <v>3164</v>
      </c>
      <c r="B45" s="50" t="s">
        <v>12893</v>
      </c>
      <c r="C45" s="4" t="s">
        <v>2956</v>
      </c>
      <c r="D45" s="4" t="s">
        <v>4951</v>
      </c>
      <c r="E45" s="4" t="s">
        <v>108</v>
      </c>
      <c r="F45" s="4" t="s">
        <v>2911</v>
      </c>
      <c r="G45" s="4" t="s">
        <v>4978</v>
      </c>
      <c r="H45" s="4" t="s">
        <v>3060</v>
      </c>
      <c r="I45" s="4">
        <v>1.79</v>
      </c>
      <c r="J45" s="4">
        <v>1.0900000000000001</v>
      </c>
      <c r="K45" s="4">
        <v>0.23674999999999999</v>
      </c>
      <c r="L45" s="4" t="s">
        <v>12272</v>
      </c>
      <c r="M45" s="4" t="s">
        <v>4929</v>
      </c>
      <c r="N45" s="60">
        <v>2.6779463290000001</v>
      </c>
      <c r="O45" s="60">
        <v>5.5746626849999998</v>
      </c>
      <c r="P45" s="60">
        <v>9.1235103609999992</v>
      </c>
      <c r="Q45" s="60">
        <v>2.6779463290000001</v>
      </c>
      <c r="R45" s="51" t="b">
        <v>1</v>
      </c>
      <c r="S45" s="60">
        <v>7.5268592830000003</v>
      </c>
      <c r="T45" s="60">
        <v>8.3677358630000001</v>
      </c>
      <c r="U45" s="60">
        <v>7.5268592830000003</v>
      </c>
      <c r="V45" s="51" t="b">
        <v>0</v>
      </c>
      <c r="W45" s="60">
        <v>4.3970427509999999</v>
      </c>
      <c r="X45" s="60">
        <v>3.0222747330000002</v>
      </c>
      <c r="Y45" s="51" t="b">
        <v>1</v>
      </c>
      <c r="Z45" s="60">
        <v>1.83329308</v>
      </c>
      <c r="AA45" s="60">
        <v>4.8885531430000002</v>
      </c>
      <c r="AB45" s="60">
        <v>0.78872567400000004</v>
      </c>
      <c r="AC45" s="60">
        <v>8.6131410600000002</v>
      </c>
      <c r="AD45" s="60">
        <v>6.7634696959999996</v>
      </c>
      <c r="AE45" s="60">
        <v>8.3785419460000004</v>
      </c>
      <c r="AF45" s="60">
        <v>12.92244148</v>
      </c>
      <c r="AG45" s="60">
        <v>18.413286209999999</v>
      </c>
      <c r="AH45" s="60">
        <v>17.470352170000002</v>
      </c>
      <c r="AI45" s="41">
        <v>2</v>
      </c>
      <c r="AJ45" s="41">
        <v>9</v>
      </c>
      <c r="AO45" s="50"/>
    </row>
    <row r="46" spans="1:41" ht="15.75" customHeight="1">
      <c r="A46" s="4" t="s">
        <v>3165</v>
      </c>
      <c r="B46" s="50" t="s">
        <v>12952</v>
      </c>
      <c r="C46" s="4" t="s">
        <v>2957</v>
      </c>
      <c r="D46" s="4" t="s">
        <v>4951</v>
      </c>
      <c r="E46" s="4" t="s">
        <v>108</v>
      </c>
      <c r="F46" s="4" t="s">
        <v>2911</v>
      </c>
      <c r="G46" s="4" t="s">
        <v>5081</v>
      </c>
      <c r="H46" s="4" t="s">
        <v>3061</v>
      </c>
      <c r="I46" s="4">
        <v>1.88</v>
      </c>
      <c r="J46" s="4">
        <v>1.03</v>
      </c>
      <c r="K46" s="4">
        <v>0.22356999999999999</v>
      </c>
      <c r="L46" s="4" t="s">
        <v>12931</v>
      </c>
      <c r="M46" s="4" t="s">
        <v>4995</v>
      </c>
      <c r="N46" s="60">
        <v>21.473859789999999</v>
      </c>
      <c r="O46" s="60">
        <v>21.41177368</v>
      </c>
      <c r="P46" s="60">
        <v>21.320970540000001</v>
      </c>
      <c r="Q46" s="60">
        <v>21.320970540000001</v>
      </c>
      <c r="R46" s="51" t="b">
        <v>0</v>
      </c>
      <c r="S46" s="60">
        <v>22.43841171</v>
      </c>
      <c r="T46" s="60">
        <v>23.576013570000001</v>
      </c>
      <c r="U46" s="60">
        <v>22.43841171</v>
      </c>
      <c r="V46" s="51" t="b">
        <v>0</v>
      </c>
      <c r="W46" s="60">
        <v>22.385087970000001</v>
      </c>
      <c r="X46" s="60">
        <v>27.67115974</v>
      </c>
      <c r="Y46" s="51" t="b">
        <v>0</v>
      </c>
      <c r="Z46" s="60">
        <v>18.455024720000001</v>
      </c>
      <c r="AA46" s="60">
        <v>18.296092989999998</v>
      </c>
      <c r="AB46" s="60">
        <v>19.842081069999999</v>
      </c>
      <c r="AC46" s="60">
        <v>20.286333079999999</v>
      </c>
      <c r="AD46" s="60">
        <v>12.06337929</v>
      </c>
      <c r="AE46" s="60">
        <v>8.1762943270000008</v>
      </c>
      <c r="AF46" s="60">
        <v>3.5552444460000001</v>
      </c>
      <c r="AG46" s="60">
        <v>1.5844229460000001</v>
      </c>
      <c r="AH46" s="60">
        <v>24.226936340000002</v>
      </c>
      <c r="AO46" s="50"/>
    </row>
    <row r="47" spans="1:41" ht="15.75" customHeight="1">
      <c r="A47" s="4" t="s">
        <v>3166</v>
      </c>
      <c r="B47" s="50" t="s">
        <v>12954</v>
      </c>
      <c r="C47" s="4" t="s">
        <v>2958</v>
      </c>
      <c r="D47" s="4" t="s">
        <v>4951</v>
      </c>
      <c r="E47" s="4" t="s">
        <v>108</v>
      </c>
      <c r="F47" s="4" t="s">
        <v>2911</v>
      </c>
      <c r="G47" s="4" t="s">
        <v>5082</v>
      </c>
      <c r="H47" s="4" t="s">
        <v>3062</v>
      </c>
      <c r="I47" s="4">
        <v>2.16</v>
      </c>
      <c r="J47" s="4">
        <v>1.08</v>
      </c>
      <c r="K47" s="4">
        <v>0.23164000000000001</v>
      </c>
      <c r="L47" s="4" t="s">
        <v>12931</v>
      </c>
      <c r="M47" s="4" t="s">
        <v>4995</v>
      </c>
      <c r="N47" s="60">
        <v>22.627857209999998</v>
      </c>
      <c r="O47" s="60">
        <v>22.114271160000001</v>
      </c>
      <c r="P47" s="60">
        <v>21.29063416</v>
      </c>
      <c r="Q47" s="60">
        <v>21.29063416</v>
      </c>
      <c r="R47" s="51" t="b">
        <v>0</v>
      </c>
      <c r="S47" s="60">
        <v>22.78647041</v>
      </c>
      <c r="T47" s="60">
        <v>24.10791206</v>
      </c>
      <c r="U47" s="60">
        <v>22.78647041</v>
      </c>
      <c r="V47" s="51" t="b">
        <v>0</v>
      </c>
      <c r="W47" s="60">
        <v>23.207305909999999</v>
      </c>
      <c r="X47" s="60">
        <v>29.46871758</v>
      </c>
      <c r="Y47" s="51" t="b">
        <v>0</v>
      </c>
      <c r="Z47" s="60">
        <v>19.035430909999999</v>
      </c>
      <c r="AA47" s="60">
        <v>18.620458599999999</v>
      </c>
      <c r="AB47" s="60">
        <v>20.84133911</v>
      </c>
      <c r="AC47" s="60">
        <v>20.616300580000001</v>
      </c>
      <c r="AD47" s="60">
        <v>11.889137270000001</v>
      </c>
      <c r="AE47" s="60">
        <v>8.7340202330000007</v>
      </c>
      <c r="AF47" s="60">
        <v>4.0872974400000004</v>
      </c>
      <c r="AG47" s="60">
        <v>2.1299999999999999E-6</v>
      </c>
      <c r="AH47" s="60">
        <v>24.25821114</v>
      </c>
      <c r="AO47" s="50"/>
    </row>
    <row r="48" spans="1:41" ht="15.75" customHeight="1">
      <c r="A48" s="4" t="s">
        <v>3167</v>
      </c>
      <c r="B48" s="50" t="s">
        <v>12834</v>
      </c>
      <c r="C48" s="4" t="s">
        <v>2959</v>
      </c>
      <c r="D48" s="4" t="s">
        <v>4951</v>
      </c>
      <c r="E48" s="4" t="s">
        <v>108</v>
      </c>
      <c r="F48" s="4" t="s">
        <v>2911</v>
      </c>
      <c r="G48" s="4" t="s">
        <v>4979</v>
      </c>
      <c r="H48" s="4" t="s">
        <v>3063</v>
      </c>
      <c r="I48" s="4">
        <v>2.2000000000000002</v>
      </c>
      <c r="J48" s="4">
        <v>1.06</v>
      </c>
      <c r="K48" s="4">
        <v>0.24582999999999999</v>
      </c>
      <c r="L48" s="4" t="s">
        <v>12272</v>
      </c>
      <c r="M48" s="4" t="s">
        <v>4929</v>
      </c>
      <c r="N48" s="60">
        <v>2.661358356</v>
      </c>
      <c r="O48" s="60">
        <v>4.1634702680000002</v>
      </c>
      <c r="P48" s="60">
        <v>5.7732114790000004</v>
      </c>
      <c r="Q48" s="60">
        <v>2.661358356</v>
      </c>
      <c r="R48" s="51" t="b">
        <v>1</v>
      </c>
      <c r="S48" s="60">
        <v>4.8537745479999996</v>
      </c>
      <c r="T48" s="60">
        <v>5.9196224209999997</v>
      </c>
      <c r="U48" s="60">
        <v>4.8537745479999996</v>
      </c>
      <c r="V48" s="51" t="b">
        <v>0</v>
      </c>
      <c r="W48" s="60">
        <v>4.0238962169999999</v>
      </c>
      <c r="X48" s="60">
        <v>4.8921446800000004</v>
      </c>
      <c r="Y48" s="51" t="b">
        <v>0</v>
      </c>
      <c r="Z48" s="60">
        <v>1.5084270239999999</v>
      </c>
      <c r="AA48" s="60">
        <v>3.5087611679999999</v>
      </c>
      <c r="AB48" s="60">
        <v>3.1651656629999998</v>
      </c>
      <c r="AC48" s="60">
        <v>7.7094845769999996</v>
      </c>
      <c r="AD48" s="60">
        <v>6.3464550969999998</v>
      </c>
      <c r="AE48" s="60">
        <v>8.026120186</v>
      </c>
      <c r="AF48" s="60">
        <v>12.70834541</v>
      </c>
      <c r="AG48" s="60">
        <v>17.960931779999999</v>
      </c>
      <c r="AH48" s="60">
        <v>18.474262240000002</v>
      </c>
      <c r="AI48" s="41">
        <v>1</v>
      </c>
      <c r="AO48" s="50"/>
    </row>
    <row r="49" spans="1:41" ht="15.75" customHeight="1">
      <c r="A49" s="4" t="s">
        <v>3168</v>
      </c>
      <c r="B49" s="50" t="s">
        <v>12934</v>
      </c>
      <c r="C49" s="4" t="s">
        <v>2960</v>
      </c>
      <c r="D49" s="4" t="s">
        <v>4951</v>
      </c>
      <c r="E49" s="4" t="s">
        <v>108</v>
      </c>
      <c r="F49" s="4" t="s">
        <v>2911</v>
      </c>
      <c r="G49" s="4" t="s">
        <v>5155</v>
      </c>
      <c r="H49" s="4" t="s">
        <v>3064</v>
      </c>
      <c r="I49" s="4">
        <v>2.2200000000000002</v>
      </c>
      <c r="J49" s="4">
        <v>1.06</v>
      </c>
      <c r="K49" s="4">
        <v>0.22348000000000001</v>
      </c>
      <c r="L49" s="4" t="s">
        <v>4955</v>
      </c>
      <c r="M49" s="4" t="s">
        <v>4955</v>
      </c>
      <c r="N49" s="60">
        <v>19.877264019999998</v>
      </c>
      <c r="O49" s="60">
        <v>17.253358840000001</v>
      </c>
      <c r="P49" s="60">
        <v>16.215326309999998</v>
      </c>
      <c r="Q49" s="60">
        <v>16.215326309999998</v>
      </c>
      <c r="R49" s="51" t="b">
        <v>0</v>
      </c>
      <c r="S49" s="60">
        <v>19.509710309999999</v>
      </c>
      <c r="T49" s="60">
        <v>22.148698809999999</v>
      </c>
      <c r="U49" s="60">
        <v>19.509710309999999</v>
      </c>
      <c r="V49" s="51" t="b">
        <v>0</v>
      </c>
      <c r="W49" s="60">
        <v>22.730226519999999</v>
      </c>
      <c r="X49" s="60">
        <v>29.144393919999999</v>
      </c>
      <c r="Y49" s="51" t="b">
        <v>0</v>
      </c>
      <c r="Z49" s="60">
        <v>19.38775635</v>
      </c>
      <c r="AA49" s="60">
        <v>22.986507419999999</v>
      </c>
      <c r="AB49" s="60">
        <v>22.98291206</v>
      </c>
      <c r="AC49" s="60">
        <v>25.565746310000002</v>
      </c>
      <c r="AD49" s="60">
        <v>19.299283979999998</v>
      </c>
      <c r="AE49" s="60">
        <v>19.13823318</v>
      </c>
      <c r="AF49" s="60">
        <v>18.373308179999999</v>
      </c>
      <c r="AG49" s="60">
        <v>32.814552310000003</v>
      </c>
      <c r="AH49" s="60">
        <v>12.20995903</v>
      </c>
      <c r="AO49" s="50"/>
    </row>
    <row r="50" spans="1:41" ht="15.75" customHeight="1">
      <c r="A50" s="4" t="s">
        <v>3169</v>
      </c>
      <c r="B50" s="50" t="s">
        <v>12956</v>
      </c>
      <c r="C50" s="4" t="s">
        <v>2961</v>
      </c>
      <c r="D50" s="4" t="s">
        <v>4951</v>
      </c>
      <c r="E50" s="4" t="s">
        <v>108</v>
      </c>
      <c r="F50" s="4" t="s">
        <v>2911</v>
      </c>
      <c r="G50" s="41" t="s">
        <v>5083</v>
      </c>
      <c r="H50" s="4" t="s">
        <v>3065</v>
      </c>
      <c r="I50" s="4">
        <v>2.35</v>
      </c>
      <c r="J50" s="4">
        <v>1.05</v>
      </c>
      <c r="K50" s="4">
        <v>0.22702</v>
      </c>
      <c r="L50" s="4" t="s">
        <v>12931</v>
      </c>
      <c r="M50" s="4" t="s">
        <v>4995</v>
      </c>
      <c r="N50" s="60">
        <v>22.619445800000001</v>
      </c>
      <c r="O50" s="60">
        <v>22.217908860000001</v>
      </c>
      <c r="P50" s="60">
        <v>21.477075580000001</v>
      </c>
      <c r="Q50" s="60">
        <v>21.477075580000001</v>
      </c>
      <c r="R50" s="51" t="b">
        <v>0</v>
      </c>
      <c r="S50" s="60">
        <v>22.971046449999999</v>
      </c>
      <c r="T50" s="60">
        <v>24.234106059999998</v>
      </c>
      <c r="U50" s="60">
        <v>22.971046449999999</v>
      </c>
      <c r="V50" s="51" t="b">
        <v>0</v>
      </c>
      <c r="W50" s="60">
        <v>23.340368269999999</v>
      </c>
      <c r="X50" s="60">
        <v>29.340938569999999</v>
      </c>
      <c r="Y50" s="51" t="b">
        <v>0</v>
      </c>
      <c r="Z50" s="60">
        <v>19.126621249999999</v>
      </c>
      <c r="AA50" s="60">
        <v>18.718227389999999</v>
      </c>
      <c r="AB50" s="60">
        <v>20.78977776</v>
      </c>
      <c r="AC50" s="60">
        <v>20.6837883</v>
      </c>
      <c r="AD50" s="60">
        <v>12.039770130000001</v>
      </c>
      <c r="AE50" s="60">
        <v>8.7791814800000001</v>
      </c>
      <c r="AF50" s="60">
        <v>4.3281517029999996</v>
      </c>
      <c r="AG50" s="60">
        <v>3.2521164420000002</v>
      </c>
      <c r="AH50" s="60">
        <v>24.396953580000002</v>
      </c>
      <c r="AO50" s="50"/>
    </row>
    <row r="51" spans="1:41" ht="15.75" customHeight="1">
      <c r="A51" s="4" t="s">
        <v>3170</v>
      </c>
      <c r="B51" s="50" t="s">
        <v>12895</v>
      </c>
      <c r="C51" s="4" t="s">
        <v>2962</v>
      </c>
      <c r="D51" s="4" t="s">
        <v>4951</v>
      </c>
      <c r="E51" s="4" t="s">
        <v>108</v>
      </c>
      <c r="F51" s="4" t="s">
        <v>2911</v>
      </c>
      <c r="G51" s="4" t="s">
        <v>4980</v>
      </c>
      <c r="H51" s="4" t="s">
        <v>3066</v>
      </c>
      <c r="I51" s="4">
        <v>2.36</v>
      </c>
      <c r="J51" s="4">
        <v>1.07</v>
      </c>
      <c r="K51" s="4">
        <v>0.22953000000000001</v>
      </c>
      <c r="L51" s="4" t="s">
        <v>12272</v>
      </c>
      <c r="M51" s="4" t="s">
        <v>4929</v>
      </c>
      <c r="N51" s="60">
        <v>3.203878403</v>
      </c>
      <c r="O51" s="60">
        <v>5.7846822739999997</v>
      </c>
      <c r="P51" s="60">
        <v>9.2170553210000001</v>
      </c>
      <c r="Q51" s="60">
        <v>3.203878403</v>
      </c>
      <c r="R51" s="51" t="b">
        <v>1</v>
      </c>
      <c r="S51" s="60">
        <v>7.5606980320000003</v>
      </c>
      <c r="T51" s="60">
        <v>8.3257284160000005</v>
      </c>
      <c r="U51" s="60">
        <v>7.5606980320000003</v>
      </c>
      <c r="V51" s="51" t="b">
        <v>0</v>
      </c>
      <c r="W51" s="60">
        <v>4.1677923200000002</v>
      </c>
      <c r="X51" s="60">
        <v>2.9821259979999999</v>
      </c>
      <c r="Y51" s="51" t="b">
        <v>1</v>
      </c>
      <c r="Z51" s="60">
        <v>1.730768442</v>
      </c>
      <c r="AA51" s="60">
        <v>5.1107416150000002</v>
      </c>
      <c r="AB51" s="60">
        <v>0.40127256500000003</v>
      </c>
      <c r="AC51" s="60">
        <v>8.8619680400000007</v>
      </c>
      <c r="AD51" s="60">
        <v>7.032961845</v>
      </c>
      <c r="AE51" s="60">
        <v>8.6017847060000001</v>
      </c>
      <c r="AF51" s="60">
        <v>13.034241679999999</v>
      </c>
      <c r="AG51" s="60">
        <v>18.667924880000001</v>
      </c>
      <c r="AH51" s="60">
        <v>18.652559279999998</v>
      </c>
      <c r="AI51" s="41">
        <v>1</v>
      </c>
      <c r="AO51" s="50"/>
    </row>
    <row r="52" spans="1:41" ht="15.75" customHeight="1">
      <c r="A52" s="4" t="s">
        <v>3171</v>
      </c>
      <c r="B52" s="50" t="s">
        <v>12764</v>
      </c>
      <c r="C52" s="4" t="s">
        <v>2963</v>
      </c>
      <c r="D52" s="4" t="s">
        <v>4951</v>
      </c>
      <c r="E52" s="4" t="s">
        <v>108</v>
      </c>
      <c r="F52" s="4" t="s">
        <v>2911</v>
      </c>
      <c r="G52" s="4" t="s">
        <v>5130</v>
      </c>
      <c r="H52" s="4" t="s">
        <v>3067</v>
      </c>
      <c r="I52" s="4">
        <v>2.66</v>
      </c>
      <c r="J52" s="4">
        <v>1.1499999999999999</v>
      </c>
      <c r="K52" s="4">
        <v>0.23663000000000001</v>
      </c>
      <c r="L52" s="4" t="s">
        <v>12722</v>
      </c>
      <c r="M52" s="4" t="s">
        <v>4929</v>
      </c>
      <c r="N52" s="60">
        <v>8.8993520739999994</v>
      </c>
      <c r="O52" s="60">
        <v>7.5056028369999996</v>
      </c>
      <c r="P52" s="60">
        <v>4.2024970049999997</v>
      </c>
      <c r="Q52" s="60">
        <v>4.2024970049999997</v>
      </c>
      <c r="R52" s="51" t="b">
        <v>0</v>
      </c>
      <c r="S52" s="60">
        <v>3.0528762340000002</v>
      </c>
      <c r="T52" s="60">
        <v>2.9068472390000002</v>
      </c>
      <c r="U52" s="60">
        <v>2.9068472390000002</v>
      </c>
      <c r="V52" s="51" t="b">
        <v>1</v>
      </c>
      <c r="W52" s="60">
        <v>5.7295045849999999</v>
      </c>
      <c r="X52" s="60">
        <v>10.413480760000001</v>
      </c>
      <c r="Y52" s="51" t="b">
        <v>0</v>
      </c>
      <c r="Z52" s="60">
        <v>4.1704702380000001</v>
      </c>
      <c r="AA52" s="60">
        <v>1.54314065</v>
      </c>
      <c r="AB52" s="60">
        <v>11.627899169999999</v>
      </c>
      <c r="AC52" s="60">
        <v>1.0396093129999999</v>
      </c>
      <c r="AD52" s="60">
        <v>6.6910862919999996</v>
      </c>
      <c r="AE52" s="60">
        <v>10.65715981</v>
      </c>
      <c r="AF52" s="60">
        <v>15.495075229999999</v>
      </c>
      <c r="AG52" s="60">
        <v>18.987201689999999</v>
      </c>
      <c r="AH52" s="60">
        <v>21.697471620000002</v>
      </c>
      <c r="AK52" s="41">
        <v>2</v>
      </c>
      <c r="AL52" s="41">
        <v>1</v>
      </c>
      <c r="AM52" s="41" t="s">
        <v>12724</v>
      </c>
      <c r="AO52" s="50"/>
    </row>
    <row r="53" spans="1:41" ht="15.75" customHeight="1">
      <c r="A53" s="4" t="s">
        <v>3172</v>
      </c>
      <c r="B53" s="50" t="s">
        <v>12969</v>
      </c>
      <c r="C53" s="4" t="s">
        <v>2964</v>
      </c>
      <c r="D53" s="4" t="s">
        <v>4951</v>
      </c>
      <c r="E53" s="4" t="s">
        <v>108</v>
      </c>
      <c r="F53" s="4" t="s">
        <v>2911</v>
      </c>
      <c r="G53" s="4" t="s">
        <v>5156</v>
      </c>
      <c r="H53" s="4" t="s">
        <v>3068</v>
      </c>
      <c r="I53" s="4">
        <v>2.68</v>
      </c>
      <c r="J53" s="4">
        <v>1.1000000000000001</v>
      </c>
      <c r="K53" s="4">
        <v>0.24904999999999999</v>
      </c>
      <c r="L53" s="4" t="s">
        <v>4955</v>
      </c>
      <c r="M53" s="4" t="s">
        <v>4955</v>
      </c>
      <c r="N53" s="60">
        <v>20.971530909999998</v>
      </c>
      <c r="O53" s="60">
        <v>21.414754869999999</v>
      </c>
      <c r="P53" s="60">
        <v>24.458505630000001</v>
      </c>
      <c r="Q53" s="60">
        <v>20.971530909999998</v>
      </c>
      <c r="R53" s="51" t="b">
        <v>0</v>
      </c>
      <c r="S53" s="60">
        <v>26.561994550000001</v>
      </c>
      <c r="T53" s="60">
        <v>28.904838560000002</v>
      </c>
      <c r="U53" s="60">
        <v>26.561994550000001</v>
      </c>
      <c r="V53" s="51" t="b">
        <v>0</v>
      </c>
      <c r="W53" s="60">
        <v>25.557640079999999</v>
      </c>
      <c r="X53" s="60">
        <v>30.813377379999999</v>
      </c>
      <c r="Y53" s="51" t="b">
        <v>0</v>
      </c>
      <c r="Z53" s="60">
        <v>22.06079102</v>
      </c>
      <c r="AA53" s="60">
        <v>23.761114119999998</v>
      </c>
      <c r="AB53" s="60">
        <v>19.213258740000001</v>
      </c>
      <c r="AC53" s="60">
        <v>26.40109253</v>
      </c>
      <c r="AD53" s="60">
        <v>18.07564545</v>
      </c>
      <c r="AE53" s="60">
        <v>15.582071300000001</v>
      </c>
      <c r="AF53" s="60">
        <v>12.70872879</v>
      </c>
      <c r="AG53" s="60">
        <v>22.615341189999999</v>
      </c>
      <c r="AH53" s="60">
        <v>10.290410039999999</v>
      </c>
      <c r="AO53" s="50"/>
    </row>
    <row r="54" spans="1:41" ht="15.75" customHeight="1">
      <c r="A54" s="4" t="s">
        <v>3173</v>
      </c>
      <c r="B54" s="50" t="s">
        <v>12899</v>
      </c>
      <c r="C54" s="4" t="s">
        <v>2965</v>
      </c>
      <c r="D54" s="4" t="s">
        <v>4951</v>
      </c>
      <c r="E54" s="4" t="s">
        <v>108</v>
      </c>
      <c r="F54" s="4" t="s">
        <v>2911</v>
      </c>
      <c r="G54" s="4" t="s">
        <v>4981</v>
      </c>
      <c r="H54" s="4" t="s">
        <v>3069</v>
      </c>
      <c r="I54" s="4">
        <v>2.7</v>
      </c>
      <c r="J54" s="4">
        <v>1.35</v>
      </c>
      <c r="K54" s="4">
        <v>0.26840000000000003</v>
      </c>
      <c r="L54" s="4" t="s">
        <v>12272</v>
      </c>
      <c r="M54" s="4" t="s">
        <v>4929</v>
      </c>
      <c r="N54" s="60">
        <v>3.3928484920000002</v>
      </c>
      <c r="O54" s="60">
        <v>5.8779582980000002</v>
      </c>
      <c r="P54" s="60">
        <v>9.5508823389999993</v>
      </c>
      <c r="Q54" s="60">
        <v>3.3928484920000002</v>
      </c>
      <c r="R54" s="51" t="b">
        <v>1</v>
      </c>
      <c r="S54" s="60">
        <v>7.9373192789999996</v>
      </c>
      <c r="T54" s="60">
        <v>8.711859703</v>
      </c>
      <c r="U54" s="60">
        <v>7.9373192789999996</v>
      </c>
      <c r="V54" s="51" t="b">
        <v>0</v>
      </c>
      <c r="W54" s="60">
        <v>4.404086113</v>
      </c>
      <c r="X54" s="60">
        <v>3.0463597770000002</v>
      </c>
      <c r="Y54" s="51" t="b">
        <v>1</v>
      </c>
      <c r="Z54" s="60">
        <v>1.771507025</v>
      </c>
      <c r="AA54" s="60">
        <v>5.1923732759999996</v>
      </c>
      <c r="AB54" s="60">
        <v>0.88251721900000002</v>
      </c>
      <c r="AC54" s="60">
        <v>8.9592771530000004</v>
      </c>
      <c r="AD54" s="60">
        <v>7.0986299510000004</v>
      </c>
      <c r="AE54" s="60">
        <v>8.6755294799999998</v>
      </c>
      <c r="AF54" s="60">
        <v>13.11527061</v>
      </c>
      <c r="AG54" s="60">
        <v>18.729610439999998</v>
      </c>
      <c r="AH54" s="60">
        <v>17.932844159999998</v>
      </c>
      <c r="AI54" s="41">
        <v>2</v>
      </c>
      <c r="AJ54" s="51">
        <v>9</v>
      </c>
      <c r="AO54" s="50"/>
    </row>
    <row r="55" spans="1:41" ht="15.75" customHeight="1">
      <c r="A55" s="4" t="s">
        <v>3174</v>
      </c>
      <c r="B55" s="50" t="s">
        <v>12962</v>
      </c>
      <c r="C55" s="4" t="s">
        <v>2966</v>
      </c>
      <c r="D55" s="4" t="s">
        <v>4951</v>
      </c>
      <c r="E55" s="4" t="s">
        <v>108</v>
      </c>
      <c r="F55" s="4" t="s">
        <v>2911</v>
      </c>
      <c r="G55" s="4" t="s">
        <v>5172</v>
      </c>
      <c r="H55" s="4" t="s">
        <v>3070</v>
      </c>
      <c r="I55" s="4">
        <v>1.84</v>
      </c>
      <c r="J55" s="4">
        <v>1.06</v>
      </c>
      <c r="K55" s="4">
        <v>0.24393000000000001</v>
      </c>
      <c r="L55" s="4" t="s">
        <v>5164</v>
      </c>
      <c r="M55" s="4" t="s">
        <v>5164</v>
      </c>
      <c r="N55" s="60">
        <v>23.817949299999999</v>
      </c>
      <c r="O55" s="60">
        <v>22.412469860000002</v>
      </c>
      <c r="P55" s="60">
        <v>22.25939941</v>
      </c>
      <c r="Q55" s="60">
        <v>22.25939941</v>
      </c>
      <c r="R55" s="51" t="b">
        <v>0</v>
      </c>
      <c r="S55" s="60">
        <v>25.56527328</v>
      </c>
      <c r="T55" s="60">
        <v>28.104225159999999</v>
      </c>
      <c r="U55" s="60">
        <v>25.56527328</v>
      </c>
      <c r="V55" s="51" t="b">
        <v>0</v>
      </c>
      <c r="W55" s="60">
        <v>27.411296839999999</v>
      </c>
      <c r="X55" s="60">
        <v>25.9745369</v>
      </c>
      <c r="Y55" s="51" t="b">
        <v>0</v>
      </c>
      <c r="Z55" s="60">
        <v>22.468368529999999</v>
      </c>
      <c r="AA55" s="60">
        <v>25.1777935</v>
      </c>
      <c r="AB55" s="60">
        <v>24.56807899</v>
      </c>
      <c r="AC55" s="60">
        <v>28.97016335</v>
      </c>
      <c r="AD55" s="60">
        <v>19.364530559999999</v>
      </c>
      <c r="AE55" s="60">
        <v>18.628845210000001</v>
      </c>
      <c r="AF55" s="60">
        <v>16.494232180000001</v>
      </c>
      <c r="AG55" s="60">
        <v>17.961229320000001</v>
      </c>
      <c r="AH55" s="60">
        <v>13.26303482</v>
      </c>
      <c r="AO55" s="50"/>
    </row>
    <row r="56" spans="1:41" ht="15.75" customHeight="1">
      <c r="A56" s="4" t="s">
        <v>3175</v>
      </c>
      <c r="B56" s="50" t="s">
        <v>12935</v>
      </c>
      <c r="C56" s="4" t="s">
        <v>2967</v>
      </c>
      <c r="D56" s="4" t="s">
        <v>4951</v>
      </c>
      <c r="E56" s="4" t="s">
        <v>108</v>
      </c>
      <c r="F56" s="4" t="s">
        <v>2911</v>
      </c>
      <c r="G56" s="4" t="s">
        <v>5089</v>
      </c>
      <c r="H56" s="4" t="s">
        <v>3071</v>
      </c>
      <c r="I56" s="4">
        <v>1.99</v>
      </c>
      <c r="J56" s="4">
        <v>1.02</v>
      </c>
      <c r="K56" s="4">
        <v>0.21859000000000001</v>
      </c>
      <c r="L56" s="4" t="s">
        <v>5087</v>
      </c>
      <c r="M56" s="4" t="s">
        <v>5087</v>
      </c>
      <c r="N56" s="60">
        <v>14.330981250000001</v>
      </c>
      <c r="O56" s="60">
        <v>13.87681675</v>
      </c>
      <c r="P56" s="60">
        <v>17.415723799999999</v>
      </c>
      <c r="Q56" s="60">
        <v>13.87681675</v>
      </c>
      <c r="R56" s="51" t="b">
        <v>0</v>
      </c>
      <c r="S56" s="60">
        <v>19.63011169</v>
      </c>
      <c r="T56" s="60">
        <v>22.195175169999999</v>
      </c>
      <c r="U56" s="60">
        <v>19.63011169</v>
      </c>
      <c r="V56" s="51" t="b">
        <v>0</v>
      </c>
      <c r="W56" s="60">
        <v>20.167657850000001</v>
      </c>
      <c r="X56" s="60">
        <v>21.57855606</v>
      </c>
      <c r="Y56" s="51" t="b">
        <v>0</v>
      </c>
      <c r="Z56" s="60">
        <v>17.16665459</v>
      </c>
      <c r="AA56" s="60">
        <v>22.42927551</v>
      </c>
      <c r="AB56" s="60">
        <v>15.67628098</v>
      </c>
      <c r="AC56" s="60">
        <v>26.631904599999999</v>
      </c>
      <c r="AD56" s="60">
        <v>21.28272247</v>
      </c>
      <c r="AE56" s="60">
        <v>21.538444519999999</v>
      </c>
      <c r="AF56" s="60">
        <v>22.712697980000002</v>
      </c>
      <c r="AG56" s="60">
        <v>28.957302089999999</v>
      </c>
      <c r="AH56" s="60">
        <v>4.1520032880000004</v>
      </c>
      <c r="AO56" s="50"/>
    </row>
    <row r="57" spans="1:41" ht="15.75" customHeight="1">
      <c r="A57" s="4" t="s">
        <v>3176</v>
      </c>
      <c r="B57" s="50" t="s">
        <v>12878</v>
      </c>
      <c r="C57" s="4" t="s">
        <v>2968</v>
      </c>
      <c r="D57" s="4" t="s">
        <v>4951</v>
      </c>
      <c r="E57" s="4" t="s">
        <v>108</v>
      </c>
      <c r="F57" s="4" t="s">
        <v>2911</v>
      </c>
      <c r="G57" s="4" t="s">
        <v>5142</v>
      </c>
      <c r="H57" s="4" t="s">
        <v>3072</v>
      </c>
      <c r="I57" s="4">
        <v>2.0499999999999998</v>
      </c>
      <c r="J57" s="4">
        <v>1.1000000000000001</v>
      </c>
      <c r="K57" s="4">
        <v>0.24249999999999999</v>
      </c>
      <c r="L57" s="4" t="s">
        <v>12779</v>
      </c>
      <c r="M57" s="4" t="s">
        <v>4929</v>
      </c>
      <c r="N57" s="60">
        <v>13.0797987</v>
      </c>
      <c r="O57" s="60">
        <v>12.737291340000001</v>
      </c>
      <c r="P57" s="60">
        <v>9.861255646</v>
      </c>
      <c r="Q57" s="60">
        <v>9.861255646</v>
      </c>
      <c r="R57" s="51" t="b">
        <v>0</v>
      </c>
      <c r="S57" s="60">
        <v>7.8472137450000004</v>
      </c>
      <c r="T57" s="60">
        <v>6.6547026630000001</v>
      </c>
      <c r="U57" s="60">
        <v>6.6547026630000001</v>
      </c>
      <c r="V57" s="51" t="b">
        <v>0</v>
      </c>
      <c r="W57" s="60">
        <v>7.8790450099999996</v>
      </c>
      <c r="X57" s="60">
        <v>10.54649448</v>
      </c>
      <c r="Y57" s="51" t="b">
        <v>0</v>
      </c>
      <c r="Z57" s="60">
        <v>8.7687501910000005</v>
      </c>
      <c r="AA57" s="60">
        <v>3.3918488029999998</v>
      </c>
      <c r="AB57" s="60">
        <v>13.829381939999999</v>
      </c>
      <c r="AC57" s="60">
        <v>0.24872903499999999</v>
      </c>
      <c r="AD57" s="60">
        <v>8.6878223420000005</v>
      </c>
      <c r="AE57" s="60">
        <v>11.785058980000001</v>
      </c>
      <c r="AF57" s="60">
        <v>16.595418930000001</v>
      </c>
      <c r="AG57" s="60">
        <v>18.417060849999999</v>
      </c>
      <c r="AH57" s="60">
        <v>26.825498580000001</v>
      </c>
      <c r="AO57" s="50"/>
    </row>
    <row r="58" spans="1:41" ht="15.75" customHeight="1">
      <c r="A58" s="4" t="s">
        <v>3177</v>
      </c>
      <c r="B58" s="50" t="s">
        <v>12966</v>
      </c>
      <c r="C58" s="4" t="s">
        <v>2969</v>
      </c>
      <c r="D58" s="4" t="s">
        <v>4951</v>
      </c>
      <c r="E58" s="4" t="s">
        <v>108</v>
      </c>
      <c r="F58" s="4" t="s">
        <v>2911</v>
      </c>
      <c r="G58" s="41" t="s">
        <v>5157</v>
      </c>
      <c r="H58" s="4" t="s">
        <v>3073</v>
      </c>
      <c r="I58" s="4">
        <v>2.2400000000000002</v>
      </c>
      <c r="J58" s="4">
        <v>1.02</v>
      </c>
      <c r="K58" s="4">
        <v>0.23619999999999999</v>
      </c>
      <c r="L58" s="4" t="s">
        <v>4955</v>
      </c>
      <c r="M58" s="4" t="s">
        <v>4955</v>
      </c>
      <c r="N58" s="60">
        <v>20.37495041</v>
      </c>
      <c r="O58" s="60">
        <v>20.793895719999998</v>
      </c>
      <c r="P58" s="60">
        <v>23.979814529999999</v>
      </c>
      <c r="Q58" s="60">
        <v>20.37495041</v>
      </c>
      <c r="R58" s="51" t="b">
        <v>0</v>
      </c>
      <c r="S58" s="60">
        <v>26.061166759999999</v>
      </c>
      <c r="T58" s="60">
        <v>28.411838530000001</v>
      </c>
      <c r="U58" s="60">
        <v>26.061166759999999</v>
      </c>
      <c r="V58" s="51" t="b">
        <v>0</v>
      </c>
      <c r="W58" s="60">
        <v>25.777505869999999</v>
      </c>
      <c r="X58" s="60">
        <v>27.295661930000001</v>
      </c>
      <c r="Y58" s="51" t="b">
        <v>0</v>
      </c>
      <c r="Z58" s="60">
        <v>21.89867783</v>
      </c>
      <c r="AA58" s="60">
        <v>23.16616058</v>
      </c>
      <c r="AB58" s="60">
        <v>19.59096718</v>
      </c>
      <c r="AC58" s="60">
        <v>25.749473569999999</v>
      </c>
      <c r="AD58" s="60">
        <v>17.736732480000001</v>
      </c>
      <c r="AE58" s="60">
        <v>15.083346369999999</v>
      </c>
      <c r="AF58" s="60">
        <v>12.32523441</v>
      </c>
      <c r="AG58" s="60">
        <v>22.366430279999999</v>
      </c>
      <c r="AH58" s="60">
        <v>10.202878</v>
      </c>
      <c r="AO58" s="50"/>
    </row>
    <row r="59" spans="1:41" ht="15.75" customHeight="1">
      <c r="A59" s="4" t="s">
        <v>3177</v>
      </c>
      <c r="B59" s="50" t="s">
        <v>12973</v>
      </c>
      <c r="C59" s="4" t="s">
        <v>2969</v>
      </c>
      <c r="D59" s="4" t="s">
        <v>4951</v>
      </c>
      <c r="E59" s="4" t="s">
        <v>108</v>
      </c>
      <c r="F59" s="4" t="s">
        <v>2911</v>
      </c>
      <c r="G59" s="4" t="s">
        <v>5157</v>
      </c>
      <c r="H59" s="4" t="s">
        <v>3073</v>
      </c>
      <c r="I59" s="4">
        <v>2.2400000000000002</v>
      </c>
      <c r="J59" s="4">
        <v>1.02</v>
      </c>
      <c r="K59" s="4">
        <v>0.23619999999999999</v>
      </c>
      <c r="L59" s="4" t="s">
        <v>4955</v>
      </c>
      <c r="M59" s="4" t="s">
        <v>4955</v>
      </c>
      <c r="N59" s="60">
        <v>30.127586359999999</v>
      </c>
      <c r="O59" s="60">
        <v>30.218757629999999</v>
      </c>
      <c r="P59" s="60">
        <v>31.144054409999999</v>
      </c>
      <c r="Q59" s="60">
        <v>30.127586359999999</v>
      </c>
      <c r="R59" s="51" t="b">
        <v>0</v>
      </c>
      <c r="S59" s="60">
        <v>32.839523319999998</v>
      </c>
      <c r="T59" s="60">
        <v>34.487808229999999</v>
      </c>
      <c r="U59" s="60">
        <v>32.839523319999998</v>
      </c>
      <c r="V59" s="51" t="b">
        <v>0</v>
      </c>
      <c r="W59" s="60">
        <v>32.389675140000001</v>
      </c>
      <c r="X59" s="60">
        <v>30.1949234</v>
      </c>
      <c r="Y59" s="51" t="b">
        <v>0</v>
      </c>
      <c r="Z59" s="60">
        <v>28.857885360000001</v>
      </c>
      <c r="AA59" s="60">
        <v>30.242263789999999</v>
      </c>
      <c r="AB59" s="60">
        <v>28.812562939999999</v>
      </c>
      <c r="AC59" s="60">
        <v>32.965709689999997</v>
      </c>
      <c r="AD59" s="60">
        <v>23.726085659999999</v>
      </c>
      <c r="AE59" s="60">
        <v>20.198163990000001</v>
      </c>
      <c r="AF59" s="60">
        <v>15.402208330000001</v>
      </c>
      <c r="AG59" s="60">
        <v>15.27188778</v>
      </c>
      <c r="AH59" s="60">
        <v>25.45798302</v>
      </c>
      <c r="AO59" s="50"/>
    </row>
    <row r="60" spans="1:41" ht="15.75" customHeight="1">
      <c r="A60" s="4" t="s">
        <v>3178</v>
      </c>
      <c r="B60" s="50" t="s">
        <v>12774</v>
      </c>
      <c r="C60" s="4" t="s">
        <v>2970</v>
      </c>
      <c r="D60" s="4" t="s">
        <v>4951</v>
      </c>
      <c r="E60" s="4" t="s">
        <v>108</v>
      </c>
      <c r="F60" s="4" t="s">
        <v>2911</v>
      </c>
      <c r="G60" s="4" t="s">
        <v>4982</v>
      </c>
      <c r="H60" s="4" t="s">
        <v>3074</v>
      </c>
      <c r="I60" s="4">
        <v>2.4700000000000002</v>
      </c>
      <c r="J60" s="4">
        <v>1.22</v>
      </c>
      <c r="K60" s="4">
        <v>0.23451</v>
      </c>
      <c r="L60" s="4" t="s">
        <v>12272</v>
      </c>
      <c r="M60" s="4" t="s">
        <v>4929</v>
      </c>
      <c r="N60" s="60">
        <v>3.8356170650000001</v>
      </c>
      <c r="O60" s="60">
        <v>2.7480885979999998</v>
      </c>
      <c r="P60" s="60">
        <v>2.7417676449999999</v>
      </c>
      <c r="Q60" s="60">
        <v>2.7417676449999999</v>
      </c>
      <c r="R60" s="51" t="b">
        <v>1</v>
      </c>
      <c r="S60" s="60">
        <v>3.1163625719999999</v>
      </c>
      <c r="T60" s="60">
        <v>5.877989769</v>
      </c>
      <c r="U60" s="60">
        <v>3.1163625719999999</v>
      </c>
      <c r="V60" s="51" t="b">
        <v>0</v>
      </c>
      <c r="W60" s="60">
        <v>4.091411591</v>
      </c>
      <c r="X60" s="60">
        <v>4.8511109350000003</v>
      </c>
      <c r="Y60" s="51" t="b">
        <v>0</v>
      </c>
      <c r="Z60" s="60">
        <v>0.96556448900000003</v>
      </c>
      <c r="AA60" s="60">
        <v>4.6418323519999998</v>
      </c>
      <c r="AB60" s="60">
        <v>2.2942702769999999</v>
      </c>
      <c r="AC60" s="60">
        <v>8.8263921740000004</v>
      </c>
      <c r="AD60" s="60">
        <v>7.5047678949999996</v>
      </c>
      <c r="AE60" s="60">
        <v>9.1504468919999997</v>
      </c>
      <c r="AF60" s="60">
        <v>13.707313539999999</v>
      </c>
      <c r="AG60" s="60">
        <v>19.25078392</v>
      </c>
      <c r="AH60" s="60">
        <v>18.148782730000001</v>
      </c>
      <c r="AI60" s="41">
        <v>2</v>
      </c>
      <c r="AJ60" s="41">
        <v>4</v>
      </c>
      <c r="AK60" s="41" t="s">
        <v>12272</v>
      </c>
      <c r="AO60" s="50"/>
    </row>
    <row r="61" spans="1:41" ht="15.75" customHeight="1">
      <c r="A61" s="4" t="s">
        <v>3179</v>
      </c>
      <c r="B61" s="50" t="s">
        <v>12859</v>
      </c>
      <c r="C61" s="4" t="s">
        <v>2971</v>
      </c>
      <c r="D61" s="4" t="s">
        <v>4951</v>
      </c>
      <c r="E61" s="4" t="s">
        <v>108</v>
      </c>
      <c r="F61" s="4" t="s">
        <v>2911</v>
      </c>
      <c r="G61" s="41" t="s">
        <v>4983</v>
      </c>
      <c r="H61" s="4" t="s">
        <v>3075</v>
      </c>
      <c r="I61" s="4">
        <v>2.59</v>
      </c>
      <c r="J61" s="4">
        <v>1.07</v>
      </c>
      <c r="K61" s="4">
        <v>0.24398</v>
      </c>
      <c r="L61" s="4" t="s">
        <v>12272</v>
      </c>
      <c r="M61" s="4" t="s">
        <v>4929</v>
      </c>
      <c r="N61" s="60">
        <v>2.870893717</v>
      </c>
      <c r="O61" s="60">
        <v>5.1964945790000003</v>
      </c>
      <c r="P61" s="60">
        <v>6.9152727130000002</v>
      </c>
      <c r="Q61" s="60">
        <v>2.870893717</v>
      </c>
      <c r="R61" s="51" t="b">
        <v>1</v>
      </c>
      <c r="S61" s="60">
        <v>5.706392288</v>
      </c>
      <c r="T61" s="60">
        <v>6.146366596</v>
      </c>
      <c r="U61" s="60">
        <v>5.706392288</v>
      </c>
      <c r="V61" s="51" t="b">
        <v>0</v>
      </c>
      <c r="W61" s="60">
        <v>3.5859591960000001</v>
      </c>
      <c r="X61" s="60">
        <v>3.276484489</v>
      </c>
      <c r="Y61" s="51" t="b">
        <v>1</v>
      </c>
      <c r="Z61" s="60">
        <v>2.3623323439999999</v>
      </c>
      <c r="AA61" s="60">
        <v>4.6071138380000001</v>
      </c>
      <c r="AB61" s="60">
        <v>0.55389702299999999</v>
      </c>
      <c r="AC61" s="60">
        <v>7.6160445210000001</v>
      </c>
      <c r="AD61" s="60">
        <v>7.1544265749999996</v>
      </c>
      <c r="AE61" s="60">
        <v>8.1200361250000004</v>
      </c>
      <c r="AF61" s="60">
        <v>12.59631443</v>
      </c>
      <c r="AG61" s="60">
        <v>18.121404649999999</v>
      </c>
      <c r="AH61" s="60">
        <v>18.603349690000002</v>
      </c>
      <c r="AI61" s="41">
        <v>1</v>
      </c>
      <c r="AO61" s="50"/>
    </row>
    <row r="62" spans="1:41" ht="15.75" customHeight="1">
      <c r="A62" s="4" t="s">
        <v>3180</v>
      </c>
      <c r="B62" s="50" t="s">
        <v>12873</v>
      </c>
      <c r="C62" s="4" t="s">
        <v>2972</v>
      </c>
      <c r="D62" s="4" t="s">
        <v>4951</v>
      </c>
      <c r="E62" s="4" t="s">
        <v>108</v>
      </c>
      <c r="F62" s="4" t="s">
        <v>2911</v>
      </c>
      <c r="G62" s="4" t="s">
        <v>4984</v>
      </c>
      <c r="H62" s="4" t="s">
        <v>3076</v>
      </c>
      <c r="I62" s="4">
        <v>2.62</v>
      </c>
      <c r="J62" s="4">
        <v>1.07</v>
      </c>
      <c r="K62" s="4">
        <v>0.24898999999999999</v>
      </c>
      <c r="L62" s="4" t="s">
        <v>12272</v>
      </c>
      <c r="M62" s="4" t="s">
        <v>4929</v>
      </c>
      <c r="N62" s="60">
        <v>3.7998657229999999</v>
      </c>
      <c r="O62" s="60">
        <v>6.0087323189999999</v>
      </c>
      <c r="P62" s="60">
        <v>7.5200266840000003</v>
      </c>
      <c r="Q62" s="60">
        <v>3.7998657229999999</v>
      </c>
      <c r="R62" s="51" t="b">
        <v>0</v>
      </c>
      <c r="S62" s="60">
        <v>6.3189411160000004</v>
      </c>
      <c r="T62" s="60">
        <v>6.163826942</v>
      </c>
      <c r="U62" s="60">
        <v>6.163826942</v>
      </c>
      <c r="V62" s="51" t="b">
        <v>0</v>
      </c>
      <c r="W62" s="60">
        <v>3.885308743</v>
      </c>
      <c r="X62" s="60">
        <v>2.878039598</v>
      </c>
      <c r="Y62" s="51" t="b">
        <v>1</v>
      </c>
      <c r="Z62" s="60">
        <v>3.0906641480000001</v>
      </c>
      <c r="AA62" s="60">
        <v>1.4530175919999999</v>
      </c>
      <c r="AB62" s="60">
        <v>2.7634174819999999</v>
      </c>
      <c r="AC62" s="60">
        <v>4.6204590799999998</v>
      </c>
      <c r="AD62" s="60">
        <v>4.081286907</v>
      </c>
      <c r="AE62" s="60">
        <v>6.9081201549999998</v>
      </c>
      <c r="AF62" s="60">
        <v>11.81247711</v>
      </c>
      <c r="AG62" s="60">
        <v>15.99378872</v>
      </c>
      <c r="AH62" s="60">
        <v>19.560956950000001</v>
      </c>
      <c r="AO62" s="50"/>
    </row>
    <row r="63" spans="1:41" ht="15.75" customHeight="1">
      <c r="A63" s="4" t="s">
        <v>3181</v>
      </c>
      <c r="B63" s="50" t="s">
        <v>12840</v>
      </c>
      <c r="C63" s="4" t="s">
        <v>2973</v>
      </c>
      <c r="D63" s="4" t="s">
        <v>4951</v>
      </c>
      <c r="E63" s="4" t="s">
        <v>108</v>
      </c>
      <c r="F63" s="4" t="s">
        <v>2911</v>
      </c>
      <c r="G63" s="4" t="s">
        <v>4985</v>
      </c>
      <c r="H63" s="4" t="s">
        <v>3077</v>
      </c>
      <c r="I63" s="4">
        <v>2.63</v>
      </c>
      <c r="J63" s="4">
        <v>1.1399999999999999</v>
      </c>
      <c r="K63" s="4">
        <v>0.24912000000000001</v>
      </c>
      <c r="L63" s="4" t="s">
        <v>12272</v>
      </c>
      <c r="M63" s="4" t="s">
        <v>4929</v>
      </c>
      <c r="N63" s="60">
        <v>2.741711617</v>
      </c>
      <c r="O63" s="60">
        <v>3.7992815969999998</v>
      </c>
      <c r="P63" s="60">
        <v>5.9909400939999999</v>
      </c>
      <c r="Q63" s="60">
        <v>2.741711617</v>
      </c>
      <c r="R63" s="51" t="b">
        <v>1</v>
      </c>
      <c r="S63" s="60">
        <v>5.0546479230000001</v>
      </c>
      <c r="T63" s="60">
        <v>6.2940487860000003</v>
      </c>
      <c r="U63" s="60">
        <v>5.0546479230000001</v>
      </c>
      <c r="V63" s="51" t="b">
        <v>0</v>
      </c>
      <c r="W63" s="60">
        <v>3.9135406019999999</v>
      </c>
      <c r="X63" s="60">
        <v>3.0222148899999999</v>
      </c>
      <c r="Y63" s="51" t="b">
        <v>1</v>
      </c>
      <c r="Z63" s="60">
        <v>1.5400117639999999</v>
      </c>
      <c r="AA63" s="60">
        <v>4.4811449049999998</v>
      </c>
      <c r="AB63" s="60">
        <v>1.4487073420000001</v>
      </c>
      <c r="AC63" s="60">
        <v>8.4516954420000001</v>
      </c>
      <c r="AD63" s="60">
        <v>7.26603508</v>
      </c>
      <c r="AE63" s="60">
        <v>9.171664238</v>
      </c>
      <c r="AF63" s="60">
        <v>13.466328620000001</v>
      </c>
      <c r="AG63" s="60">
        <v>19.15841103</v>
      </c>
      <c r="AH63" s="60">
        <v>18.4537735</v>
      </c>
      <c r="AI63" s="41">
        <v>2</v>
      </c>
      <c r="AJ63" s="50" t="s">
        <v>12768</v>
      </c>
      <c r="AO63" s="50"/>
    </row>
    <row r="64" spans="1:41" ht="15.75" customHeight="1">
      <c r="A64" s="4" t="s">
        <v>3182</v>
      </c>
      <c r="B64" s="50" t="s">
        <v>12928</v>
      </c>
      <c r="C64" s="4" t="s">
        <v>2974</v>
      </c>
      <c r="D64" s="4" t="s">
        <v>4951</v>
      </c>
      <c r="E64" s="4" t="s">
        <v>108</v>
      </c>
      <c r="F64" s="4" t="s">
        <v>2911</v>
      </c>
      <c r="G64" s="4" t="s">
        <v>5090</v>
      </c>
      <c r="H64" s="4" t="s">
        <v>3078</v>
      </c>
      <c r="I64" s="4">
        <v>2.67</v>
      </c>
      <c r="J64" s="4">
        <v>1.04</v>
      </c>
      <c r="K64" s="4">
        <v>0.23213</v>
      </c>
      <c r="L64" s="4" t="s">
        <v>5087</v>
      </c>
      <c r="M64" s="4" t="s">
        <v>5087</v>
      </c>
      <c r="N64" s="60">
        <v>16.5968895</v>
      </c>
      <c r="O64" s="60">
        <v>14.39363861</v>
      </c>
      <c r="P64" s="60">
        <v>15.02323818</v>
      </c>
      <c r="Q64" s="60">
        <v>14.39363861</v>
      </c>
      <c r="R64" s="51" t="b">
        <v>0</v>
      </c>
      <c r="S64" s="60">
        <v>18.374210359999999</v>
      </c>
      <c r="T64" s="60">
        <v>21.17876244</v>
      </c>
      <c r="U64" s="60">
        <v>18.374210359999999</v>
      </c>
      <c r="V64" s="51" t="b">
        <v>0</v>
      </c>
      <c r="W64" s="60">
        <v>21.141847609999999</v>
      </c>
      <c r="X64" s="60">
        <v>24.489425659999998</v>
      </c>
      <c r="Y64" s="51" t="b">
        <v>0</v>
      </c>
      <c r="Z64" s="60">
        <v>17.34580231</v>
      </c>
      <c r="AA64" s="60">
        <v>21.72030449</v>
      </c>
      <c r="AB64" s="60">
        <v>19.707899090000002</v>
      </c>
      <c r="AC64" s="60">
        <v>25.744071959999999</v>
      </c>
      <c r="AD64" s="60">
        <v>20.995370860000001</v>
      </c>
      <c r="AE64" s="60">
        <v>22.80505943</v>
      </c>
      <c r="AF64" s="60">
        <v>24.772066120000002</v>
      </c>
      <c r="AG64" s="60">
        <v>29.872585300000001</v>
      </c>
      <c r="AH64" s="60">
        <v>7.0606985089999998</v>
      </c>
      <c r="AO64" s="50"/>
    </row>
    <row r="65" spans="1:41" ht="15.75" customHeight="1">
      <c r="A65" s="4" t="s">
        <v>3183</v>
      </c>
      <c r="B65" s="50" t="s">
        <v>12953</v>
      </c>
      <c r="C65" s="4" t="s">
        <v>2975</v>
      </c>
      <c r="D65" s="4" t="s">
        <v>4951</v>
      </c>
      <c r="E65" s="4" t="s">
        <v>108</v>
      </c>
      <c r="F65" s="4" t="s">
        <v>2911</v>
      </c>
      <c r="G65" s="41" t="s">
        <v>5158</v>
      </c>
      <c r="H65" s="4" t="s">
        <v>3079</v>
      </c>
      <c r="I65" s="4">
        <v>2.68</v>
      </c>
      <c r="J65" s="4">
        <v>1.1499999999999999</v>
      </c>
      <c r="K65" s="4">
        <v>0.26406000000000002</v>
      </c>
      <c r="L65" s="4" t="s">
        <v>4955</v>
      </c>
      <c r="M65" s="4" t="s">
        <v>4955</v>
      </c>
      <c r="N65" s="60">
        <v>15.68244076</v>
      </c>
      <c r="O65" s="60">
        <v>17.03543282</v>
      </c>
      <c r="P65" s="60">
        <v>21.475543980000001</v>
      </c>
      <c r="Q65" s="60">
        <v>15.68244076</v>
      </c>
      <c r="R65" s="51" t="b">
        <v>0</v>
      </c>
      <c r="S65" s="60">
        <v>22.619443889999999</v>
      </c>
      <c r="T65" s="60">
        <v>24.470056530000001</v>
      </c>
      <c r="U65" s="60">
        <v>22.619443889999999</v>
      </c>
      <c r="V65" s="51" t="b">
        <v>0</v>
      </c>
      <c r="W65" s="60">
        <v>20.789806370000001</v>
      </c>
      <c r="X65" s="60">
        <v>19.024780270000001</v>
      </c>
      <c r="Y65" s="51" t="b">
        <v>0</v>
      </c>
      <c r="Z65" s="60">
        <v>18.681446080000001</v>
      </c>
      <c r="AA65" s="60">
        <v>23.40534019</v>
      </c>
      <c r="AB65" s="60">
        <v>14.18901634</v>
      </c>
      <c r="AC65" s="60">
        <v>27.30921936</v>
      </c>
      <c r="AD65" s="60">
        <v>21.096918110000001</v>
      </c>
      <c r="AE65" s="60">
        <v>19.451635360000001</v>
      </c>
      <c r="AF65" s="60">
        <v>19.25751305</v>
      </c>
      <c r="AG65" s="60">
        <v>25.681447980000002</v>
      </c>
      <c r="AH65" s="60">
        <v>10.88474751</v>
      </c>
      <c r="AO65" s="50"/>
    </row>
    <row r="66" spans="1:41" ht="15.75" customHeight="1">
      <c r="A66" s="4" t="s">
        <v>3184</v>
      </c>
      <c r="B66" s="50" t="s">
        <v>12837</v>
      </c>
      <c r="C66" s="4" t="s">
        <v>2976</v>
      </c>
      <c r="D66" s="4" t="s">
        <v>4951</v>
      </c>
      <c r="E66" s="4" t="s">
        <v>108</v>
      </c>
      <c r="F66" s="4" t="s">
        <v>2911</v>
      </c>
      <c r="G66" s="4" t="s">
        <v>4986</v>
      </c>
      <c r="H66" s="4" t="s">
        <v>3080</v>
      </c>
      <c r="I66" s="4">
        <v>2.86</v>
      </c>
      <c r="J66" s="4">
        <v>1.1200000000000001</v>
      </c>
      <c r="K66" s="4">
        <v>0.23563999999999999</v>
      </c>
      <c r="L66" s="4" t="s">
        <v>12272</v>
      </c>
      <c r="M66" s="4" t="s">
        <v>4929</v>
      </c>
      <c r="N66" s="60">
        <v>3.1026136879999999</v>
      </c>
      <c r="O66" s="60">
        <v>3.3895707129999999</v>
      </c>
      <c r="P66" s="60">
        <v>5.6888184549999998</v>
      </c>
      <c r="Q66" s="60">
        <v>3.1026136879999999</v>
      </c>
      <c r="R66" s="51" t="b">
        <v>1</v>
      </c>
      <c r="S66" s="60">
        <v>4.984986782</v>
      </c>
      <c r="T66" s="60">
        <v>6.7277688979999999</v>
      </c>
      <c r="U66" s="60">
        <v>4.984986782</v>
      </c>
      <c r="V66" s="51" t="b">
        <v>0</v>
      </c>
      <c r="W66" s="60">
        <v>4.147246838</v>
      </c>
      <c r="X66" s="60">
        <v>3.3275578019999998</v>
      </c>
      <c r="Y66" s="51" t="b">
        <v>1</v>
      </c>
      <c r="Z66" s="60">
        <v>0.251451164</v>
      </c>
      <c r="AA66" s="60">
        <v>4.5564861299999997</v>
      </c>
      <c r="AB66" s="60">
        <v>2.875530243</v>
      </c>
      <c r="AC66" s="60">
        <v>8.7019834520000003</v>
      </c>
      <c r="AD66" s="60">
        <v>7.3331537249999998</v>
      </c>
      <c r="AE66" s="60">
        <v>9.3594341280000002</v>
      </c>
      <c r="AF66" s="60">
        <v>13.993605609999999</v>
      </c>
      <c r="AG66" s="60">
        <v>19.424169540000001</v>
      </c>
      <c r="AH66" s="60">
        <v>18.246961590000002</v>
      </c>
      <c r="AI66" s="41">
        <v>2</v>
      </c>
      <c r="AJ66" s="41">
        <v>1</v>
      </c>
      <c r="AO66" s="50"/>
    </row>
    <row r="67" spans="1:41" ht="15.75" customHeight="1">
      <c r="A67" s="4" t="s">
        <v>3185</v>
      </c>
      <c r="B67" s="50" t="s">
        <v>12769</v>
      </c>
      <c r="C67" s="4" t="s">
        <v>2977</v>
      </c>
      <c r="D67" s="4" t="s">
        <v>4951</v>
      </c>
      <c r="E67" s="4" t="s">
        <v>108</v>
      </c>
      <c r="F67" s="4" t="s">
        <v>2911</v>
      </c>
      <c r="G67" s="41" t="s">
        <v>5131</v>
      </c>
      <c r="H67" s="4" t="s">
        <v>3081</v>
      </c>
      <c r="I67" s="4">
        <v>1.37</v>
      </c>
      <c r="J67" s="4">
        <v>1.05</v>
      </c>
      <c r="K67" s="4">
        <v>0.23971999999999999</v>
      </c>
      <c r="L67" s="4" t="s">
        <v>12722</v>
      </c>
      <c r="M67" s="4" t="s">
        <v>4929</v>
      </c>
      <c r="N67" s="60">
        <v>9.0988874440000007</v>
      </c>
      <c r="O67" s="60">
        <v>7.3465719219999999</v>
      </c>
      <c r="P67" s="60">
        <v>3.9846053119999998</v>
      </c>
      <c r="Q67" s="60">
        <v>3.9846053119999998</v>
      </c>
      <c r="R67" s="51" t="b">
        <v>0</v>
      </c>
      <c r="S67" s="60">
        <v>2.9327738289999998</v>
      </c>
      <c r="T67" s="60">
        <v>2.9652156829999998</v>
      </c>
      <c r="U67" s="60">
        <v>2.9327738289999998</v>
      </c>
      <c r="V67" s="51" t="b">
        <v>1</v>
      </c>
      <c r="W67" s="60">
        <v>5.3589444159999999</v>
      </c>
      <c r="X67" s="60">
        <v>8.6027727130000002</v>
      </c>
      <c r="Y67" s="51" t="b">
        <v>0</v>
      </c>
      <c r="Z67" s="60">
        <v>4.0443139080000003</v>
      </c>
      <c r="AA67" s="60">
        <v>1.234185815</v>
      </c>
      <c r="AB67" s="60">
        <v>10.52620411</v>
      </c>
      <c r="AC67" s="60">
        <v>0.41685673600000001</v>
      </c>
      <c r="AD67" s="60">
        <v>6.3413386340000004</v>
      </c>
      <c r="AE67" s="60">
        <v>9.9543800349999998</v>
      </c>
      <c r="AF67" s="60">
        <v>14.783879280000001</v>
      </c>
      <c r="AG67" s="60">
        <v>18.583280559999999</v>
      </c>
      <c r="AH67" s="60">
        <v>21.492448809999999</v>
      </c>
      <c r="AK67" s="41">
        <v>2</v>
      </c>
      <c r="AL67" s="41">
        <v>1</v>
      </c>
      <c r="AM67" s="41" t="s">
        <v>12724</v>
      </c>
      <c r="AO67" s="50"/>
    </row>
    <row r="68" spans="1:41" ht="15.75" customHeight="1">
      <c r="A68" s="4" t="s">
        <v>3186</v>
      </c>
      <c r="B68" s="50" t="s">
        <v>12882</v>
      </c>
      <c r="C68" s="4" t="s">
        <v>2978</v>
      </c>
      <c r="D68" s="4" t="s">
        <v>4951</v>
      </c>
      <c r="E68" s="4" t="s">
        <v>108</v>
      </c>
      <c r="F68" s="4" t="s">
        <v>2911</v>
      </c>
      <c r="G68" s="41" t="s">
        <v>5143</v>
      </c>
      <c r="H68" s="4" t="s">
        <v>3082</v>
      </c>
      <c r="I68" s="4">
        <v>1.38</v>
      </c>
      <c r="J68" s="4">
        <v>1.1599999999999999</v>
      </c>
      <c r="K68" s="4">
        <v>0.22467999999999999</v>
      </c>
      <c r="L68" s="4" t="s">
        <v>12779</v>
      </c>
      <c r="M68" s="4" t="s">
        <v>4929</v>
      </c>
      <c r="N68" s="60">
        <v>13.427466389999999</v>
      </c>
      <c r="O68" s="60">
        <v>12.78301811</v>
      </c>
      <c r="P68" s="60">
        <v>9.5204677580000006</v>
      </c>
      <c r="Q68" s="60">
        <v>9.5204677580000006</v>
      </c>
      <c r="R68" s="51" t="b">
        <v>0</v>
      </c>
      <c r="S68" s="60">
        <v>7.861337185</v>
      </c>
      <c r="T68" s="60">
        <v>6.8642468450000003</v>
      </c>
      <c r="U68" s="60">
        <v>6.8642468450000003</v>
      </c>
      <c r="V68" s="51" t="b">
        <v>0</v>
      </c>
      <c r="W68" s="60">
        <v>8.7131357190000003</v>
      </c>
      <c r="X68" s="60">
        <v>11.37220097</v>
      </c>
      <c r="Y68" s="51" t="b">
        <v>0</v>
      </c>
      <c r="Z68" s="60">
        <v>8.8506450650000001</v>
      </c>
      <c r="AA68" s="60">
        <v>3.5241196160000001</v>
      </c>
      <c r="AB68" s="60">
        <v>14.499854089999999</v>
      </c>
      <c r="AC68" s="60">
        <v>1.2458528280000001</v>
      </c>
      <c r="AD68" s="60">
        <v>8.1397304530000003</v>
      </c>
      <c r="AE68" s="60">
        <v>11.55616856</v>
      </c>
      <c r="AF68" s="60">
        <v>16.241394039999999</v>
      </c>
      <c r="AG68" s="60">
        <v>18.288576129999999</v>
      </c>
      <c r="AH68" s="60">
        <v>26.555067059999999</v>
      </c>
      <c r="AO68" s="50"/>
    </row>
    <row r="69" spans="1:41" ht="15.75" customHeight="1">
      <c r="A69" s="4" t="s">
        <v>3187</v>
      </c>
      <c r="B69" s="50" t="s">
        <v>12971</v>
      </c>
      <c r="C69" s="4" t="s">
        <v>2979</v>
      </c>
      <c r="D69" s="4" t="s">
        <v>4951</v>
      </c>
      <c r="E69" s="4" t="s">
        <v>108</v>
      </c>
      <c r="F69" s="4" t="s">
        <v>2911</v>
      </c>
      <c r="G69" s="4" t="s">
        <v>5173</v>
      </c>
      <c r="H69" s="4" t="s">
        <v>3083</v>
      </c>
      <c r="I69" s="4">
        <v>1.54</v>
      </c>
      <c r="J69" s="4">
        <v>1.1000000000000001</v>
      </c>
      <c r="K69" s="4">
        <v>0.22442000000000001</v>
      </c>
      <c r="L69" s="4" t="s">
        <v>5164</v>
      </c>
      <c r="M69" s="4" t="s">
        <v>5164</v>
      </c>
      <c r="N69" s="60">
        <v>30.557466510000001</v>
      </c>
      <c r="O69" s="60">
        <v>28.013534549999999</v>
      </c>
      <c r="P69" s="60">
        <v>23.886135100000001</v>
      </c>
      <c r="Q69" s="60">
        <v>23.886135100000001</v>
      </c>
      <c r="R69" s="51" t="b">
        <v>0</v>
      </c>
      <c r="S69" s="60">
        <v>26.767108919999998</v>
      </c>
      <c r="T69" s="60">
        <v>28.437162399999998</v>
      </c>
      <c r="U69" s="60">
        <v>26.767108919999998</v>
      </c>
      <c r="V69" s="51" t="b">
        <v>0</v>
      </c>
      <c r="W69" s="60">
        <v>28.66454697</v>
      </c>
      <c r="X69" s="60">
        <v>37.948181150000003</v>
      </c>
      <c r="Y69" s="51" t="b">
        <v>0</v>
      </c>
      <c r="Z69" s="60">
        <v>23.967872620000001</v>
      </c>
      <c r="AA69" s="60">
        <v>22.473434449999999</v>
      </c>
      <c r="AB69" s="60">
        <v>28.71455765</v>
      </c>
      <c r="AC69" s="60">
        <v>23.729995729999999</v>
      </c>
      <c r="AD69" s="60">
        <v>16.757089610000001</v>
      </c>
      <c r="AE69" s="60">
        <v>16.040618899999998</v>
      </c>
      <c r="AF69" s="60">
        <v>14.18350601</v>
      </c>
      <c r="AG69" s="60">
        <v>14.32317162</v>
      </c>
      <c r="AH69" s="60">
        <v>28.988916400000001</v>
      </c>
      <c r="AO69" s="50"/>
    </row>
    <row r="70" spans="1:41" ht="15.75" customHeight="1">
      <c r="A70" s="4" t="s">
        <v>3188</v>
      </c>
      <c r="B70" s="50" t="s">
        <v>12836</v>
      </c>
      <c r="C70" s="4" t="s">
        <v>2980</v>
      </c>
      <c r="D70" s="4" t="s">
        <v>4951</v>
      </c>
      <c r="E70" s="4" t="s">
        <v>108</v>
      </c>
      <c r="F70" s="4" t="s">
        <v>2911</v>
      </c>
      <c r="G70" s="41" t="s">
        <v>5144</v>
      </c>
      <c r="H70" s="4" t="s">
        <v>3084</v>
      </c>
      <c r="I70" s="4">
        <v>1.61</v>
      </c>
      <c r="J70" s="4">
        <v>1.1299999999999999</v>
      </c>
      <c r="K70" s="4">
        <v>0.24118999999999999</v>
      </c>
      <c r="L70" s="4" t="s">
        <v>12779</v>
      </c>
      <c r="M70" s="4" t="s">
        <v>4929</v>
      </c>
      <c r="N70" s="60">
        <v>10.875454899999999</v>
      </c>
      <c r="O70" s="60">
        <v>10.501807210000001</v>
      </c>
      <c r="P70" s="60">
        <v>7.7815814019999996</v>
      </c>
      <c r="Q70" s="60">
        <v>7.7815814019999996</v>
      </c>
      <c r="R70" s="51" t="b">
        <v>0</v>
      </c>
      <c r="S70" s="60">
        <v>5.8051147460000001</v>
      </c>
      <c r="T70" s="60">
        <v>4.8918476100000001</v>
      </c>
      <c r="U70" s="60">
        <v>4.8918476100000001</v>
      </c>
      <c r="V70" s="51" t="b">
        <v>0</v>
      </c>
      <c r="W70" s="60">
        <v>7.0564651490000001</v>
      </c>
      <c r="X70" s="60">
        <v>9.2634744639999997</v>
      </c>
      <c r="Y70" s="51" t="b">
        <v>0</v>
      </c>
      <c r="Z70" s="60">
        <v>6.5028309819999999</v>
      </c>
      <c r="AA70" s="60">
        <v>1.2886955739999999</v>
      </c>
      <c r="AB70" s="60">
        <v>12.60819244</v>
      </c>
      <c r="AC70" s="60">
        <v>0.39841494</v>
      </c>
      <c r="AD70" s="60">
        <v>7.0607938770000001</v>
      </c>
      <c r="AE70" s="60">
        <v>10.74034691</v>
      </c>
      <c r="AF70" s="60">
        <v>15.57890892</v>
      </c>
      <c r="AG70" s="60">
        <v>18.576347349999999</v>
      </c>
      <c r="AH70" s="60">
        <v>24.638401030000001</v>
      </c>
      <c r="AO70" s="50"/>
    </row>
    <row r="71" spans="1:41" ht="15.75" customHeight="1">
      <c r="A71" s="4" t="s">
        <v>3189</v>
      </c>
      <c r="B71" s="50" t="s">
        <v>12917</v>
      </c>
      <c r="C71" s="4" t="s">
        <v>2981</v>
      </c>
      <c r="D71" s="4" t="s">
        <v>4951</v>
      </c>
      <c r="E71" s="4" t="s">
        <v>108</v>
      </c>
      <c r="F71" s="4" t="s">
        <v>2911</v>
      </c>
      <c r="G71" s="41" t="s">
        <v>5145</v>
      </c>
      <c r="H71" s="4" t="s">
        <v>3085</v>
      </c>
      <c r="I71" s="4">
        <v>1.71</v>
      </c>
      <c r="J71" s="4">
        <v>1.17</v>
      </c>
      <c r="K71" s="4">
        <v>0.23025999999999999</v>
      </c>
      <c r="L71" s="4" t="s">
        <v>12779</v>
      </c>
      <c r="M71" s="4" t="s">
        <v>4929</v>
      </c>
      <c r="N71" s="60">
        <v>18.47970772</v>
      </c>
      <c r="O71" s="60">
        <v>17.206651690000001</v>
      </c>
      <c r="P71" s="60">
        <v>13.487542149999999</v>
      </c>
      <c r="Q71" s="60">
        <v>13.487542149999999</v>
      </c>
      <c r="R71" s="51" t="b">
        <v>0</v>
      </c>
      <c r="S71" s="60">
        <v>11.86686707</v>
      </c>
      <c r="T71" s="60">
        <v>10.61754036</v>
      </c>
      <c r="U71" s="60">
        <v>10.61754036</v>
      </c>
      <c r="V71" s="51" t="b">
        <v>0</v>
      </c>
      <c r="W71" s="60">
        <v>13.72679138</v>
      </c>
      <c r="X71" s="60">
        <v>18.682371140000001</v>
      </c>
      <c r="Y71" s="51" t="b">
        <v>0</v>
      </c>
      <c r="Z71" s="60">
        <v>13.299149509999999</v>
      </c>
      <c r="AA71" s="60">
        <v>7.9698109629999996</v>
      </c>
      <c r="AB71" s="60">
        <v>19.263652799999999</v>
      </c>
      <c r="AC71" s="60">
        <v>4.5007300380000004</v>
      </c>
      <c r="AD71" s="60">
        <v>11.397643090000001</v>
      </c>
      <c r="AE71" s="60">
        <v>13.4098568</v>
      </c>
      <c r="AF71" s="60">
        <v>14.037754059999999</v>
      </c>
      <c r="AG71" s="60">
        <v>18.475536349999999</v>
      </c>
      <c r="AH71" s="60">
        <v>29.086147310000001</v>
      </c>
      <c r="AO71" s="50"/>
    </row>
    <row r="72" spans="1:41" ht="15.75" customHeight="1">
      <c r="A72" s="4" t="s">
        <v>3190</v>
      </c>
      <c r="B72" s="50" t="s">
        <v>12855</v>
      </c>
      <c r="C72" s="4" t="s">
        <v>2982</v>
      </c>
      <c r="D72" s="4" t="s">
        <v>4951</v>
      </c>
      <c r="E72" s="4" t="s">
        <v>108</v>
      </c>
      <c r="F72" s="4" t="s">
        <v>2911</v>
      </c>
      <c r="G72" s="4" t="s">
        <v>4987</v>
      </c>
      <c r="H72" s="4" t="s">
        <v>3086</v>
      </c>
      <c r="I72" s="4">
        <v>1.75</v>
      </c>
      <c r="J72" s="4">
        <v>1.01</v>
      </c>
      <c r="K72" s="4">
        <v>0.22864000000000001</v>
      </c>
      <c r="L72" s="4" t="s">
        <v>12272</v>
      </c>
      <c r="M72" s="4" t="s">
        <v>4929</v>
      </c>
      <c r="N72" s="60">
        <v>4.5537409780000004</v>
      </c>
      <c r="O72" s="60">
        <v>6.0416121479999996</v>
      </c>
      <c r="P72" s="60">
        <v>6.7782464029999998</v>
      </c>
      <c r="Q72" s="60">
        <v>4.5537409780000004</v>
      </c>
      <c r="R72" s="51" t="b">
        <v>0</v>
      </c>
      <c r="S72" s="60">
        <v>5.5176615719999997</v>
      </c>
      <c r="T72" s="60">
        <v>5.8238396640000003</v>
      </c>
      <c r="U72" s="60">
        <v>5.5176615719999997</v>
      </c>
      <c r="V72" s="51" t="b">
        <v>0</v>
      </c>
      <c r="W72" s="60">
        <v>3.2736067769999999</v>
      </c>
      <c r="X72" s="60">
        <v>5.0473775859999996</v>
      </c>
      <c r="Y72" s="51" t="b">
        <v>0</v>
      </c>
      <c r="Z72" s="60">
        <v>2.165400982</v>
      </c>
      <c r="AA72" s="60">
        <v>3.307876587</v>
      </c>
      <c r="AB72" s="60">
        <v>3.7357199190000001</v>
      </c>
      <c r="AC72" s="60">
        <v>7.2322974210000002</v>
      </c>
      <c r="AD72" s="60">
        <v>6.4904499050000002</v>
      </c>
      <c r="AE72" s="60">
        <v>8.1637220379999995</v>
      </c>
      <c r="AF72" s="60">
        <v>12.684165950000001</v>
      </c>
      <c r="AG72" s="60">
        <v>18.278432850000002</v>
      </c>
      <c r="AH72" s="60">
        <v>18.251077649999999</v>
      </c>
      <c r="AO72" s="50"/>
    </row>
    <row r="73" spans="1:41" ht="15.75" customHeight="1">
      <c r="A73" s="4" t="s">
        <v>3191</v>
      </c>
      <c r="B73" s="50" t="s">
        <v>12877</v>
      </c>
      <c r="C73" s="4" t="s">
        <v>2983</v>
      </c>
      <c r="D73" s="4" t="s">
        <v>4951</v>
      </c>
      <c r="E73" s="4" t="s">
        <v>108</v>
      </c>
      <c r="F73" s="4" t="s">
        <v>2911</v>
      </c>
      <c r="G73" s="4" t="s">
        <v>4988</v>
      </c>
      <c r="H73" s="4" t="s">
        <v>3087</v>
      </c>
      <c r="I73" s="4">
        <v>1.8</v>
      </c>
      <c r="J73" s="4">
        <v>1.17</v>
      </c>
      <c r="K73" s="4">
        <v>0.22306000000000001</v>
      </c>
      <c r="L73" s="4" t="s">
        <v>12272</v>
      </c>
      <c r="M73" s="4" t="s">
        <v>4929</v>
      </c>
      <c r="N73" s="60">
        <v>2.7332031730000002</v>
      </c>
      <c r="O73" s="60">
        <v>5.1705813410000001</v>
      </c>
      <c r="P73" s="60">
        <v>7.8586144449999997</v>
      </c>
      <c r="Q73" s="60">
        <v>2.7332031730000002</v>
      </c>
      <c r="R73" s="51" t="b">
        <v>1</v>
      </c>
      <c r="S73" s="60">
        <v>6.6422142979999999</v>
      </c>
      <c r="T73" s="60">
        <v>7.2272629740000003</v>
      </c>
      <c r="U73" s="60">
        <v>6.6422142979999999</v>
      </c>
      <c r="V73" s="51" t="b">
        <v>0</v>
      </c>
      <c r="W73" s="60">
        <v>4.0783681869999997</v>
      </c>
      <c r="X73" s="60">
        <v>4.6879987720000003</v>
      </c>
      <c r="Y73" s="51" t="b">
        <v>0</v>
      </c>
      <c r="Z73" s="60">
        <v>1.929690361</v>
      </c>
      <c r="AA73" s="60">
        <v>3.789523602</v>
      </c>
      <c r="AB73" s="60">
        <v>1.5427538160000001</v>
      </c>
      <c r="AC73" s="60">
        <v>7.3984799389999996</v>
      </c>
      <c r="AD73" s="60">
        <v>5.8121795650000001</v>
      </c>
      <c r="AE73" s="60">
        <v>7.7614979740000001</v>
      </c>
      <c r="AF73" s="60">
        <v>12.56996155</v>
      </c>
      <c r="AG73" s="60">
        <v>17.655559539999999</v>
      </c>
      <c r="AH73" s="60">
        <v>18.571638109999999</v>
      </c>
      <c r="AI73" s="41">
        <v>1</v>
      </c>
      <c r="AO73" s="50"/>
    </row>
    <row r="74" spans="1:41" ht="15.75" customHeight="1">
      <c r="A74" s="4" t="s">
        <v>3192</v>
      </c>
      <c r="B74" s="50" t="s">
        <v>12810</v>
      </c>
      <c r="C74" s="4" t="s">
        <v>2984</v>
      </c>
      <c r="D74" s="4" t="s">
        <v>4951</v>
      </c>
      <c r="E74" s="4" t="s">
        <v>108</v>
      </c>
      <c r="F74" s="4" t="s">
        <v>2911</v>
      </c>
      <c r="G74" s="4" t="s">
        <v>4989</v>
      </c>
      <c r="H74" s="4" t="s">
        <v>3088</v>
      </c>
      <c r="I74" s="4">
        <v>1.83</v>
      </c>
      <c r="J74" s="4">
        <v>1.08</v>
      </c>
      <c r="K74" s="4">
        <v>0.22425</v>
      </c>
      <c r="L74" s="4" t="s">
        <v>12272</v>
      </c>
      <c r="M74" s="4" t="s">
        <v>4929</v>
      </c>
      <c r="N74" s="60">
        <v>2.905612707</v>
      </c>
      <c r="O74" s="60">
        <v>2.8580198289999998</v>
      </c>
      <c r="P74" s="60">
        <v>4.3897891040000001</v>
      </c>
      <c r="Q74" s="60">
        <v>2.8580198289999998</v>
      </c>
      <c r="R74" s="51" t="b">
        <v>1</v>
      </c>
      <c r="S74" s="60">
        <v>4.1298351289999999</v>
      </c>
      <c r="T74" s="60">
        <v>6.2710933689999999</v>
      </c>
      <c r="U74" s="60">
        <v>4.1298351289999999</v>
      </c>
      <c r="V74" s="51" t="b">
        <v>0</v>
      </c>
      <c r="W74" s="60">
        <v>4.4645595550000001</v>
      </c>
      <c r="X74" s="60">
        <v>7.4312100409999999</v>
      </c>
      <c r="Y74" s="51" t="b">
        <v>0</v>
      </c>
      <c r="Z74" s="60">
        <v>1.0460294489999999</v>
      </c>
      <c r="AA74" s="60">
        <v>4.1770405769999996</v>
      </c>
      <c r="AB74" s="60">
        <v>4.7396612170000001</v>
      </c>
      <c r="AC74" s="60">
        <v>8.3833560939999998</v>
      </c>
      <c r="AD74" s="60">
        <v>7.1829056739999997</v>
      </c>
      <c r="AE74" s="60">
        <v>9.8755693440000005</v>
      </c>
      <c r="AF74" s="60">
        <v>14.46875668</v>
      </c>
      <c r="AG74" s="60">
        <v>19.718185420000001</v>
      </c>
      <c r="AH74" s="60">
        <v>17.98457909</v>
      </c>
      <c r="AI74" s="41">
        <v>2</v>
      </c>
      <c r="AJ74" s="41">
        <v>1</v>
      </c>
      <c r="AO74" s="50"/>
    </row>
    <row r="75" spans="1:41" ht="15.75" customHeight="1">
      <c r="A75" s="4" t="s">
        <v>3193</v>
      </c>
      <c r="B75" s="50" t="s">
        <v>12790</v>
      </c>
      <c r="C75" s="4" t="s">
        <v>2985</v>
      </c>
      <c r="D75" s="4" t="s">
        <v>4951</v>
      </c>
      <c r="E75" s="4" t="s">
        <v>108</v>
      </c>
      <c r="F75" s="4" t="s">
        <v>2911</v>
      </c>
      <c r="G75" s="4" t="s">
        <v>4990</v>
      </c>
      <c r="H75" s="4" t="s">
        <v>3089</v>
      </c>
      <c r="I75" s="4">
        <v>2.1800000000000002</v>
      </c>
      <c r="J75" s="4">
        <v>1.26</v>
      </c>
      <c r="K75" s="4">
        <v>0.23136999999999999</v>
      </c>
      <c r="L75" s="4" t="s">
        <v>12272</v>
      </c>
      <c r="M75" s="4" t="s">
        <v>4929</v>
      </c>
      <c r="N75" s="60">
        <v>3.2877833839999999</v>
      </c>
      <c r="O75" s="60">
        <v>5.9312167169999999</v>
      </c>
      <c r="P75" s="60">
        <v>4.4984736439999997</v>
      </c>
      <c r="Q75" s="60">
        <v>3.2877833839999999</v>
      </c>
      <c r="R75" s="51" t="b">
        <v>1</v>
      </c>
      <c r="S75" s="60">
        <v>3.47250104</v>
      </c>
      <c r="T75" s="60">
        <v>4.9332041740000001</v>
      </c>
      <c r="U75" s="60">
        <v>3.47250104</v>
      </c>
      <c r="V75" s="51" t="b">
        <v>1</v>
      </c>
      <c r="W75" s="60">
        <v>3.9390118119999999</v>
      </c>
      <c r="X75" s="60">
        <v>3.1425285340000002</v>
      </c>
      <c r="Y75" s="51" t="b">
        <v>1</v>
      </c>
      <c r="Z75" s="60">
        <v>1.571902871</v>
      </c>
      <c r="AA75" s="60">
        <v>0.88577377800000001</v>
      </c>
      <c r="AB75" s="60">
        <v>3.207351208</v>
      </c>
      <c r="AC75" s="60">
        <v>4.906982899</v>
      </c>
      <c r="AD75" s="60">
        <v>5.0815381999999998</v>
      </c>
      <c r="AE75" s="60">
        <v>8.305072784</v>
      </c>
      <c r="AF75" s="60">
        <v>13.00568867</v>
      </c>
      <c r="AG75" s="60">
        <v>17.804174419999999</v>
      </c>
      <c r="AH75" s="60">
        <v>19.617906569999999</v>
      </c>
      <c r="AI75" s="41">
        <v>1</v>
      </c>
      <c r="AK75" s="41">
        <v>1</v>
      </c>
      <c r="AL75" s="41">
        <v>3</v>
      </c>
      <c r="AM75" s="41" t="s">
        <v>12272</v>
      </c>
      <c r="AO75" s="50"/>
    </row>
    <row r="76" spans="1:41" ht="15.75" customHeight="1">
      <c r="A76" s="4" t="s">
        <v>3194</v>
      </c>
      <c r="B76" s="50" t="s">
        <v>12817</v>
      </c>
      <c r="C76" s="4" t="s">
        <v>2986</v>
      </c>
      <c r="D76" s="4" t="s">
        <v>4951</v>
      </c>
      <c r="E76" s="4" t="s">
        <v>108</v>
      </c>
      <c r="F76" s="4" t="s">
        <v>2911</v>
      </c>
      <c r="G76" s="41" t="s">
        <v>4991</v>
      </c>
      <c r="H76" s="4" t="s">
        <v>3090</v>
      </c>
      <c r="I76" s="4">
        <v>2.27</v>
      </c>
      <c r="J76" s="4">
        <v>1.0900000000000001</v>
      </c>
      <c r="K76" s="4">
        <v>0.22495000000000001</v>
      </c>
      <c r="L76" s="4" t="s">
        <v>12272</v>
      </c>
      <c r="M76" s="4" t="s">
        <v>4929</v>
      </c>
      <c r="N76" s="60">
        <v>3.6932940479999998</v>
      </c>
      <c r="O76" s="60">
        <v>2.8791563509999998</v>
      </c>
      <c r="P76" s="60">
        <v>4.7663650510000002</v>
      </c>
      <c r="Q76" s="60">
        <v>2.8791563509999998</v>
      </c>
      <c r="R76" s="51" t="b">
        <v>1</v>
      </c>
      <c r="S76" s="60">
        <v>4.2817726140000003</v>
      </c>
      <c r="T76" s="60">
        <v>6.3038997649999997</v>
      </c>
      <c r="U76" s="60">
        <v>4.2817726140000003</v>
      </c>
      <c r="V76" s="51" t="b">
        <v>0</v>
      </c>
      <c r="W76" s="60">
        <v>3.3937981129999999</v>
      </c>
      <c r="X76" s="60">
        <v>2.8958926200000001</v>
      </c>
      <c r="Y76" s="51" t="b">
        <v>1</v>
      </c>
      <c r="Z76" s="60">
        <v>0.65683430399999998</v>
      </c>
      <c r="AA76" s="60">
        <v>3.6913163660000001</v>
      </c>
      <c r="AB76" s="60">
        <v>3.935531616</v>
      </c>
      <c r="AC76" s="60">
        <v>7.84419632</v>
      </c>
      <c r="AD76" s="60">
        <v>6.9262976649999999</v>
      </c>
      <c r="AE76" s="60">
        <v>9.0449686049999993</v>
      </c>
      <c r="AF76" s="60">
        <v>13.39040279</v>
      </c>
      <c r="AG76" s="60">
        <v>19.176307680000001</v>
      </c>
      <c r="AH76" s="60">
        <v>17.846389769999998</v>
      </c>
      <c r="AI76" s="41">
        <v>1</v>
      </c>
      <c r="AO76" s="50"/>
    </row>
    <row r="77" spans="1:41" ht="15.75" customHeight="1">
      <c r="A77" s="4" t="s">
        <v>3195</v>
      </c>
      <c r="B77" s="50" t="s">
        <v>12897</v>
      </c>
      <c r="C77" s="4" t="s">
        <v>2987</v>
      </c>
      <c r="D77" s="4" t="s">
        <v>4951</v>
      </c>
      <c r="E77" s="4" t="s">
        <v>108</v>
      </c>
      <c r="F77" s="4" t="s">
        <v>2911</v>
      </c>
      <c r="G77" s="4" t="s">
        <v>4992</v>
      </c>
      <c r="H77" s="4" t="s">
        <v>3091</v>
      </c>
      <c r="I77" s="4">
        <v>2.4300000000000002</v>
      </c>
      <c r="J77" s="4">
        <v>1.19</v>
      </c>
      <c r="K77" s="4">
        <v>0.22056000000000001</v>
      </c>
      <c r="L77" s="4" t="s">
        <v>12272</v>
      </c>
      <c r="M77" s="4" t="s">
        <v>4929</v>
      </c>
      <c r="N77" s="60">
        <v>2.6222627159999998</v>
      </c>
      <c r="O77" s="60">
        <v>6.2647552490000002</v>
      </c>
      <c r="P77" s="60">
        <v>9.3804712299999995</v>
      </c>
      <c r="Q77" s="60">
        <v>2.6222627159999998</v>
      </c>
      <c r="R77" s="51" t="b">
        <v>1</v>
      </c>
      <c r="S77" s="60">
        <v>7.7056512829999999</v>
      </c>
      <c r="T77" s="60">
        <v>8.3975391389999992</v>
      </c>
      <c r="U77" s="60">
        <v>7.7056512829999999</v>
      </c>
      <c r="V77" s="51" t="b">
        <v>0</v>
      </c>
      <c r="W77" s="60">
        <v>4.0603141779999996</v>
      </c>
      <c r="X77" s="60">
        <v>3.4824213980000001</v>
      </c>
      <c r="Y77" s="51" t="b">
        <v>1</v>
      </c>
      <c r="Z77" s="60">
        <v>1.268821239</v>
      </c>
      <c r="AA77" s="60">
        <v>4.2561869620000001</v>
      </c>
      <c r="AB77" s="60">
        <v>0.50694114000000001</v>
      </c>
      <c r="AC77" s="60">
        <v>7.9118728640000002</v>
      </c>
      <c r="AD77" s="60">
        <v>6.9960055350000001</v>
      </c>
      <c r="AE77" s="60">
        <v>8.9317855829999999</v>
      </c>
      <c r="AF77" s="60">
        <v>13.57202148</v>
      </c>
      <c r="AG77" s="60">
        <v>18.932102199999999</v>
      </c>
      <c r="AH77" s="60">
        <v>18.978122710000001</v>
      </c>
      <c r="AI77" s="41">
        <v>1</v>
      </c>
      <c r="AO77" s="50"/>
    </row>
    <row r="78" spans="1:41" ht="15.75" customHeight="1">
      <c r="A78" s="4" t="s">
        <v>3196</v>
      </c>
      <c r="B78" s="50" t="s">
        <v>12757</v>
      </c>
      <c r="C78" s="4" t="s">
        <v>2988</v>
      </c>
      <c r="D78" s="4" t="s">
        <v>4951</v>
      </c>
      <c r="E78" s="4" t="s">
        <v>108</v>
      </c>
      <c r="F78" s="4" t="s">
        <v>2911</v>
      </c>
      <c r="G78" s="4" t="s">
        <v>5132</v>
      </c>
      <c r="H78" s="4" t="s">
        <v>3092</v>
      </c>
      <c r="I78" s="4">
        <v>2.4700000000000002</v>
      </c>
      <c r="J78" s="4">
        <v>1.1000000000000001</v>
      </c>
      <c r="K78" s="4">
        <v>0.22342999999999999</v>
      </c>
      <c r="L78" s="4" t="s">
        <v>12722</v>
      </c>
      <c r="M78" s="4" t="s">
        <v>4929</v>
      </c>
      <c r="N78" s="60">
        <v>9.2249593730000008</v>
      </c>
      <c r="O78" s="60">
        <v>7.7758483890000001</v>
      </c>
      <c r="P78" s="60">
        <v>4.246603489</v>
      </c>
      <c r="Q78" s="60">
        <v>4.246603489</v>
      </c>
      <c r="R78" s="51" t="b">
        <v>0</v>
      </c>
      <c r="S78" s="60">
        <v>3.143188715</v>
      </c>
      <c r="T78" s="60">
        <v>2.881994486</v>
      </c>
      <c r="U78" s="60">
        <v>2.881994486</v>
      </c>
      <c r="V78" s="51" t="b">
        <v>1</v>
      </c>
      <c r="W78" s="60">
        <v>5.8133468629999996</v>
      </c>
      <c r="X78" s="60">
        <v>10.24525547</v>
      </c>
      <c r="Y78" s="51" t="b">
        <v>0</v>
      </c>
      <c r="Z78" s="60">
        <v>4.4377460480000002</v>
      </c>
      <c r="AA78" s="60">
        <v>1.7792918680000001</v>
      </c>
      <c r="AB78" s="60">
        <v>11.91003418</v>
      </c>
      <c r="AC78" s="60">
        <v>1.0529670719999999</v>
      </c>
      <c r="AD78" s="60">
        <v>5.907271862</v>
      </c>
      <c r="AE78" s="60">
        <v>9.5733032229999999</v>
      </c>
      <c r="AF78" s="60">
        <v>14.44642925</v>
      </c>
      <c r="AG78" s="60">
        <v>18.287538529999999</v>
      </c>
      <c r="AH78" s="60">
        <v>21.872848510000001</v>
      </c>
      <c r="AK78" s="41">
        <v>2</v>
      </c>
      <c r="AL78" s="41">
        <v>1</v>
      </c>
      <c r="AM78" s="41" t="s">
        <v>12724</v>
      </c>
      <c r="AO78" s="50"/>
    </row>
    <row r="79" spans="1:41" ht="15.75" customHeight="1">
      <c r="A79" s="4" t="s">
        <v>3197</v>
      </c>
      <c r="B79" s="50" t="s">
        <v>12959</v>
      </c>
      <c r="C79" s="4" t="s">
        <v>2989</v>
      </c>
      <c r="D79" s="4" t="s">
        <v>4951</v>
      </c>
      <c r="E79" s="4" t="s">
        <v>108</v>
      </c>
      <c r="F79" s="4" t="s">
        <v>23</v>
      </c>
      <c r="G79" s="4" t="s">
        <v>5176</v>
      </c>
      <c r="H79" s="4" t="s">
        <v>3093</v>
      </c>
      <c r="I79" s="4">
        <v>1.23</v>
      </c>
      <c r="J79" s="4">
        <v>1.0900000000000001</v>
      </c>
      <c r="K79" s="4">
        <v>0.22478999999999999</v>
      </c>
      <c r="L79" s="4" t="s">
        <v>4955</v>
      </c>
      <c r="M79" s="4" t="s">
        <v>4955</v>
      </c>
      <c r="N79" s="60">
        <v>25.684566499999999</v>
      </c>
      <c r="O79" s="60">
        <v>22.821084979999998</v>
      </c>
      <c r="P79" s="60">
        <v>20.704286580000002</v>
      </c>
      <c r="Q79" s="60">
        <v>20.704286580000002</v>
      </c>
      <c r="R79" s="51" t="b">
        <v>0</v>
      </c>
      <c r="S79" s="60">
        <v>24.636671069999998</v>
      </c>
      <c r="T79" s="60">
        <v>27.32706451</v>
      </c>
      <c r="U79" s="60">
        <v>24.636671069999998</v>
      </c>
      <c r="V79" s="51" t="b">
        <v>0</v>
      </c>
      <c r="W79" s="60">
        <v>28.75546074</v>
      </c>
      <c r="X79" s="60">
        <v>18.12594223</v>
      </c>
      <c r="Y79" s="51" t="b">
        <v>0</v>
      </c>
      <c r="Z79" s="60">
        <v>24.17144012</v>
      </c>
      <c r="AA79" s="60">
        <v>26.69083595</v>
      </c>
      <c r="AB79" s="60">
        <v>28.97672081</v>
      </c>
      <c r="AC79" s="60">
        <v>29.692411419999999</v>
      </c>
      <c r="AD79" s="60">
        <v>24.006734850000001</v>
      </c>
      <c r="AE79" s="60">
        <v>26.447584150000001</v>
      </c>
      <c r="AF79" s="60">
        <v>27.62985802</v>
      </c>
      <c r="AG79" s="60">
        <v>29.139181140000002</v>
      </c>
      <c r="AH79" s="60">
        <v>16.941930769999999</v>
      </c>
      <c r="AO79" s="50"/>
    </row>
    <row r="80" spans="1:41" ht="15.75" customHeight="1">
      <c r="A80" s="4" t="s">
        <v>3197</v>
      </c>
      <c r="B80" s="50" t="s">
        <v>12929</v>
      </c>
      <c r="C80" s="4" t="s">
        <v>2989</v>
      </c>
      <c r="D80" s="4" t="s">
        <v>4951</v>
      </c>
      <c r="E80" s="4" t="s">
        <v>108</v>
      </c>
      <c r="F80" s="4" t="s">
        <v>23</v>
      </c>
      <c r="G80" s="41" t="s">
        <v>5176</v>
      </c>
      <c r="H80" s="4" t="s">
        <v>3093</v>
      </c>
      <c r="I80" s="4">
        <v>1.23</v>
      </c>
      <c r="J80" s="4">
        <v>1.0900000000000001</v>
      </c>
      <c r="K80" s="4">
        <v>0.22478999999999999</v>
      </c>
      <c r="L80" s="4" t="s">
        <v>4955</v>
      </c>
      <c r="M80" s="4" t="s">
        <v>4955</v>
      </c>
      <c r="N80" s="60">
        <v>13.98803234</v>
      </c>
      <c r="O80" s="60">
        <v>16.054222110000001</v>
      </c>
      <c r="P80" s="60">
        <v>19.369329449999999</v>
      </c>
      <c r="Q80" s="60">
        <v>13.98803234</v>
      </c>
      <c r="R80" s="51" t="b">
        <v>0</v>
      </c>
      <c r="S80" s="60">
        <v>18.797130580000001</v>
      </c>
      <c r="T80" s="60">
        <v>19.448844909999998</v>
      </c>
      <c r="U80" s="60">
        <v>18.797130580000001</v>
      </c>
      <c r="V80" s="51" t="b">
        <v>0</v>
      </c>
      <c r="W80" s="60">
        <v>15.825904850000001</v>
      </c>
      <c r="X80" s="60">
        <v>29.988935470000001</v>
      </c>
      <c r="Y80" s="51" t="b">
        <v>0</v>
      </c>
      <c r="Z80" s="60">
        <v>14.882140160000001</v>
      </c>
      <c r="AA80" s="60">
        <v>16.97200775</v>
      </c>
      <c r="AB80" s="60">
        <v>10.375746729999999</v>
      </c>
      <c r="AC80" s="60">
        <v>19.377111429999999</v>
      </c>
      <c r="AD80" s="60">
        <v>15.227075579999999</v>
      </c>
      <c r="AE80" s="60">
        <v>12.32809162</v>
      </c>
      <c r="AF80" s="60">
        <v>11.23170376</v>
      </c>
      <c r="AG80" s="60">
        <v>19.012050630000001</v>
      </c>
      <c r="AH80" s="60">
        <v>16.83256531</v>
      </c>
      <c r="AO80" s="50"/>
    </row>
    <row r="81" spans="1:41" ht="15.75" customHeight="1">
      <c r="A81" s="4" t="s">
        <v>3198</v>
      </c>
      <c r="B81" s="50" t="s">
        <v>12925</v>
      </c>
      <c r="C81" s="4" t="s">
        <v>2990</v>
      </c>
      <c r="D81" s="4" t="s">
        <v>4951</v>
      </c>
      <c r="E81" s="4" t="s">
        <v>108</v>
      </c>
      <c r="F81" s="4" t="s">
        <v>23</v>
      </c>
      <c r="G81" s="41" t="s">
        <v>5159</v>
      </c>
      <c r="H81" s="4" t="s">
        <v>3094</v>
      </c>
      <c r="I81" s="4">
        <v>1.29</v>
      </c>
      <c r="J81" s="4">
        <v>1.02</v>
      </c>
      <c r="K81" s="4">
        <v>0.23197999999999999</v>
      </c>
      <c r="L81" s="4" t="s">
        <v>4955</v>
      </c>
      <c r="M81" s="4" t="s">
        <v>4955</v>
      </c>
      <c r="N81" s="60">
        <v>17.712045669999998</v>
      </c>
      <c r="O81" s="60">
        <v>15.320822720000001</v>
      </c>
      <c r="P81" s="60">
        <v>14.741516109999999</v>
      </c>
      <c r="Q81" s="60">
        <v>14.741516109999999</v>
      </c>
      <c r="R81" s="51" t="b">
        <v>0</v>
      </c>
      <c r="S81" s="60">
        <v>16.84682274</v>
      </c>
      <c r="T81" s="60">
        <v>18.901489260000002</v>
      </c>
      <c r="U81" s="60">
        <v>16.84682274</v>
      </c>
      <c r="V81" s="51" t="b">
        <v>0</v>
      </c>
      <c r="W81" s="60">
        <v>14.1418581</v>
      </c>
      <c r="X81" s="60">
        <v>24.98260689</v>
      </c>
      <c r="Y81" s="51" t="b">
        <v>0</v>
      </c>
      <c r="Z81" s="60">
        <v>13.517499920000001</v>
      </c>
      <c r="AA81" s="60">
        <v>16.76598358</v>
      </c>
      <c r="AB81" s="60">
        <v>20.690448759999999</v>
      </c>
      <c r="AC81" s="60">
        <v>19.645164489999999</v>
      </c>
      <c r="AD81" s="60">
        <v>19.069362640000001</v>
      </c>
      <c r="AE81" s="60">
        <v>20.81235886</v>
      </c>
      <c r="AF81" s="60">
        <v>24.384372710000001</v>
      </c>
      <c r="AG81" s="60">
        <v>29.814369200000002</v>
      </c>
      <c r="AH81" s="60">
        <v>17.83768272</v>
      </c>
      <c r="AO81" s="50"/>
    </row>
    <row r="82" spans="1:41" ht="15.75" customHeight="1">
      <c r="A82" s="4" t="s">
        <v>3199</v>
      </c>
      <c r="B82" s="50" t="s">
        <v>12800</v>
      </c>
      <c r="C82" s="4" t="s">
        <v>2991</v>
      </c>
      <c r="D82" s="4" t="s">
        <v>4951</v>
      </c>
      <c r="E82" s="4" t="s">
        <v>108</v>
      </c>
      <c r="F82" s="4" t="s">
        <v>23</v>
      </c>
      <c r="G82" s="41" t="s">
        <v>4993</v>
      </c>
      <c r="H82" s="4" t="s">
        <v>3095</v>
      </c>
      <c r="I82" s="4">
        <v>1.32</v>
      </c>
      <c r="J82" s="4">
        <v>1.01</v>
      </c>
      <c r="K82" s="4">
        <v>0.21329000000000001</v>
      </c>
      <c r="L82" s="4" t="s">
        <v>12272</v>
      </c>
      <c r="M82" s="4" t="s">
        <v>4929</v>
      </c>
      <c r="N82" s="60">
        <v>4.5252881049999996</v>
      </c>
      <c r="O82" s="60">
        <v>2.9492676260000001</v>
      </c>
      <c r="P82" s="60">
        <v>4.300802708</v>
      </c>
      <c r="Q82" s="60">
        <v>2.9492676260000001</v>
      </c>
      <c r="R82" s="51" t="b">
        <v>1</v>
      </c>
      <c r="S82" s="60">
        <v>3.8402881619999998</v>
      </c>
      <c r="T82" s="60">
        <v>5.4975118639999998</v>
      </c>
      <c r="U82" s="60">
        <v>3.8402881619999998</v>
      </c>
      <c r="V82" s="51" t="b">
        <v>0</v>
      </c>
      <c r="W82" s="60">
        <v>3.2597060199999999</v>
      </c>
      <c r="X82" s="60">
        <v>5.5748515129999996</v>
      </c>
      <c r="Y82" s="51" t="b">
        <v>0</v>
      </c>
      <c r="Z82" s="60">
        <v>1.2275902030000001</v>
      </c>
      <c r="AA82" s="60">
        <v>3.8825960159999999</v>
      </c>
      <c r="AB82" s="60">
        <v>4.856870174</v>
      </c>
      <c r="AC82" s="60">
        <v>7.4061379430000001</v>
      </c>
      <c r="AD82" s="60">
        <v>7.4487676619999998</v>
      </c>
      <c r="AE82" s="60">
        <v>8.7698364259999995</v>
      </c>
      <c r="AF82" s="60">
        <v>13.12842083</v>
      </c>
      <c r="AG82" s="60">
        <v>18.928403849999999</v>
      </c>
      <c r="AH82" s="60">
        <v>18.282049180000001</v>
      </c>
      <c r="AI82" s="41">
        <v>1</v>
      </c>
      <c r="AO82" s="50"/>
    </row>
    <row r="83" spans="1:41" ht="15.75" customHeight="1">
      <c r="A83" s="4" t="s">
        <v>3200</v>
      </c>
      <c r="B83" s="50" t="s">
        <v>12754</v>
      </c>
      <c r="C83" s="4" t="s">
        <v>2992</v>
      </c>
      <c r="D83" s="4" t="s">
        <v>4951</v>
      </c>
      <c r="E83" s="4" t="s">
        <v>108</v>
      </c>
      <c r="F83" s="4" t="s">
        <v>23</v>
      </c>
      <c r="G83" s="41" t="s">
        <v>4994</v>
      </c>
      <c r="H83" s="4" t="s">
        <v>3096</v>
      </c>
      <c r="I83" s="4">
        <v>1.5</v>
      </c>
      <c r="J83" s="4">
        <v>1.05</v>
      </c>
      <c r="K83" s="4">
        <v>0.21798999999999999</v>
      </c>
      <c r="L83" s="4" t="s">
        <v>12272</v>
      </c>
      <c r="M83" s="4" t="s">
        <v>4929</v>
      </c>
      <c r="N83" s="60">
        <v>5.9266061780000001</v>
      </c>
      <c r="O83" s="60">
        <v>6.4943389890000001</v>
      </c>
      <c r="P83" s="60">
        <v>3.9528958799999998</v>
      </c>
      <c r="Q83" s="60">
        <v>3.9528958799999998</v>
      </c>
      <c r="R83" s="51" t="b">
        <v>0</v>
      </c>
      <c r="S83" s="60">
        <v>2.95015955</v>
      </c>
      <c r="T83" s="60">
        <v>2.8704941270000002</v>
      </c>
      <c r="U83" s="60">
        <v>2.8704941270000002</v>
      </c>
      <c r="V83" s="51" t="b">
        <v>1</v>
      </c>
      <c r="W83" s="60">
        <v>4.5228309629999996</v>
      </c>
      <c r="X83" s="60">
        <v>28.423772809999999</v>
      </c>
      <c r="Y83" s="51" t="b">
        <v>0</v>
      </c>
      <c r="Z83" s="60">
        <v>1.1802660229999999</v>
      </c>
      <c r="AA83" s="60">
        <v>1.2002686259999999</v>
      </c>
      <c r="AB83" s="60">
        <v>7.1210293770000002</v>
      </c>
      <c r="AC83" s="60">
        <v>5.22309351</v>
      </c>
      <c r="AD83" s="60">
        <v>4.9860444069999996</v>
      </c>
      <c r="AE83" s="60">
        <v>8.6722631450000005</v>
      </c>
      <c r="AF83" s="60">
        <v>13.4121027</v>
      </c>
      <c r="AG83" s="60">
        <v>17.789884570000002</v>
      </c>
      <c r="AH83" s="60">
        <v>19.242479320000001</v>
      </c>
      <c r="AK83" s="41">
        <v>2</v>
      </c>
      <c r="AL83" s="41">
        <v>1</v>
      </c>
      <c r="AM83" s="41" t="s">
        <v>12272</v>
      </c>
      <c r="AO83" s="50"/>
    </row>
    <row r="84" spans="1:41" ht="15.75" customHeight="1">
      <c r="A84" s="4" t="s">
        <v>3200</v>
      </c>
      <c r="B84" s="50" t="s">
        <v>12955</v>
      </c>
      <c r="C84" s="4" t="s">
        <v>2992</v>
      </c>
      <c r="D84" s="4" t="s">
        <v>4951</v>
      </c>
      <c r="E84" s="4" t="s">
        <v>108</v>
      </c>
      <c r="F84" s="4" t="s">
        <v>23</v>
      </c>
      <c r="G84" s="4" t="s">
        <v>4994</v>
      </c>
      <c r="H84" s="4" t="s">
        <v>3096</v>
      </c>
      <c r="I84" s="4">
        <v>1.5</v>
      </c>
      <c r="J84" s="4">
        <v>1.05</v>
      </c>
      <c r="K84" s="4">
        <v>0.21798999999999999</v>
      </c>
      <c r="L84" s="4" t="s">
        <v>4995</v>
      </c>
      <c r="M84" s="4" t="s">
        <v>4995</v>
      </c>
      <c r="N84" s="60">
        <v>23.460607530000001</v>
      </c>
      <c r="O84" s="60">
        <v>23.087562559999999</v>
      </c>
      <c r="P84" s="60">
        <v>22.214565279999999</v>
      </c>
      <c r="Q84" s="60">
        <v>22.214565279999999</v>
      </c>
      <c r="R84" s="51" t="b">
        <v>0</v>
      </c>
      <c r="S84" s="60">
        <v>22.962512969999999</v>
      </c>
      <c r="T84" s="60">
        <v>23.695568080000001</v>
      </c>
      <c r="U84" s="60">
        <v>22.962512969999999</v>
      </c>
      <c r="V84" s="51" t="b">
        <v>0</v>
      </c>
      <c r="W84" s="60">
        <v>21.104969019999999</v>
      </c>
      <c r="X84" s="60">
        <v>5.7784490589999997</v>
      </c>
      <c r="Y84" s="51" t="b">
        <v>0</v>
      </c>
      <c r="Z84" s="60">
        <v>17.6672802</v>
      </c>
      <c r="AA84" s="60">
        <v>17.025636670000001</v>
      </c>
      <c r="AB84" s="60">
        <v>18.981391909999999</v>
      </c>
      <c r="AC84" s="60">
        <v>18.634365079999998</v>
      </c>
      <c r="AD84" s="60">
        <v>11.35442829</v>
      </c>
      <c r="AE84" s="60">
        <v>7.3804359440000002</v>
      </c>
      <c r="AF84" s="60">
        <v>4.0593905450000003</v>
      </c>
      <c r="AG84" s="60">
        <v>1.6681082250000001</v>
      </c>
      <c r="AH84" s="60">
        <v>25.241357799999999</v>
      </c>
      <c r="AO84" s="50"/>
    </row>
    <row r="85" spans="1:41" ht="15.75" customHeight="1">
      <c r="A85" s="4" t="s">
        <v>3201</v>
      </c>
      <c r="B85" s="50" t="s">
        <v>12938</v>
      </c>
      <c r="C85" s="4" t="s">
        <v>2993</v>
      </c>
      <c r="D85" s="4" t="s">
        <v>4951</v>
      </c>
      <c r="E85" s="4" t="s">
        <v>108</v>
      </c>
      <c r="F85" s="4" t="s">
        <v>23</v>
      </c>
      <c r="G85" s="4" t="s">
        <v>5091</v>
      </c>
      <c r="H85" s="4" t="s">
        <v>3097</v>
      </c>
      <c r="I85" s="4">
        <v>1.73</v>
      </c>
      <c r="J85" s="4">
        <v>1.05</v>
      </c>
      <c r="K85" s="4">
        <v>0.21596000000000001</v>
      </c>
      <c r="L85" s="4" t="s">
        <v>5087</v>
      </c>
      <c r="M85" s="4" t="s">
        <v>5087</v>
      </c>
      <c r="N85" s="60">
        <v>16.992185589999998</v>
      </c>
      <c r="O85" s="60">
        <v>15.542458529999999</v>
      </c>
      <c r="P85" s="60">
        <v>17.290706629999999</v>
      </c>
      <c r="Q85" s="60">
        <v>15.542458529999999</v>
      </c>
      <c r="R85" s="51" t="b">
        <v>0</v>
      </c>
      <c r="S85" s="60">
        <v>20.135108949999999</v>
      </c>
      <c r="T85" s="60">
        <v>22.772937769999999</v>
      </c>
      <c r="U85" s="60">
        <v>20.135108949999999</v>
      </c>
      <c r="V85" s="51" t="b">
        <v>0</v>
      </c>
      <c r="W85" s="60">
        <v>22.040456769999999</v>
      </c>
      <c r="X85" s="60">
        <v>25.413269039999999</v>
      </c>
      <c r="Y85" s="51" t="b">
        <v>0</v>
      </c>
      <c r="Z85" s="60">
        <v>19.04299164</v>
      </c>
      <c r="AA85" s="60">
        <v>23.891544339999999</v>
      </c>
      <c r="AB85" s="60">
        <v>19.577573780000002</v>
      </c>
      <c r="AC85" s="60">
        <v>27.88365555</v>
      </c>
      <c r="AD85" s="60">
        <v>23.775049209999999</v>
      </c>
      <c r="AE85" s="60">
        <v>25.07368851</v>
      </c>
      <c r="AF85" s="60">
        <v>26.853576660000002</v>
      </c>
      <c r="AG85" s="60">
        <v>32.412345889999997</v>
      </c>
      <c r="AH85" s="60">
        <v>7.203413963</v>
      </c>
      <c r="AO85" s="50"/>
    </row>
    <row r="86" spans="1:41" ht="15.75" customHeight="1">
      <c r="A86" s="4" t="s">
        <v>3202</v>
      </c>
      <c r="B86" s="50" t="s">
        <v>12921</v>
      </c>
      <c r="C86" s="4" t="s">
        <v>2994</v>
      </c>
      <c r="D86" s="4" t="s">
        <v>4951</v>
      </c>
      <c r="E86" s="4" t="s">
        <v>108</v>
      </c>
      <c r="F86" s="4" t="s">
        <v>23</v>
      </c>
      <c r="G86" s="4" t="s">
        <v>5160</v>
      </c>
      <c r="H86" s="4" t="s">
        <v>3098</v>
      </c>
      <c r="I86" s="4">
        <v>1.76</v>
      </c>
      <c r="J86" s="4">
        <v>1.08</v>
      </c>
      <c r="K86" s="4">
        <v>0.22733</v>
      </c>
      <c r="L86" s="4" t="s">
        <v>4955</v>
      </c>
      <c r="M86" s="4" t="s">
        <v>4955</v>
      </c>
      <c r="N86" s="60">
        <v>16.685274119999999</v>
      </c>
      <c r="O86" s="60">
        <v>14.37967014</v>
      </c>
      <c r="P86" s="60">
        <v>13.490859990000001</v>
      </c>
      <c r="Q86" s="60">
        <v>13.490859990000001</v>
      </c>
      <c r="R86" s="51" t="b">
        <v>0</v>
      </c>
      <c r="S86" s="60">
        <v>15.288053509999999</v>
      </c>
      <c r="T86" s="60">
        <v>17.249416350000001</v>
      </c>
      <c r="U86" s="60">
        <v>15.288053509999999</v>
      </c>
      <c r="V86" s="51" t="b">
        <v>0</v>
      </c>
      <c r="W86" s="60">
        <v>18.74854088</v>
      </c>
      <c r="X86" s="60">
        <v>23.32247353</v>
      </c>
      <c r="Y86" s="51" t="b">
        <v>0</v>
      </c>
      <c r="Z86" s="60">
        <v>17.243051529999999</v>
      </c>
      <c r="AA86" s="60">
        <v>20.211559300000001</v>
      </c>
      <c r="AB86" s="60">
        <v>20.991712570000001</v>
      </c>
      <c r="AC86" s="60">
        <v>23.05740166</v>
      </c>
      <c r="AD86" s="60">
        <v>19.521621700000001</v>
      </c>
      <c r="AE86" s="60">
        <v>19.931177139999999</v>
      </c>
      <c r="AF86" s="60">
        <v>20.048555369999999</v>
      </c>
      <c r="AG86" s="60">
        <v>34.748100280000003</v>
      </c>
      <c r="AH86" s="60">
        <v>18.976427080000001</v>
      </c>
      <c r="AO86" s="50"/>
    </row>
    <row r="87" spans="1:41" ht="13">
      <c r="A87" s="4" t="s">
        <v>3203</v>
      </c>
      <c r="B87" s="50" t="s">
        <v>12945</v>
      </c>
      <c r="C87" s="4" t="s">
        <v>2995</v>
      </c>
      <c r="D87" s="4" t="s">
        <v>4951</v>
      </c>
      <c r="E87" s="4" t="s">
        <v>108</v>
      </c>
      <c r="F87" s="4" t="s">
        <v>23</v>
      </c>
      <c r="G87" s="4" t="s">
        <v>5084</v>
      </c>
      <c r="H87" s="4" t="s">
        <v>3099</v>
      </c>
      <c r="I87" s="4">
        <v>1.77</v>
      </c>
      <c r="J87" s="4">
        <v>0.98</v>
      </c>
      <c r="K87" s="4">
        <v>0.20635000000000001</v>
      </c>
      <c r="L87" s="4" t="s">
        <v>12931</v>
      </c>
      <c r="M87" s="4" t="s">
        <v>4995</v>
      </c>
      <c r="N87" s="60">
        <v>20.193710329999998</v>
      </c>
      <c r="O87" s="60">
        <v>20.363750459999999</v>
      </c>
      <c r="P87" s="60">
        <v>20.410461430000002</v>
      </c>
      <c r="Q87" s="60">
        <v>20.193710329999998</v>
      </c>
      <c r="R87" s="51" t="b">
        <v>0</v>
      </c>
      <c r="S87" s="60">
        <v>21.292139049999999</v>
      </c>
      <c r="T87" s="60">
        <v>22.23529053</v>
      </c>
      <c r="U87" s="60">
        <v>21.292139049999999</v>
      </c>
      <c r="V87" s="51" t="b">
        <v>0</v>
      </c>
      <c r="W87" s="60">
        <v>20.870883939999999</v>
      </c>
      <c r="X87" s="60">
        <v>26.032583240000001</v>
      </c>
      <c r="Y87" s="51" t="b">
        <v>0</v>
      </c>
      <c r="Z87" s="60">
        <v>17.273950580000001</v>
      </c>
      <c r="AA87" s="60">
        <v>16.68213081</v>
      </c>
      <c r="AB87" s="60">
        <v>18.452781680000001</v>
      </c>
      <c r="AC87" s="60">
        <v>18.175630569999999</v>
      </c>
      <c r="AD87" s="60">
        <v>11.134839059999999</v>
      </c>
      <c r="AE87" s="60">
        <v>7.0766439439999997</v>
      </c>
      <c r="AF87" s="60">
        <v>3.272999048</v>
      </c>
      <c r="AG87" s="60">
        <v>1.8428670170000001</v>
      </c>
      <c r="AH87" s="60">
        <v>24.412700650000001</v>
      </c>
      <c r="AO87" s="50"/>
    </row>
    <row r="88" spans="1:41" ht="13">
      <c r="A88" s="4" t="s">
        <v>3204</v>
      </c>
      <c r="B88" s="50" t="s">
        <v>12750</v>
      </c>
      <c r="C88" s="4" t="s">
        <v>2996</v>
      </c>
      <c r="D88" s="4" t="s">
        <v>4951</v>
      </c>
      <c r="E88" s="4" t="s">
        <v>108</v>
      </c>
      <c r="F88" s="4" t="s">
        <v>23</v>
      </c>
      <c r="G88" s="4" t="s">
        <v>4996</v>
      </c>
      <c r="H88" s="4" t="s">
        <v>3100</v>
      </c>
      <c r="I88" s="4">
        <v>1.84</v>
      </c>
      <c r="J88" s="4">
        <v>1.1299999999999999</v>
      </c>
      <c r="K88" s="4">
        <v>0.22214</v>
      </c>
      <c r="L88" s="4" t="s">
        <v>12272</v>
      </c>
      <c r="M88" s="4" t="s">
        <v>4929</v>
      </c>
      <c r="N88" s="60">
        <v>5.4347329139999996</v>
      </c>
      <c r="O88" s="60">
        <v>5.2395606040000002</v>
      </c>
      <c r="P88" s="60">
        <v>3.9792821410000001</v>
      </c>
      <c r="Q88" s="60">
        <v>3.9792821410000001</v>
      </c>
      <c r="R88" s="51" t="b">
        <v>0</v>
      </c>
      <c r="S88" s="60">
        <v>2.841989517</v>
      </c>
      <c r="T88" s="60">
        <v>3.0155491830000001</v>
      </c>
      <c r="U88" s="60">
        <v>2.841989517</v>
      </c>
      <c r="V88" s="51" t="b">
        <v>1</v>
      </c>
      <c r="W88" s="60">
        <v>3.702508688</v>
      </c>
      <c r="X88" s="60">
        <v>6.9222683910000002</v>
      </c>
      <c r="Y88" s="51" t="b">
        <v>0</v>
      </c>
      <c r="Z88" s="60">
        <v>1.9367927309999999</v>
      </c>
      <c r="AA88" s="60">
        <v>1.1929817199999999</v>
      </c>
      <c r="AB88" s="60">
        <v>5.309446812</v>
      </c>
      <c r="AC88" s="60">
        <v>5.0135231019999997</v>
      </c>
      <c r="AD88" s="60">
        <v>4.9537816049999996</v>
      </c>
      <c r="AE88" s="60">
        <v>8.6221218109999995</v>
      </c>
      <c r="AF88" s="60">
        <v>13.389635090000001</v>
      </c>
      <c r="AG88" s="60">
        <v>17.57482147</v>
      </c>
      <c r="AH88" s="60">
        <v>18.752132419999999</v>
      </c>
      <c r="AK88" s="41">
        <v>2</v>
      </c>
      <c r="AL88" s="41">
        <v>1</v>
      </c>
      <c r="AM88" s="41" t="s">
        <v>12272</v>
      </c>
      <c r="AO88" s="50"/>
    </row>
    <row r="89" spans="1:41" ht="13">
      <c r="A89" s="4" t="s">
        <v>3205</v>
      </c>
      <c r="B89" s="50" t="s">
        <v>12923</v>
      </c>
      <c r="C89" s="4" t="s">
        <v>2997</v>
      </c>
      <c r="D89" s="4" t="s">
        <v>4951</v>
      </c>
      <c r="E89" s="4" t="s">
        <v>108</v>
      </c>
      <c r="F89" s="4" t="s">
        <v>23</v>
      </c>
      <c r="G89" s="41" t="s">
        <v>5161</v>
      </c>
      <c r="H89" s="4" t="s">
        <v>3101</v>
      </c>
      <c r="I89" s="4">
        <v>1.9</v>
      </c>
      <c r="J89" s="4">
        <v>1.04</v>
      </c>
      <c r="K89" s="4">
        <v>0.22778000000000001</v>
      </c>
      <c r="L89" s="4" t="s">
        <v>4955</v>
      </c>
      <c r="M89" s="4" t="s">
        <v>4955</v>
      </c>
      <c r="N89" s="60">
        <v>16.692653660000001</v>
      </c>
      <c r="O89" s="60">
        <v>14.39495945</v>
      </c>
      <c r="P89" s="60">
        <v>13.54300404</v>
      </c>
      <c r="Q89" s="60">
        <v>13.54300404</v>
      </c>
      <c r="R89" s="51" t="b">
        <v>0</v>
      </c>
      <c r="S89" s="60">
        <v>15.447158809999999</v>
      </c>
      <c r="T89" s="60">
        <v>17.443284989999999</v>
      </c>
      <c r="U89" s="60">
        <v>15.447158809999999</v>
      </c>
      <c r="V89" s="51" t="b">
        <v>0</v>
      </c>
      <c r="W89" s="60">
        <v>18.871898649999999</v>
      </c>
      <c r="X89" s="60">
        <v>23.53037643</v>
      </c>
      <c r="Y89" s="51" t="b">
        <v>0</v>
      </c>
      <c r="Z89" s="60">
        <v>17.32864571</v>
      </c>
      <c r="AA89" s="60">
        <v>20.405086520000001</v>
      </c>
      <c r="AB89" s="60">
        <v>20.95742989</v>
      </c>
      <c r="AC89" s="60">
        <v>22.706611630000001</v>
      </c>
      <c r="AD89" s="60">
        <v>18.615036010000001</v>
      </c>
      <c r="AE89" s="60">
        <v>19.043985370000001</v>
      </c>
      <c r="AF89" s="60">
        <v>19.17469406</v>
      </c>
      <c r="AG89" s="60">
        <v>34.780784609999998</v>
      </c>
      <c r="AH89" s="60">
        <v>17.94564819</v>
      </c>
      <c r="AO89" s="50"/>
    </row>
    <row r="90" spans="1:41" ht="13">
      <c r="A90" s="4" t="s">
        <v>3206</v>
      </c>
      <c r="B90" s="50" t="s">
        <v>12940</v>
      </c>
      <c r="C90" s="4" t="s">
        <v>2998</v>
      </c>
      <c r="D90" s="4" t="s">
        <v>4951</v>
      </c>
      <c r="E90" s="4" t="s">
        <v>108</v>
      </c>
      <c r="F90" s="4" t="s">
        <v>23</v>
      </c>
      <c r="G90" s="4" t="s">
        <v>5092</v>
      </c>
      <c r="H90" s="4" t="s">
        <v>3102</v>
      </c>
      <c r="I90" s="4">
        <v>2.17</v>
      </c>
      <c r="J90" s="4">
        <v>1.31</v>
      </c>
      <c r="K90" s="4">
        <v>0.20655000000000001</v>
      </c>
      <c r="L90" s="4" t="s">
        <v>5087</v>
      </c>
      <c r="M90" s="4" t="s">
        <v>5087</v>
      </c>
      <c r="N90" s="60">
        <v>15.68275356</v>
      </c>
      <c r="O90" s="60">
        <v>14.807323459999999</v>
      </c>
      <c r="P90" s="60">
        <v>18.14841843</v>
      </c>
      <c r="Q90" s="60">
        <v>14.807323459999999</v>
      </c>
      <c r="R90" s="51" t="b">
        <v>0</v>
      </c>
      <c r="S90" s="60">
        <v>20.486019129999999</v>
      </c>
      <c r="T90" s="60">
        <v>23.074769969999998</v>
      </c>
      <c r="U90" s="60">
        <v>20.486019129999999</v>
      </c>
      <c r="V90" s="51" t="b">
        <v>0</v>
      </c>
      <c r="W90" s="60">
        <v>20.937406540000001</v>
      </c>
      <c r="X90" s="60">
        <v>22.660894389999999</v>
      </c>
      <c r="Y90" s="51" t="b">
        <v>0</v>
      </c>
      <c r="Z90" s="60">
        <v>18.072429660000001</v>
      </c>
      <c r="AA90" s="60">
        <v>23.281288150000002</v>
      </c>
      <c r="AB90" s="60">
        <v>16.32658958</v>
      </c>
      <c r="AC90" s="60">
        <v>27.518947600000001</v>
      </c>
      <c r="AD90" s="60">
        <v>21.862180710000001</v>
      </c>
      <c r="AE90" s="60">
        <v>21.866567610000001</v>
      </c>
      <c r="AF90" s="60">
        <v>22.74771118</v>
      </c>
      <c r="AG90" s="60">
        <v>28.993638990000001</v>
      </c>
      <c r="AH90" s="60">
        <v>3.7038881780000001</v>
      </c>
      <c r="AO90" s="50"/>
    </row>
    <row r="91" spans="1:41" ht="13">
      <c r="A91" s="4" t="s">
        <v>3207</v>
      </c>
      <c r="B91" s="50" t="s">
        <v>12863</v>
      </c>
      <c r="C91" s="4" t="s">
        <v>2999</v>
      </c>
      <c r="D91" s="4" t="s">
        <v>4951</v>
      </c>
      <c r="E91" s="4" t="s">
        <v>108</v>
      </c>
      <c r="F91" s="4" t="s">
        <v>20</v>
      </c>
      <c r="G91" s="4" t="s">
        <v>4997</v>
      </c>
      <c r="H91" s="4" t="s">
        <v>3103</v>
      </c>
      <c r="I91" s="4">
        <v>2.3199999999999998</v>
      </c>
      <c r="J91" s="4">
        <v>1.18</v>
      </c>
      <c r="K91" s="4">
        <v>0.24787999999999999</v>
      </c>
      <c r="L91" s="4" t="s">
        <v>12272</v>
      </c>
      <c r="M91" s="4" t="s">
        <v>4929</v>
      </c>
      <c r="N91" s="60">
        <v>3.5770521159999999</v>
      </c>
      <c r="O91" s="60">
        <v>5.4648199079999999</v>
      </c>
      <c r="P91" s="60">
        <v>7.2384824749999996</v>
      </c>
      <c r="Q91" s="60">
        <v>3.5770521159999999</v>
      </c>
      <c r="R91" s="51" t="b">
        <v>0</v>
      </c>
      <c r="S91" s="60">
        <v>5.8430018419999996</v>
      </c>
      <c r="T91" s="60">
        <v>6.5326442719999998</v>
      </c>
      <c r="U91" s="60">
        <v>5.8430018419999996</v>
      </c>
      <c r="V91" s="51" t="b">
        <v>0</v>
      </c>
      <c r="W91" s="60">
        <v>4.1639857290000002</v>
      </c>
      <c r="X91" s="60">
        <v>3.3261375430000002</v>
      </c>
      <c r="Y91" s="51" t="b">
        <v>1</v>
      </c>
      <c r="Z91" s="60">
        <v>2.0578966140000001</v>
      </c>
      <c r="AA91" s="60">
        <v>3.7011744979999999</v>
      </c>
      <c r="AB91" s="60">
        <v>3.837082863</v>
      </c>
      <c r="AC91" s="60">
        <v>7.4961056709999996</v>
      </c>
      <c r="AD91" s="60">
        <v>6.4121375079999998</v>
      </c>
      <c r="AE91" s="60">
        <v>8.4907884599999992</v>
      </c>
      <c r="AF91" s="60">
        <v>13.267882350000001</v>
      </c>
      <c r="AG91" s="60">
        <v>18.400108339999999</v>
      </c>
      <c r="AH91" s="60">
        <v>18.6151886</v>
      </c>
      <c r="AO91" s="50"/>
    </row>
    <row r="92" spans="1:41" ht="13">
      <c r="A92" s="4" t="s">
        <v>3208</v>
      </c>
      <c r="B92" s="50" t="s">
        <v>12869</v>
      </c>
      <c r="C92" s="4" t="s">
        <v>3000</v>
      </c>
      <c r="D92" s="4" t="s">
        <v>4951</v>
      </c>
      <c r="E92" s="4" t="s">
        <v>108</v>
      </c>
      <c r="F92" s="4" t="s">
        <v>20</v>
      </c>
      <c r="G92" s="4" t="s">
        <v>4998</v>
      </c>
      <c r="H92" s="4" t="s">
        <v>3104</v>
      </c>
      <c r="I92" s="4">
        <v>2.38</v>
      </c>
      <c r="J92" s="4">
        <v>1.18</v>
      </c>
      <c r="K92" s="4">
        <v>0.24790000000000001</v>
      </c>
      <c r="L92" s="4" t="s">
        <v>12272</v>
      </c>
      <c r="M92" s="4" t="s">
        <v>4929</v>
      </c>
      <c r="N92" s="60">
        <v>3.9470353130000002</v>
      </c>
      <c r="O92" s="60">
        <v>5.6701188089999999</v>
      </c>
      <c r="P92" s="60">
        <v>7.3004632000000003</v>
      </c>
      <c r="Q92" s="60">
        <v>3.9470353130000002</v>
      </c>
      <c r="R92" s="51" t="b">
        <v>0</v>
      </c>
      <c r="S92" s="60">
        <v>6.0361075399999997</v>
      </c>
      <c r="T92" s="60">
        <v>6.7540979390000002</v>
      </c>
      <c r="U92" s="60">
        <v>6.0361075399999997</v>
      </c>
      <c r="V92" s="51" t="b">
        <v>0</v>
      </c>
      <c r="W92" s="60">
        <v>4.2085428240000002</v>
      </c>
      <c r="X92" s="60">
        <v>3.1510968209999999</v>
      </c>
      <c r="Y92" s="51" t="b">
        <v>1</v>
      </c>
      <c r="Z92" s="60">
        <v>2.1290400030000001</v>
      </c>
      <c r="AA92" s="60">
        <v>3.8911604880000001</v>
      </c>
      <c r="AB92" s="60">
        <v>3.93424511</v>
      </c>
      <c r="AC92" s="60">
        <v>7.6711115840000001</v>
      </c>
      <c r="AD92" s="60">
        <v>6.3786244390000002</v>
      </c>
      <c r="AE92" s="60">
        <v>8.3822774889999998</v>
      </c>
      <c r="AF92" s="60">
        <v>13.11399555</v>
      </c>
      <c r="AG92" s="60">
        <v>18.333358759999999</v>
      </c>
      <c r="AH92" s="60">
        <v>18.77397728</v>
      </c>
      <c r="AO92" s="50"/>
    </row>
    <row r="93" spans="1:41" ht="13">
      <c r="A93" s="4" t="s">
        <v>3209</v>
      </c>
      <c r="B93" s="50" t="s">
        <v>12811</v>
      </c>
      <c r="C93" s="4" t="s">
        <v>3001</v>
      </c>
      <c r="D93" s="4" t="s">
        <v>4951</v>
      </c>
      <c r="E93" s="4" t="s">
        <v>108</v>
      </c>
      <c r="F93" s="4" t="s">
        <v>20</v>
      </c>
      <c r="G93" s="41" t="s">
        <v>4999</v>
      </c>
      <c r="H93" s="4" t="s">
        <v>3105</v>
      </c>
      <c r="I93" s="4">
        <v>2.42</v>
      </c>
      <c r="J93" s="4">
        <v>1.08</v>
      </c>
      <c r="K93" s="4">
        <v>0.22477</v>
      </c>
      <c r="L93" s="4" t="s">
        <v>12272</v>
      </c>
      <c r="M93" s="4" t="s">
        <v>4929</v>
      </c>
      <c r="N93" s="60">
        <v>2.791469336</v>
      </c>
      <c r="O93" s="60">
        <v>2.6426875590000001</v>
      </c>
      <c r="P93" s="60">
        <v>4.23845005</v>
      </c>
      <c r="Q93" s="60">
        <v>2.6426875590000001</v>
      </c>
      <c r="R93" s="51" t="b">
        <v>1</v>
      </c>
      <c r="S93" s="60">
        <v>4.1911420819999998</v>
      </c>
      <c r="T93" s="60">
        <v>6.5176019670000001</v>
      </c>
      <c r="U93" s="60">
        <v>4.1911420819999998</v>
      </c>
      <c r="V93" s="51" t="b">
        <v>0</v>
      </c>
      <c r="W93" s="60">
        <v>4.5768480299999998</v>
      </c>
      <c r="X93" s="60">
        <v>5.8494701390000001</v>
      </c>
      <c r="Y93" s="51" t="b">
        <v>0</v>
      </c>
      <c r="Z93" s="60">
        <v>0.836607039</v>
      </c>
      <c r="AA93" s="60">
        <v>4.3571109769999996</v>
      </c>
      <c r="AB93" s="60">
        <v>4.828453541</v>
      </c>
      <c r="AC93" s="60">
        <v>8.1483497620000005</v>
      </c>
      <c r="AD93" s="60">
        <v>6.1158251760000004</v>
      </c>
      <c r="AE93" s="60">
        <v>7.8375220299999997</v>
      </c>
      <c r="AF93" s="60">
        <v>12.532186510000001</v>
      </c>
      <c r="AG93" s="60">
        <v>17.81241035</v>
      </c>
      <c r="AH93" s="60">
        <v>17.845155720000001</v>
      </c>
      <c r="AI93" s="41">
        <v>1</v>
      </c>
      <c r="AO93" s="50"/>
    </row>
    <row r="94" spans="1:41" ht="13">
      <c r="A94" s="4" t="s">
        <v>3210</v>
      </c>
      <c r="B94" s="50" t="s">
        <v>12916</v>
      </c>
      <c r="C94" s="4" t="s">
        <v>3002</v>
      </c>
      <c r="D94" s="4" t="s">
        <v>4951</v>
      </c>
      <c r="E94" s="4" t="s">
        <v>108</v>
      </c>
      <c r="F94" s="4" t="s">
        <v>20</v>
      </c>
      <c r="G94" s="41" t="s">
        <v>5000</v>
      </c>
      <c r="H94" s="4" t="s">
        <v>3106</v>
      </c>
      <c r="I94" s="4">
        <v>2.46</v>
      </c>
      <c r="J94" s="4">
        <v>1.07</v>
      </c>
      <c r="K94" s="4">
        <v>0.23527000000000001</v>
      </c>
      <c r="L94" s="4" t="s">
        <v>12272</v>
      </c>
      <c r="M94" s="4" t="s">
        <v>4929</v>
      </c>
      <c r="N94" s="60">
        <v>2.673529625</v>
      </c>
      <c r="O94" s="60">
        <v>6.4271383289999999</v>
      </c>
      <c r="P94" s="60">
        <v>11.714228629999999</v>
      </c>
      <c r="Q94" s="60">
        <v>2.673529625</v>
      </c>
      <c r="R94" s="51" t="b">
        <v>1</v>
      </c>
      <c r="S94" s="60">
        <v>10.548364640000001</v>
      </c>
      <c r="T94" s="60">
        <v>11.62315941</v>
      </c>
      <c r="U94" s="60">
        <v>10.548364640000001</v>
      </c>
      <c r="V94" s="51" t="b">
        <v>0</v>
      </c>
      <c r="W94" s="60">
        <v>6.6379384989999997</v>
      </c>
      <c r="X94" s="60">
        <v>10.681571959999999</v>
      </c>
      <c r="Y94" s="51" t="b">
        <v>0</v>
      </c>
      <c r="Z94" s="60">
        <v>7.489586353</v>
      </c>
      <c r="AA94" s="60">
        <v>11.03506851</v>
      </c>
      <c r="AB94" s="60">
        <v>0.68177056300000005</v>
      </c>
      <c r="AC94" s="60">
        <v>13.90209675</v>
      </c>
      <c r="AD94" s="60">
        <v>12.75561237</v>
      </c>
      <c r="AE94" s="60">
        <v>11.71206188</v>
      </c>
      <c r="AF94" s="60">
        <v>11.56758022</v>
      </c>
      <c r="AG94" s="60">
        <v>20.969165799999999</v>
      </c>
      <c r="AH94" s="60">
        <v>16.747068410000001</v>
      </c>
      <c r="AI94" s="41">
        <v>1</v>
      </c>
      <c r="AO94" s="50"/>
    </row>
    <row r="95" spans="1:41" ht="13">
      <c r="A95" s="4" t="s">
        <v>3211</v>
      </c>
      <c r="B95" s="50" t="s">
        <v>12752</v>
      </c>
      <c r="C95" s="4" t="s">
        <v>3003</v>
      </c>
      <c r="D95" s="4" t="s">
        <v>4951</v>
      </c>
      <c r="E95" s="4" t="s">
        <v>108</v>
      </c>
      <c r="F95" s="4" t="s">
        <v>20</v>
      </c>
      <c r="G95" s="4" t="s">
        <v>5133</v>
      </c>
      <c r="H95" s="4" t="s">
        <v>3107</v>
      </c>
      <c r="I95" s="4">
        <v>2.4900000000000002</v>
      </c>
      <c r="J95" s="4">
        <v>1.02</v>
      </c>
      <c r="K95" s="4">
        <v>0.23125999999999999</v>
      </c>
      <c r="L95" s="4" t="s">
        <v>12722</v>
      </c>
      <c r="M95" s="4" t="s">
        <v>4929</v>
      </c>
      <c r="N95" s="60">
        <v>9.4358129500000008</v>
      </c>
      <c r="O95" s="60">
        <v>7.8089113240000003</v>
      </c>
      <c r="P95" s="60">
        <v>4.1928868289999999</v>
      </c>
      <c r="Q95" s="60">
        <v>4.1928868289999999</v>
      </c>
      <c r="R95" s="51" t="b">
        <v>0</v>
      </c>
      <c r="S95" s="60">
        <v>3.0513467790000002</v>
      </c>
      <c r="T95" s="60">
        <v>2.8540711399999998</v>
      </c>
      <c r="U95" s="60">
        <v>2.8540711399999998</v>
      </c>
      <c r="V95" s="51" t="b">
        <v>1</v>
      </c>
      <c r="W95" s="60">
        <v>5.4799914359999997</v>
      </c>
      <c r="X95" s="60">
        <v>8.2603836059999995</v>
      </c>
      <c r="Y95" s="51" t="b">
        <v>0</v>
      </c>
      <c r="Z95" s="60">
        <v>4.4277329439999997</v>
      </c>
      <c r="AA95" s="60">
        <v>1.0695579049999999</v>
      </c>
      <c r="AB95" s="60">
        <v>11.61618423</v>
      </c>
      <c r="AC95" s="60">
        <v>1.191972494</v>
      </c>
      <c r="AD95" s="60">
        <v>7.0059642789999996</v>
      </c>
      <c r="AE95" s="60">
        <v>10.46081066</v>
      </c>
      <c r="AF95" s="60">
        <v>15.331256870000001</v>
      </c>
      <c r="AG95" s="60">
        <v>19.30494118</v>
      </c>
      <c r="AH95" s="60">
        <v>21.764005659999999</v>
      </c>
      <c r="AK95" s="41">
        <v>2</v>
      </c>
      <c r="AL95" s="41">
        <v>1</v>
      </c>
      <c r="AM95" s="41" t="s">
        <v>12724</v>
      </c>
      <c r="AO95" s="50"/>
    </row>
    <row r="96" spans="1:41" ht="13">
      <c r="A96" s="4" t="s">
        <v>3212</v>
      </c>
      <c r="B96" s="50" t="s">
        <v>12763</v>
      </c>
      <c r="C96" s="4" t="s">
        <v>3004</v>
      </c>
      <c r="D96" s="4" t="s">
        <v>4951</v>
      </c>
      <c r="E96" s="4" t="s">
        <v>108</v>
      </c>
      <c r="F96" s="4" t="s">
        <v>20</v>
      </c>
      <c r="G96" s="4" t="s">
        <v>5134</v>
      </c>
      <c r="H96" s="4" t="s">
        <v>3108</v>
      </c>
      <c r="I96" s="4">
        <v>2.54</v>
      </c>
      <c r="J96" s="4">
        <v>1.1599999999999999</v>
      </c>
      <c r="K96" s="4">
        <v>0.23455999999999999</v>
      </c>
      <c r="L96" s="4" t="s">
        <v>12722</v>
      </c>
      <c r="M96" s="4" t="s">
        <v>4929</v>
      </c>
      <c r="N96" s="60">
        <v>9.2454872130000005</v>
      </c>
      <c r="O96" s="60">
        <v>7.5984487529999996</v>
      </c>
      <c r="P96" s="60">
        <v>4.1546192169999996</v>
      </c>
      <c r="Q96" s="60">
        <v>4.1546192169999996</v>
      </c>
      <c r="R96" s="51" t="b">
        <v>0</v>
      </c>
      <c r="S96" s="60">
        <v>3.0489280220000001</v>
      </c>
      <c r="T96" s="60">
        <v>2.9048900600000001</v>
      </c>
      <c r="U96" s="60">
        <v>2.9048900600000001</v>
      </c>
      <c r="V96" s="51" t="b">
        <v>1</v>
      </c>
      <c r="W96" s="60">
        <v>6.1209321020000003</v>
      </c>
      <c r="X96" s="60">
        <v>9.5889730449999995</v>
      </c>
      <c r="Y96" s="51" t="b">
        <v>0</v>
      </c>
      <c r="Z96" s="60">
        <v>4.238172531</v>
      </c>
      <c r="AA96" s="60">
        <v>1.2248083350000001</v>
      </c>
      <c r="AB96" s="60">
        <v>11.764797209999999</v>
      </c>
      <c r="AC96" s="60">
        <v>0.82244026699999995</v>
      </c>
      <c r="AD96" s="60">
        <v>6.8829984660000001</v>
      </c>
      <c r="AE96" s="60">
        <v>10.44170094</v>
      </c>
      <c r="AF96" s="60">
        <v>15.338709830000001</v>
      </c>
      <c r="AG96" s="60">
        <v>19.0616436</v>
      </c>
      <c r="AH96" s="60">
        <v>21.677209850000001</v>
      </c>
      <c r="AK96" s="41">
        <v>2</v>
      </c>
      <c r="AL96" s="41">
        <v>1</v>
      </c>
      <c r="AM96" s="41" t="s">
        <v>12724</v>
      </c>
      <c r="AO96" s="50"/>
    </row>
    <row r="97" spans="1:41" ht="13">
      <c r="A97" s="4" t="s">
        <v>3213</v>
      </c>
      <c r="B97" s="50" t="s">
        <v>12807</v>
      </c>
      <c r="C97" s="4" t="s">
        <v>3005</v>
      </c>
      <c r="D97" s="4" t="s">
        <v>4951</v>
      </c>
      <c r="E97" s="4" t="s">
        <v>108</v>
      </c>
      <c r="F97" s="4" t="s">
        <v>19</v>
      </c>
      <c r="G97" s="4" t="s">
        <v>5001</v>
      </c>
      <c r="H97" s="4" t="s">
        <v>3109</v>
      </c>
      <c r="I97" s="4">
        <v>2.72</v>
      </c>
      <c r="J97" s="4">
        <v>1.1299999999999999</v>
      </c>
      <c r="K97" s="4">
        <v>0.23124</v>
      </c>
      <c r="L97" s="4" t="s">
        <v>12272</v>
      </c>
      <c r="M97" s="4" t="s">
        <v>4929</v>
      </c>
      <c r="N97" s="60">
        <v>3.0442619319999999</v>
      </c>
      <c r="O97" s="60">
        <v>2.858386517</v>
      </c>
      <c r="P97" s="60">
        <v>4.4272394180000001</v>
      </c>
      <c r="Q97" s="60">
        <v>2.858386517</v>
      </c>
      <c r="R97" s="51" t="b">
        <v>1</v>
      </c>
      <c r="S97" s="60">
        <v>3.9977676870000001</v>
      </c>
      <c r="T97" s="60">
        <v>6.2200531960000003</v>
      </c>
      <c r="U97" s="60">
        <v>3.9977676870000001</v>
      </c>
      <c r="V97" s="51" t="b">
        <v>0</v>
      </c>
      <c r="W97" s="60">
        <v>3.827921152</v>
      </c>
      <c r="X97" s="60">
        <v>5.0962939260000004</v>
      </c>
      <c r="Y97" s="51" t="b">
        <v>0</v>
      </c>
      <c r="Z97" s="60">
        <v>0.96518605899999999</v>
      </c>
      <c r="AA97" s="60">
        <v>5.0992197990000001</v>
      </c>
      <c r="AB97" s="60">
        <v>3.8631317620000001</v>
      </c>
      <c r="AC97" s="60">
        <v>8.8186321260000007</v>
      </c>
      <c r="AD97" s="60">
        <v>7.4390320780000003</v>
      </c>
      <c r="AE97" s="60">
        <v>8.7829437259999992</v>
      </c>
      <c r="AF97" s="60">
        <v>13.33304596</v>
      </c>
      <c r="AG97" s="60">
        <v>18.871047969999999</v>
      </c>
      <c r="AH97" s="60">
        <v>18.10110474</v>
      </c>
      <c r="AI97" s="41">
        <v>2</v>
      </c>
      <c r="AJ97" s="41">
        <v>3</v>
      </c>
      <c r="AO97" s="50"/>
    </row>
    <row r="98" spans="1:41" ht="13">
      <c r="A98" s="4" t="s">
        <v>3214</v>
      </c>
      <c r="B98" s="50" t="s">
        <v>12881</v>
      </c>
      <c r="C98" s="4" t="s">
        <v>3006</v>
      </c>
      <c r="D98" s="4" t="s">
        <v>4951</v>
      </c>
      <c r="E98" s="4" t="s">
        <v>108</v>
      </c>
      <c r="F98" s="4" t="s">
        <v>19</v>
      </c>
      <c r="G98" s="4" t="s">
        <v>5002</v>
      </c>
      <c r="H98" s="4" t="s">
        <v>3110</v>
      </c>
      <c r="I98" s="4">
        <v>2.76</v>
      </c>
      <c r="J98" s="4">
        <v>1.0900000000000001</v>
      </c>
      <c r="K98" s="4">
        <v>0.22899</v>
      </c>
      <c r="L98" s="4" t="s">
        <v>12272</v>
      </c>
      <c r="M98" s="4" t="s">
        <v>4929</v>
      </c>
      <c r="N98" s="60">
        <v>6.0132088660000003</v>
      </c>
      <c r="O98" s="60">
        <v>6.6908450129999997</v>
      </c>
      <c r="P98" s="60">
        <v>8.2667274479999993</v>
      </c>
      <c r="Q98" s="60">
        <v>6.0132088660000003</v>
      </c>
      <c r="R98" s="51" t="b">
        <v>0</v>
      </c>
      <c r="S98" s="60">
        <v>6.7875332830000001</v>
      </c>
      <c r="T98" s="60">
        <v>7.2268781659999997</v>
      </c>
      <c r="U98" s="60">
        <v>6.7875332830000001</v>
      </c>
      <c r="V98" s="51" t="b">
        <v>0</v>
      </c>
      <c r="W98" s="60">
        <v>4.0753054620000002</v>
      </c>
      <c r="X98" s="60">
        <v>2.984186411</v>
      </c>
      <c r="Y98" s="51" t="b">
        <v>1</v>
      </c>
      <c r="Z98" s="60">
        <v>2.1920731070000001</v>
      </c>
      <c r="AA98" s="60">
        <v>4.6739711760000002</v>
      </c>
      <c r="AB98" s="60">
        <v>4.1622676849999998</v>
      </c>
      <c r="AC98" s="60">
        <v>0.95807111300000003</v>
      </c>
      <c r="AD98" s="60">
        <v>8.0400352480000006</v>
      </c>
      <c r="AE98" s="60">
        <v>9.1823835369999998</v>
      </c>
      <c r="AF98" s="60">
        <v>13.522539139999999</v>
      </c>
      <c r="AG98" s="60">
        <v>19.28575897</v>
      </c>
      <c r="AH98" s="60">
        <v>18.517814640000001</v>
      </c>
      <c r="AO98" s="50"/>
    </row>
    <row r="99" spans="1:41" ht="13">
      <c r="A99" s="4" t="s">
        <v>3215</v>
      </c>
      <c r="B99" s="50" t="s">
        <v>12887</v>
      </c>
      <c r="C99" s="4" t="s">
        <v>3007</v>
      </c>
      <c r="D99" s="4" t="s">
        <v>4951</v>
      </c>
      <c r="E99" s="4" t="s">
        <v>108</v>
      </c>
      <c r="F99" s="4" t="s">
        <v>19</v>
      </c>
      <c r="G99" s="4" t="s">
        <v>5003</v>
      </c>
      <c r="H99" s="4" t="s">
        <v>3111</v>
      </c>
      <c r="I99" s="4">
        <v>2.77</v>
      </c>
      <c r="J99" s="4">
        <v>1.04</v>
      </c>
      <c r="K99" s="4">
        <v>0.23074</v>
      </c>
      <c r="L99" s="4" t="s">
        <v>12272</v>
      </c>
      <c r="M99" s="4" t="s">
        <v>4929</v>
      </c>
      <c r="N99" s="60">
        <v>4.1105923649999996</v>
      </c>
      <c r="O99" s="60">
        <v>5.6345019340000002</v>
      </c>
      <c r="P99" s="60">
        <v>8.5495052339999997</v>
      </c>
      <c r="Q99" s="60">
        <v>4.1105923649999996</v>
      </c>
      <c r="R99" s="51" t="b">
        <v>0</v>
      </c>
      <c r="S99" s="60">
        <v>7.0711874960000003</v>
      </c>
      <c r="T99" s="60">
        <v>8.0133581159999991</v>
      </c>
      <c r="U99" s="60">
        <v>7.0711874960000003</v>
      </c>
      <c r="V99" s="51" t="b">
        <v>0</v>
      </c>
      <c r="W99" s="60">
        <v>4.197753906</v>
      </c>
      <c r="X99" s="60">
        <v>2.828675032</v>
      </c>
      <c r="Y99" s="51" t="b">
        <v>1</v>
      </c>
      <c r="Z99" s="60">
        <v>1.7231516840000001</v>
      </c>
      <c r="AA99" s="60">
        <v>4.9932713509999997</v>
      </c>
      <c r="AB99" s="60">
        <v>4.5148329729999999</v>
      </c>
      <c r="AC99" s="60">
        <v>8.7551822660000003</v>
      </c>
      <c r="AD99" s="60">
        <v>7.1593060489999996</v>
      </c>
      <c r="AE99" s="60">
        <v>8.7620315550000001</v>
      </c>
      <c r="AF99" s="60">
        <v>13.092291830000001</v>
      </c>
      <c r="AG99" s="60">
        <v>18.784223560000001</v>
      </c>
      <c r="AH99" s="60">
        <v>18.756685260000001</v>
      </c>
      <c r="AO99" s="50"/>
    </row>
    <row r="100" spans="1:41" ht="13">
      <c r="A100" s="4" t="s">
        <v>3215</v>
      </c>
      <c r="B100" s="50" t="s">
        <v>12933</v>
      </c>
      <c r="C100" s="4" t="s">
        <v>3007</v>
      </c>
      <c r="D100" s="4" t="s">
        <v>4951</v>
      </c>
      <c r="E100" s="4" t="s">
        <v>108</v>
      </c>
      <c r="F100" s="4" t="s">
        <v>19</v>
      </c>
      <c r="G100" s="4" t="s">
        <v>5003</v>
      </c>
      <c r="H100" s="4" t="s">
        <v>3111</v>
      </c>
      <c r="I100" s="4">
        <v>2.77</v>
      </c>
      <c r="J100" s="4">
        <v>1.04</v>
      </c>
      <c r="K100" s="4">
        <v>0.23074</v>
      </c>
      <c r="L100" s="4" t="s">
        <v>4955</v>
      </c>
      <c r="M100" s="4" t="s">
        <v>4955</v>
      </c>
      <c r="N100" s="60">
        <v>19.2749691</v>
      </c>
      <c r="O100" s="60">
        <v>16.802106859999999</v>
      </c>
      <c r="P100" s="60">
        <v>16.009443279999999</v>
      </c>
      <c r="Q100" s="60">
        <v>16.009443279999999</v>
      </c>
      <c r="R100" s="51" t="b">
        <v>0</v>
      </c>
      <c r="S100" s="60">
        <v>19.355802539999999</v>
      </c>
      <c r="T100" s="60">
        <v>21.9797802</v>
      </c>
      <c r="U100" s="60">
        <v>19.355802539999999</v>
      </c>
      <c r="V100" s="51" t="b">
        <v>0</v>
      </c>
      <c r="W100" s="60">
        <v>22.890583039999999</v>
      </c>
      <c r="X100" s="60">
        <v>28.440847399999999</v>
      </c>
      <c r="Y100" s="51" t="b">
        <v>0</v>
      </c>
      <c r="Z100" s="60">
        <v>19.609649659999999</v>
      </c>
      <c r="AA100" s="60">
        <v>22.07868195</v>
      </c>
      <c r="AB100" s="60">
        <v>23.095586780000001</v>
      </c>
      <c r="AC100" s="60">
        <v>24.633924480000001</v>
      </c>
      <c r="AD100" s="60">
        <v>18.804885859999999</v>
      </c>
      <c r="AE100" s="60">
        <v>18.63400459</v>
      </c>
      <c r="AF100" s="60">
        <v>18.101936340000002</v>
      </c>
      <c r="AG100" s="60">
        <v>32.801746369999996</v>
      </c>
      <c r="AH100" s="60">
        <v>13.64654541</v>
      </c>
      <c r="AO100" s="50"/>
    </row>
    <row r="101" spans="1:41" ht="13">
      <c r="A101" s="4" t="s">
        <v>3216</v>
      </c>
      <c r="B101" s="50" t="s">
        <v>12799</v>
      </c>
      <c r="C101" s="4" t="s">
        <v>3008</v>
      </c>
      <c r="D101" s="4" t="s">
        <v>4951</v>
      </c>
      <c r="E101" s="4" t="s">
        <v>108</v>
      </c>
      <c r="F101" s="4" t="s">
        <v>19</v>
      </c>
      <c r="G101" s="4" t="s">
        <v>5004</v>
      </c>
      <c r="H101" s="4" t="s">
        <v>3112</v>
      </c>
      <c r="I101" s="4">
        <v>1.41</v>
      </c>
      <c r="J101" s="4">
        <v>1.03</v>
      </c>
      <c r="K101" s="4">
        <v>0.2215</v>
      </c>
      <c r="L101" s="4" t="s">
        <v>12272</v>
      </c>
      <c r="M101" s="4" t="s">
        <v>4929</v>
      </c>
      <c r="N101" s="60">
        <v>3.1089155669999999</v>
      </c>
      <c r="O101" s="60">
        <v>2.9009191990000001</v>
      </c>
      <c r="P101" s="60">
        <v>4.0290055269999998</v>
      </c>
      <c r="Q101" s="60">
        <v>2.9009191990000001</v>
      </c>
      <c r="R101" s="51" t="b">
        <v>1</v>
      </c>
      <c r="S101" s="60">
        <v>3.7870421410000001</v>
      </c>
      <c r="T101" s="60">
        <v>5.7238864899999999</v>
      </c>
      <c r="U101" s="60">
        <v>3.7870421410000001</v>
      </c>
      <c r="V101" s="51" t="b">
        <v>0</v>
      </c>
      <c r="W101" s="60">
        <v>4.5080409049999997</v>
      </c>
      <c r="X101" s="60">
        <v>17.92793846</v>
      </c>
      <c r="Y101" s="51" t="b">
        <v>1</v>
      </c>
      <c r="Z101" s="60">
        <v>0.74902343800000004</v>
      </c>
      <c r="AA101" s="60">
        <v>4.090045452</v>
      </c>
      <c r="AB101" s="60">
        <v>3.1717536449999999</v>
      </c>
      <c r="AC101" s="60">
        <v>8.06986618</v>
      </c>
      <c r="AD101" s="60">
        <v>6.9070801729999998</v>
      </c>
      <c r="AE101" s="60">
        <v>8.993556023</v>
      </c>
      <c r="AF101" s="60">
        <v>13.06928635</v>
      </c>
      <c r="AG101" s="60">
        <v>19.007057190000001</v>
      </c>
      <c r="AH101" s="60">
        <v>17.865549089999998</v>
      </c>
      <c r="AI101" s="41">
        <v>1</v>
      </c>
      <c r="AO101" s="50"/>
    </row>
    <row r="102" spans="1:41" ht="13">
      <c r="A102" s="4" t="s">
        <v>3216</v>
      </c>
      <c r="B102" s="50" t="s">
        <v>12926</v>
      </c>
      <c r="C102" s="4" t="s">
        <v>3008</v>
      </c>
      <c r="D102" s="4" t="s">
        <v>4951</v>
      </c>
      <c r="E102" s="4" t="s">
        <v>108</v>
      </c>
      <c r="F102" s="4" t="s">
        <v>19</v>
      </c>
      <c r="G102" s="41" t="s">
        <v>5004</v>
      </c>
      <c r="H102" s="4" t="s">
        <v>3112</v>
      </c>
      <c r="I102" s="4">
        <v>1.41</v>
      </c>
      <c r="J102" s="4">
        <v>1.03</v>
      </c>
      <c r="K102" s="4">
        <v>0.2215</v>
      </c>
      <c r="L102" s="4" t="s">
        <v>4955</v>
      </c>
      <c r="M102" s="4" t="s">
        <v>4955</v>
      </c>
      <c r="N102" s="60">
        <v>13.774476050000001</v>
      </c>
      <c r="O102" s="60">
        <v>15.10813141</v>
      </c>
      <c r="P102" s="60">
        <v>17.493803020000001</v>
      </c>
      <c r="Q102" s="60">
        <v>13.774476050000001</v>
      </c>
      <c r="R102" s="51" t="b">
        <v>0</v>
      </c>
      <c r="S102" s="60">
        <v>17.45119476</v>
      </c>
      <c r="T102" s="60">
        <v>17.902154920000001</v>
      </c>
      <c r="U102" s="60">
        <v>17.45119476</v>
      </c>
      <c r="V102" s="51" t="b">
        <v>0</v>
      </c>
      <c r="W102" s="60">
        <v>15.19106674</v>
      </c>
      <c r="X102" s="60">
        <v>2.8961658479999999</v>
      </c>
      <c r="Y102" s="51" t="b">
        <v>1</v>
      </c>
      <c r="Z102" s="60">
        <v>13.39280128</v>
      </c>
      <c r="AA102" s="60">
        <v>14.905350690000001</v>
      </c>
      <c r="AB102" s="60">
        <v>10.285309789999999</v>
      </c>
      <c r="AC102" s="60">
        <v>17.183645250000001</v>
      </c>
      <c r="AD102" s="60">
        <v>12.569590570000001</v>
      </c>
      <c r="AE102" s="60">
        <v>9.3862848280000009</v>
      </c>
      <c r="AF102" s="60">
        <v>9.5415964130000006</v>
      </c>
      <c r="AG102" s="60">
        <v>16.022638319999999</v>
      </c>
      <c r="AH102" s="60">
        <v>19.46272278</v>
      </c>
      <c r="AO102" s="50"/>
    </row>
    <row r="103" spans="1:41" ht="13">
      <c r="A103" s="4" t="s">
        <v>3217</v>
      </c>
      <c r="B103" s="50" t="s">
        <v>12839</v>
      </c>
      <c r="C103" s="4" t="s">
        <v>3009</v>
      </c>
      <c r="D103" s="4" t="s">
        <v>4951</v>
      </c>
      <c r="E103" s="4" t="s">
        <v>108</v>
      </c>
      <c r="F103" s="4" t="s">
        <v>19</v>
      </c>
      <c r="G103" s="41" t="s">
        <v>5080</v>
      </c>
      <c r="H103" s="4" t="s">
        <v>3113</v>
      </c>
      <c r="I103" s="4">
        <v>1.47</v>
      </c>
      <c r="J103" s="4">
        <v>1.04</v>
      </c>
      <c r="K103" s="4">
        <v>0.21876000000000001</v>
      </c>
      <c r="L103" s="4" t="s">
        <v>12272</v>
      </c>
      <c r="M103" s="4" t="s">
        <v>4929</v>
      </c>
      <c r="N103" s="60">
        <v>3.5753779410000002</v>
      </c>
      <c r="O103" s="60">
        <v>5.1613316539999996</v>
      </c>
      <c r="P103" s="60">
        <v>6.0042786599999998</v>
      </c>
      <c r="Q103" s="60">
        <v>3.5753779410000002</v>
      </c>
      <c r="R103" s="51" t="b">
        <v>0</v>
      </c>
      <c r="S103" s="60">
        <v>5.0078582760000003</v>
      </c>
      <c r="T103" s="60">
        <v>6.422396183</v>
      </c>
      <c r="U103" s="60">
        <v>5.0078582760000003</v>
      </c>
      <c r="V103" s="51" t="b">
        <v>0</v>
      </c>
      <c r="W103" s="60">
        <v>4.1330170629999996</v>
      </c>
      <c r="X103" s="60">
        <v>39.453987120000001</v>
      </c>
      <c r="Y103" s="51" t="b">
        <v>0</v>
      </c>
      <c r="Z103" s="60">
        <v>1.391727924</v>
      </c>
      <c r="AA103" s="60">
        <v>4.3896307950000004</v>
      </c>
      <c r="AB103" s="60">
        <v>3.673322916</v>
      </c>
      <c r="AC103" s="60">
        <v>8.22310257</v>
      </c>
      <c r="AD103" s="60">
        <v>6.8730077740000004</v>
      </c>
      <c r="AE103" s="60">
        <v>8.6073122019999992</v>
      </c>
      <c r="AF103" s="60">
        <v>13.1176815</v>
      </c>
      <c r="AG103" s="60">
        <v>18.636358260000002</v>
      </c>
      <c r="AH103" s="60">
        <v>18.858945850000001</v>
      </c>
      <c r="AO103" s="50"/>
    </row>
    <row r="104" spans="1:41" ht="13">
      <c r="A104" s="4" t="s">
        <v>3217</v>
      </c>
      <c r="B104" s="50" t="s">
        <v>12930</v>
      </c>
      <c r="C104" s="4" t="s">
        <v>3009</v>
      </c>
      <c r="D104" s="4" t="s">
        <v>4951</v>
      </c>
      <c r="E104" s="4" t="s">
        <v>108</v>
      </c>
      <c r="F104" s="4" t="s">
        <v>19</v>
      </c>
      <c r="G104" s="4" t="s">
        <v>5080</v>
      </c>
      <c r="H104" s="4" t="s">
        <v>3113</v>
      </c>
      <c r="I104" s="4">
        <v>1.47</v>
      </c>
      <c r="J104" s="4">
        <v>1.04</v>
      </c>
      <c r="K104" s="4">
        <v>0.21876000000000001</v>
      </c>
      <c r="L104" s="4" t="s">
        <v>12931</v>
      </c>
      <c r="M104" s="4" t="s">
        <v>4995</v>
      </c>
      <c r="N104" s="60">
        <v>19.309434889999999</v>
      </c>
      <c r="O104" s="60">
        <v>16.760787959999998</v>
      </c>
      <c r="P104" s="60">
        <v>15.908304210000001</v>
      </c>
      <c r="Q104" s="60">
        <v>15.908304210000001</v>
      </c>
      <c r="R104" s="51" t="b">
        <v>0</v>
      </c>
      <c r="S104" s="60">
        <v>18.932298660000001</v>
      </c>
      <c r="T104" s="60">
        <v>20.019153589999998</v>
      </c>
      <c r="U104" s="60">
        <v>18.932298660000001</v>
      </c>
      <c r="V104" s="51" t="b">
        <v>0</v>
      </c>
      <c r="W104" s="60">
        <v>19.919239040000001</v>
      </c>
      <c r="X104" s="60">
        <v>3.0197722910000002</v>
      </c>
      <c r="Y104" s="51" t="b">
        <v>1</v>
      </c>
      <c r="Z104" s="60">
        <v>15.475104330000001</v>
      </c>
      <c r="AA104" s="60">
        <v>14.18564129</v>
      </c>
      <c r="AB104" s="60">
        <v>19.261711120000001</v>
      </c>
      <c r="AC104" s="60">
        <v>15.89713383</v>
      </c>
      <c r="AD104" s="60">
        <v>7.6101655959999999</v>
      </c>
      <c r="AE104" s="60">
        <v>5.4847879410000004</v>
      </c>
      <c r="AF104" s="60">
        <v>3.8126661780000002</v>
      </c>
      <c r="AG104" s="60">
        <v>1.065938711</v>
      </c>
      <c r="AH104" s="60">
        <v>13.370302199999999</v>
      </c>
      <c r="AO104" s="50"/>
    </row>
    <row r="105" spans="1:41" ht="13">
      <c r="A105" s="4" t="s">
        <v>3218</v>
      </c>
      <c r="B105" s="50" t="s">
        <v>12864</v>
      </c>
      <c r="C105" s="4" t="s">
        <v>3010</v>
      </c>
      <c r="D105" s="4" t="s">
        <v>4951</v>
      </c>
      <c r="E105" s="4" t="s">
        <v>108</v>
      </c>
      <c r="F105" s="4" t="s">
        <v>19</v>
      </c>
      <c r="G105" s="41" t="s">
        <v>5005</v>
      </c>
      <c r="H105" s="4" t="s">
        <v>3114</v>
      </c>
      <c r="I105" s="4">
        <v>1.54</v>
      </c>
      <c r="J105" s="4">
        <v>1.1100000000000001</v>
      </c>
      <c r="K105" s="4">
        <v>0.23788000000000001</v>
      </c>
      <c r="L105" s="4" t="s">
        <v>12272</v>
      </c>
      <c r="M105" s="4" t="s">
        <v>4929</v>
      </c>
      <c r="N105" s="60">
        <v>5.9137725830000001</v>
      </c>
      <c r="O105" s="60">
        <v>6.3393883710000001</v>
      </c>
      <c r="P105" s="60">
        <v>7.018837929</v>
      </c>
      <c r="Q105" s="60">
        <v>5.9137725830000001</v>
      </c>
      <c r="R105" s="51" t="b">
        <v>0</v>
      </c>
      <c r="S105" s="60">
        <v>5.8873891829999998</v>
      </c>
      <c r="T105" s="60">
        <v>6.8506193160000004</v>
      </c>
      <c r="U105" s="60">
        <v>5.8873891829999998</v>
      </c>
      <c r="V105" s="51" t="b">
        <v>0</v>
      </c>
      <c r="W105" s="60">
        <v>4.3611283299999997</v>
      </c>
      <c r="X105" s="60">
        <v>3.0246605870000001</v>
      </c>
      <c r="Y105" s="51" t="b">
        <v>1</v>
      </c>
      <c r="Z105" s="60">
        <v>1.568240643</v>
      </c>
      <c r="AA105" s="60">
        <v>4.866452217</v>
      </c>
      <c r="AB105" s="60">
        <v>4.7153687480000004</v>
      </c>
      <c r="AC105" s="60">
        <v>8.7095298769999996</v>
      </c>
      <c r="AD105" s="60">
        <v>7.0535564419999996</v>
      </c>
      <c r="AE105" s="60">
        <v>8.8154201509999996</v>
      </c>
      <c r="AF105" s="60">
        <v>13.303489689999999</v>
      </c>
      <c r="AG105" s="60">
        <v>18.84587479</v>
      </c>
      <c r="AH105" s="60">
        <v>18.380298610000001</v>
      </c>
      <c r="AO105" s="50"/>
    </row>
    <row r="106" spans="1:41" ht="13">
      <c r="A106" s="4" t="s">
        <v>3219</v>
      </c>
      <c r="B106" s="50" t="s">
        <v>12870</v>
      </c>
      <c r="C106" s="4" t="s">
        <v>3011</v>
      </c>
      <c r="D106" s="4" t="s">
        <v>4951</v>
      </c>
      <c r="E106" s="4" t="s">
        <v>108</v>
      </c>
      <c r="F106" s="4" t="s">
        <v>19</v>
      </c>
      <c r="G106" s="41" t="s">
        <v>12871</v>
      </c>
      <c r="H106" s="4" t="s">
        <v>3115</v>
      </c>
      <c r="I106" s="4">
        <v>1.62</v>
      </c>
      <c r="J106" s="4">
        <v>1.01</v>
      </c>
      <c r="K106" s="4">
        <v>0.20929</v>
      </c>
      <c r="L106" s="4" t="s">
        <v>12272</v>
      </c>
      <c r="M106" s="4" t="s">
        <v>4929</v>
      </c>
      <c r="N106" s="60">
        <v>3.140323639</v>
      </c>
      <c r="O106" s="60">
        <v>4.1632108690000003</v>
      </c>
      <c r="P106" s="60">
        <v>7.1090288160000004</v>
      </c>
      <c r="Q106" s="60">
        <v>3.140323639</v>
      </c>
      <c r="R106" s="51" t="b">
        <v>1</v>
      </c>
      <c r="S106" s="60">
        <v>6.0695848459999997</v>
      </c>
      <c r="T106" s="60">
        <v>7.5257716180000003</v>
      </c>
      <c r="U106" s="60">
        <v>6.0695848459999997</v>
      </c>
      <c r="V106" s="51" t="b">
        <v>0</v>
      </c>
      <c r="W106" s="60">
        <v>4.082009792</v>
      </c>
      <c r="X106" s="60">
        <v>39.872901919999997</v>
      </c>
      <c r="Y106" s="51" t="b">
        <v>0</v>
      </c>
      <c r="Z106" s="60">
        <v>1.512458801</v>
      </c>
      <c r="AA106" s="60">
        <v>4.9776201249999996</v>
      </c>
      <c r="AB106" s="60">
        <v>3.135078907</v>
      </c>
      <c r="AC106" s="60">
        <v>8.8669090270000002</v>
      </c>
      <c r="AD106" s="60">
        <v>7.7211489679999996</v>
      </c>
      <c r="AE106" s="60">
        <v>9.0977392199999993</v>
      </c>
      <c r="AF106" s="60">
        <v>13.550591470000001</v>
      </c>
      <c r="AG106" s="60">
        <v>19.197330470000001</v>
      </c>
      <c r="AH106" s="60">
        <v>7.4801211360000002</v>
      </c>
      <c r="AI106" s="41">
        <v>2</v>
      </c>
      <c r="AJ106" s="41" t="s">
        <v>12768</v>
      </c>
      <c r="AO106" s="50"/>
    </row>
    <row r="107" spans="1:41" ht="13">
      <c r="A107" s="4" t="s">
        <v>3219</v>
      </c>
      <c r="B107" s="50" t="s">
        <v>12960</v>
      </c>
      <c r="C107" s="4" t="s">
        <v>3011</v>
      </c>
      <c r="D107" s="4" t="s">
        <v>4951</v>
      </c>
      <c r="E107" s="4" t="s">
        <v>108</v>
      </c>
      <c r="F107" s="4" t="s">
        <v>19</v>
      </c>
      <c r="G107" s="4" t="s">
        <v>12871</v>
      </c>
      <c r="H107" s="4" t="s">
        <v>3115</v>
      </c>
      <c r="I107" s="4">
        <v>1.62</v>
      </c>
      <c r="J107" s="4">
        <v>1.01</v>
      </c>
      <c r="K107" s="4">
        <v>0.20929</v>
      </c>
      <c r="L107" s="4" t="s">
        <v>4955</v>
      </c>
      <c r="M107" s="4" t="s">
        <v>4955</v>
      </c>
      <c r="N107" s="60">
        <v>20.321611399999998</v>
      </c>
      <c r="O107" s="60">
        <v>19.62135696</v>
      </c>
      <c r="P107" s="60">
        <v>21.646999359999999</v>
      </c>
      <c r="Q107" s="60">
        <v>19.62135696</v>
      </c>
      <c r="R107" s="51" t="b">
        <v>0</v>
      </c>
      <c r="S107" s="60">
        <v>24.789035800000001</v>
      </c>
      <c r="T107" s="60">
        <v>27.54479027</v>
      </c>
      <c r="U107" s="60">
        <v>24.789035800000001</v>
      </c>
      <c r="V107" s="51" t="b">
        <v>0</v>
      </c>
      <c r="W107" s="60">
        <v>25.899318699999998</v>
      </c>
      <c r="X107" s="60">
        <v>16.197959900000001</v>
      </c>
      <c r="Y107" s="51" t="b">
        <v>0</v>
      </c>
      <c r="Z107" s="60">
        <v>21.248199459999999</v>
      </c>
      <c r="AA107" s="60">
        <v>22.578359599999999</v>
      </c>
      <c r="AB107" s="60">
        <v>21.112596509999999</v>
      </c>
      <c r="AC107" s="60">
        <v>25.356655119999999</v>
      </c>
      <c r="AD107" s="60">
        <v>17.07467651</v>
      </c>
      <c r="AE107" s="60">
        <v>15.323349950000001</v>
      </c>
      <c r="AF107" s="60">
        <v>13.060421939999999</v>
      </c>
      <c r="AG107" s="60">
        <v>23.557382579999999</v>
      </c>
      <c r="AH107" s="60">
        <v>4.9461116790000004</v>
      </c>
      <c r="AI107" s="41">
        <v>1</v>
      </c>
      <c r="AO107" s="50"/>
    </row>
    <row r="108" spans="1:41" ht="13">
      <c r="A108" s="4" t="s">
        <v>3220</v>
      </c>
      <c r="B108" s="50" t="s">
        <v>12761</v>
      </c>
      <c r="C108" s="4" t="s">
        <v>3012</v>
      </c>
      <c r="D108" s="4" t="s">
        <v>4951</v>
      </c>
      <c r="E108" s="4" t="s">
        <v>108</v>
      </c>
      <c r="F108" s="4" t="s">
        <v>19</v>
      </c>
      <c r="G108" s="4" t="s">
        <v>5135</v>
      </c>
      <c r="H108" s="4" t="s">
        <v>3116</v>
      </c>
      <c r="I108" s="4">
        <v>1.73</v>
      </c>
      <c r="J108" s="4">
        <v>1.22</v>
      </c>
      <c r="K108" s="4">
        <v>0.23061999999999999</v>
      </c>
      <c r="L108" s="4" t="s">
        <v>12722</v>
      </c>
      <c r="M108" s="4" t="s">
        <v>4929</v>
      </c>
      <c r="N108" s="60">
        <v>8.6514253619999995</v>
      </c>
      <c r="O108" s="60">
        <v>7.3349804880000002</v>
      </c>
      <c r="P108" s="60">
        <v>4.0051341059999999</v>
      </c>
      <c r="Q108" s="60">
        <v>4.0051341059999999</v>
      </c>
      <c r="R108" s="51" t="b">
        <v>0</v>
      </c>
      <c r="S108" s="60">
        <v>2.8951330180000001</v>
      </c>
      <c r="T108" s="60">
        <v>2.885560989</v>
      </c>
      <c r="U108" s="60">
        <v>2.885560989</v>
      </c>
      <c r="V108" s="51" t="b">
        <v>1</v>
      </c>
      <c r="W108" s="60">
        <v>5.7049193379999998</v>
      </c>
      <c r="X108" s="60">
        <v>9.8763427729999993</v>
      </c>
      <c r="Y108" s="51" t="b">
        <v>0</v>
      </c>
      <c r="Z108" s="60">
        <v>3.9689667219999998</v>
      </c>
      <c r="AA108" s="60">
        <v>1.832103968</v>
      </c>
      <c r="AB108" s="60">
        <v>11.439188</v>
      </c>
      <c r="AC108" s="60">
        <v>3.5094070429999999</v>
      </c>
      <c r="AD108" s="60">
        <v>5.9227581020000004</v>
      </c>
      <c r="AE108" s="60">
        <v>9.7481918329999999</v>
      </c>
      <c r="AF108" s="60">
        <v>14.62690639</v>
      </c>
      <c r="AG108" s="60">
        <v>18.36352539</v>
      </c>
      <c r="AH108" s="60">
        <v>21.530309679999998</v>
      </c>
      <c r="AK108" s="41">
        <v>2</v>
      </c>
      <c r="AL108" s="41">
        <v>1</v>
      </c>
      <c r="AM108" s="41" t="s">
        <v>12727</v>
      </c>
      <c r="AO108" s="50"/>
    </row>
    <row r="109" spans="1:41" ht="13">
      <c r="A109" s="4" t="s">
        <v>3221</v>
      </c>
      <c r="B109" s="50" t="s">
        <v>12848</v>
      </c>
      <c r="C109" s="4" t="s">
        <v>3013</v>
      </c>
      <c r="D109" s="4" t="s">
        <v>4951</v>
      </c>
      <c r="E109" s="4" t="s">
        <v>108</v>
      </c>
      <c r="F109" s="4" t="s">
        <v>19</v>
      </c>
      <c r="G109" s="41" t="s">
        <v>5006</v>
      </c>
      <c r="H109" s="4" t="s">
        <v>3117</v>
      </c>
      <c r="I109" s="4">
        <v>1.83</v>
      </c>
      <c r="J109" s="4">
        <v>1.07</v>
      </c>
      <c r="K109" s="4">
        <v>0.22106000000000001</v>
      </c>
      <c r="L109" s="4" t="s">
        <v>12272</v>
      </c>
      <c r="M109" s="4" t="s">
        <v>4929</v>
      </c>
      <c r="N109" s="60">
        <v>3.3075592519999999</v>
      </c>
      <c r="O109" s="60">
        <v>4.2153182029999998</v>
      </c>
      <c r="P109" s="60">
        <v>6.5532236099999999</v>
      </c>
      <c r="Q109" s="60">
        <v>3.3075592519999999</v>
      </c>
      <c r="R109" s="51" t="b">
        <v>1</v>
      </c>
      <c r="S109" s="60">
        <v>5.2802357669999997</v>
      </c>
      <c r="T109" s="60">
        <v>6.1141471860000003</v>
      </c>
      <c r="U109" s="60">
        <v>5.2802357669999997</v>
      </c>
      <c r="V109" s="51" t="b">
        <v>0</v>
      </c>
      <c r="W109" s="60">
        <v>3.8080492019999999</v>
      </c>
      <c r="X109" s="60">
        <v>3.967393875</v>
      </c>
      <c r="Y109" s="51" t="b">
        <v>0</v>
      </c>
      <c r="Z109" s="60">
        <v>2.0325269700000002</v>
      </c>
      <c r="AA109" s="60">
        <v>3.6428742409999999</v>
      </c>
      <c r="AB109" s="60">
        <v>2.8348588939999999</v>
      </c>
      <c r="AC109" s="60">
        <v>7.6777124399999996</v>
      </c>
      <c r="AD109" s="60">
        <v>6.3502540590000001</v>
      </c>
      <c r="AE109" s="60">
        <v>8.686788559</v>
      </c>
      <c r="AF109" s="60">
        <v>13.26404572</v>
      </c>
      <c r="AG109" s="60">
        <v>18.56904793</v>
      </c>
      <c r="AH109" s="60">
        <v>18.36353493</v>
      </c>
      <c r="AI109" s="41">
        <v>1</v>
      </c>
      <c r="AO109" s="50"/>
    </row>
    <row r="110" spans="1:41" ht="13">
      <c r="A110" s="4" t="s">
        <v>3221</v>
      </c>
      <c r="B110" s="50" t="s">
        <v>12914</v>
      </c>
      <c r="C110" s="4" t="s">
        <v>3013</v>
      </c>
      <c r="D110" s="4" t="s">
        <v>4951</v>
      </c>
      <c r="E110" s="4" t="s">
        <v>108</v>
      </c>
      <c r="F110" s="4" t="s">
        <v>19</v>
      </c>
      <c r="G110" s="4" t="s">
        <v>5006</v>
      </c>
      <c r="H110" s="4" t="s">
        <v>3117</v>
      </c>
      <c r="I110" s="4">
        <v>1.83</v>
      </c>
      <c r="J110" s="4">
        <v>1.07</v>
      </c>
      <c r="K110" s="4">
        <v>0.22106000000000001</v>
      </c>
      <c r="L110" s="4" t="s">
        <v>4929</v>
      </c>
      <c r="M110" s="4" t="s">
        <v>4929</v>
      </c>
      <c r="N110" s="60">
        <v>2.6890790459999998</v>
      </c>
      <c r="O110" s="60">
        <v>6.4687156679999998</v>
      </c>
      <c r="P110" s="60">
        <v>11.12670994</v>
      </c>
      <c r="Q110" s="60">
        <v>2.6890790459999998</v>
      </c>
      <c r="R110" s="51" t="b">
        <v>1</v>
      </c>
      <c r="S110" s="60">
        <v>9.5710592269999992</v>
      </c>
      <c r="T110" s="60">
        <v>10.40873146</v>
      </c>
      <c r="U110" s="60">
        <v>9.5710592269999992</v>
      </c>
      <c r="V110" s="51" t="b">
        <v>0</v>
      </c>
      <c r="W110" s="60">
        <v>6.1933026309999999</v>
      </c>
      <c r="X110" s="60">
        <v>45.20688629</v>
      </c>
      <c r="Y110" s="51" t="b">
        <v>0</v>
      </c>
      <c r="Z110" s="60">
        <v>7.2794184680000003</v>
      </c>
      <c r="AA110" s="60">
        <v>10.89021397</v>
      </c>
      <c r="AB110" s="60">
        <v>0.76907706300000001</v>
      </c>
      <c r="AC110" s="60">
        <v>13.728410719999999</v>
      </c>
      <c r="AD110" s="60">
        <v>12.89408875</v>
      </c>
      <c r="AE110" s="60">
        <v>11.975512500000001</v>
      </c>
      <c r="AF110" s="60">
        <v>14.909545899999999</v>
      </c>
      <c r="AG110" s="60">
        <v>21.27958679</v>
      </c>
      <c r="AH110" s="60">
        <v>18.110374449999998</v>
      </c>
      <c r="AI110" s="41">
        <v>1</v>
      </c>
      <c r="AO110" s="50"/>
    </row>
    <row r="111" spans="1:41" ht="13">
      <c r="A111" s="4" t="s">
        <v>3222</v>
      </c>
      <c r="B111" s="50" t="s">
        <v>12888</v>
      </c>
      <c r="C111" s="4" t="s">
        <v>3014</v>
      </c>
      <c r="D111" s="4" t="s">
        <v>4951</v>
      </c>
      <c r="E111" s="4" t="s">
        <v>108</v>
      </c>
      <c r="F111" s="4" t="s">
        <v>22</v>
      </c>
      <c r="G111" s="41" t="s">
        <v>5007</v>
      </c>
      <c r="H111" s="4" t="s">
        <v>3118</v>
      </c>
      <c r="I111" s="4">
        <v>1.94</v>
      </c>
      <c r="J111" s="4">
        <v>1.1100000000000001</v>
      </c>
      <c r="K111" s="4">
        <v>0.25790999999999997</v>
      </c>
      <c r="L111" s="4" t="s">
        <v>12272</v>
      </c>
      <c r="M111" s="4" t="s">
        <v>4929</v>
      </c>
      <c r="N111" s="60">
        <v>6.0611190800000001</v>
      </c>
      <c r="O111" s="60">
        <v>7.4049525259999998</v>
      </c>
      <c r="P111" s="60">
        <v>8.7608289720000005</v>
      </c>
      <c r="Q111" s="60">
        <v>6.0611190800000001</v>
      </c>
      <c r="R111" s="51" t="b">
        <v>0</v>
      </c>
      <c r="S111" s="60">
        <v>7.0819959639999999</v>
      </c>
      <c r="T111" s="60">
        <v>7.5794115069999997</v>
      </c>
      <c r="U111" s="60">
        <v>7.0819959639999999</v>
      </c>
      <c r="V111" s="51" t="b">
        <v>0</v>
      </c>
      <c r="W111" s="60">
        <v>4.0150051119999999</v>
      </c>
      <c r="X111" s="60">
        <v>2.855438709</v>
      </c>
      <c r="Y111" s="51" t="b">
        <v>1</v>
      </c>
      <c r="Z111" s="60">
        <v>1.768300056</v>
      </c>
      <c r="AA111" s="60">
        <v>4.8607015609999999</v>
      </c>
      <c r="AB111" s="60">
        <v>2.7085523610000002</v>
      </c>
      <c r="AC111" s="60">
        <v>8.5272693630000003</v>
      </c>
      <c r="AD111" s="60">
        <v>7.2102956770000004</v>
      </c>
      <c r="AE111" s="60">
        <v>8.8294782640000005</v>
      </c>
      <c r="AF111" s="60">
        <v>13.36060715</v>
      </c>
      <c r="AG111" s="60">
        <v>18.87832642</v>
      </c>
      <c r="AH111" s="60">
        <v>18.881017679999999</v>
      </c>
      <c r="AO111" s="50"/>
    </row>
    <row r="112" spans="1:41" ht="13">
      <c r="A112" s="4" t="s">
        <v>3223</v>
      </c>
      <c r="B112" s="50" t="s">
        <v>12885</v>
      </c>
      <c r="C112" s="4" t="s">
        <v>3015</v>
      </c>
      <c r="D112" s="4" t="s">
        <v>4951</v>
      </c>
      <c r="E112" s="4" t="s">
        <v>108</v>
      </c>
      <c r="F112" s="4" t="s">
        <v>22</v>
      </c>
      <c r="G112" s="4" t="s">
        <v>5008</v>
      </c>
      <c r="H112" s="4" t="s">
        <v>3119</v>
      </c>
      <c r="I112" s="4">
        <v>1.95</v>
      </c>
      <c r="J112" s="4">
        <v>1.08</v>
      </c>
      <c r="K112" s="4">
        <v>0.30469000000000002</v>
      </c>
      <c r="L112" s="4" t="s">
        <v>12272</v>
      </c>
      <c r="M112" s="4" t="s">
        <v>4929</v>
      </c>
      <c r="N112" s="60">
        <v>2.855763912</v>
      </c>
      <c r="O112" s="60">
        <v>5.6731905940000003</v>
      </c>
      <c r="P112" s="60">
        <v>8.4716691970000007</v>
      </c>
      <c r="Q112" s="60">
        <v>2.855763912</v>
      </c>
      <c r="R112" s="51" t="b">
        <v>1</v>
      </c>
      <c r="S112" s="60">
        <v>6.9704265589999999</v>
      </c>
      <c r="T112" s="60">
        <v>7.8197417260000002</v>
      </c>
      <c r="U112" s="60">
        <v>6.9704265589999999</v>
      </c>
      <c r="V112" s="51" t="b">
        <v>0</v>
      </c>
      <c r="W112" s="60">
        <v>4.048969746</v>
      </c>
      <c r="X112" s="60">
        <v>2.8960020540000002</v>
      </c>
      <c r="Y112" s="51" t="b">
        <v>1</v>
      </c>
      <c r="Z112" s="60">
        <v>1.6010097270000001</v>
      </c>
      <c r="AA112" s="60">
        <v>4.9063796999999996</v>
      </c>
      <c r="AB112" s="60">
        <v>2.3431842330000001</v>
      </c>
      <c r="AC112" s="60">
        <v>8.7538213729999992</v>
      </c>
      <c r="AD112" s="60">
        <v>7.1541538239999998</v>
      </c>
      <c r="AE112" s="60">
        <v>8.8063726429999996</v>
      </c>
      <c r="AF112" s="60">
        <v>13.264570239999999</v>
      </c>
      <c r="AG112" s="60">
        <v>18.843059539999999</v>
      </c>
      <c r="AH112" s="60">
        <v>18.621643070000001</v>
      </c>
      <c r="AI112" s="41">
        <v>1</v>
      </c>
      <c r="AO112" s="50"/>
    </row>
    <row r="113" spans="1:41" ht="13">
      <c r="A113" s="4" t="s">
        <v>3224</v>
      </c>
      <c r="B113" s="50" t="s">
        <v>12745</v>
      </c>
      <c r="C113" s="4" t="s">
        <v>3016</v>
      </c>
      <c r="D113" s="4" t="s">
        <v>4951</v>
      </c>
      <c r="E113" s="4" t="s">
        <v>108</v>
      </c>
      <c r="F113" s="4" t="s">
        <v>22</v>
      </c>
      <c r="G113" s="4" t="s">
        <v>5136</v>
      </c>
      <c r="H113" s="4" t="s">
        <v>3120</v>
      </c>
      <c r="I113" s="4">
        <v>2.3199999999999998</v>
      </c>
      <c r="J113" s="4">
        <v>1.1200000000000001</v>
      </c>
      <c r="K113" s="4">
        <v>0.24906</v>
      </c>
      <c r="L113" s="4" t="s">
        <v>12722</v>
      </c>
      <c r="M113" s="4" t="s">
        <v>4929</v>
      </c>
      <c r="N113" s="60">
        <v>8.5770215990000001</v>
      </c>
      <c r="O113" s="60">
        <v>7.0236592289999997</v>
      </c>
      <c r="P113" s="60">
        <v>3.7276558880000001</v>
      </c>
      <c r="Q113" s="60">
        <v>3.7276558880000001</v>
      </c>
      <c r="R113" s="51" t="b">
        <v>0</v>
      </c>
      <c r="S113" s="60">
        <v>2.7905158999999999</v>
      </c>
      <c r="T113" s="60">
        <v>3.1015019420000001</v>
      </c>
      <c r="U113" s="60">
        <v>2.7905158999999999</v>
      </c>
      <c r="V113" s="51" t="b">
        <v>1</v>
      </c>
      <c r="W113" s="60">
        <v>5.8471708299999996</v>
      </c>
      <c r="X113" s="60">
        <v>7.3258662220000001</v>
      </c>
      <c r="Y113" s="51" t="b">
        <v>0</v>
      </c>
      <c r="Z113" s="60">
        <v>3.7846286299999998</v>
      </c>
      <c r="AA113" s="60">
        <v>1.500237107</v>
      </c>
      <c r="AB113" s="60">
        <v>10.42453384</v>
      </c>
      <c r="AC113" s="60">
        <v>5.2019677160000004</v>
      </c>
      <c r="AD113" s="60">
        <v>2.1205098630000001</v>
      </c>
      <c r="AE113" s="60">
        <v>5.3242745400000002</v>
      </c>
      <c r="AF113" s="60">
        <v>10.08389187</v>
      </c>
      <c r="AG113" s="60">
        <v>14.775854109999999</v>
      </c>
      <c r="AH113" s="60">
        <v>20.07214355</v>
      </c>
      <c r="AK113" s="41">
        <v>2</v>
      </c>
      <c r="AL113" s="41">
        <v>1</v>
      </c>
      <c r="AM113" s="41" t="s">
        <v>12727</v>
      </c>
      <c r="AO113" s="50"/>
    </row>
    <row r="114" spans="1:41" ht="13">
      <c r="A114" s="4" t="s">
        <v>3225</v>
      </c>
      <c r="B114" s="50" t="s">
        <v>12725</v>
      </c>
      <c r="C114" s="4" t="s">
        <v>3017</v>
      </c>
      <c r="D114" s="4" t="s">
        <v>4951</v>
      </c>
      <c r="E114" s="4" t="s">
        <v>108</v>
      </c>
      <c r="F114" s="4" t="s">
        <v>22</v>
      </c>
      <c r="G114" s="4" t="s">
        <v>5137</v>
      </c>
      <c r="H114" s="4" t="s">
        <v>3121</v>
      </c>
      <c r="I114" s="4">
        <v>2.34</v>
      </c>
      <c r="J114" s="4">
        <v>1.0900000000000001</v>
      </c>
      <c r="K114" s="4">
        <v>0.22792999999999999</v>
      </c>
      <c r="L114" s="4" t="s">
        <v>12722</v>
      </c>
      <c r="M114" s="4" t="s">
        <v>4929</v>
      </c>
      <c r="N114" s="60">
        <v>8.6771392820000006</v>
      </c>
      <c r="O114" s="60">
        <v>6.9989290239999997</v>
      </c>
      <c r="P114" s="60">
        <v>4.2720141409999997</v>
      </c>
      <c r="Q114" s="60">
        <v>4.2720141409999997</v>
      </c>
      <c r="R114" s="51" t="b">
        <v>0</v>
      </c>
      <c r="S114" s="60">
        <v>2.9426167009999999</v>
      </c>
      <c r="T114" s="60">
        <v>2.6458609100000001</v>
      </c>
      <c r="U114" s="60">
        <v>2.6458609100000001</v>
      </c>
      <c r="V114" s="51" t="b">
        <v>1</v>
      </c>
      <c r="W114" s="60">
        <v>5.8312206270000004</v>
      </c>
      <c r="X114" s="60">
        <v>9.1783761980000005</v>
      </c>
      <c r="Y114" s="51" t="b">
        <v>0</v>
      </c>
      <c r="Z114" s="60">
        <v>3.2230730059999999</v>
      </c>
      <c r="AA114" s="60">
        <v>0.76695060699999995</v>
      </c>
      <c r="AB114" s="60">
        <v>10.83283806</v>
      </c>
      <c r="AC114" s="60">
        <v>0.60554611700000005</v>
      </c>
      <c r="AD114" s="60">
        <v>5.4156594279999997</v>
      </c>
      <c r="AE114" s="60">
        <v>8.3461923599999999</v>
      </c>
      <c r="AF114" s="60">
        <v>13.26443577</v>
      </c>
      <c r="AG114" s="60">
        <v>17.763654710000001</v>
      </c>
      <c r="AH114" s="60">
        <v>19.879053119999998</v>
      </c>
      <c r="AK114" s="41">
        <v>2</v>
      </c>
      <c r="AL114" s="41">
        <v>5</v>
      </c>
      <c r="AM114" s="41" t="s">
        <v>12724</v>
      </c>
      <c r="AO114" s="50"/>
    </row>
    <row r="115" spans="1:41" ht="13">
      <c r="A115" s="4" t="s">
        <v>3226</v>
      </c>
      <c r="B115" s="50" t="s">
        <v>12845</v>
      </c>
      <c r="C115" s="4" t="s">
        <v>3018</v>
      </c>
      <c r="D115" s="4" t="s">
        <v>4951</v>
      </c>
      <c r="E115" s="4" t="s">
        <v>108</v>
      </c>
      <c r="F115" s="4" t="s">
        <v>22</v>
      </c>
      <c r="G115" s="4" t="s">
        <v>5009</v>
      </c>
      <c r="H115" s="4" t="s">
        <v>3122</v>
      </c>
      <c r="I115" s="4">
        <v>2.37</v>
      </c>
      <c r="J115" s="4">
        <v>1.06</v>
      </c>
      <c r="K115" s="4">
        <v>0.23699999999999999</v>
      </c>
      <c r="L115" s="4" t="s">
        <v>12272</v>
      </c>
      <c r="M115" s="4" t="s">
        <v>4929</v>
      </c>
      <c r="N115" s="60">
        <v>4.9226527210000004</v>
      </c>
      <c r="O115" s="60">
        <v>5.7370018959999998</v>
      </c>
      <c r="P115" s="60">
        <v>6.5052666659999998</v>
      </c>
      <c r="Q115" s="60">
        <v>4.9226527210000004</v>
      </c>
      <c r="R115" s="51" t="b">
        <v>0</v>
      </c>
      <c r="S115" s="60">
        <v>5.2356719969999999</v>
      </c>
      <c r="T115" s="60">
        <v>6.3812327379999996</v>
      </c>
      <c r="U115" s="60">
        <v>5.2356719969999999</v>
      </c>
      <c r="V115" s="51" t="b">
        <v>0</v>
      </c>
      <c r="W115" s="60">
        <v>3.9495913979999999</v>
      </c>
      <c r="X115" s="60">
        <v>3.4416341780000002</v>
      </c>
      <c r="Y115" s="51" t="b">
        <v>1</v>
      </c>
      <c r="Z115" s="60">
        <v>1.9336786269999999</v>
      </c>
      <c r="AA115" s="60">
        <v>4.2426934239999996</v>
      </c>
      <c r="AB115" s="60">
        <v>3.2248950000000001</v>
      </c>
      <c r="AC115" s="60">
        <v>7.9473032950000002</v>
      </c>
      <c r="AD115" s="60">
        <v>6.7893323900000002</v>
      </c>
      <c r="AE115" s="60">
        <v>8.5927524569999996</v>
      </c>
      <c r="AF115" s="60">
        <v>13.102728839999999</v>
      </c>
      <c r="AG115" s="60">
        <v>18.577062609999999</v>
      </c>
      <c r="AH115" s="60">
        <v>19.0457325</v>
      </c>
      <c r="AO115" s="50"/>
    </row>
    <row r="116" spans="1:41" ht="13">
      <c r="A116" s="4" t="s">
        <v>3227</v>
      </c>
      <c r="B116" s="50" t="s">
        <v>12972</v>
      </c>
      <c r="C116" s="4" t="s">
        <v>3019</v>
      </c>
      <c r="D116" s="4" t="s">
        <v>4951</v>
      </c>
      <c r="E116" s="4" t="s">
        <v>108</v>
      </c>
      <c r="F116" s="4" t="s">
        <v>17</v>
      </c>
      <c r="G116" s="41" t="s">
        <v>5162</v>
      </c>
      <c r="H116" s="4" t="s">
        <v>3123</v>
      </c>
      <c r="I116" s="4">
        <v>2.0299999999999998</v>
      </c>
      <c r="J116" s="4">
        <v>1.06</v>
      </c>
      <c r="K116" s="4">
        <v>0.23846999999999999</v>
      </c>
      <c r="L116" s="4" t="s">
        <v>4955</v>
      </c>
      <c r="M116" s="4" t="s">
        <v>4955</v>
      </c>
      <c r="N116" s="60">
        <v>20.91514969</v>
      </c>
      <c r="O116" s="60">
        <v>21.692667010000001</v>
      </c>
      <c r="P116" s="60">
        <v>25.19408035</v>
      </c>
      <c r="Q116" s="60">
        <v>20.91514969</v>
      </c>
      <c r="R116" s="51" t="b">
        <v>0</v>
      </c>
      <c r="S116" s="60">
        <v>27.101682660000002</v>
      </c>
      <c r="T116" s="60">
        <v>29.328557969999999</v>
      </c>
      <c r="U116" s="60">
        <v>27.101682660000002</v>
      </c>
      <c r="V116" s="51" t="b">
        <v>0</v>
      </c>
      <c r="W116" s="60">
        <v>25.291891100000001</v>
      </c>
      <c r="X116" s="60">
        <v>30.322158810000001</v>
      </c>
      <c r="Y116" s="51" t="b">
        <v>0</v>
      </c>
      <c r="Z116" s="60">
        <v>21.286310199999999</v>
      </c>
      <c r="AA116" s="60">
        <v>22.82293129</v>
      </c>
      <c r="AB116" s="60">
        <v>19.249711990000002</v>
      </c>
      <c r="AC116" s="60">
        <v>25.550682070000001</v>
      </c>
      <c r="AD116" s="60">
        <v>17.629177089999999</v>
      </c>
      <c r="AE116" s="60">
        <v>15.39194679</v>
      </c>
      <c r="AF116" s="60">
        <v>13.04626083</v>
      </c>
      <c r="AG116" s="60">
        <v>22.06065941</v>
      </c>
      <c r="AH116" s="60">
        <v>10.551771159999999</v>
      </c>
      <c r="AO116" s="50"/>
    </row>
    <row r="117" spans="1:41" ht="13">
      <c r="A117" s="4" t="s">
        <v>318</v>
      </c>
      <c r="B117" s="50" t="s">
        <v>318</v>
      </c>
      <c r="C117" s="4" t="s">
        <v>291</v>
      </c>
      <c r="D117" s="4" t="s">
        <v>4926</v>
      </c>
      <c r="E117" s="4" t="s">
        <v>41</v>
      </c>
      <c r="F117" s="4" t="s">
        <v>9</v>
      </c>
      <c r="G117" s="41" t="s">
        <v>6156</v>
      </c>
      <c r="H117" s="4" t="s">
        <v>12922</v>
      </c>
      <c r="I117" s="4">
        <v>3.82</v>
      </c>
      <c r="J117" s="4">
        <v>1.2</v>
      </c>
      <c r="K117" s="4">
        <v>0.18998000000000001</v>
      </c>
      <c r="L117" s="4" t="s">
        <v>4955</v>
      </c>
      <c r="M117" s="4" t="s">
        <v>4955</v>
      </c>
      <c r="N117" s="60">
        <v>16.363946909999999</v>
      </c>
      <c r="O117" s="60">
        <v>14.023896219999999</v>
      </c>
      <c r="P117" s="60">
        <v>13.45380306</v>
      </c>
      <c r="Q117" s="60">
        <v>13.45380306</v>
      </c>
      <c r="R117" s="51" t="b">
        <v>0</v>
      </c>
      <c r="S117" s="60">
        <v>15.4037056</v>
      </c>
      <c r="T117" s="60">
        <v>17.398145679999999</v>
      </c>
      <c r="U117" s="60">
        <v>15.4037056</v>
      </c>
      <c r="V117" s="51" t="b">
        <v>0</v>
      </c>
      <c r="W117" s="60">
        <v>18.435014720000002</v>
      </c>
      <c r="X117" s="51" t="s">
        <v>133</v>
      </c>
      <c r="Y117" s="51" t="s">
        <v>133</v>
      </c>
      <c r="Z117" s="60">
        <v>17.02592087</v>
      </c>
      <c r="AA117" s="60">
        <v>20.21912193</v>
      </c>
      <c r="AB117" s="60">
        <v>20.42365646</v>
      </c>
      <c r="AC117" s="60">
        <v>23.097322460000001</v>
      </c>
      <c r="AD117" s="60">
        <v>22.958314900000001</v>
      </c>
      <c r="AE117" s="60">
        <v>26.059085849999999</v>
      </c>
      <c r="AF117" s="60">
        <v>30.030485150000001</v>
      </c>
      <c r="AG117" s="60">
        <v>34.677337649999998</v>
      </c>
      <c r="AH117" s="60">
        <v>18.931629180000002</v>
      </c>
      <c r="AO117" s="50"/>
    </row>
    <row r="118" spans="1:41" ht="13">
      <c r="A118" s="4" t="s">
        <v>319</v>
      </c>
      <c r="B118" s="50" t="s">
        <v>319</v>
      </c>
      <c r="C118" s="4" t="s">
        <v>292</v>
      </c>
      <c r="D118" s="4" t="s">
        <v>4926</v>
      </c>
      <c r="E118" s="4" t="s">
        <v>41</v>
      </c>
      <c r="F118" s="4" t="s">
        <v>9</v>
      </c>
      <c r="G118" s="41" t="s">
        <v>5516</v>
      </c>
      <c r="H118" s="4" t="s">
        <v>12920</v>
      </c>
      <c r="I118" s="4">
        <v>5.7</v>
      </c>
      <c r="J118" s="4">
        <v>1.46</v>
      </c>
      <c r="K118" s="4">
        <v>0.21718000000000001</v>
      </c>
      <c r="L118" s="4" t="s">
        <v>4955</v>
      </c>
      <c r="M118" s="4" t="s">
        <v>4955</v>
      </c>
      <c r="N118" s="60">
        <v>20.343959810000001</v>
      </c>
      <c r="O118" s="60">
        <v>18.34184265</v>
      </c>
      <c r="P118" s="60">
        <v>15.36329746</v>
      </c>
      <c r="Q118" s="60">
        <v>15.36329746</v>
      </c>
      <c r="R118" s="51" t="b">
        <v>0</v>
      </c>
      <c r="S118" s="60">
        <v>14.35900593</v>
      </c>
      <c r="T118" s="60">
        <v>13.719862940000001</v>
      </c>
      <c r="U118" s="60">
        <v>13.719862940000001</v>
      </c>
      <c r="V118" s="51" t="b">
        <v>0</v>
      </c>
      <c r="W118" s="60">
        <v>17.759721760000001</v>
      </c>
      <c r="X118" s="51" t="s">
        <v>133</v>
      </c>
      <c r="Y118" s="51" t="s">
        <v>133</v>
      </c>
      <c r="Z118" s="60">
        <v>18.70917511</v>
      </c>
      <c r="AA118" s="60">
        <v>17.047100069999999</v>
      </c>
      <c r="AB118" s="60">
        <v>24.018028260000001</v>
      </c>
      <c r="AC118" s="60">
        <v>16.375526430000001</v>
      </c>
      <c r="AD118" s="60">
        <v>22.630018230000001</v>
      </c>
      <c r="AE118" s="60">
        <v>26.664604189999999</v>
      </c>
      <c r="AF118" s="60">
        <v>31.677835460000001</v>
      </c>
      <c r="AG118" s="60">
        <v>34.536502839999997</v>
      </c>
      <c r="AH118" s="60">
        <v>29.829988480000001</v>
      </c>
      <c r="AO118" s="50"/>
    </row>
    <row r="119" spans="1:41" ht="13">
      <c r="A119" s="4" t="s">
        <v>320</v>
      </c>
      <c r="B119" s="50" t="s">
        <v>320</v>
      </c>
      <c r="C119" s="4" t="s">
        <v>293</v>
      </c>
      <c r="D119" s="4" t="s">
        <v>4926</v>
      </c>
      <c r="E119" s="4" t="s">
        <v>41</v>
      </c>
      <c r="F119" s="4" t="s">
        <v>9</v>
      </c>
      <c r="G119" s="4" t="s">
        <v>5578</v>
      </c>
      <c r="H119" s="4" t="s">
        <v>12849</v>
      </c>
      <c r="I119" s="4">
        <v>2.23</v>
      </c>
      <c r="J119" s="4">
        <v>1.36</v>
      </c>
      <c r="K119" s="4">
        <v>0.21548999999999999</v>
      </c>
      <c r="L119" s="4" t="s">
        <v>12272</v>
      </c>
      <c r="M119" s="4" t="s">
        <v>4929</v>
      </c>
      <c r="N119" s="60">
        <v>3.0039246080000002</v>
      </c>
      <c r="O119" s="60">
        <v>3.5739784239999999</v>
      </c>
      <c r="P119" s="60">
        <v>6.3953099250000003</v>
      </c>
      <c r="Q119" s="60">
        <v>3.0039246080000002</v>
      </c>
      <c r="R119" s="51" t="b">
        <v>1</v>
      </c>
      <c r="S119" s="60">
        <v>5.2989172939999998</v>
      </c>
      <c r="T119" s="60">
        <v>6.7109470370000004</v>
      </c>
      <c r="U119" s="60">
        <v>5.2989172939999998</v>
      </c>
      <c r="V119" s="51" t="b">
        <v>0</v>
      </c>
      <c r="W119" s="60">
        <v>4.8748183249999997</v>
      </c>
      <c r="X119" s="60" t="s">
        <v>133</v>
      </c>
      <c r="Y119" s="51" t="s">
        <v>133</v>
      </c>
      <c r="Z119" s="60">
        <v>1.763191223</v>
      </c>
      <c r="AA119" s="60">
        <v>4.3780345919999997</v>
      </c>
      <c r="AB119" s="60">
        <v>5.0290279389999997</v>
      </c>
      <c r="AC119" s="60">
        <v>8.0611600879999994</v>
      </c>
      <c r="AD119" s="60">
        <v>7.1641507149999999</v>
      </c>
      <c r="AE119" s="60">
        <v>8.9855518340000007</v>
      </c>
      <c r="AF119" s="60">
        <v>13.34728527</v>
      </c>
      <c r="AG119" s="60">
        <v>19.053829189999998</v>
      </c>
      <c r="AH119" s="60">
        <v>18.20458412</v>
      </c>
      <c r="AI119" s="41">
        <v>1</v>
      </c>
      <c r="AO119" s="50"/>
    </row>
    <row r="120" spans="1:41" ht="13">
      <c r="A120" s="4" t="s">
        <v>321</v>
      </c>
      <c r="B120" s="50" t="s">
        <v>321</v>
      </c>
      <c r="C120" s="4" t="s">
        <v>294</v>
      </c>
      <c r="D120" s="4" t="s">
        <v>4926</v>
      </c>
      <c r="E120" s="4" t="s">
        <v>41</v>
      </c>
      <c r="F120" s="4" t="s">
        <v>9</v>
      </c>
      <c r="G120" s="4" t="s">
        <v>5030</v>
      </c>
      <c r="H120" s="4" t="s">
        <v>12941</v>
      </c>
      <c r="I120" s="4">
        <v>2.83</v>
      </c>
      <c r="J120" s="4">
        <v>1.034</v>
      </c>
      <c r="K120" s="4">
        <v>0.15690999999999999</v>
      </c>
      <c r="L120" s="4" t="s">
        <v>5087</v>
      </c>
      <c r="M120" s="4" t="s">
        <v>5087</v>
      </c>
      <c r="N120" s="60">
        <v>15.96885872</v>
      </c>
      <c r="O120" s="60">
        <v>14.835429189999999</v>
      </c>
      <c r="P120" s="60">
        <v>17.786975859999998</v>
      </c>
      <c r="Q120" s="60">
        <v>14.835429189999999</v>
      </c>
      <c r="R120" s="51" t="b">
        <v>0</v>
      </c>
      <c r="S120" s="60">
        <v>20.511554719999999</v>
      </c>
      <c r="T120" s="60">
        <v>23.162048339999998</v>
      </c>
      <c r="U120" s="60">
        <v>20.511554719999999</v>
      </c>
      <c r="V120" s="51" t="b">
        <v>0</v>
      </c>
      <c r="W120" s="60">
        <v>21.510313029999999</v>
      </c>
      <c r="X120" s="51" t="s">
        <v>133</v>
      </c>
      <c r="Y120" s="51" t="s">
        <v>133</v>
      </c>
      <c r="Z120" s="60">
        <v>18.080467219999999</v>
      </c>
      <c r="AA120" s="60">
        <v>23.243101119999999</v>
      </c>
      <c r="AB120" s="60">
        <v>17.55497742</v>
      </c>
      <c r="AC120" s="60">
        <v>27.503864289999999</v>
      </c>
      <c r="AD120" s="60">
        <v>22.183584209999999</v>
      </c>
      <c r="AE120" s="60">
        <v>22.809021000000001</v>
      </c>
      <c r="AF120" s="60">
        <v>24.415426249999999</v>
      </c>
      <c r="AG120" s="60">
        <v>30.153663640000001</v>
      </c>
      <c r="AH120" s="60">
        <v>4.0175933840000004</v>
      </c>
      <c r="AO120" s="50"/>
    </row>
    <row r="121" spans="1:41" ht="13">
      <c r="A121" s="4" t="s">
        <v>322</v>
      </c>
      <c r="B121" s="50" t="s">
        <v>322</v>
      </c>
      <c r="C121" s="4" t="s">
        <v>295</v>
      </c>
      <c r="D121" s="4" t="s">
        <v>4926</v>
      </c>
      <c r="E121" s="4" t="s">
        <v>41</v>
      </c>
      <c r="F121" s="4" t="s">
        <v>9</v>
      </c>
      <c r="G121" s="4" t="s">
        <v>5409</v>
      </c>
      <c r="H121" s="4" t="s">
        <v>12936</v>
      </c>
      <c r="I121" s="4">
        <v>3.1</v>
      </c>
      <c r="J121" s="4">
        <v>1.26</v>
      </c>
      <c r="K121" s="4">
        <v>0.21002999999999999</v>
      </c>
      <c r="L121" s="4" t="s">
        <v>5087</v>
      </c>
      <c r="M121" s="4" t="s">
        <v>5087</v>
      </c>
      <c r="N121" s="60">
        <v>15.12526703</v>
      </c>
      <c r="O121" s="60">
        <v>14.216318129999999</v>
      </c>
      <c r="P121" s="60">
        <v>17.515220639999999</v>
      </c>
      <c r="Q121" s="60">
        <v>14.216318129999999</v>
      </c>
      <c r="R121" s="51" t="b">
        <v>0</v>
      </c>
      <c r="S121" s="60">
        <v>20.02561378</v>
      </c>
      <c r="T121" s="60">
        <v>22.697629930000002</v>
      </c>
      <c r="U121" s="60">
        <v>20.02561378</v>
      </c>
      <c r="V121" s="51" t="b">
        <v>0</v>
      </c>
      <c r="W121" s="60">
        <v>20.857873919999999</v>
      </c>
      <c r="X121" s="51" t="s">
        <v>133</v>
      </c>
      <c r="Y121" s="51" t="s">
        <v>133</v>
      </c>
      <c r="Z121" s="60">
        <v>17.48342323</v>
      </c>
      <c r="AA121" s="60">
        <v>22.676435470000001</v>
      </c>
      <c r="AB121" s="60">
        <v>16.305582050000002</v>
      </c>
      <c r="AC121" s="60">
        <v>26.907871249999999</v>
      </c>
      <c r="AD121" s="60">
        <v>21.472192759999999</v>
      </c>
      <c r="AE121" s="60">
        <v>21.920473099999999</v>
      </c>
      <c r="AF121" s="60">
        <v>23.130863189999999</v>
      </c>
      <c r="AG121" s="60">
        <v>29.216718669999999</v>
      </c>
      <c r="AH121" s="60">
        <v>3.7569932939999999</v>
      </c>
      <c r="AO121" s="50"/>
    </row>
    <row r="122" spans="1:41" ht="13">
      <c r="A122" s="4" t="s">
        <v>323</v>
      </c>
      <c r="B122" s="50" t="s">
        <v>323</v>
      </c>
      <c r="C122" s="4" t="s">
        <v>296</v>
      </c>
      <c r="D122" s="4" t="s">
        <v>4926</v>
      </c>
      <c r="E122" s="4" t="s">
        <v>41</v>
      </c>
      <c r="F122" s="4" t="s">
        <v>9</v>
      </c>
      <c r="G122" s="41" t="s">
        <v>5024</v>
      </c>
      <c r="H122" s="4" t="s">
        <v>12890</v>
      </c>
      <c r="I122" s="4">
        <v>3.37</v>
      </c>
      <c r="J122" s="4">
        <v>1.52</v>
      </c>
      <c r="K122" s="4">
        <v>0.22519</v>
      </c>
      <c r="L122" s="4" t="s">
        <v>12272</v>
      </c>
      <c r="M122" s="4" t="s">
        <v>4929</v>
      </c>
      <c r="N122" s="60">
        <v>2.9383163450000001</v>
      </c>
      <c r="O122" s="60">
        <v>5.157919884</v>
      </c>
      <c r="P122" s="60">
        <v>8.6525936130000005</v>
      </c>
      <c r="Q122" s="60">
        <v>2.9383163450000001</v>
      </c>
      <c r="R122" s="51" t="b">
        <v>1</v>
      </c>
      <c r="S122" s="60">
        <v>7.1056542399999998</v>
      </c>
      <c r="T122" s="60">
        <v>8.2614431380000006</v>
      </c>
      <c r="U122" s="60">
        <v>7.1056542399999998</v>
      </c>
      <c r="V122" s="51" t="b">
        <v>0</v>
      </c>
      <c r="W122" s="60">
        <v>4.8095598219999998</v>
      </c>
      <c r="X122" s="60" t="s">
        <v>133</v>
      </c>
      <c r="Y122" s="51" t="s">
        <v>133</v>
      </c>
      <c r="Z122" s="60">
        <v>1.778454304</v>
      </c>
      <c r="AA122" s="60">
        <v>4.3236708640000003</v>
      </c>
      <c r="AB122" s="60">
        <v>1.5150923730000001</v>
      </c>
      <c r="AC122" s="60">
        <v>7.9868082999999999</v>
      </c>
      <c r="AD122" s="60">
        <v>6.9206800460000002</v>
      </c>
      <c r="AE122" s="60">
        <v>8.7212524410000007</v>
      </c>
      <c r="AF122" s="60">
        <v>13.120745660000001</v>
      </c>
      <c r="AG122" s="60">
        <v>18.818342210000001</v>
      </c>
      <c r="AH122" s="60">
        <v>19.22764587</v>
      </c>
      <c r="AI122" s="41">
        <v>1</v>
      </c>
      <c r="AO122" s="50"/>
    </row>
    <row r="123" spans="1:41" ht="13">
      <c r="A123" s="4" t="s">
        <v>324</v>
      </c>
      <c r="B123" s="50" t="s">
        <v>324</v>
      </c>
      <c r="C123" s="4" t="s">
        <v>297</v>
      </c>
      <c r="D123" s="4" t="s">
        <v>4926</v>
      </c>
      <c r="E123" s="4" t="s">
        <v>41</v>
      </c>
      <c r="F123" s="4" t="s">
        <v>9</v>
      </c>
      <c r="G123" s="4" t="s">
        <v>5035</v>
      </c>
      <c r="H123" s="4" t="s">
        <v>12830</v>
      </c>
      <c r="I123" s="4">
        <v>4.93</v>
      </c>
      <c r="J123" s="4">
        <v>1.04</v>
      </c>
      <c r="K123" s="4">
        <v>0.15448999999999999</v>
      </c>
      <c r="L123" s="4" t="s">
        <v>12272</v>
      </c>
      <c r="M123" s="4" t="s">
        <v>4929</v>
      </c>
      <c r="N123" s="60">
        <v>2.9679403309999999</v>
      </c>
      <c r="O123" s="60">
        <v>2.8182952399999999</v>
      </c>
      <c r="P123" s="60">
        <v>4.4929471019999996</v>
      </c>
      <c r="Q123" s="60">
        <v>2.8182952399999999</v>
      </c>
      <c r="R123" s="51" t="b">
        <v>1</v>
      </c>
      <c r="S123" s="60">
        <v>4.6583566669999996</v>
      </c>
      <c r="T123" s="60">
        <v>6.878276348</v>
      </c>
      <c r="U123" s="60">
        <v>4.6583566669999996</v>
      </c>
      <c r="V123" s="51" t="b">
        <v>0</v>
      </c>
      <c r="W123" s="60">
        <v>5.6891202930000002</v>
      </c>
      <c r="X123" s="60" t="s">
        <v>133</v>
      </c>
      <c r="Y123" s="51" t="s">
        <v>133</v>
      </c>
      <c r="Z123" s="60">
        <v>1.2677181959999999</v>
      </c>
      <c r="AA123" s="60">
        <v>2.852599144</v>
      </c>
      <c r="AB123" s="60">
        <v>4.9926323889999997</v>
      </c>
      <c r="AC123" s="60">
        <v>6.8238615989999998</v>
      </c>
      <c r="AD123" s="60">
        <v>6.2367067340000002</v>
      </c>
      <c r="AE123" s="60">
        <v>8.6080703740000004</v>
      </c>
      <c r="AF123" s="60">
        <v>13.62348843</v>
      </c>
      <c r="AG123" s="60">
        <v>18.561941149999999</v>
      </c>
      <c r="AH123" s="60">
        <v>18.091693880000001</v>
      </c>
      <c r="AI123" s="41">
        <v>2</v>
      </c>
      <c r="AJ123" s="41">
        <v>1</v>
      </c>
      <c r="AO123" s="50"/>
    </row>
    <row r="124" spans="1:41" ht="13">
      <c r="A124" s="4" t="s">
        <v>325</v>
      </c>
      <c r="B124" s="50" t="s">
        <v>325</v>
      </c>
      <c r="C124" s="4" t="s">
        <v>298</v>
      </c>
      <c r="D124" s="4" t="s">
        <v>4926</v>
      </c>
      <c r="E124" s="4" t="s">
        <v>41</v>
      </c>
      <c r="F124" s="4" t="s">
        <v>9</v>
      </c>
      <c r="G124" s="4" t="s">
        <v>6121</v>
      </c>
      <c r="H124" s="4" t="s">
        <v>12957</v>
      </c>
      <c r="I124" s="4">
        <v>4.53</v>
      </c>
      <c r="J124" s="4">
        <v>1.08</v>
      </c>
      <c r="K124" s="4">
        <v>0.18518999999999999</v>
      </c>
      <c r="L124" s="4" t="s">
        <v>5087</v>
      </c>
      <c r="M124" s="4" t="s">
        <v>5087</v>
      </c>
      <c r="N124" s="60">
        <v>19.908161159999999</v>
      </c>
      <c r="O124" s="60">
        <v>18.59194183</v>
      </c>
      <c r="P124" s="60">
        <v>20.25779533</v>
      </c>
      <c r="Q124" s="60">
        <v>18.59194183</v>
      </c>
      <c r="R124" s="51" t="b">
        <v>0</v>
      </c>
      <c r="S124" s="60">
        <v>23.64010811</v>
      </c>
      <c r="T124" s="60">
        <v>26.45795631</v>
      </c>
      <c r="U124" s="60">
        <v>23.64010811</v>
      </c>
      <c r="V124" s="51" t="b">
        <v>0</v>
      </c>
      <c r="W124" s="60">
        <v>20.90152359</v>
      </c>
      <c r="X124" s="51" t="s">
        <v>133</v>
      </c>
      <c r="Y124" s="51" t="s">
        <v>133</v>
      </c>
      <c r="Z124" s="60">
        <v>17.617395399999999</v>
      </c>
      <c r="AA124" s="60">
        <v>22.869316099999999</v>
      </c>
      <c r="AB124" s="60">
        <v>16.30732918</v>
      </c>
      <c r="AC124" s="60">
        <v>27.13762856</v>
      </c>
      <c r="AD124" s="60">
        <v>21.696294779999999</v>
      </c>
      <c r="AE124" s="60">
        <v>21.972755429999999</v>
      </c>
      <c r="AF124" s="60">
        <v>23.439302439999999</v>
      </c>
      <c r="AG124" s="60">
        <v>29.386953349999999</v>
      </c>
      <c r="AH124" s="60">
        <v>3.7689106460000001</v>
      </c>
      <c r="AO124" s="50"/>
    </row>
    <row r="125" spans="1:41" ht="13">
      <c r="A125" s="4" t="s">
        <v>326</v>
      </c>
      <c r="B125" s="50" t="s">
        <v>326</v>
      </c>
      <c r="C125" s="4" t="s">
        <v>299</v>
      </c>
      <c r="D125" s="4" t="s">
        <v>4926</v>
      </c>
      <c r="E125" s="4" t="s">
        <v>41</v>
      </c>
      <c r="F125" s="4" t="s">
        <v>9</v>
      </c>
      <c r="G125" s="4" t="s">
        <v>5724</v>
      </c>
      <c r="H125" s="4" t="s">
        <v>12976</v>
      </c>
      <c r="I125" s="4">
        <v>4.32</v>
      </c>
      <c r="J125" s="4">
        <v>1.04</v>
      </c>
      <c r="K125" s="4">
        <v>0.16447000000000001</v>
      </c>
      <c r="L125" s="4" t="s">
        <v>4955</v>
      </c>
      <c r="M125" s="4" t="s">
        <v>4955</v>
      </c>
      <c r="N125" s="60">
        <v>31.49805641</v>
      </c>
      <c r="O125" s="60">
        <v>31.1910305</v>
      </c>
      <c r="P125" s="60">
        <v>31.0210495</v>
      </c>
      <c r="Q125" s="60">
        <v>31.0210495</v>
      </c>
      <c r="R125" s="51" t="b">
        <v>0</v>
      </c>
      <c r="S125" s="60">
        <v>33.444091800000002</v>
      </c>
      <c r="T125" s="60">
        <v>35.026577000000003</v>
      </c>
      <c r="U125" s="60">
        <v>33.444091800000002</v>
      </c>
      <c r="V125" s="51" t="b">
        <v>0</v>
      </c>
      <c r="W125" s="60">
        <v>34.646152499999999</v>
      </c>
      <c r="X125" s="51" t="s">
        <v>133</v>
      </c>
      <c r="Y125" s="51" t="s">
        <v>133</v>
      </c>
      <c r="Z125" s="60">
        <v>29.274753570000001</v>
      </c>
      <c r="AA125" s="60">
        <v>30.07246971</v>
      </c>
      <c r="AB125" s="60">
        <v>30.6383419</v>
      </c>
      <c r="AC125" s="60">
        <v>32.582180020000003</v>
      </c>
      <c r="AD125" s="60">
        <v>23.134845729999999</v>
      </c>
      <c r="AE125" s="60">
        <v>20.174434659999999</v>
      </c>
      <c r="AF125" s="60">
        <v>15.23009109</v>
      </c>
      <c r="AG125" s="60">
        <v>13.3570137</v>
      </c>
      <c r="AH125" s="60">
        <v>26.127901080000001</v>
      </c>
      <c r="AO125" s="50"/>
    </row>
    <row r="126" spans="1:41" ht="13">
      <c r="A126" s="4" t="s">
        <v>327</v>
      </c>
      <c r="B126" s="50" t="s">
        <v>327</v>
      </c>
      <c r="C126" s="4" t="s">
        <v>300</v>
      </c>
      <c r="D126" s="4" t="s">
        <v>4926</v>
      </c>
      <c r="E126" s="4" t="s">
        <v>41</v>
      </c>
      <c r="F126" s="4" t="s">
        <v>9</v>
      </c>
      <c r="G126" s="4" t="s">
        <v>5027</v>
      </c>
      <c r="H126" s="4" t="s">
        <v>12951</v>
      </c>
      <c r="I126" s="4">
        <v>5.97</v>
      </c>
      <c r="J126" s="4">
        <v>1.52</v>
      </c>
      <c r="K126" s="4">
        <v>0.25599</v>
      </c>
      <c r="L126" s="4" t="s">
        <v>5087</v>
      </c>
      <c r="M126" s="4" t="s">
        <v>5087</v>
      </c>
      <c r="N126" s="60">
        <v>18.866447449999999</v>
      </c>
      <c r="O126" s="60">
        <v>17.211412429999999</v>
      </c>
      <c r="P126" s="60">
        <v>19.19198227</v>
      </c>
      <c r="Q126" s="60">
        <v>17.211412429999999</v>
      </c>
      <c r="R126" s="51" t="b">
        <v>0</v>
      </c>
      <c r="S126" s="60">
        <v>22.353868479999999</v>
      </c>
      <c r="T126" s="60">
        <v>25.120037079999999</v>
      </c>
      <c r="U126" s="60">
        <v>22.353868479999999</v>
      </c>
      <c r="V126" s="51" t="b">
        <v>0</v>
      </c>
      <c r="W126" s="60">
        <v>20.659301760000002</v>
      </c>
      <c r="X126" s="51" t="s">
        <v>133</v>
      </c>
      <c r="Y126" s="51" t="s">
        <v>133</v>
      </c>
      <c r="Z126" s="60">
        <v>17.418632509999998</v>
      </c>
      <c r="AA126" s="60">
        <v>22.665523530000002</v>
      </c>
      <c r="AB126" s="60">
        <v>16.32209396</v>
      </c>
      <c r="AC126" s="60">
        <v>26.85903549</v>
      </c>
      <c r="AD126" s="60">
        <v>21.74728584</v>
      </c>
      <c r="AE126" s="60">
        <v>22.258749009999999</v>
      </c>
      <c r="AF126" s="60">
        <v>23.610975270000001</v>
      </c>
      <c r="AG126" s="60">
        <v>29.780242919999999</v>
      </c>
      <c r="AH126" s="60">
        <v>4.604673386</v>
      </c>
      <c r="AO126" s="50"/>
    </row>
    <row r="127" spans="1:41" ht="13">
      <c r="A127" s="4" t="s">
        <v>328</v>
      </c>
      <c r="B127" s="50" t="s">
        <v>328</v>
      </c>
      <c r="C127" s="4" t="s">
        <v>301</v>
      </c>
      <c r="D127" s="4" t="s">
        <v>4926</v>
      </c>
      <c r="E127" s="4" t="s">
        <v>41</v>
      </c>
      <c r="F127" s="4" t="s">
        <v>9</v>
      </c>
      <c r="G127" s="4" t="s">
        <v>5146</v>
      </c>
      <c r="H127" s="4" t="s">
        <v>12958</v>
      </c>
      <c r="I127" s="4">
        <v>6.03</v>
      </c>
      <c r="J127" s="4">
        <v>1.26</v>
      </c>
      <c r="K127" s="4">
        <v>0.20363000000000001</v>
      </c>
      <c r="L127" s="4" t="s">
        <v>5087</v>
      </c>
      <c r="M127" s="4" t="s">
        <v>5087</v>
      </c>
      <c r="N127" s="60">
        <v>19.438119889999999</v>
      </c>
      <c r="O127" s="60">
        <v>18.552146910000001</v>
      </c>
      <c r="P127" s="60">
        <v>21.182767869999999</v>
      </c>
      <c r="Q127" s="60">
        <v>18.552146910000001</v>
      </c>
      <c r="R127" s="51" t="b">
        <v>0</v>
      </c>
      <c r="S127" s="60">
        <v>24.197793959999998</v>
      </c>
      <c r="T127" s="60">
        <v>26.922348020000001</v>
      </c>
      <c r="U127" s="60">
        <v>24.197793959999998</v>
      </c>
      <c r="V127" s="51" t="b">
        <v>0</v>
      </c>
      <c r="W127" s="60">
        <v>21.387409210000001</v>
      </c>
      <c r="X127" s="51" t="s">
        <v>133</v>
      </c>
      <c r="Y127" s="51" t="s">
        <v>133</v>
      </c>
      <c r="Z127" s="60">
        <v>18.07531548</v>
      </c>
      <c r="AA127" s="60">
        <v>23.25498009</v>
      </c>
      <c r="AB127" s="60">
        <v>16.673711780000001</v>
      </c>
      <c r="AC127" s="60">
        <v>27.498342510000001</v>
      </c>
      <c r="AD127" s="60">
        <v>22.057140350000001</v>
      </c>
      <c r="AE127" s="60">
        <v>22.248430249999998</v>
      </c>
      <c r="AF127" s="60">
        <v>23.5170517</v>
      </c>
      <c r="AG127" s="60">
        <v>29.366228100000001</v>
      </c>
      <c r="AH127" s="60">
        <v>3.7090439800000001</v>
      </c>
      <c r="AO127" s="50"/>
    </row>
    <row r="128" spans="1:41" ht="13">
      <c r="A128" s="4" t="s">
        <v>329</v>
      </c>
      <c r="B128" s="50" t="s">
        <v>329</v>
      </c>
      <c r="C128" s="4" t="s">
        <v>302</v>
      </c>
      <c r="D128" s="4" t="s">
        <v>4926</v>
      </c>
      <c r="E128" s="4" t="s">
        <v>41</v>
      </c>
      <c r="F128" s="4" t="s">
        <v>9</v>
      </c>
      <c r="G128" s="4" t="s">
        <v>5831</v>
      </c>
      <c r="H128" s="4" t="s">
        <v>12949</v>
      </c>
      <c r="I128" s="4">
        <v>6.62</v>
      </c>
      <c r="J128" s="4">
        <v>1.2</v>
      </c>
      <c r="K128" s="4">
        <v>0.20165</v>
      </c>
      <c r="L128" s="4" t="s">
        <v>5087</v>
      </c>
      <c r="M128" s="4" t="s">
        <v>5087</v>
      </c>
      <c r="N128" s="60">
        <v>17.681945800000001</v>
      </c>
      <c r="O128" s="60">
        <v>16.27162933</v>
      </c>
      <c r="P128" s="60">
        <v>18.62876511</v>
      </c>
      <c r="Q128" s="60">
        <v>16.27162933</v>
      </c>
      <c r="R128" s="51" t="b">
        <v>0</v>
      </c>
      <c r="S128" s="60">
        <v>21.710266109999999</v>
      </c>
      <c r="T128" s="60">
        <v>24.420640949999999</v>
      </c>
      <c r="U128" s="60">
        <v>21.710266109999999</v>
      </c>
      <c r="V128" s="51" t="b">
        <v>0</v>
      </c>
      <c r="W128" s="60">
        <v>20.98246765</v>
      </c>
      <c r="X128" s="51" t="s">
        <v>133</v>
      </c>
      <c r="Y128" s="51" t="s">
        <v>133</v>
      </c>
      <c r="Z128" s="60">
        <v>17.848991389999998</v>
      </c>
      <c r="AA128" s="60">
        <v>23.126049040000002</v>
      </c>
      <c r="AB128" s="60">
        <v>16.45722198</v>
      </c>
      <c r="AC128" s="60">
        <v>27.376358029999999</v>
      </c>
      <c r="AD128" s="60">
        <v>22.111602779999998</v>
      </c>
      <c r="AE128" s="60">
        <v>22.289999009999999</v>
      </c>
      <c r="AF128" s="60">
        <v>23.519828799999999</v>
      </c>
      <c r="AG128" s="60">
        <v>29.558645250000001</v>
      </c>
      <c r="AH128" s="60">
        <v>3.7607483859999999</v>
      </c>
      <c r="AO128" s="50"/>
    </row>
    <row r="129" spans="1:41" ht="13">
      <c r="A129" s="4" t="s">
        <v>330</v>
      </c>
      <c r="B129" s="50" t="s">
        <v>330</v>
      </c>
      <c r="C129" s="4" t="s">
        <v>303</v>
      </c>
      <c r="D129" s="4" t="s">
        <v>4926</v>
      </c>
      <c r="E129" s="4" t="s">
        <v>41</v>
      </c>
      <c r="F129" s="4" t="s">
        <v>9</v>
      </c>
      <c r="G129" s="4" t="s">
        <v>5860</v>
      </c>
      <c r="H129" s="4" t="s">
        <v>12947</v>
      </c>
      <c r="I129" s="4">
        <v>4.38</v>
      </c>
      <c r="J129" s="4">
        <v>1.42</v>
      </c>
      <c r="K129" s="4">
        <v>0.27922000000000002</v>
      </c>
      <c r="L129" s="4" t="s">
        <v>5087</v>
      </c>
      <c r="M129" s="4" t="s">
        <v>5087</v>
      </c>
      <c r="N129" s="60">
        <v>17.404975889999999</v>
      </c>
      <c r="O129" s="60">
        <v>15.974592210000001</v>
      </c>
      <c r="P129" s="60">
        <v>18.504434589999999</v>
      </c>
      <c r="Q129" s="60">
        <v>15.974592210000001</v>
      </c>
      <c r="R129" s="51" t="b">
        <v>0</v>
      </c>
      <c r="S129" s="60">
        <v>21.435049060000001</v>
      </c>
      <c r="T129" s="60">
        <v>24.15017319</v>
      </c>
      <c r="U129" s="60">
        <v>21.435049060000001</v>
      </c>
      <c r="V129" s="51" t="b">
        <v>0</v>
      </c>
      <c r="W129" s="60">
        <v>20.970106120000001</v>
      </c>
      <c r="X129" s="51" t="s">
        <v>133</v>
      </c>
      <c r="Y129" s="51" t="s">
        <v>133</v>
      </c>
      <c r="Z129" s="60">
        <v>17.70373726</v>
      </c>
      <c r="AA129" s="60">
        <v>22.966278079999999</v>
      </c>
      <c r="AB129" s="60">
        <v>16.037862780000001</v>
      </c>
      <c r="AC129" s="60">
        <v>27.171415329999999</v>
      </c>
      <c r="AD129" s="60">
        <v>21.723468780000001</v>
      </c>
      <c r="AE129" s="60">
        <v>21.871595379999999</v>
      </c>
      <c r="AF129" s="60">
        <v>22.931869509999999</v>
      </c>
      <c r="AG129" s="60">
        <v>29.183658600000001</v>
      </c>
      <c r="AH129" s="60">
        <v>3.8469502929999999</v>
      </c>
      <c r="AO129" s="50"/>
    </row>
    <row r="130" spans="1:41" ht="13">
      <c r="A130" s="4" t="s">
        <v>801</v>
      </c>
      <c r="B130" s="50" t="s">
        <v>12788</v>
      </c>
      <c r="C130" s="4" t="s">
        <v>567</v>
      </c>
      <c r="D130" s="4" t="s">
        <v>4926</v>
      </c>
      <c r="E130" s="4" t="s">
        <v>108</v>
      </c>
      <c r="F130" s="4" t="s">
        <v>13122</v>
      </c>
      <c r="G130" s="4" t="s">
        <v>4930</v>
      </c>
      <c r="H130" s="4" t="s">
        <v>687</v>
      </c>
      <c r="I130" s="4">
        <v>3.87</v>
      </c>
      <c r="J130" s="4">
        <v>0.99</v>
      </c>
      <c r="K130" s="4">
        <v>0.191</v>
      </c>
      <c r="L130" s="4" t="s">
        <v>12272</v>
      </c>
      <c r="M130" s="4" t="s">
        <v>4929</v>
      </c>
      <c r="N130" s="60">
        <v>4.1149959559999996</v>
      </c>
      <c r="O130" s="60">
        <v>2.9023756980000002</v>
      </c>
      <c r="P130" s="60">
        <v>2.7651228899999998</v>
      </c>
      <c r="Q130" s="60">
        <v>2.7651228899999998</v>
      </c>
      <c r="R130" s="51" t="b">
        <v>1</v>
      </c>
      <c r="S130" s="60">
        <v>3.4370658399999998</v>
      </c>
      <c r="T130" s="60">
        <v>6.1734471319999997</v>
      </c>
      <c r="U130" s="60">
        <v>3.4370658399999998</v>
      </c>
      <c r="V130" s="51" t="b">
        <v>0</v>
      </c>
      <c r="W130" s="60">
        <v>4.2331185339999999</v>
      </c>
      <c r="X130" s="60">
        <v>6.8406491279999999</v>
      </c>
      <c r="Y130" s="51" t="b">
        <v>0</v>
      </c>
      <c r="Z130" s="60">
        <v>0.956602752</v>
      </c>
      <c r="AA130" s="60">
        <v>0.56867265700000003</v>
      </c>
      <c r="AB130" s="60">
        <v>7.0309872630000001</v>
      </c>
      <c r="AC130" s="60">
        <v>3.8122415539999999</v>
      </c>
      <c r="AD130" s="60">
        <v>1.8835382460000001</v>
      </c>
      <c r="AE130" s="60">
        <v>4.584400177</v>
      </c>
      <c r="AF130" s="60">
        <v>9.4460773469999992</v>
      </c>
      <c r="AG130" s="60">
        <v>14.08509731</v>
      </c>
      <c r="AH130" s="60">
        <v>17.873247150000001</v>
      </c>
      <c r="AI130" s="41">
        <v>2</v>
      </c>
      <c r="AJ130" s="41">
        <v>5</v>
      </c>
      <c r="AK130" s="41" t="s">
        <v>12272</v>
      </c>
      <c r="AO130" s="50"/>
    </row>
    <row r="131" spans="1:41" ht="13">
      <c r="A131" s="4" t="s">
        <v>802</v>
      </c>
      <c r="B131" s="50" t="s">
        <v>12815</v>
      </c>
      <c r="C131" s="4" t="s">
        <v>568</v>
      </c>
      <c r="D131" s="4" t="s">
        <v>4926</v>
      </c>
      <c r="E131" s="4" t="s">
        <v>108</v>
      </c>
      <c r="F131" s="4" t="s">
        <v>13122</v>
      </c>
      <c r="G131" s="4" t="s">
        <v>4931</v>
      </c>
      <c r="H131" s="4" t="s">
        <v>688</v>
      </c>
      <c r="I131" s="4">
        <v>3.9</v>
      </c>
      <c r="J131" s="4">
        <v>1.01</v>
      </c>
      <c r="K131" s="4">
        <v>0.19619</v>
      </c>
      <c r="L131" s="4" t="s">
        <v>12272</v>
      </c>
      <c r="M131" s="4" t="s">
        <v>4929</v>
      </c>
      <c r="N131" s="60">
        <v>2.7538814540000001</v>
      </c>
      <c r="O131" s="60">
        <v>2.953233242</v>
      </c>
      <c r="P131" s="60">
        <v>3.8323791030000001</v>
      </c>
      <c r="Q131" s="60">
        <v>2.7538814540000001</v>
      </c>
      <c r="R131" s="51" t="b">
        <v>1</v>
      </c>
      <c r="S131" s="60">
        <v>4.2539362909999996</v>
      </c>
      <c r="T131" s="60">
        <v>6.089753151</v>
      </c>
      <c r="U131" s="60">
        <v>4.2539362909999996</v>
      </c>
      <c r="V131" s="51" t="b">
        <v>0</v>
      </c>
      <c r="W131" s="60">
        <v>3.672180891</v>
      </c>
      <c r="X131" s="60">
        <v>5.1704978940000004</v>
      </c>
      <c r="Y131" s="51" t="b">
        <v>0</v>
      </c>
      <c r="Z131" s="60">
        <v>0.95614665700000001</v>
      </c>
      <c r="AA131" s="60">
        <v>3.892100573</v>
      </c>
      <c r="AB131" s="60">
        <v>3.44126296</v>
      </c>
      <c r="AC131" s="60">
        <v>7.919219494</v>
      </c>
      <c r="AD131" s="60">
        <v>6.6149344440000002</v>
      </c>
      <c r="AE131" s="60">
        <v>8.6986017229999995</v>
      </c>
      <c r="AF131" s="60">
        <v>13.366959570000001</v>
      </c>
      <c r="AG131" s="60">
        <v>18.78348351</v>
      </c>
      <c r="AH131" s="60">
        <v>18.220970149999999</v>
      </c>
      <c r="AI131" s="41">
        <v>2</v>
      </c>
      <c r="AJ131" s="41">
        <v>2</v>
      </c>
      <c r="AO131" s="50"/>
    </row>
    <row r="132" spans="1:41" ht="13">
      <c r="A132" s="4" t="s">
        <v>803</v>
      </c>
      <c r="B132" s="50" t="s">
        <v>12857</v>
      </c>
      <c r="C132" s="4" t="s">
        <v>569</v>
      </c>
      <c r="D132" s="4" t="s">
        <v>4926</v>
      </c>
      <c r="E132" s="4" t="s">
        <v>108</v>
      </c>
      <c r="F132" s="4" t="s">
        <v>13</v>
      </c>
      <c r="G132" s="4" t="s">
        <v>4932</v>
      </c>
      <c r="H132" s="4" t="s">
        <v>689</v>
      </c>
      <c r="I132" s="4">
        <v>4.08</v>
      </c>
      <c r="J132" s="4">
        <v>0.97</v>
      </c>
      <c r="K132" s="4">
        <v>0.19442999999999999</v>
      </c>
      <c r="L132" s="4" t="s">
        <v>12272</v>
      </c>
      <c r="M132" s="4" t="s">
        <v>4929</v>
      </c>
      <c r="N132" s="60">
        <v>2.79191184</v>
      </c>
      <c r="O132" s="60">
        <v>3.9179968829999998</v>
      </c>
      <c r="P132" s="60">
        <v>6.877121925</v>
      </c>
      <c r="Q132" s="60">
        <v>2.79191184</v>
      </c>
      <c r="R132" s="51" t="b">
        <v>1</v>
      </c>
      <c r="S132" s="60">
        <v>5.5365128520000004</v>
      </c>
      <c r="T132" s="60">
        <v>6.6651287080000001</v>
      </c>
      <c r="U132" s="60">
        <v>5.5365128520000004</v>
      </c>
      <c r="V132" s="51" t="b">
        <v>0</v>
      </c>
      <c r="W132" s="60">
        <v>3.5080993180000002</v>
      </c>
      <c r="X132" s="60">
        <v>2.8790864940000001</v>
      </c>
      <c r="Y132" s="51" t="b">
        <v>1</v>
      </c>
      <c r="Z132" s="60">
        <v>2.2827532289999999</v>
      </c>
      <c r="AA132" s="60">
        <v>4.1214456559999997</v>
      </c>
      <c r="AB132" s="60">
        <v>2.3483896259999999</v>
      </c>
      <c r="AC132" s="60">
        <v>7.8055500980000003</v>
      </c>
      <c r="AD132" s="60">
        <v>6.6918125149999996</v>
      </c>
      <c r="AE132" s="60">
        <v>8.5182428360000007</v>
      </c>
      <c r="AF132" s="60">
        <v>13.143970489999999</v>
      </c>
      <c r="AG132" s="60">
        <v>18.48978043</v>
      </c>
      <c r="AH132" s="60">
        <v>18.347028730000002</v>
      </c>
      <c r="AI132" s="41">
        <v>1</v>
      </c>
      <c r="AO132" s="50"/>
    </row>
    <row r="133" spans="1:41" ht="13">
      <c r="A133" s="4" t="s">
        <v>804</v>
      </c>
      <c r="B133" s="50" t="s">
        <v>12801</v>
      </c>
      <c r="C133" s="4" t="s">
        <v>570</v>
      </c>
      <c r="D133" s="4" t="s">
        <v>4926</v>
      </c>
      <c r="E133" s="4" t="s">
        <v>108</v>
      </c>
      <c r="F133" s="4" t="s">
        <v>13</v>
      </c>
      <c r="G133" s="4" t="s">
        <v>4933</v>
      </c>
      <c r="H133" s="4" t="s">
        <v>690</v>
      </c>
      <c r="I133" s="4">
        <v>4.0999999999999996</v>
      </c>
      <c r="J133" s="4">
        <v>0.98</v>
      </c>
      <c r="K133" s="4">
        <v>0.19864999999999999</v>
      </c>
      <c r="L133" s="4" t="s">
        <v>12272</v>
      </c>
      <c r="M133" s="4" t="s">
        <v>4929</v>
      </c>
      <c r="N133" s="60">
        <v>3.585526228</v>
      </c>
      <c r="O133" s="60">
        <v>2.8529090880000001</v>
      </c>
      <c r="P133" s="60">
        <v>3.6810710430000002</v>
      </c>
      <c r="Q133" s="60">
        <v>2.8529090880000001</v>
      </c>
      <c r="R133" s="51" t="b">
        <v>1</v>
      </c>
      <c r="S133" s="60">
        <v>3.8585324289999998</v>
      </c>
      <c r="T133" s="60">
        <v>6.2122058869999996</v>
      </c>
      <c r="U133" s="60">
        <v>3.8585324289999998</v>
      </c>
      <c r="V133" s="51" t="b">
        <v>0</v>
      </c>
      <c r="W133" s="60">
        <v>3.8160936830000001</v>
      </c>
      <c r="X133" s="60">
        <v>3.190842628</v>
      </c>
      <c r="Y133" s="51" t="b">
        <v>1</v>
      </c>
      <c r="Z133" s="60">
        <v>1.1973363159999999</v>
      </c>
      <c r="AA133" s="60">
        <v>2.9191229339999998</v>
      </c>
      <c r="AB133" s="60">
        <v>2.9703412060000001</v>
      </c>
      <c r="AC133" s="60">
        <v>7.1576542849999996</v>
      </c>
      <c r="AD133" s="60">
        <v>5.3961491580000001</v>
      </c>
      <c r="AE133" s="60">
        <v>8.152645111</v>
      </c>
      <c r="AF133" s="60">
        <v>12.951166150000001</v>
      </c>
      <c r="AG133" s="60">
        <v>18.062526699999999</v>
      </c>
      <c r="AH133" s="60">
        <v>17.76750183</v>
      </c>
      <c r="AI133" s="41">
        <v>1</v>
      </c>
      <c r="AJ133" s="41"/>
      <c r="AO133" s="50"/>
    </row>
    <row r="134" spans="1:41" ht="13">
      <c r="A134" s="4" t="s">
        <v>805</v>
      </c>
      <c r="B134" s="50" t="s">
        <v>12806</v>
      </c>
      <c r="C134" s="4" t="s">
        <v>571</v>
      </c>
      <c r="D134" s="4" t="s">
        <v>4926</v>
      </c>
      <c r="E134" s="4" t="s">
        <v>108</v>
      </c>
      <c r="F134" s="4" t="s">
        <v>13</v>
      </c>
      <c r="G134" s="4" t="s">
        <v>4934</v>
      </c>
      <c r="H134" s="4" t="s">
        <v>691</v>
      </c>
      <c r="I134" s="4">
        <v>4.43</v>
      </c>
      <c r="J134" s="4">
        <v>1.01</v>
      </c>
      <c r="K134" s="4">
        <v>0.21059</v>
      </c>
      <c r="L134" s="4" t="s">
        <v>12272</v>
      </c>
      <c r="M134" s="4" t="s">
        <v>4929</v>
      </c>
      <c r="N134" s="60">
        <v>2.8510184289999998</v>
      </c>
      <c r="O134" s="60">
        <v>2.8910117149999999</v>
      </c>
      <c r="P134" s="60">
        <v>4.0466499330000003</v>
      </c>
      <c r="Q134" s="60">
        <v>2.8510184289999998</v>
      </c>
      <c r="R134" s="51" t="b">
        <v>1</v>
      </c>
      <c r="S134" s="60">
        <v>3.9965286249999998</v>
      </c>
      <c r="T134" s="60">
        <v>4.9744086269999999</v>
      </c>
      <c r="U134" s="60">
        <v>3.9965286249999998</v>
      </c>
      <c r="V134" s="51" t="b">
        <v>0</v>
      </c>
      <c r="W134" s="60">
        <v>4.6375088690000004</v>
      </c>
      <c r="X134" s="60">
        <v>7.2117400170000003</v>
      </c>
      <c r="Y134" s="51" t="b">
        <v>0</v>
      </c>
      <c r="Z134" s="60">
        <v>1.042614937</v>
      </c>
      <c r="AA134" s="60">
        <v>0.88369369499999995</v>
      </c>
      <c r="AB134" s="60">
        <v>5.1736059189999999</v>
      </c>
      <c r="AC134" s="60">
        <v>3.7687039379999998</v>
      </c>
      <c r="AD134" s="60">
        <v>5.3394446369999997</v>
      </c>
      <c r="AE134" s="60">
        <v>7.446434021</v>
      </c>
      <c r="AF134" s="60">
        <v>12.2840519</v>
      </c>
      <c r="AG134" s="60">
        <v>17.157041549999999</v>
      </c>
      <c r="AH134" s="60">
        <v>17.949935910000001</v>
      </c>
      <c r="AI134" s="41">
        <v>2</v>
      </c>
      <c r="AJ134" s="41">
        <v>1</v>
      </c>
      <c r="AO134" s="50"/>
    </row>
    <row r="135" spans="1:41" ht="13">
      <c r="A135" s="4" t="s">
        <v>806</v>
      </c>
      <c r="B135" s="50" t="s">
        <v>12874</v>
      </c>
      <c r="C135" s="4" t="s">
        <v>572</v>
      </c>
      <c r="D135" s="4" t="s">
        <v>4926</v>
      </c>
      <c r="E135" s="4" t="s">
        <v>108</v>
      </c>
      <c r="F135" s="4" t="s">
        <v>13</v>
      </c>
      <c r="G135" s="4" t="s">
        <v>4935</v>
      </c>
      <c r="H135" s="4" t="s">
        <v>692</v>
      </c>
      <c r="I135" s="4">
        <v>4.4800000000000004</v>
      </c>
      <c r="J135" s="4">
        <v>1</v>
      </c>
      <c r="K135" s="4">
        <v>0.19938</v>
      </c>
      <c r="L135" s="4" t="s">
        <v>12272</v>
      </c>
      <c r="M135" s="4" t="s">
        <v>4929</v>
      </c>
      <c r="N135" s="60">
        <v>3.1504020690000001</v>
      </c>
      <c r="O135" s="60">
        <v>3.9344129560000001</v>
      </c>
      <c r="P135" s="60">
        <v>7.5194482799999998</v>
      </c>
      <c r="Q135" s="60">
        <v>3.1504020690000001</v>
      </c>
      <c r="R135" s="51" t="b">
        <v>1</v>
      </c>
      <c r="S135" s="60">
        <v>6.1878247259999997</v>
      </c>
      <c r="T135" s="60">
        <v>7.613510132</v>
      </c>
      <c r="U135" s="60">
        <v>6.1878247259999997</v>
      </c>
      <c r="V135" s="51" t="b">
        <v>0</v>
      </c>
      <c r="W135" s="60">
        <v>3.7741072180000002</v>
      </c>
      <c r="X135" s="60">
        <v>2.9465825560000001</v>
      </c>
      <c r="Y135" s="51" t="b">
        <v>1</v>
      </c>
      <c r="Z135" s="60">
        <v>2.333235502</v>
      </c>
      <c r="AA135" s="60">
        <v>4.5380148890000003</v>
      </c>
      <c r="AB135" s="60">
        <v>3.0569794180000001</v>
      </c>
      <c r="AC135" s="60">
        <v>8.0795879359999994</v>
      </c>
      <c r="AD135" s="60">
        <v>6.6707129480000003</v>
      </c>
      <c r="AE135" s="60">
        <v>8.0405950550000007</v>
      </c>
      <c r="AF135" s="60">
        <v>12.70485306</v>
      </c>
      <c r="AG135" s="60">
        <v>18.031883239999999</v>
      </c>
      <c r="AH135" s="60">
        <v>18.344961170000001</v>
      </c>
      <c r="AI135" s="41">
        <v>1</v>
      </c>
      <c r="AO135" s="50"/>
    </row>
    <row r="136" spans="1:41" ht="13">
      <c r="A136" s="4" t="s">
        <v>807</v>
      </c>
      <c r="B136" s="50" t="s">
        <v>12792</v>
      </c>
      <c r="C136" s="4" t="s">
        <v>573</v>
      </c>
      <c r="D136" s="4" t="s">
        <v>4926</v>
      </c>
      <c r="E136" s="4" t="s">
        <v>108</v>
      </c>
      <c r="F136" s="4" t="s">
        <v>13</v>
      </c>
      <c r="G136" s="4" t="s">
        <v>4936</v>
      </c>
      <c r="H136" s="4" t="s">
        <v>693</v>
      </c>
      <c r="I136" s="4">
        <v>4.7300000000000004</v>
      </c>
      <c r="J136" s="4">
        <v>0.99</v>
      </c>
      <c r="K136" s="4">
        <v>0.20985000000000001</v>
      </c>
      <c r="L136" s="4" t="s">
        <v>12272</v>
      </c>
      <c r="M136" s="4" t="s">
        <v>4929</v>
      </c>
      <c r="N136" s="60">
        <v>2.7664859289999999</v>
      </c>
      <c r="O136" s="60">
        <v>2.7476196289999999</v>
      </c>
      <c r="P136" s="60">
        <v>3.5661489959999999</v>
      </c>
      <c r="Q136" s="60">
        <v>2.7476196289999999</v>
      </c>
      <c r="R136" s="51" t="b">
        <v>1</v>
      </c>
      <c r="S136" s="60">
        <v>3.5079741480000002</v>
      </c>
      <c r="T136" s="60">
        <v>5.4031991960000001</v>
      </c>
      <c r="U136" s="60">
        <v>3.5079741480000002</v>
      </c>
      <c r="V136" s="51" t="b">
        <v>0</v>
      </c>
      <c r="W136" s="60">
        <v>5.4428544040000002</v>
      </c>
      <c r="X136" s="60">
        <v>7.0700044630000001</v>
      </c>
      <c r="Y136" s="51" t="b">
        <v>0</v>
      </c>
      <c r="Z136" s="60">
        <v>0.99077528699999995</v>
      </c>
      <c r="AA136" s="60">
        <v>0.33574405299999999</v>
      </c>
      <c r="AB136" s="60">
        <v>5.7395095830000002</v>
      </c>
      <c r="AC136" s="60">
        <v>4.0002880100000002</v>
      </c>
      <c r="AD136" s="60">
        <v>5.5097355840000004</v>
      </c>
      <c r="AE136" s="60">
        <v>8.4068946839999992</v>
      </c>
      <c r="AF136" s="60">
        <v>13.288411139999999</v>
      </c>
      <c r="AG136" s="60">
        <v>17.90403748</v>
      </c>
      <c r="AH136" s="60">
        <v>17.892335889999998</v>
      </c>
      <c r="AI136" s="41">
        <v>2</v>
      </c>
      <c r="AJ136" s="41">
        <v>1</v>
      </c>
      <c r="AO136" s="50"/>
    </row>
    <row r="137" spans="1:41" ht="13">
      <c r="A137" s="4" t="s">
        <v>808</v>
      </c>
      <c r="B137" s="50" t="s">
        <v>12803</v>
      </c>
      <c r="C137" s="4" t="s">
        <v>574</v>
      </c>
      <c r="D137" s="4" t="s">
        <v>4926</v>
      </c>
      <c r="E137" s="4" t="s">
        <v>108</v>
      </c>
      <c r="F137" s="4" t="s">
        <v>13</v>
      </c>
      <c r="G137" s="4" t="s">
        <v>4937</v>
      </c>
      <c r="H137" s="4" t="s">
        <v>694</v>
      </c>
      <c r="I137" s="4">
        <v>4.78</v>
      </c>
      <c r="J137" s="4">
        <v>0.98</v>
      </c>
      <c r="K137" s="4">
        <v>0.186</v>
      </c>
      <c r="L137" s="4" t="s">
        <v>12272</v>
      </c>
      <c r="M137" s="4" t="s">
        <v>4929</v>
      </c>
      <c r="N137" s="60">
        <v>2.8105297089999999</v>
      </c>
      <c r="O137" s="60">
        <v>2.9012076850000001</v>
      </c>
      <c r="P137" s="60">
        <v>2.8927338119999999</v>
      </c>
      <c r="Q137" s="60">
        <v>2.8105297089999999</v>
      </c>
      <c r="R137" s="51" t="b">
        <v>1</v>
      </c>
      <c r="S137" s="60">
        <v>3.8859548570000002</v>
      </c>
      <c r="T137" s="60">
        <v>6.3095040320000004</v>
      </c>
      <c r="U137" s="60">
        <v>3.8859548570000002</v>
      </c>
      <c r="V137" s="51" t="b">
        <v>0</v>
      </c>
      <c r="W137" s="60">
        <v>4.0231428149999999</v>
      </c>
      <c r="X137" s="60">
        <v>5.5792994499999997</v>
      </c>
      <c r="Y137" s="51" t="b">
        <v>0</v>
      </c>
      <c r="Z137" s="60">
        <v>0.81651657799999999</v>
      </c>
      <c r="AA137" s="60">
        <v>2.7715816499999999</v>
      </c>
      <c r="AB137" s="60">
        <v>4.6186237339999998</v>
      </c>
      <c r="AC137" s="60">
        <v>6.9502229690000004</v>
      </c>
      <c r="AD137" s="60">
        <v>5.2732205390000004</v>
      </c>
      <c r="AE137" s="60">
        <v>8.1148624419999997</v>
      </c>
      <c r="AF137" s="60">
        <v>12.82206249</v>
      </c>
      <c r="AG137" s="60">
        <v>17.857650759999999</v>
      </c>
      <c r="AH137" s="60">
        <v>18.016292570000001</v>
      </c>
      <c r="AI137" s="41">
        <v>3</v>
      </c>
      <c r="AJ137" s="41">
        <v>6</v>
      </c>
      <c r="AO137" s="50"/>
    </row>
    <row r="138" spans="1:41" ht="13">
      <c r="A138" s="4" t="s">
        <v>809</v>
      </c>
      <c r="B138" s="50" t="s">
        <v>12735</v>
      </c>
      <c r="C138" s="4" t="s">
        <v>575</v>
      </c>
      <c r="D138" s="4" t="s">
        <v>4926</v>
      </c>
      <c r="E138" s="4" t="s">
        <v>108</v>
      </c>
      <c r="F138" s="4" t="s">
        <v>13</v>
      </c>
      <c r="G138" s="4" t="s">
        <v>12736</v>
      </c>
      <c r="H138" s="4" t="s">
        <v>695</v>
      </c>
      <c r="I138" s="4">
        <v>4.83</v>
      </c>
      <c r="J138" s="4">
        <v>0.99</v>
      </c>
      <c r="K138" s="4">
        <v>0.19775999999999999</v>
      </c>
      <c r="L138" s="4" t="s">
        <v>12272</v>
      </c>
      <c r="M138" s="4" t="s">
        <v>4929</v>
      </c>
      <c r="N138" s="60">
        <v>3.013528585</v>
      </c>
      <c r="O138" s="60">
        <v>3.0107433800000001</v>
      </c>
      <c r="P138" s="60">
        <v>3.6877582069999999</v>
      </c>
      <c r="Q138" s="60">
        <v>3.0107433800000001</v>
      </c>
      <c r="R138" s="51" t="b">
        <v>1</v>
      </c>
      <c r="S138" s="60">
        <v>2.7294249530000001</v>
      </c>
      <c r="T138" s="60">
        <v>3.0998330119999999</v>
      </c>
      <c r="U138" s="60">
        <v>2.7294249530000001</v>
      </c>
      <c r="V138" s="51" t="b">
        <v>1</v>
      </c>
      <c r="W138" s="60">
        <v>3.9435021880000001</v>
      </c>
      <c r="X138" s="60">
        <v>7.2005352970000001</v>
      </c>
      <c r="Y138" s="51" t="b">
        <v>0</v>
      </c>
      <c r="Z138" s="60">
        <v>1.1148747210000001</v>
      </c>
      <c r="AA138" s="60">
        <v>1.2154644729999999</v>
      </c>
      <c r="AB138" s="60">
        <v>5.4171042439999999</v>
      </c>
      <c r="AC138" s="60">
        <v>4.4154548650000001</v>
      </c>
      <c r="AD138" s="60">
        <v>5.459906578</v>
      </c>
      <c r="AE138" s="60">
        <v>7.9694466589999999</v>
      </c>
      <c r="AF138" s="60">
        <v>12.813984870000001</v>
      </c>
      <c r="AG138" s="60">
        <v>17.756542209999999</v>
      </c>
      <c r="AH138" s="60">
        <v>17.711076739999999</v>
      </c>
      <c r="AI138" s="41">
        <v>2</v>
      </c>
      <c r="AJ138" s="41">
        <v>1</v>
      </c>
      <c r="AK138" s="41">
        <v>2</v>
      </c>
      <c r="AL138" s="41">
        <v>1</v>
      </c>
      <c r="AM138" s="41" t="s">
        <v>12272</v>
      </c>
      <c r="AO138" s="50"/>
    </row>
    <row r="139" spans="1:41" ht="13">
      <c r="A139" s="4" t="s">
        <v>810</v>
      </c>
      <c r="B139" s="50" t="s">
        <v>12804</v>
      </c>
      <c r="C139" s="4" t="s">
        <v>576</v>
      </c>
      <c r="D139" s="4" t="s">
        <v>4926</v>
      </c>
      <c r="E139" s="4" t="s">
        <v>108</v>
      </c>
      <c r="F139" s="4" t="s">
        <v>13</v>
      </c>
      <c r="G139" s="4" t="s">
        <v>4939</v>
      </c>
      <c r="H139" s="4" t="s">
        <v>696</v>
      </c>
      <c r="I139" s="4">
        <v>4.95</v>
      </c>
      <c r="J139" s="4">
        <v>0.96</v>
      </c>
      <c r="K139" s="4">
        <v>0.18783</v>
      </c>
      <c r="L139" s="4" t="s">
        <v>12272</v>
      </c>
      <c r="M139" s="4" t="s">
        <v>4929</v>
      </c>
      <c r="N139" s="60">
        <v>2.867296219</v>
      </c>
      <c r="O139" s="60">
        <v>2.9490382670000002</v>
      </c>
      <c r="P139" s="60">
        <v>3.5764091009999999</v>
      </c>
      <c r="Q139" s="60">
        <v>2.867296219</v>
      </c>
      <c r="R139" s="51" t="b">
        <v>1</v>
      </c>
      <c r="S139" s="60">
        <v>3.8936500550000002</v>
      </c>
      <c r="T139" s="60">
        <v>6.4220314030000001</v>
      </c>
      <c r="U139" s="60">
        <v>3.8936500550000002</v>
      </c>
      <c r="V139" s="51" t="b">
        <v>0</v>
      </c>
      <c r="W139" s="60">
        <v>3.8022005559999998</v>
      </c>
      <c r="X139" s="60">
        <v>7.1217298509999996</v>
      </c>
      <c r="Y139" s="51" t="b">
        <v>0</v>
      </c>
      <c r="Z139" s="60">
        <v>0.92892712399999999</v>
      </c>
      <c r="AA139" s="60">
        <v>0.97202330800000003</v>
      </c>
      <c r="AB139" s="60">
        <v>5.6972632409999999</v>
      </c>
      <c r="AC139" s="60">
        <v>4.4676852230000001</v>
      </c>
      <c r="AD139" s="60">
        <v>5.2716507909999999</v>
      </c>
      <c r="AE139" s="60">
        <v>8.637858391</v>
      </c>
      <c r="AF139" s="60">
        <v>13.50697517</v>
      </c>
      <c r="AG139" s="60">
        <v>18.023483280000001</v>
      </c>
      <c r="AH139" s="60">
        <v>17.879358289999999</v>
      </c>
      <c r="AI139" s="41">
        <v>2</v>
      </c>
      <c r="AJ139" s="41">
        <v>1</v>
      </c>
      <c r="AO139" s="50"/>
    </row>
    <row r="140" spans="1:41" ht="13">
      <c r="A140" s="4" t="s">
        <v>811</v>
      </c>
      <c r="B140" s="50" t="s">
        <v>12797</v>
      </c>
      <c r="C140" s="4" t="s">
        <v>577</v>
      </c>
      <c r="D140" s="4" t="s">
        <v>4926</v>
      </c>
      <c r="E140" s="4" t="s">
        <v>108</v>
      </c>
      <c r="F140" s="4" t="s">
        <v>13</v>
      </c>
      <c r="G140" s="4" t="s">
        <v>4940</v>
      </c>
      <c r="H140" s="4" t="s">
        <v>697</v>
      </c>
      <c r="I140" s="4">
        <v>5.12</v>
      </c>
      <c r="J140" s="4">
        <v>1.01</v>
      </c>
      <c r="K140" s="4">
        <v>0.21435000000000001</v>
      </c>
      <c r="L140" s="4" t="s">
        <v>12272</v>
      </c>
      <c r="M140" s="4" t="s">
        <v>4929</v>
      </c>
      <c r="N140" s="60">
        <v>2.723602772</v>
      </c>
      <c r="O140" s="60">
        <v>2.809390783</v>
      </c>
      <c r="P140" s="60">
        <v>3.7164833549999998</v>
      </c>
      <c r="Q140" s="60">
        <v>2.723602772</v>
      </c>
      <c r="R140" s="51" t="b">
        <v>1</v>
      </c>
      <c r="S140" s="60">
        <v>3.7717478280000001</v>
      </c>
      <c r="T140" s="60">
        <v>6.1470150950000004</v>
      </c>
      <c r="U140" s="60">
        <v>3.7717478280000001</v>
      </c>
      <c r="V140" s="51" t="b">
        <v>0</v>
      </c>
      <c r="W140" s="60">
        <v>5.3016824720000004</v>
      </c>
      <c r="X140" s="60">
        <v>6.9335646630000003</v>
      </c>
      <c r="Y140" s="51" t="b">
        <v>0</v>
      </c>
      <c r="Z140" s="60">
        <v>0.87716346999999995</v>
      </c>
      <c r="AA140" s="60">
        <v>0.60210061100000001</v>
      </c>
      <c r="AB140" s="60">
        <v>5.6842885020000002</v>
      </c>
      <c r="AC140" s="60">
        <v>4.0996952059999998</v>
      </c>
      <c r="AD140" s="60">
        <v>5.1620483400000001</v>
      </c>
      <c r="AE140" s="60">
        <v>7.3608088489999997</v>
      </c>
      <c r="AF140" s="60">
        <v>12.300363539999999</v>
      </c>
      <c r="AG140" s="60">
        <v>16.641981120000001</v>
      </c>
      <c r="AH140" s="60">
        <v>17.951990129999999</v>
      </c>
      <c r="AI140" s="41">
        <v>2</v>
      </c>
      <c r="AJ140" s="41">
        <v>1</v>
      </c>
      <c r="AO140" s="50"/>
    </row>
    <row r="141" spans="1:41" ht="13">
      <c r="A141" s="4" t="s">
        <v>812</v>
      </c>
      <c r="B141" s="50" t="s">
        <v>12796</v>
      </c>
      <c r="C141" s="4" t="s">
        <v>578</v>
      </c>
      <c r="D141" s="4" t="s">
        <v>4926</v>
      </c>
      <c r="E141" s="4" t="s">
        <v>108</v>
      </c>
      <c r="F141" s="4" t="s">
        <v>13</v>
      </c>
      <c r="G141" s="40" t="s">
        <v>4941</v>
      </c>
      <c r="H141" s="4" t="s">
        <v>698</v>
      </c>
      <c r="I141" s="4">
        <v>5.45</v>
      </c>
      <c r="J141" s="4">
        <v>1</v>
      </c>
      <c r="K141" s="4">
        <v>0.21215999999999999</v>
      </c>
      <c r="L141" s="4" t="s">
        <v>12272</v>
      </c>
      <c r="M141" s="4" t="s">
        <v>4929</v>
      </c>
      <c r="N141" s="60">
        <v>2.7424387929999998</v>
      </c>
      <c r="O141" s="60">
        <v>2.8952827449999998</v>
      </c>
      <c r="P141" s="60">
        <v>3.6157665250000002</v>
      </c>
      <c r="Q141" s="60">
        <v>2.7424387929999998</v>
      </c>
      <c r="R141" s="51" t="b">
        <v>1</v>
      </c>
      <c r="S141" s="60">
        <v>3.7486729620000001</v>
      </c>
      <c r="T141" s="60">
        <v>5.8335556979999996</v>
      </c>
      <c r="U141" s="60">
        <v>3.7486729620000001</v>
      </c>
      <c r="V141" s="51" t="b">
        <v>0</v>
      </c>
      <c r="W141" s="60">
        <v>4.6247148510000002</v>
      </c>
      <c r="X141" s="60">
        <v>5.6700158119999999</v>
      </c>
      <c r="Y141" s="51" t="b">
        <v>0</v>
      </c>
      <c r="Z141" s="60">
        <v>0.55390369900000003</v>
      </c>
      <c r="AA141" s="60">
        <v>2.383244038</v>
      </c>
      <c r="AB141" s="60">
        <v>5.1894207000000003</v>
      </c>
      <c r="AC141" s="60">
        <v>6.6410517689999997</v>
      </c>
      <c r="AD141" s="60">
        <v>0.95266139500000002</v>
      </c>
      <c r="AE141" s="60">
        <v>4.3353114130000003</v>
      </c>
      <c r="AF141" s="60">
        <v>9.2025709150000008</v>
      </c>
      <c r="AG141" s="60">
        <v>13.27768421</v>
      </c>
      <c r="AH141" s="60">
        <v>17.93702888</v>
      </c>
      <c r="AI141" s="41">
        <v>2</v>
      </c>
      <c r="AJ141" s="41">
        <v>2</v>
      </c>
      <c r="AO141" s="50"/>
    </row>
    <row r="142" spans="1:41" ht="13">
      <c r="A142" s="4" t="s">
        <v>813</v>
      </c>
      <c r="B142" s="50" t="s">
        <v>12782</v>
      </c>
      <c r="C142" s="4" t="s">
        <v>579</v>
      </c>
      <c r="D142" s="4" t="s">
        <v>4926</v>
      </c>
      <c r="E142" s="4" t="s">
        <v>108</v>
      </c>
      <c r="F142" s="4" t="s">
        <v>13</v>
      </c>
      <c r="G142" s="40" t="s">
        <v>4942</v>
      </c>
      <c r="H142" s="4" t="s">
        <v>699</v>
      </c>
      <c r="I142" s="4">
        <v>5.53</v>
      </c>
      <c r="J142" s="4">
        <v>0.94</v>
      </c>
      <c r="K142" s="4">
        <v>0.18637000000000001</v>
      </c>
      <c r="L142" s="4" t="s">
        <v>12272</v>
      </c>
      <c r="M142" s="4" t="s">
        <v>4929</v>
      </c>
      <c r="N142" s="60">
        <v>2.8050172330000001</v>
      </c>
      <c r="O142" s="60">
        <v>2.854025364</v>
      </c>
      <c r="P142" s="60">
        <v>3.6334190369999999</v>
      </c>
      <c r="Q142" s="60">
        <v>2.8050172330000001</v>
      </c>
      <c r="R142" s="51" t="b">
        <v>1</v>
      </c>
      <c r="S142" s="60">
        <v>3.5333514209999999</v>
      </c>
      <c r="T142" s="60">
        <v>3.3127028940000001</v>
      </c>
      <c r="U142" s="60">
        <v>3.3127028940000001</v>
      </c>
      <c r="V142" s="51" t="b">
        <v>1</v>
      </c>
      <c r="W142" s="60">
        <v>4.4787688259999996</v>
      </c>
      <c r="X142" s="60">
        <v>5.6593918800000003</v>
      </c>
      <c r="Y142" s="51" t="b">
        <v>0</v>
      </c>
      <c r="Z142" s="60">
        <v>0.61949610700000002</v>
      </c>
      <c r="AA142" s="60">
        <v>0.50695610000000002</v>
      </c>
      <c r="AB142" s="60">
        <v>4.9634995460000004</v>
      </c>
      <c r="AC142" s="60">
        <v>1.9378433230000001</v>
      </c>
      <c r="AD142" s="60">
        <v>5.451150417</v>
      </c>
      <c r="AE142" s="60">
        <v>8.4228925700000001</v>
      </c>
      <c r="AF142" s="60">
        <v>12.9887476</v>
      </c>
      <c r="AG142" s="60">
        <v>17.99756241</v>
      </c>
      <c r="AH142" s="60">
        <v>17.84917068</v>
      </c>
      <c r="AI142" s="41">
        <v>2</v>
      </c>
      <c r="AJ142" s="41">
        <v>2</v>
      </c>
      <c r="AK142" s="41">
        <v>2</v>
      </c>
      <c r="AL142" s="41">
        <v>2</v>
      </c>
      <c r="AM142" s="41" t="s">
        <v>12783</v>
      </c>
      <c r="AO142" s="50"/>
    </row>
    <row r="143" spans="1:41" ht="13">
      <c r="A143" s="4" t="s">
        <v>814</v>
      </c>
      <c r="B143" s="50" t="s">
        <v>12795</v>
      </c>
      <c r="C143" s="4" t="s">
        <v>580</v>
      </c>
      <c r="D143" s="4" t="s">
        <v>4926</v>
      </c>
      <c r="E143" s="4" t="s">
        <v>108</v>
      </c>
      <c r="F143" s="4" t="s">
        <v>13</v>
      </c>
      <c r="G143" s="4" t="s">
        <v>4943</v>
      </c>
      <c r="H143" s="4" t="s">
        <v>700</v>
      </c>
      <c r="I143" s="4">
        <v>5.58</v>
      </c>
      <c r="J143" s="4">
        <v>0.96</v>
      </c>
      <c r="K143" s="4">
        <v>0.18762000000000001</v>
      </c>
      <c r="L143" s="4" t="s">
        <v>12272</v>
      </c>
      <c r="M143" s="4" t="s">
        <v>4929</v>
      </c>
      <c r="N143" s="60">
        <v>2.5137474540000002</v>
      </c>
      <c r="O143" s="60">
        <v>3.0746791359999999</v>
      </c>
      <c r="P143" s="60">
        <v>3.7013411519999999</v>
      </c>
      <c r="Q143" s="60">
        <v>2.5137474540000002</v>
      </c>
      <c r="R143" s="51" t="b">
        <v>1</v>
      </c>
      <c r="S143" s="60">
        <v>3.5743987559999999</v>
      </c>
      <c r="T143" s="60">
        <v>5.9404563899999996</v>
      </c>
      <c r="U143" s="60">
        <v>3.5743987559999999</v>
      </c>
      <c r="V143" s="51" t="b">
        <v>0</v>
      </c>
      <c r="W143" s="60">
        <v>5.1929821970000001</v>
      </c>
      <c r="X143" s="60">
        <v>5.8497471809999997</v>
      </c>
      <c r="Y143" s="51" t="b">
        <v>0</v>
      </c>
      <c r="Z143" s="60">
        <v>1.150395989</v>
      </c>
      <c r="AA143" s="60">
        <v>0.97604858900000002</v>
      </c>
      <c r="AB143" s="60">
        <v>5.3268542290000003</v>
      </c>
      <c r="AC143" s="60">
        <v>4.4954080579999998</v>
      </c>
      <c r="AD143" s="60">
        <v>4.7575869559999999</v>
      </c>
      <c r="AE143" s="60">
        <v>7.8453011510000001</v>
      </c>
      <c r="AF143" s="60">
        <v>12.8165102</v>
      </c>
      <c r="AG143" s="60">
        <v>17.193536760000001</v>
      </c>
      <c r="AH143" s="60">
        <v>17.860187530000001</v>
      </c>
      <c r="AI143" s="41">
        <v>2</v>
      </c>
      <c r="AJ143" s="41">
        <v>1</v>
      </c>
      <c r="AO143" s="50"/>
    </row>
    <row r="144" spans="1:41" ht="13">
      <c r="A144" s="4" t="s">
        <v>815</v>
      </c>
      <c r="B144" s="50" t="s">
        <v>12747</v>
      </c>
      <c r="C144" s="4" t="s">
        <v>581</v>
      </c>
      <c r="D144" s="4" t="s">
        <v>4926</v>
      </c>
      <c r="E144" s="4" t="s">
        <v>108</v>
      </c>
      <c r="F144" s="4" t="s">
        <v>9</v>
      </c>
      <c r="G144" s="4" t="s">
        <v>5094</v>
      </c>
      <c r="H144" s="4" t="s">
        <v>701</v>
      </c>
      <c r="I144" s="4">
        <v>2.5499999999999998</v>
      </c>
      <c r="J144" s="4">
        <v>1.02</v>
      </c>
      <c r="K144" s="4">
        <v>0.19803000000000001</v>
      </c>
      <c r="L144" s="4" t="s">
        <v>12722</v>
      </c>
      <c r="M144" s="4" t="s">
        <v>4929</v>
      </c>
      <c r="N144" s="60">
        <v>8.5082407</v>
      </c>
      <c r="O144" s="60">
        <v>7.0739841459999999</v>
      </c>
      <c r="P144" s="60">
        <v>3.7237477299999999</v>
      </c>
      <c r="Q144" s="60">
        <v>3.7237477299999999</v>
      </c>
      <c r="R144" s="51" t="b">
        <v>0</v>
      </c>
      <c r="S144" s="60">
        <v>2.810632944</v>
      </c>
      <c r="T144" s="60">
        <v>3.4356813430000002</v>
      </c>
      <c r="U144" s="60">
        <v>2.810632944</v>
      </c>
      <c r="V144" s="51" t="b">
        <v>1</v>
      </c>
      <c r="W144" s="60">
        <v>5.8376364709999997</v>
      </c>
      <c r="X144" s="60">
        <v>7.8737444879999998</v>
      </c>
      <c r="Y144" s="51" t="b">
        <v>0</v>
      </c>
      <c r="Z144" s="60">
        <v>3.8286912439999998</v>
      </c>
      <c r="AA144" s="60">
        <v>1.1967126130000001</v>
      </c>
      <c r="AB144" s="60">
        <v>11.043198589999999</v>
      </c>
      <c r="AC144" s="60">
        <v>5.1515803340000001</v>
      </c>
      <c r="AD144" s="60">
        <v>1.2574282880000001</v>
      </c>
      <c r="AE144" s="60">
        <v>4.7298374179999998</v>
      </c>
      <c r="AF144" s="60">
        <v>9.5746622089999995</v>
      </c>
      <c r="AG144" s="60">
        <v>13.68033791</v>
      </c>
      <c r="AH144" s="60">
        <v>20.485416409999999</v>
      </c>
      <c r="AK144" s="41">
        <v>2</v>
      </c>
      <c r="AL144" s="41">
        <v>1</v>
      </c>
      <c r="AM144" s="41" t="s">
        <v>12727</v>
      </c>
      <c r="AO144" s="50"/>
    </row>
    <row r="145" spans="1:41" ht="13">
      <c r="A145" s="4" t="s">
        <v>816</v>
      </c>
      <c r="B145" s="50" t="s">
        <v>12765</v>
      </c>
      <c r="C145" s="4" t="s">
        <v>582</v>
      </c>
      <c r="D145" s="4" t="s">
        <v>4926</v>
      </c>
      <c r="E145" s="4" t="s">
        <v>108</v>
      </c>
      <c r="F145" s="4" t="s">
        <v>9</v>
      </c>
      <c r="G145" s="4" t="s">
        <v>5095</v>
      </c>
      <c r="H145" s="4" t="s">
        <v>702</v>
      </c>
      <c r="I145" s="4">
        <v>2.58</v>
      </c>
      <c r="J145" s="4">
        <v>1</v>
      </c>
      <c r="K145" s="4">
        <v>0.20438000000000001</v>
      </c>
      <c r="L145" s="4" t="s">
        <v>12722</v>
      </c>
      <c r="M145" s="4" t="s">
        <v>4929</v>
      </c>
      <c r="N145" s="60">
        <v>9.3761081700000002</v>
      </c>
      <c r="O145" s="60">
        <v>7.7271790500000002</v>
      </c>
      <c r="P145" s="60">
        <v>4.1355128289999996</v>
      </c>
      <c r="Q145" s="60">
        <v>4.1355128289999996</v>
      </c>
      <c r="R145" s="51" t="b">
        <v>0</v>
      </c>
      <c r="S145" s="60">
        <v>2.9136056899999998</v>
      </c>
      <c r="T145" s="60">
        <v>3.0229876039999999</v>
      </c>
      <c r="U145" s="60">
        <v>2.9136056899999998</v>
      </c>
      <c r="V145" s="51" t="b">
        <v>1</v>
      </c>
      <c r="W145" s="60">
        <v>5.1749601360000002</v>
      </c>
      <c r="X145" s="60">
        <v>8.1689548490000004</v>
      </c>
      <c r="Y145" s="51" t="b">
        <v>0</v>
      </c>
      <c r="Z145" s="60">
        <v>4.3380117419999999</v>
      </c>
      <c r="AA145" s="60">
        <v>1.4197084900000001</v>
      </c>
      <c r="AB145" s="60">
        <v>11.46466732</v>
      </c>
      <c r="AC145" s="60">
        <v>1.377235413</v>
      </c>
      <c r="AD145" s="60">
        <v>6.8016872409999998</v>
      </c>
      <c r="AE145" s="60">
        <v>10.41497326</v>
      </c>
      <c r="AF145" s="60">
        <v>15.347179410000001</v>
      </c>
      <c r="AG145" s="60">
        <v>19.17790604</v>
      </c>
      <c r="AH145" s="60">
        <v>21.70114517</v>
      </c>
      <c r="AK145" s="41">
        <v>2</v>
      </c>
      <c r="AL145" s="41">
        <v>1</v>
      </c>
      <c r="AM145" s="41" t="s">
        <v>12724</v>
      </c>
      <c r="AO145" s="50"/>
    </row>
    <row r="146" spans="1:41" ht="13">
      <c r="A146" s="4" t="s">
        <v>817</v>
      </c>
      <c r="B146" s="50" t="s">
        <v>12833</v>
      </c>
      <c r="C146" s="4" t="s">
        <v>583</v>
      </c>
      <c r="D146" s="4" t="s">
        <v>4926</v>
      </c>
      <c r="E146" s="4" t="s">
        <v>108</v>
      </c>
      <c r="F146" s="4" t="s">
        <v>9</v>
      </c>
      <c r="G146" s="4" t="s">
        <v>4945</v>
      </c>
      <c r="H146" s="4" t="s">
        <v>703</v>
      </c>
      <c r="I146" s="4">
        <v>2.6</v>
      </c>
      <c r="J146" s="4">
        <v>1.03</v>
      </c>
      <c r="K146" s="4">
        <v>0.20524000000000001</v>
      </c>
      <c r="L146" s="4" t="s">
        <v>12272</v>
      </c>
      <c r="M146" s="4" t="s">
        <v>4929</v>
      </c>
      <c r="N146" s="60">
        <v>3.2640583520000002</v>
      </c>
      <c r="O146" s="60">
        <v>5.8286094669999997</v>
      </c>
      <c r="P146" s="60">
        <v>4.7079238889999999</v>
      </c>
      <c r="Q146" s="60">
        <v>3.2640583520000002</v>
      </c>
      <c r="R146" s="51" t="b">
        <v>1</v>
      </c>
      <c r="S146" s="60">
        <v>4.8152456279999996</v>
      </c>
      <c r="T146" s="60">
        <v>6.4289040569999996</v>
      </c>
      <c r="U146" s="60">
        <v>4.8152456279999996</v>
      </c>
      <c r="V146" s="51" t="b">
        <v>0</v>
      </c>
      <c r="W146" s="60">
        <v>4.060019016</v>
      </c>
      <c r="X146" s="60">
        <v>2.9885997770000001</v>
      </c>
      <c r="Y146" s="51" t="b">
        <v>1</v>
      </c>
      <c r="Z146" s="60">
        <v>1.039616466</v>
      </c>
      <c r="AA146" s="60">
        <v>2.71446538</v>
      </c>
      <c r="AB146" s="60">
        <v>3.1008400919999999</v>
      </c>
      <c r="AC146" s="60">
        <v>6.719759464</v>
      </c>
      <c r="AD146" s="60">
        <v>4.8277707100000002</v>
      </c>
      <c r="AE146" s="60">
        <v>7.9115366939999996</v>
      </c>
      <c r="AF146" s="60">
        <v>12.853570940000001</v>
      </c>
      <c r="AG146" s="60">
        <v>17.341608050000001</v>
      </c>
      <c r="AH146" s="60">
        <v>18.95303917</v>
      </c>
      <c r="AI146" s="41">
        <v>1</v>
      </c>
      <c r="AO146" s="50"/>
    </row>
    <row r="147" spans="1:41" ht="13">
      <c r="A147" s="4" t="s">
        <v>818</v>
      </c>
      <c r="B147" s="50" t="s">
        <v>12773</v>
      </c>
      <c r="C147" s="4" t="s">
        <v>584</v>
      </c>
      <c r="D147" s="4" t="s">
        <v>4926</v>
      </c>
      <c r="E147" s="4" t="s">
        <v>108</v>
      </c>
      <c r="F147" s="4" t="s">
        <v>9</v>
      </c>
      <c r="G147" s="4" t="s">
        <v>5096</v>
      </c>
      <c r="H147" s="4" t="s">
        <v>704</v>
      </c>
      <c r="I147" s="4">
        <v>2.67</v>
      </c>
      <c r="J147" s="4">
        <v>1.02</v>
      </c>
      <c r="K147" s="4">
        <v>0.19886000000000001</v>
      </c>
      <c r="L147" s="4" t="s">
        <v>12722</v>
      </c>
      <c r="M147" s="4" t="s">
        <v>4929</v>
      </c>
      <c r="N147" s="60">
        <v>9.3119306559999995</v>
      </c>
      <c r="O147" s="60">
        <v>9.1921987529999996</v>
      </c>
      <c r="P147" s="60">
        <v>6.8115072249999997</v>
      </c>
      <c r="Q147" s="60">
        <v>6.8115072249999997</v>
      </c>
      <c r="R147" s="51" t="b">
        <v>0</v>
      </c>
      <c r="S147" s="60">
        <v>3.9667143820000001</v>
      </c>
      <c r="T147" s="60">
        <v>3.0444090369999999</v>
      </c>
      <c r="U147" s="60">
        <v>3.0444090369999999</v>
      </c>
      <c r="V147" s="51" t="b">
        <v>1</v>
      </c>
      <c r="W147" s="60">
        <v>5.7075953479999999</v>
      </c>
      <c r="X147" s="60">
        <v>8.0736684800000003</v>
      </c>
      <c r="Y147" s="51" t="b">
        <v>0</v>
      </c>
      <c r="Z147" s="60">
        <v>5.1908674240000003</v>
      </c>
      <c r="AA147" s="60">
        <v>1.046088576</v>
      </c>
      <c r="AB147" s="60">
        <v>11.042378429999999</v>
      </c>
      <c r="AC147" s="60">
        <v>0.94194060599999996</v>
      </c>
      <c r="AD147" s="60">
        <v>7.4141640659999997</v>
      </c>
      <c r="AE147" s="60">
        <v>10.39087677</v>
      </c>
      <c r="AF147" s="60">
        <v>15.38809872</v>
      </c>
      <c r="AG147" s="60">
        <v>18.973211289999998</v>
      </c>
      <c r="AH147" s="60">
        <v>23.664634700000001</v>
      </c>
      <c r="AK147" s="41">
        <v>1</v>
      </c>
      <c r="AL147" s="41">
        <v>3</v>
      </c>
      <c r="AM147" s="41" t="s">
        <v>12724</v>
      </c>
      <c r="AO147" s="50"/>
    </row>
    <row r="148" spans="1:41" ht="13">
      <c r="A148" s="4" t="s">
        <v>819</v>
      </c>
      <c r="B148" s="50" t="s">
        <v>12775</v>
      </c>
      <c r="C148" s="4" t="s">
        <v>585</v>
      </c>
      <c r="D148" s="4" t="s">
        <v>4926</v>
      </c>
      <c r="E148" s="4" t="s">
        <v>108</v>
      </c>
      <c r="F148" s="4" t="s">
        <v>9</v>
      </c>
      <c r="G148" s="4" t="s">
        <v>5097</v>
      </c>
      <c r="H148" s="4" t="s">
        <v>705</v>
      </c>
      <c r="I148" s="4">
        <v>2.82</v>
      </c>
      <c r="J148" s="4">
        <v>1</v>
      </c>
      <c r="K148" s="4">
        <v>0.19295000000000001</v>
      </c>
      <c r="L148" s="4" t="s">
        <v>12722</v>
      </c>
      <c r="M148" s="4" t="s">
        <v>4929</v>
      </c>
      <c r="N148" s="60">
        <v>7.8101167680000003</v>
      </c>
      <c r="O148" s="60">
        <v>6.6903405190000003</v>
      </c>
      <c r="P148" s="60">
        <v>4.0789012910000002</v>
      </c>
      <c r="Q148" s="60">
        <v>4.0789012910000002</v>
      </c>
      <c r="R148" s="51" t="b">
        <v>0</v>
      </c>
      <c r="S148" s="60">
        <v>3.14527154</v>
      </c>
      <c r="T148" s="60">
        <v>4.7295007709999997</v>
      </c>
      <c r="U148" s="60">
        <v>3.14527154</v>
      </c>
      <c r="V148" s="51" t="b">
        <v>1</v>
      </c>
      <c r="W148" s="60">
        <v>4.6561832430000001</v>
      </c>
      <c r="X148" s="60">
        <v>7.3649992940000004</v>
      </c>
      <c r="Y148" s="51" t="b">
        <v>0</v>
      </c>
      <c r="Z148" s="60">
        <v>1.7725619079999999</v>
      </c>
      <c r="AA148" s="60">
        <v>1.1460556980000001</v>
      </c>
      <c r="AB148" s="60">
        <v>6.018590927</v>
      </c>
      <c r="AC148" s="60">
        <v>4.6433243749999997</v>
      </c>
      <c r="AD148" s="60">
        <v>5.9108390809999998</v>
      </c>
      <c r="AE148" s="60">
        <v>8.0394506450000005</v>
      </c>
      <c r="AF148" s="60">
        <v>12.76999092</v>
      </c>
      <c r="AG148" s="60">
        <v>17.96276855</v>
      </c>
      <c r="AH148" s="60">
        <v>19.24685478</v>
      </c>
      <c r="AK148" s="41">
        <v>1</v>
      </c>
      <c r="AL148" s="41">
        <v>1</v>
      </c>
      <c r="AM148" s="41" t="s">
        <v>12272</v>
      </c>
      <c r="AO148" s="50"/>
    </row>
    <row r="149" spans="1:41" ht="13">
      <c r="A149" s="4" t="s">
        <v>820</v>
      </c>
      <c r="B149" s="50" t="s">
        <v>12901</v>
      </c>
      <c r="C149" s="4" t="s">
        <v>586</v>
      </c>
      <c r="D149" s="4" t="s">
        <v>4926</v>
      </c>
      <c r="E149" s="4" t="s">
        <v>108</v>
      </c>
      <c r="F149" s="4" t="s">
        <v>9</v>
      </c>
      <c r="G149" s="4" t="s">
        <v>4946</v>
      </c>
      <c r="H149" s="4" t="s">
        <v>706</v>
      </c>
      <c r="I149" s="4">
        <v>2.85</v>
      </c>
      <c r="J149" s="4">
        <v>1</v>
      </c>
      <c r="K149" s="4">
        <v>0.20472000000000001</v>
      </c>
      <c r="L149" s="4" t="s">
        <v>12272</v>
      </c>
      <c r="M149" s="4" t="s">
        <v>4929</v>
      </c>
      <c r="N149" s="60">
        <v>3.1775515080000001</v>
      </c>
      <c r="O149" s="60">
        <v>6.1053557400000003</v>
      </c>
      <c r="P149" s="60">
        <v>9.5738573070000008</v>
      </c>
      <c r="Q149" s="60">
        <v>3.1775515080000001</v>
      </c>
      <c r="R149" s="51" t="b">
        <v>1</v>
      </c>
      <c r="S149" s="60">
        <v>7.9683785440000001</v>
      </c>
      <c r="T149" s="60">
        <v>8.6601676940000001</v>
      </c>
      <c r="U149" s="60">
        <v>7.9683785440000001</v>
      </c>
      <c r="V149" s="51" t="b">
        <v>0</v>
      </c>
      <c r="W149" s="60">
        <v>4.1817860600000003</v>
      </c>
      <c r="X149" s="60">
        <v>3.1732087139999998</v>
      </c>
      <c r="Y149" s="51" t="b">
        <v>1</v>
      </c>
      <c r="Z149" s="60">
        <v>2.0315418240000001</v>
      </c>
      <c r="AA149" s="60">
        <v>5.3223137859999996</v>
      </c>
      <c r="AB149" s="60">
        <v>1.97397387</v>
      </c>
      <c r="AC149" s="60">
        <v>9.0065584179999991</v>
      </c>
      <c r="AD149" s="60">
        <v>7.1143198009999997</v>
      </c>
      <c r="AE149" s="60">
        <v>8.5313329699999993</v>
      </c>
      <c r="AF149" s="60">
        <v>13.045297619999999</v>
      </c>
      <c r="AG149" s="60">
        <v>18.624328609999999</v>
      </c>
      <c r="AH149" s="60">
        <v>18.8510685</v>
      </c>
      <c r="AI149" s="41">
        <v>1</v>
      </c>
      <c r="AO149" s="50"/>
    </row>
    <row r="150" spans="1:41" ht="13">
      <c r="A150" s="4" t="s">
        <v>821</v>
      </c>
      <c r="B150" s="50" t="s">
        <v>12760</v>
      </c>
      <c r="C150" s="4" t="s">
        <v>587</v>
      </c>
      <c r="D150" s="4" t="s">
        <v>4926</v>
      </c>
      <c r="E150" s="4" t="s">
        <v>108</v>
      </c>
      <c r="F150" s="4" t="s">
        <v>9</v>
      </c>
      <c r="G150" s="4" t="s">
        <v>5098</v>
      </c>
      <c r="H150" s="4" t="s">
        <v>707</v>
      </c>
      <c r="I150" s="4">
        <v>2.95</v>
      </c>
      <c r="J150" s="4">
        <v>0.99</v>
      </c>
      <c r="K150" s="4">
        <v>0.18715999999999999</v>
      </c>
      <c r="L150" s="4" t="s">
        <v>12722</v>
      </c>
      <c r="M150" s="4" t="s">
        <v>4929</v>
      </c>
      <c r="N150" s="60">
        <v>9.2268753050000001</v>
      </c>
      <c r="O150" s="60">
        <v>7.8600611689999997</v>
      </c>
      <c r="P150" s="60">
        <v>4.2654509540000003</v>
      </c>
      <c r="Q150" s="60">
        <v>4.2654509540000003</v>
      </c>
      <c r="R150" s="51" t="b">
        <v>0</v>
      </c>
      <c r="S150" s="60">
        <v>2.9999759199999998</v>
      </c>
      <c r="T150" s="60">
        <v>2.8846066000000001</v>
      </c>
      <c r="U150" s="60">
        <v>2.8846066000000001</v>
      </c>
      <c r="V150" s="51" t="b">
        <v>1</v>
      </c>
      <c r="W150" s="60">
        <v>6.153296471</v>
      </c>
      <c r="X150" s="60">
        <v>10.639849659999999</v>
      </c>
      <c r="Y150" s="51" t="b">
        <v>0</v>
      </c>
      <c r="Z150" s="60">
        <v>4.488636971</v>
      </c>
      <c r="AA150" s="60">
        <v>1.7937662599999999</v>
      </c>
      <c r="AB150" s="60">
        <v>11.95822334</v>
      </c>
      <c r="AC150" s="60">
        <v>1.9030950069999999</v>
      </c>
      <c r="AD150" s="60">
        <v>7.1887016299999997</v>
      </c>
      <c r="AE150" s="60">
        <v>10.87222004</v>
      </c>
      <c r="AF150" s="60">
        <v>15.79687977</v>
      </c>
      <c r="AG150" s="60">
        <v>18.89024925</v>
      </c>
      <c r="AH150" s="60">
        <v>21.965028759999999</v>
      </c>
      <c r="AK150" s="41">
        <v>2</v>
      </c>
      <c r="AL150" s="41">
        <v>1</v>
      </c>
      <c r="AM150" s="41" t="s">
        <v>12724</v>
      </c>
      <c r="AO150" s="50"/>
    </row>
    <row r="151" spans="1:41" ht="13">
      <c r="A151" s="4" t="s">
        <v>822</v>
      </c>
      <c r="B151" s="50" t="s">
        <v>12766</v>
      </c>
      <c r="C151" s="4" t="s">
        <v>588</v>
      </c>
      <c r="D151" s="4" t="s">
        <v>4926</v>
      </c>
      <c r="E151" s="4" t="s">
        <v>108</v>
      </c>
      <c r="F151" s="4" t="s">
        <v>9</v>
      </c>
      <c r="G151" s="4" t="s">
        <v>5099</v>
      </c>
      <c r="H151" s="4" t="s">
        <v>708</v>
      </c>
      <c r="I151" s="4">
        <v>3.27</v>
      </c>
      <c r="J151" s="4">
        <v>0.99</v>
      </c>
      <c r="K151" s="4">
        <v>0.19386</v>
      </c>
      <c r="L151" s="4" t="s">
        <v>12722</v>
      </c>
      <c r="M151" s="4" t="s">
        <v>4929</v>
      </c>
      <c r="N151" s="60">
        <v>8.4326944350000002</v>
      </c>
      <c r="O151" s="60">
        <v>7.267659664</v>
      </c>
      <c r="P151" s="60">
        <v>4.307426929</v>
      </c>
      <c r="Q151" s="60">
        <v>4.307426929</v>
      </c>
      <c r="R151" s="51" t="b">
        <v>0</v>
      </c>
      <c r="S151" s="60">
        <v>2.9161825179999998</v>
      </c>
      <c r="T151" s="60">
        <v>4.5051898960000001</v>
      </c>
      <c r="U151" s="60">
        <v>2.9161825179999998</v>
      </c>
      <c r="V151" s="51" t="b">
        <v>1</v>
      </c>
      <c r="W151" s="60">
        <v>5.5125002859999999</v>
      </c>
      <c r="X151" s="60">
        <v>7.3268313410000001</v>
      </c>
      <c r="Y151" s="51" t="b">
        <v>0</v>
      </c>
      <c r="Z151" s="60">
        <v>3.5849256519999999</v>
      </c>
      <c r="AA151" s="60">
        <v>1.0108629469999999</v>
      </c>
      <c r="AB151" s="60">
        <v>10.87651634</v>
      </c>
      <c r="AC151" s="60">
        <v>4.4612402920000003</v>
      </c>
      <c r="AD151" s="60">
        <v>3.733626127</v>
      </c>
      <c r="AE151" s="60">
        <v>5.788031578</v>
      </c>
      <c r="AF151" s="60">
        <v>10.75073624</v>
      </c>
      <c r="AG151" s="60">
        <v>15.12130928</v>
      </c>
      <c r="AH151" s="60">
        <v>20.11743164</v>
      </c>
      <c r="AK151" s="41">
        <v>1</v>
      </c>
      <c r="AL151" s="41">
        <v>1</v>
      </c>
      <c r="AM151" s="41" t="s">
        <v>12727</v>
      </c>
      <c r="AO151" s="50"/>
    </row>
    <row r="152" spans="1:41" ht="13">
      <c r="A152" s="4" t="s">
        <v>823</v>
      </c>
      <c r="B152" s="50" t="s">
        <v>12853</v>
      </c>
      <c r="C152" s="4" t="s">
        <v>589</v>
      </c>
      <c r="D152" s="4" t="s">
        <v>4926</v>
      </c>
      <c r="E152" s="4" t="s">
        <v>108</v>
      </c>
      <c r="F152" s="4" t="s">
        <v>9</v>
      </c>
      <c r="G152" s="4" t="s">
        <v>4947</v>
      </c>
      <c r="H152" s="4" t="s">
        <v>709</v>
      </c>
      <c r="I152" s="4">
        <v>3.32</v>
      </c>
      <c r="J152" s="4">
        <v>0.99</v>
      </c>
      <c r="K152" s="4">
        <v>0.19092000000000001</v>
      </c>
      <c r="L152" s="4" t="s">
        <v>12272</v>
      </c>
      <c r="M152" s="4" t="s">
        <v>4929</v>
      </c>
      <c r="N152" s="60">
        <v>5.3517007830000001</v>
      </c>
      <c r="O152" s="60">
        <v>5.4966263770000001</v>
      </c>
      <c r="P152" s="60">
        <v>6.4752068520000003</v>
      </c>
      <c r="Q152" s="60">
        <v>5.3517007830000001</v>
      </c>
      <c r="R152" s="51" t="b">
        <v>0</v>
      </c>
      <c r="S152" s="60">
        <v>5.4363064769999996</v>
      </c>
      <c r="T152" s="60">
        <v>6.8351597789999996</v>
      </c>
      <c r="U152" s="60">
        <v>5.4363064769999996</v>
      </c>
      <c r="V152" s="51" t="b">
        <v>0</v>
      </c>
      <c r="W152" s="60">
        <v>4.5304360389999996</v>
      </c>
      <c r="X152" s="60">
        <v>2.818579674</v>
      </c>
      <c r="Y152" s="51" t="b">
        <v>1</v>
      </c>
      <c r="Z152" s="60">
        <v>1.806357741</v>
      </c>
      <c r="AA152" s="60">
        <v>5.2103657720000003</v>
      </c>
      <c r="AB152" s="60">
        <v>2.5416805739999999</v>
      </c>
      <c r="AC152" s="60">
        <v>8.5657844539999992</v>
      </c>
      <c r="AD152" s="60">
        <v>7.2416253089999998</v>
      </c>
      <c r="AE152" s="60">
        <v>8.4622077939999993</v>
      </c>
      <c r="AF152" s="60">
        <v>13.03044796</v>
      </c>
      <c r="AG152" s="60">
        <v>18.536878590000001</v>
      </c>
      <c r="AH152" s="60">
        <v>18.917114260000002</v>
      </c>
      <c r="AO152" s="50"/>
    </row>
    <row r="153" spans="1:41" ht="13">
      <c r="A153" s="4" t="s">
        <v>824</v>
      </c>
      <c r="B153" s="50" t="s">
        <v>12829</v>
      </c>
      <c r="C153" s="4" t="s">
        <v>590</v>
      </c>
      <c r="D153" s="4" t="s">
        <v>4926</v>
      </c>
      <c r="E153" s="4" t="s">
        <v>108</v>
      </c>
      <c r="F153" s="4" t="s">
        <v>9</v>
      </c>
      <c r="G153" s="4" t="s">
        <v>4948</v>
      </c>
      <c r="H153" s="4" t="s">
        <v>710</v>
      </c>
      <c r="I153" s="4">
        <v>3.45</v>
      </c>
      <c r="J153" s="4">
        <v>1.03</v>
      </c>
      <c r="K153" s="4">
        <v>0.19972000000000001</v>
      </c>
      <c r="L153" s="4" t="s">
        <v>12272</v>
      </c>
      <c r="M153" s="4" t="s">
        <v>4929</v>
      </c>
      <c r="N153" s="60">
        <v>3.0596644880000001</v>
      </c>
      <c r="O153" s="60">
        <v>5.6621351239999997</v>
      </c>
      <c r="P153" s="60">
        <v>5.7945919039999998</v>
      </c>
      <c r="Q153" s="60">
        <v>3.0596644880000001</v>
      </c>
      <c r="R153" s="51" t="b">
        <v>1</v>
      </c>
      <c r="S153" s="60">
        <v>4.6286334990000002</v>
      </c>
      <c r="T153" s="60">
        <v>5.5237016680000002</v>
      </c>
      <c r="U153" s="60">
        <v>4.6286334990000002</v>
      </c>
      <c r="V153" s="51" t="b">
        <v>0</v>
      </c>
      <c r="W153" s="60">
        <v>3.5884912010000001</v>
      </c>
      <c r="X153" s="60">
        <v>3.0930936340000001</v>
      </c>
      <c r="Y153" s="51" t="b">
        <v>1</v>
      </c>
      <c r="Z153" s="60">
        <v>1.4922368530000001</v>
      </c>
      <c r="AA153" s="60">
        <v>2.104128599</v>
      </c>
      <c r="AB153" s="60">
        <v>2.184919834</v>
      </c>
      <c r="AC153" s="60">
        <v>6.0901889799999998</v>
      </c>
      <c r="AD153" s="60">
        <v>5.4771919249999996</v>
      </c>
      <c r="AE153" s="60">
        <v>8.1252937319999994</v>
      </c>
      <c r="AF153" s="60">
        <v>12.89655876</v>
      </c>
      <c r="AG153" s="60">
        <v>17.612422939999998</v>
      </c>
      <c r="AH153" s="60">
        <v>18.92783356</v>
      </c>
      <c r="AI153" s="41">
        <v>1</v>
      </c>
      <c r="AO153" s="50"/>
    </row>
    <row r="154" spans="1:41" ht="13">
      <c r="A154" s="4" t="s">
        <v>825</v>
      </c>
      <c r="B154" s="50" t="s">
        <v>12744</v>
      </c>
      <c r="C154" s="4" t="s">
        <v>591</v>
      </c>
      <c r="D154" s="4" t="s">
        <v>4926</v>
      </c>
      <c r="E154" s="4" t="s">
        <v>108</v>
      </c>
      <c r="F154" s="4" t="s">
        <v>9</v>
      </c>
      <c r="G154" s="4" t="s">
        <v>5100</v>
      </c>
      <c r="H154" s="4" t="s">
        <v>711</v>
      </c>
      <c r="I154" s="4">
        <v>3.47</v>
      </c>
      <c r="J154" s="4">
        <v>1</v>
      </c>
      <c r="K154" s="4">
        <v>0.20102</v>
      </c>
      <c r="L154" s="4" t="s">
        <v>12722</v>
      </c>
      <c r="M154" s="4" t="s">
        <v>4929</v>
      </c>
      <c r="N154" s="60">
        <v>8.3219785690000005</v>
      </c>
      <c r="O154" s="60">
        <v>7.0588536260000003</v>
      </c>
      <c r="P154" s="60">
        <v>4.0812721249999999</v>
      </c>
      <c r="Q154" s="60">
        <v>4.0812721249999999</v>
      </c>
      <c r="R154" s="51" t="b">
        <v>0</v>
      </c>
      <c r="S154" s="60">
        <v>2.7892785070000001</v>
      </c>
      <c r="T154" s="60">
        <v>3.2357590200000002</v>
      </c>
      <c r="U154" s="60">
        <v>2.7892785070000001</v>
      </c>
      <c r="V154" s="51" t="b">
        <v>1</v>
      </c>
      <c r="W154" s="60">
        <v>5.5584187509999996</v>
      </c>
      <c r="X154" s="60">
        <v>9.6328926090000007</v>
      </c>
      <c r="Y154" s="51" t="b">
        <v>0</v>
      </c>
      <c r="Z154" s="60">
        <v>3.5574278829999999</v>
      </c>
      <c r="AA154" s="60">
        <v>1.4990775590000001</v>
      </c>
      <c r="AB154" s="60">
        <v>10.805590629999999</v>
      </c>
      <c r="AC154" s="60">
        <v>5.090238094</v>
      </c>
      <c r="AD154" s="60">
        <v>1.524091721</v>
      </c>
      <c r="AE154" s="60">
        <v>4.930212021</v>
      </c>
      <c r="AF154" s="60">
        <v>9.8947858810000007</v>
      </c>
      <c r="AG154" s="60">
        <v>14.269867899999999</v>
      </c>
      <c r="AH154" s="60">
        <v>20.770830149999998</v>
      </c>
      <c r="AK154" s="41">
        <v>2</v>
      </c>
      <c r="AL154" s="41">
        <v>1</v>
      </c>
      <c r="AM154" s="41" t="s">
        <v>12727</v>
      </c>
      <c r="AO154" s="50"/>
    </row>
    <row r="155" spans="1:41" ht="13">
      <c r="A155" s="4" t="s">
        <v>826</v>
      </c>
      <c r="B155" s="50" t="s">
        <v>12746</v>
      </c>
      <c r="C155" s="4" t="s">
        <v>592</v>
      </c>
      <c r="D155" s="4" t="s">
        <v>4926</v>
      </c>
      <c r="E155" s="4" t="s">
        <v>108</v>
      </c>
      <c r="F155" s="4" t="s">
        <v>9</v>
      </c>
      <c r="G155" s="4" t="s">
        <v>5101</v>
      </c>
      <c r="H155" s="4" t="s">
        <v>712</v>
      </c>
      <c r="I155" s="4">
        <v>3.68</v>
      </c>
      <c r="J155" s="4">
        <v>0.98</v>
      </c>
      <c r="K155" s="4">
        <v>0.19441</v>
      </c>
      <c r="L155" s="4" t="s">
        <v>12722</v>
      </c>
      <c r="M155" s="4" t="s">
        <v>4929</v>
      </c>
      <c r="N155" s="60">
        <v>8.516655922</v>
      </c>
      <c r="O155" s="60">
        <v>7.2479615209999997</v>
      </c>
      <c r="P155" s="60">
        <v>4.183922291</v>
      </c>
      <c r="Q155" s="60">
        <v>4.183922291</v>
      </c>
      <c r="R155" s="51" t="b">
        <v>0</v>
      </c>
      <c r="S155" s="60">
        <v>2.80574441</v>
      </c>
      <c r="T155" s="60">
        <v>2.9481785299999999</v>
      </c>
      <c r="U155" s="60">
        <v>2.80574441</v>
      </c>
      <c r="V155" s="51" t="b">
        <v>1</v>
      </c>
      <c r="W155" s="60">
        <v>5.7038903239999996</v>
      </c>
      <c r="X155" s="60">
        <v>7.7148571009999998</v>
      </c>
      <c r="Y155" s="51" t="b">
        <v>0</v>
      </c>
      <c r="Z155" s="60">
        <v>3.7427339549999998</v>
      </c>
      <c r="AA155" s="60">
        <v>1.636468053</v>
      </c>
      <c r="AB155" s="60">
        <v>10.70408535</v>
      </c>
      <c r="AC155" s="60">
        <v>4.9320611950000002</v>
      </c>
      <c r="AD155" s="60">
        <v>2.009472132</v>
      </c>
      <c r="AE155" s="60">
        <v>4.8592553140000003</v>
      </c>
      <c r="AF155" s="60">
        <v>9.6487169270000006</v>
      </c>
      <c r="AG155" s="60">
        <v>14.62741947</v>
      </c>
      <c r="AH155" s="60">
        <v>20.294841770000001</v>
      </c>
      <c r="AK155" s="41">
        <v>2</v>
      </c>
      <c r="AL155" s="41">
        <v>1</v>
      </c>
      <c r="AM155" s="41" t="s">
        <v>12727</v>
      </c>
      <c r="AO155" s="50"/>
    </row>
    <row r="156" spans="1:41" ht="13">
      <c r="A156" s="4" t="s">
        <v>827</v>
      </c>
      <c r="B156" s="50" t="s">
        <v>12787</v>
      </c>
      <c r="C156" s="4" t="s">
        <v>593</v>
      </c>
      <c r="D156" s="4" t="s">
        <v>4926</v>
      </c>
      <c r="E156" s="4" t="s">
        <v>108</v>
      </c>
      <c r="F156" s="4" t="s">
        <v>9</v>
      </c>
      <c r="G156" s="4" t="s">
        <v>4949</v>
      </c>
      <c r="H156" s="4" t="s">
        <v>713</v>
      </c>
      <c r="I156" s="4">
        <v>3.7</v>
      </c>
      <c r="J156" s="4">
        <v>1.04</v>
      </c>
      <c r="K156" s="4">
        <v>0.21026</v>
      </c>
      <c r="L156" s="4" t="s">
        <v>12272</v>
      </c>
      <c r="M156" s="4" t="s">
        <v>4929</v>
      </c>
      <c r="N156" s="60">
        <v>3.7393486500000002</v>
      </c>
      <c r="O156" s="60">
        <v>3.856262445</v>
      </c>
      <c r="P156" s="60">
        <v>3.5511972900000002</v>
      </c>
      <c r="Q156" s="60">
        <v>3.5511972900000002</v>
      </c>
      <c r="R156" s="51" t="b">
        <v>0</v>
      </c>
      <c r="S156" s="60">
        <v>3.4330463409999998</v>
      </c>
      <c r="T156" s="60">
        <v>5.2556581500000004</v>
      </c>
      <c r="U156" s="60">
        <v>3.4330463409999998</v>
      </c>
      <c r="V156" s="51" t="b">
        <v>1</v>
      </c>
      <c r="W156" s="60">
        <v>4.2519645690000001</v>
      </c>
      <c r="X156" s="60">
        <v>7.3510279660000002</v>
      </c>
      <c r="Y156" s="51" t="b">
        <v>0</v>
      </c>
      <c r="Z156" s="60">
        <v>1.253479123</v>
      </c>
      <c r="AA156" s="60">
        <v>2.2655048369999999</v>
      </c>
      <c r="AB156" s="60">
        <v>4.2217411990000002</v>
      </c>
      <c r="AC156" s="60">
        <v>6.0504288669999999</v>
      </c>
      <c r="AD156" s="60">
        <v>5.2564635280000003</v>
      </c>
      <c r="AE156" s="60">
        <v>8.0808877940000006</v>
      </c>
      <c r="AF156" s="60">
        <v>12.86577606</v>
      </c>
      <c r="AG156" s="60">
        <v>17.508253100000001</v>
      </c>
      <c r="AH156" s="60">
        <v>18.386034009999999</v>
      </c>
      <c r="AK156" s="41">
        <v>1</v>
      </c>
      <c r="AL156" s="41">
        <v>1</v>
      </c>
      <c r="AM156" s="41" t="s">
        <v>12272</v>
      </c>
      <c r="AO156" s="50"/>
    </row>
    <row r="157" spans="1:41" ht="13">
      <c r="A157" s="4" t="s">
        <v>828</v>
      </c>
      <c r="B157" s="50" t="s">
        <v>12723</v>
      </c>
      <c r="C157" s="4" t="s">
        <v>594</v>
      </c>
      <c r="D157" s="4" t="s">
        <v>4926</v>
      </c>
      <c r="E157" s="4" t="s">
        <v>108</v>
      </c>
      <c r="F157" s="4" t="s">
        <v>9</v>
      </c>
      <c r="G157" s="4" t="s">
        <v>5102</v>
      </c>
      <c r="H157" s="4" t="s">
        <v>714</v>
      </c>
      <c r="I157" s="4">
        <v>4.2699999999999996</v>
      </c>
      <c r="J157" s="4">
        <v>1.02</v>
      </c>
      <c r="K157" s="4">
        <v>0.20588999999999999</v>
      </c>
      <c r="L157" s="4" t="s">
        <v>12722</v>
      </c>
      <c r="M157" s="4" t="s">
        <v>4929</v>
      </c>
      <c r="N157" s="60">
        <v>8.6938276289999994</v>
      </c>
      <c r="O157" s="60">
        <v>7.4387135510000002</v>
      </c>
      <c r="P157" s="60">
        <v>4.2183899880000002</v>
      </c>
      <c r="Q157" s="60">
        <v>4.2183899880000002</v>
      </c>
      <c r="R157" s="51" t="b">
        <v>0</v>
      </c>
      <c r="S157" s="60">
        <v>2.8568468089999999</v>
      </c>
      <c r="T157" s="60">
        <v>2.4736433029999998</v>
      </c>
      <c r="U157" s="60">
        <v>2.4736433029999998</v>
      </c>
      <c r="V157" s="51" t="b">
        <v>1</v>
      </c>
      <c r="W157" s="60">
        <v>5.3105359080000003</v>
      </c>
      <c r="X157" s="60">
        <v>10.14342976</v>
      </c>
      <c r="Y157" s="51" t="b">
        <v>0</v>
      </c>
      <c r="Z157" s="60">
        <v>4.0686588290000003</v>
      </c>
      <c r="AA157" s="60">
        <v>1.6764619350000001</v>
      </c>
      <c r="AB157" s="60">
        <v>11.45165634</v>
      </c>
      <c r="AC157" s="60">
        <v>0.77679955999999994</v>
      </c>
      <c r="AD157" s="60">
        <v>7.1224284170000001</v>
      </c>
      <c r="AE157" s="60">
        <v>10.936657909999999</v>
      </c>
      <c r="AF157" s="60">
        <v>15.842033389999999</v>
      </c>
      <c r="AG157" s="60">
        <v>18.998750690000001</v>
      </c>
      <c r="AH157" s="60">
        <v>21.7598114</v>
      </c>
      <c r="AK157" s="41">
        <v>2</v>
      </c>
      <c r="AL157" s="41">
        <v>1</v>
      </c>
      <c r="AM157" s="41" t="s">
        <v>12724</v>
      </c>
      <c r="AO157" s="50"/>
    </row>
    <row r="158" spans="1:41" ht="13">
      <c r="A158" s="4" t="s">
        <v>829</v>
      </c>
      <c r="B158" s="50" t="s">
        <v>12918</v>
      </c>
      <c r="C158" s="4" t="s">
        <v>595</v>
      </c>
      <c r="D158" s="4" t="s">
        <v>4926</v>
      </c>
      <c r="E158" s="4" t="s">
        <v>108</v>
      </c>
      <c r="F158" s="4" t="s">
        <v>9</v>
      </c>
      <c r="G158" s="4" t="s">
        <v>5146</v>
      </c>
      <c r="H158" s="4" t="s">
        <v>315</v>
      </c>
      <c r="I158" s="4">
        <v>4.28</v>
      </c>
      <c r="J158" s="4">
        <v>0.96</v>
      </c>
      <c r="K158" s="4">
        <v>0.18587000000000001</v>
      </c>
      <c r="L158" s="4" t="s">
        <v>4955</v>
      </c>
      <c r="M158" s="4" t="s">
        <v>4955</v>
      </c>
      <c r="N158" s="60">
        <v>14.18587971</v>
      </c>
      <c r="O158" s="60">
        <v>12.72367573</v>
      </c>
      <c r="P158" s="60">
        <v>12.913066860000001</v>
      </c>
      <c r="Q158" s="60">
        <v>12.72367573</v>
      </c>
      <c r="R158" s="51" t="b">
        <v>0</v>
      </c>
      <c r="S158" s="60">
        <v>12.412241939999999</v>
      </c>
      <c r="T158" s="60">
        <v>13.087012290000001</v>
      </c>
      <c r="U158" s="60">
        <v>12.412241939999999</v>
      </c>
      <c r="V158" s="51" t="b">
        <v>0</v>
      </c>
      <c r="W158" s="60">
        <v>10.044353490000001</v>
      </c>
      <c r="X158" s="60">
        <v>21.790460589999999</v>
      </c>
      <c r="Y158" s="51" t="b">
        <v>0</v>
      </c>
      <c r="Z158" s="60">
        <v>11.734122279999999</v>
      </c>
      <c r="AA158" s="60">
        <v>13.70910072</v>
      </c>
      <c r="AB158" s="60">
        <v>13.84080219</v>
      </c>
      <c r="AC158" s="60">
        <v>15.347682949999999</v>
      </c>
      <c r="AD158" s="60">
        <v>19.368585589999999</v>
      </c>
      <c r="AE158" s="60">
        <v>22.243679050000001</v>
      </c>
      <c r="AF158" s="60">
        <v>26.838981629999999</v>
      </c>
      <c r="AG158" s="60">
        <v>32.111526490000003</v>
      </c>
      <c r="AH158" s="60">
        <v>23.609077450000001</v>
      </c>
      <c r="AO158" s="50"/>
    </row>
    <row r="159" spans="1:41" ht="13">
      <c r="A159" s="4" t="s">
        <v>830</v>
      </c>
      <c r="B159" s="50" t="s">
        <v>12819</v>
      </c>
      <c r="C159" s="4" t="s">
        <v>596</v>
      </c>
      <c r="D159" s="4" t="s">
        <v>4926</v>
      </c>
      <c r="E159" s="4" t="s">
        <v>108</v>
      </c>
      <c r="F159" s="4" t="s">
        <v>9</v>
      </c>
      <c r="G159" s="4" t="s">
        <v>4950</v>
      </c>
      <c r="H159" s="4" t="s">
        <v>715</v>
      </c>
      <c r="I159" s="4">
        <v>4.3</v>
      </c>
      <c r="J159" s="4">
        <v>1</v>
      </c>
      <c r="K159" s="4">
        <v>0.18848999999999999</v>
      </c>
      <c r="L159" s="4" t="s">
        <v>12272</v>
      </c>
      <c r="M159" s="4" t="s">
        <v>4929</v>
      </c>
      <c r="N159" s="60">
        <v>6.0186533930000001</v>
      </c>
      <c r="O159" s="60">
        <v>6.5541362760000004</v>
      </c>
      <c r="P159" s="60">
        <v>4.8930201530000001</v>
      </c>
      <c r="Q159" s="60">
        <v>4.8930201530000001</v>
      </c>
      <c r="R159" s="51" t="b">
        <v>0</v>
      </c>
      <c r="S159" s="60">
        <v>4.315037727</v>
      </c>
      <c r="T159" s="60">
        <v>5.9796838760000002</v>
      </c>
      <c r="U159" s="60">
        <v>4.315037727</v>
      </c>
      <c r="V159" s="51" t="b">
        <v>0</v>
      </c>
      <c r="W159" s="60">
        <v>3.9639263150000001</v>
      </c>
      <c r="X159" s="60">
        <v>3.2245967389999999</v>
      </c>
      <c r="Y159" s="51" t="b">
        <v>1</v>
      </c>
      <c r="Z159" s="60">
        <v>2.2653136250000001</v>
      </c>
      <c r="AA159" s="60">
        <v>2.482655764</v>
      </c>
      <c r="AB159" s="60">
        <v>3.7233412270000001</v>
      </c>
      <c r="AC159" s="60">
        <v>6.3927292820000003</v>
      </c>
      <c r="AD159" s="60">
        <v>5.4292926789999996</v>
      </c>
      <c r="AE159" s="60">
        <v>7.9546566009999999</v>
      </c>
      <c r="AF159" s="60">
        <v>12.625896450000001</v>
      </c>
      <c r="AG159" s="60">
        <v>17.743974690000002</v>
      </c>
      <c r="AH159" s="60">
        <v>19.62995338</v>
      </c>
      <c r="AO159" s="50"/>
    </row>
    <row r="160" spans="1:41" ht="13">
      <c r="A160" s="4" t="s">
        <v>831</v>
      </c>
      <c r="B160" s="50" t="s">
        <v>12726</v>
      </c>
      <c r="C160" s="4" t="s">
        <v>597</v>
      </c>
      <c r="D160" s="4" t="s">
        <v>4926</v>
      </c>
      <c r="E160" s="4" t="s">
        <v>108</v>
      </c>
      <c r="F160" s="4" t="s">
        <v>9</v>
      </c>
      <c r="G160" s="4" t="s">
        <v>5103</v>
      </c>
      <c r="H160" s="4" t="s">
        <v>716</v>
      </c>
      <c r="I160" s="4">
        <v>4.3499999999999996</v>
      </c>
      <c r="J160" s="4">
        <v>1</v>
      </c>
      <c r="K160" s="4">
        <v>0.19092999999999999</v>
      </c>
      <c r="L160" s="4" t="s">
        <v>12722</v>
      </c>
      <c r="M160" s="4" t="s">
        <v>4929</v>
      </c>
      <c r="N160" s="60">
        <v>9.0114822389999993</v>
      </c>
      <c r="O160" s="60">
        <v>7.5990490910000004</v>
      </c>
      <c r="P160" s="60">
        <v>4.1441216470000004</v>
      </c>
      <c r="Q160" s="60">
        <v>4.1441216470000004</v>
      </c>
      <c r="R160" s="51" t="b">
        <v>0</v>
      </c>
      <c r="S160" s="60">
        <v>2.6647851469999999</v>
      </c>
      <c r="T160" s="60">
        <v>2.8681049349999999</v>
      </c>
      <c r="U160" s="60">
        <v>2.6647851469999999</v>
      </c>
      <c r="V160" s="51" t="b">
        <v>1</v>
      </c>
      <c r="W160" s="60">
        <v>5.9871745110000001</v>
      </c>
      <c r="X160" s="60">
        <v>10.271361349999999</v>
      </c>
      <c r="Y160" s="51" t="b">
        <v>0</v>
      </c>
      <c r="Z160" s="60">
        <v>4.3215246199999999</v>
      </c>
      <c r="AA160" s="60">
        <v>0.87045323799999996</v>
      </c>
      <c r="AB160" s="60">
        <v>10.84237766</v>
      </c>
      <c r="AC160" s="60">
        <v>4.4772715569999999</v>
      </c>
      <c r="AD160" s="60">
        <v>2.4193181990000001</v>
      </c>
      <c r="AE160" s="60">
        <v>6.2755169869999996</v>
      </c>
      <c r="AF160" s="60">
        <v>11.01026821</v>
      </c>
      <c r="AG160" s="60">
        <v>15.221438409999999</v>
      </c>
      <c r="AH160" s="60">
        <v>20.391138080000001</v>
      </c>
      <c r="AK160" s="41">
        <v>2</v>
      </c>
      <c r="AL160" s="41">
        <v>1</v>
      </c>
      <c r="AM160" s="41" t="s">
        <v>12727</v>
      </c>
      <c r="AO160" s="50"/>
    </row>
    <row r="161" spans="1:41" ht="13">
      <c r="A161" s="4" t="s">
        <v>832</v>
      </c>
      <c r="B161" s="50" t="s">
        <v>12743</v>
      </c>
      <c r="C161" s="4" t="s">
        <v>598</v>
      </c>
      <c r="D161" s="4" t="s">
        <v>4926</v>
      </c>
      <c r="E161" s="4" t="s">
        <v>108</v>
      </c>
      <c r="F161" s="4" t="s">
        <v>9</v>
      </c>
      <c r="G161" s="4" t="s">
        <v>5104</v>
      </c>
      <c r="H161" s="4" t="s">
        <v>717</v>
      </c>
      <c r="I161" s="4">
        <v>2.5</v>
      </c>
      <c r="J161" s="4">
        <v>1.05</v>
      </c>
      <c r="K161" s="4">
        <v>0.23299</v>
      </c>
      <c r="L161" s="4" t="s">
        <v>12722</v>
      </c>
      <c r="M161" s="4" t="s">
        <v>4929</v>
      </c>
      <c r="N161" s="60">
        <v>8.4079151149999998</v>
      </c>
      <c r="O161" s="60">
        <v>7.1730394359999998</v>
      </c>
      <c r="P161" s="60">
        <v>4.1072006229999998</v>
      </c>
      <c r="Q161" s="60">
        <v>4.1072006229999998</v>
      </c>
      <c r="R161" s="51" t="b">
        <v>0</v>
      </c>
      <c r="S161" s="60">
        <v>2.7768683429999999</v>
      </c>
      <c r="T161" s="60">
        <v>2.8533496860000001</v>
      </c>
      <c r="U161" s="60">
        <v>2.7768683429999999</v>
      </c>
      <c r="V161" s="51" t="b">
        <v>1</v>
      </c>
      <c r="W161" s="60">
        <v>5.7829399109999997</v>
      </c>
      <c r="X161" s="60">
        <v>7.8935823440000004</v>
      </c>
      <c r="Y161" s="51" t="b">
        <v>0</v>
      </c>
      <c r="Z161" s="60">
        <v>3.86671567</v>
      </c>
      <c r="AA161" s="60">
        <v>1.6842200759999999</v>
      </c>
      <c r="AB161" s="60">
        <v>11.257006649999999</v>
      </c>
      <c r="AC161" s="60">
        <v>5.1518025400000003</v>
      </c>
      <c r="AD161" s="60">
        <v>1.3304119109999999</v>
      </c>
      <c r="AE161" s="60">
        <v>4.6965966220000004</v>
      </c>
      <c r="AF161" s="60">
        <v>9.6657638549999998</v>
      </c>
      <c r="AG161" s="60">
        <v>14.03492928</v>
      </c>
      <c r="AH161" s="60">
        <v>20.736631389999999</v>
      </c>
      <c r="AK161" s="41">
        <v>2</v>
      </c>
      <c r="AL161" s="41">
        <v>1</v>
      </c>
      <c r="AM161" s="41" t="s">
        <v>12727</v>
      </c>
      <c r="AO161" s="50"/>
    </row>
    <row r="162" spans="1:41" ht="13">
      <c r="A162" s="4" t="s">
        <v>833</v>
      </c>
      <c r="B162" s="50" t="s">
        <v>12900</v>
      </c>
      <c r="C162" s="4" t="s">
        <v>599</v>
      </c>
      <c r="D162" s="4" t="s">
        <v>4926</v>
      </c>
      <c r="E162" s="4" t="s">
        <v>108</v>
      </c>
      <c r="F162" s="4" t="s">
        <v>9</v>
      </c>
      <c r="G162" s="4" t="s">
        <v>5011</v>
      </c>
      <c r="H162" s="4" t="s">
        <v>718</v>
      </c>
      <c r="I162" s="4">
        <v>2.73</v>
      </c>
      <c r="J162" s="4">
        <v>1.02</v>
      </c>
      <c r="K162" s="4">
        <v>0.20763000000000001</v>
      </c>
      <c r="L162" s="4" t="s">
        <v>12272</v>
      </c>
      <c r="M162" s="4" t="s">
        <v>4929</v>
      </c>
      <c r="N162" s="60">
        <v>3.076575756</v>
      </c>
      <c r="O162" s="60">
        <v>5.931034565</v>
      </c>
      <c r="P162" s="60">
        <v>9.5509681700000009</v>
      </c>
      <c r="Q162" s="60">
        <v>3.076575756</v>
      </c>
      <c r="R162" s="51" t="b">
        <v>1</v>
      </c>
      <c r="S162" s="60">
        <v>7.9569673539999997</v>
      </c>
      <c r="T162" s="60">
        <v>8.6986503600000002</v>
      </c>
      <c r="U162" s="60">
        <v>7.9569673539999997</v>
      </c>
      <c r="V162" s="51" t="b">
        <v>0</v>
      </c>
      <c r="W162" s="60">
        <v>4.2210435869999996</v>
      </c>
      <c r="X162" s="60">
        <v>3.226172686</v>
      </c>
      <c r="Y162" s="51" t="b">
        <v>1</v>
      </c>
      <c r="Z162" s="60">
        <v>2.2269096369999999</v>
      </c>
      <c r="AA162" s="60">
        <v>5.4615201950000003</v>
      </c>
      <c r="AB162" s="60">
        <v>2.588883638</v>
      </c>
      <c r="AC162" s="60">
        <v>9.1231164929999995</v>
      </c>
      <c r="AD162" s="60">
        <v>6.9530658719999998</v>
      </c>
      <c r="AE162" s="60">
        <v>8.2629375459999999</v>
      </c>
      <c r="AF162" s="60">
        <v>12.78012371</v>
      </c>
      <c r="AG162" s="60">
        <v>18.387565609999999</v>
      </c>
      <c r="AH162" s="60">
        <v>18.87123871</v>
      </c>
      <c r="AI162" s="41">
        <v>1</v>
      </c>
      <c r="AJ162" s="51"/>
      <c r="AO162" s="50"/>
    </row>
    <row r="163" spans="1:41" ht="13">
      <c r="A163" s="4" t="s">
        <v>834</v>
      </c>
      <c r="B163" s="50" t="s">
        <v>12879</v>
      </c>
      <c r="C163" s="4" t="s">
        <v>600</v>
      </c>
      <c r="D163" s="4" t="s">
        <v>4926</v>
      </c>
      <c r="E163" s="4" t="s">
        <v>108</v>
      </c>
      <c r="F163" s="4" t="s">
        <v>9</v>
      </c>
      <c r="G163" s="4" t="s">
        <v>5012</v>
      </c>
      <c r="H163" s="4" t="s">
        <v>719</v>
      </c>
      <c r="I163" s="4">
        <v>2.95</v>
      </c>
      <c r="J163" s="4">
        <v>0.99</v>
      </c>
      <c r="K163" s="4">
        <v>0.19356999999999999</v>
      </c>
      <c r="L163" s="4" t="s">
        <v>12272</v>
      </c>
      <c r="M163" s="4" t="s">
        <v>4929</v>
      </c>
      <c r="N163" s="60">
        <v>6.2476453779999996</v>
      </c>
      <c r="O163" s="60">
        <v>8.1405258180000004</v>
      </c>
      <c r="P163" s="60">
        <v>8.1528482439999994</v>
      </c>
      <c r="Q163" s="60">
        <v>6.2476453779999996</v>
      </c>
      <c r="R163" s="51" t="b">
        <v>0</v>
      </c>
      <c r="S163" s="60">
        <v>6.7657599450000001</v>
      </c>
      <c r="T163" s="60">
        <v>7.3769493099999996</v>
      </c>
      <c r="U163" s="60">
        <v>6.7657599450000001</v>
      </c>
      <c r="V163" s="51" t="b">
        <v>0</v>
      </c>
      <c r="W163" s="60">
        <v>4.0941762920000002</v>
      </c>
      <c r="X163" s="60">
        <v>2.8815577029999999</v>
      </c>
      <c r="Y163" s="51" t="b">
        <v>1</v>
      </c>
      <c r="Z163" s="60">
        <v>2.371301651</v>
      </c>
      <c r="AA163" s="60">
        <v>4.1252474780000004</v>
      </c>
      <c r="AB163" s="60">
        <v>2.2920424939999999</v>
      </c>
      <c r="AC163" s="60">
        <v>7.5810575489999996</v>
      </c>
      <c r="AD163" s="60">
        <v>6.3024096490000003</v>
      </c>
      <c r="AE163" s="60">
        <v>7.9953656200000003</v>
      </c>
      <c r="AF163" s="60">
        <v>12.77720165</v>
      </c>
      <c r="AG163" s="60">
        <v>17.93584061</v>
      </c>
      <c r="AH163" s="60">
        <v>19.01813507</v>
      </c>
      <c r="AO163" s="50"/>
    </row>
    <row r="164" spans="1:41" ht="13">
      <c r="A164" s="4" t="s">
        <v>835</v>
      </c>
      <c r="B164" s="50" t="s">
        <v>12737</v>
      </c>
      <c r="C164" s="4" t="s">
        <v>601</v>
      </c>
      <c r="D164" s="4" t="s">
        <v>4926</v>
      </c>
      <c r="E164" s="4" t="s">
        <v>108</v>
      </c>
      <c r="F164" s="4" t="s">
        <v>9</v>
      </c>
      <c r="G164" s="4" t="s">
        <v>5105</v>
      </c>
      <c r="H164" s="4" t="s">
        <v>720</v>
      </c>
      <c r="I164" s="4">
        <v>3.07</v>
      </c>
      <c r="J164" s="4">
        <v>0.96</v>
      </c>
      <c r="K164" s="4">
        <v>0.20455999999999999</v>
      </c>
      <c r="L164" s="4" t="s">
        <v>12722</v>
      </c>
      <c r="M164" s="4" t="s">
        <v>4929</v>
      </c>
      <c r="N164" s="60">
        <v>8.5487079619999999</v>
      </c>
      <c r="O164" s="60">
        <v>7.1770825389999997</v>
      </c>
      <c r="P164" s="60">
        <v>4.0934352870000001</v>
      </c>
      <c r="Q164" s="60">
        <v>4.0934352870000001</v>
      </c>
      <c r="R164" s="51" t="b">
        <v>0</v>
      </c>
      <c r="S164" s="60">
        <v>2.7477045059999998</v>
      </c>
      <c r="T164" s="60">
        <v>2.9175946709999998</v>
      </c>
      <c r="U164" s="60">
        <v>2.7477045059999998</v>
      </c>
      <c r="V164" s="51" t="b">
        <v>1</v>
      </c>
      <c r="W164" s="60">
        <v>5.9011359209999998</v>
      </c>
      <c r="X164" s="60">
        <v>6.5268526080000004</v>
      </c>
      <c r="Y164" s="51" t="b">
        <v>0</v>
      </c>
      <c r="Z164" s="60">
        <v>3.8448178770000001</v>
      </c>
      <c r="AA164" s="60">
        <v>1.926168203</v>
      </c>
      <c r="AB164" s="60">
        <v>10.96692657</v>
      </c>
      <c r="AC164" s="60">
        <v>4.933777332</v>
      </c>
      <c r="AD164" s="60">
        <v>1.8577692509999999</v>
      </c>
      <c r="AE164" s="60">
        <v>4.8539714810000003</v>
      </c>
      <c r="AF164" s="60">
        <v>9.6446132660000004</v>
      </c>
      <c r="AG164" s="60">
        <v>14.253167149999999</v>
      </c>
      <c r="AH164" s="60">
        <v>20.610343929999999</v>
      </c>
      <c r="AK164" s="41">
        <v>2</v>
      </c>
      <c r="AL164" s="41">
        <v>1</v>
      </c>
      <c r="AM164" s="41" t="s">
        <v>12727</v>
      </c>
      <c r="AO164" s="50"/>
    </row>
    <row r="165" spans="1:41" ht="13">
      <c r="A165" s="4" t="s">
        <v>836</v>
      </c>
      <c r="B165" s="50" t="s">
        <v>12813</v>
      </c>
      <c r="C165" s="4" t="s">
        <v>602</v>
      </c>
      <c r="D165" s="4" t="s">
        <v>4926</v>
      </c>
      <c r="E165" s="4" t="s">
        <v>108</v>
      </c>
      <c r="F165" s="4" t="s">
        <v>9</v>
      </c>
      <c r="G165" s="4" t="s">
        <v>5013</v>
      </c>
      <c r="H165" s="4" t="s">
        <v>721</v>
      </c>
      <c r="I165" s="4">
        <v>3.62</v>
      </c>
      <c r="J165" s="4">
        <v>1</v>
      </c>
      <c r="K165" s="4">
        <v>0.19572000000000001</v>
      </c>
      <c r="L165" s="4" t="s">
        <v>12272</v>
      </c>
      <c r="M165" s="4" t="s">
        <v>4929</v>
      </c>
      <c r="N165" s="60">
        <v>2.8411417010000002</v>
      </c>
      <c r="O165" s="60">
        <v>2.9206745619999999</v>
      </c>
      <c r="P165" s="60">
        <v>4.454439163</v>
      </c>
      <c r="Q165" s="60">
        <v>2.8411417010000002</v>
      </c>
      <c r="R165" s="51" t="b">
        <v>1</v>
      </c>
      <c r="S165" s="60">
        <v>4.2353510859999997</v>
      </c>
      <c r="T165" s="60">
        <v>6.5177822110000001</v>
      </c>
      <c r="U165" s="60">
        <v>4.2353510859999997</v>
      </c>
      <c r="V165" s="51" t="b">
        <v>0</v>
      </c>
      <c r="W165" s="60">
        <v>4.6577844620000004</v>
      </c>
      <c r="X165" s="60">
        <v>7.1504697799999999</v>
      </c>
      <c r="Y165" s="51" t="b">
        <v>0</v>
      </c>
      <c r="Z165" s="60">
        <v>1.0266783239999999</v>
      </c>
      <c r="AA165" s="60">
        <v>4.0579156879999996</v>
      </c>
      <c r="AB165" s="60">
        <v>5.4848594669999997</v>
      </c>
      <c r="AC165" s="60">
        <v>8.3097925190000002</v>
      </c>
      <c r="AD165" s="60">
        <v>6.8788356779999997</v>
      </c>
      <c r="AE165" s="60">
        <v>9.120876312</v>
      </c>
      <c r="AF165" s="60">
        <v>13.609375</v>
      </c>
      <c r="AG165" s="60">
        <v>19.233884809999999</v>
      </c>
      <c r="AH165" s="60">
        <v>17.926929470000001</v>
      </c>
      <c r="AI165" s="41">
        <v>2</v>
      </c>
      <c r="AJ165" s="41">
        <v>1</v>
      </c>
      <c r="AO165" s="50"/>
    </row>
    <row r="166" spans="1:41" ht="13">
      <c r="A166" s="4" t="s">
        <v>837</v>
      </c>
      <c r="B166" s="50" t="s">
        <v>12906</v>
      </c>
      <c r="C166" s="4" t="s">
        <v>603</v>
      </c>
      <c r="D166" s="4" t="s">
        <v>4926</v>
      </c>
      <c r="E166" s="4" t="s">
        <v>108</v>
      </c>
      <c r="F166" s="4" t="s">
        <v>9</v>
      </c>
      <c r="G166" s="4" t="s">
        <v>5014</v>
      </c>
      <c r="H166" s="4" t="s">
        <v>722</v>
      </c>
      <c r="I166" s="4">
        <v>3.67</v>
      </c>
      <c r="J166" s="4">
        <v>0.98</v>
      </c>
      <c r="K166" s="4">
        <v>0.18587000000000001</v>
      </c>
      <c r="L166" s="4" t="s">
        <v>12272</v>
      </c>
      <c r="M166" s="4" t="s">
        <v>4929</v>
      </c>
      <c r="N166" s="60">
        <v>3.0929045679999998</v>
      </c>
      <c r="O166" s="60">
        <v>5.8285017010000004</v>
      </c>
      <c r="P166" s="60">
        <v>9.9899120329999995</v>
      </c>
      <c r="Q166" s="60">
        <v>3.0929045679999998</v>
      </c>
      <c r="R166" s="51" t="b">
        <v>1</v>
      </c>
      <c r="S166" s="60">
        <v>8.442883492</v>
      </c>
      <c r="T166" s="60">
        <v>9.1107769009999995</v>
      </c>
      <c r="U166" s="60">
        <v>8.442883492</v>
      </c>
      <c r="V166" s="51" t="b">
        <v>0</v>
      </c>
      <c r="W166" s="60">
        <v>4.1272792819999999</v>
      </c>
      <c r="X166" s="60">
        <v>3.0279259679999999</v>
      </c>
      <c r="Y166" s="51" t="b">
        <v>1</v>
      </c>
      <c r="Z166" s="60">
        <v>1.8112701179999999</v>
      </c>
      <c r="AA166" s="60">
        <v>4.8511548040000001</v>
      </c>
      <c r="AB166" s="60">
        <v>2.2738635540000001</v>
      </c>
      <c r="AC166" s="60">
        <v>8.6314630510000008</v>
      </c>
      <c r="AD166" s="60">
        <v>7.0387182240000001</v>
      </c>
      <c r="AE166" s="60">
        <v>8.6001911159999995</v>
      </c>
      <c r="AF166" s="60">
        <v>13.1009922</v>
      </c>
      <c r="AG166" s="60">
        <v>18.681674959999999</v>
      </c>
      <c r="AH166" s="60">
        <v>18.881023410000001</v>
      </c>
      <c r="AI166" s="41">
        <v>1</v>
      </c>
      <c r="AO166" s="50"/>
    </row>
    <row r="167" spans="1:41" ht="13">
      <c r="A167" s="4" t="s">
        <v>838</v>
      </c>
      <c r="B167" s="50" t="s">
        <v>12793</v>
      </c>
      <c r="C167" s="4" t="s">
        <v>604</v>
      </c>
      <c r="D167" s="4" t="s">
        <v>4926</v>
      </c>
      <c r="E167" s="4" t="s">
        <v>108</v>
      </c>
      <c r="F167" s="4" t="s">
        <v>9</v>
      </c>
      <c r="G167" s="4" t="s">
        <v>5015</v>
      </c>
      <c r="H167" s="4" t="s">
        <v>723</v>
      </c>
      <c r="I167" s="4">
        <v>3.68</v>
      </c>
      <c r="J167" s="4">
        <v>1.01</v>
      </c>
      <c r="K167" s="4">
        <v>0.20934</v>
      </c>
      <c r="L167" s="4" t="s">
        <v>12272</v>
      </c>
      <c r="M167" s="4" t="s">
        <v>4929</v>
      </c>
      <c r="N167" s="60">
        <v>7.7113103870000002</v>
      </c>
      <c r="O167" s="60">
        <v>6.3543367389999998</v>
      </c>
      <c r="P167" s="60">
        <v>3.7134006020000001</v>
      </c>
      <c r="Q167" s="60">
        <v>3.7134006020000001</v>
      </c>
      <c r="R167" s="51" t="b">
        <v>0</v>
      </c>
      <c r="S167" s="60">
        <v>3.5214726920000001</v>
      </c>
      <c r="T167" s="60">
        <v>5.6031765939999998</v>
      </c>
      <c r="U167" s="60">
        <v>3.5214726920000001</v>
      </c>
      <c r="V167" s="51" t="b">
        <v>0</v>
      </c>
      <c r="W167" s="60">
        <v>4.3623676299999996</v>
      </c>
      <c r="X167" s="60">
        <v>7.5682001110000003</v>
      </c>
      <c r="Y167" s="51" t="b">
        <v>0</v>
      </c>
      <c r="Z167" s="60">
        <v>1.4868702890000001</v>
      </c>
      <c r="AA167" s="60">
        <v>2.3843476770000001</v>
      </c>
      <c r="AB167" s="60">
        <v>5.5226449970000004</v>
      </c>
      <c r="AC167" s="60">
        <v>6.0377869610000001</v>
      </c>
      <c r="AD167" s="60">
        <v>5.2965412140000003</v>
      </c>
      <c r="AE167" s="60">
        <v>7.9501156809999998</v>
      </c>
      <c r="AF167" s="60">
        <v>12.757161139999999</v>
      </c>
      <c r="AG167" s="60">
        <v>17.466060639999998</v>
      </c>
      <c r="AH167" s="60">
        <v>18.637689590000001</v>
      </c>
      <c r="AO167" s="50"/>
    </row>
    <row r="168" spans="1:41" ht="13">
      <c r="A168" s="4" t="s">
        <v>839</v>
      </c>
      <c r="B168" s="50" t="s">
        <v>12781</v>
      </c>
      <c r="C168" s="4" t="s">
        <v>605</v>
      </c>
      <c r="D168" s="4" t="s">
        <v>4926</v>
      </c>
      <c r="E168" s="4" t="s">
        <v>108</v>
      </c>
      <c r="F168" s="4" t="s">
        <v>9</v>
      </c>
      <c r="G168" s="4" t="s">
        <v>5016</v>
      </c>
      <c r="H168" s="4" t="s">
        <v>724</v>
      </c>
      <c r="I168" s="4">
        <v>4.12</v>
      </c>
      <c r="J168" s="4">
        <v>0.98</v>
      </c>
      <c r="K168" s="4">
        <v>0.19353999999999999</v>
      </c>
      <c r="L168" s="4" t="s">
        <v>12272</v>
      </c>
      <c r="M168" s="4" t="s">
        <v>4929</v>
      </c>
      <c r="N168" s="60">
        <v>4.42555809</v>
      </c>
      <c r="O168" s="60">
        <v>3.2247369290000001</v>
      </c>
      <c r="P168" s="60">
        <v>3.3263461589999999</v>
      </c>
      <c r="Q168" s="60">
        <v>3.2247369290000001</v>
      </c>
      <c r="R168" s="51" t="b">
        <v>1</v>
      </c>
      <c r="S168" s="60">
        <v>3.2944843769999999</v>
      </c>
      <c r="T168" s="60">
        <v>5.6054143910000001</v>
      </c>
      <c r="U168" s="60">
        <v>3.2944843769999999</v>
      </c>
      <c r="V168" s="51" t="b">
        <v>0</v>
      </c>
      <c r="W168" s="60">
        <v>5.1576170919999997</v>
      </c>
      <c r="X168" s="60">
        <v>8.3142642969999994</v>
      </c>
      <c r="Y168" s="51" t="b">
        <v>0</v>
      </c>
      <c r="Z168" s="60">
        <v>0.40782699</v>
      </c>
      <c r="AA168" s="60">
        <v>1.8436589240000001</v>
      </c>
      <c r="AB168" s="60">
        <v>6.5330185890000001</v>
      </c>
      <c r="AC168" s="60">
        <v>5.754596233</v>
      </c>
      <c r="AD168" s="60">
        <v>5.4254336360000002</v>
      </c>
      <c r="AE168" s="60">
        <v>8.2759103780000007</v>
      </c>
      <c r="AF168" s="60">
        <v>13.02122688</v>
      </c>
      <c r="AG168" s="60">
        <v>17.791446690000001</v>
      </c>
      <c r="AH168" s="60">
        <v>18.075090410000001</v>
      </c>
      <c r="AI168" s="41">
        <v>1</v>
      </c>
      <c r="AK168" s="41" t="s">
        <v>12272</v>
      </c>
      <c r="AO168" s="50"/>
    </row>
    <row r="169" spans="1:41" ht="13">
      <c r="A169" s="4" t="s">
        <v>840</v>
      </c>
      <c r="B169" s="50" t="s">
        <v>12776</v>
      </c>
      <c r="C169" s="4" t="s">
        <v>606</v>
      </c>
      <c r="D169" s="4" t="s">
        <v>4926</v>
      </c>
      <c r="E169" s="4" t="s">
        <v>108</v>
      </c>
      <c r="F169" s="4" t="s">
        <v>9</v>
      </c>
      <c r="G169" s="4" t="s">
        <v>5017</v>
      </c>
      <c r="H169" s="4" t="s">
        <v>725</v>
      </c>
      <c r="I169" s="4">
        <v>4.17</v>
      </c>
      <c r="J169" s="4">
        <v>1.04</v>
      </c>
      <c r="K169" s="4">
        <v>0.20630000000000001</v>
      </c>
      <c r="L169" s="4" t="s">
        <v>12272</v>
      </c>
      <c r="M169" s="4" t="s">
        <v>4929</v>
      </c>
      <c r="N169" s="60">
        <v>5.7771992680000004</v>
      </c>
      <c r="O169" s="60">
        <v>6.8145294190000003</v>
      </c>
      <c r="P169" s="60">
        <v>4.0266704559999997</v>
      </c>
      <c r="Q169" s="60">
        <v>4.0266704559999997</v>
      </c>
      <c r="R169" s="51" t="b">
        <v>0</v>
      </c>
      <c r="S169" s="60">
        <v>3.1812541479999998</v>
      </c>
      <c r="T169" s="60">
        <v>4.9525151249999997</v>
      </c>
      <c r="U169" s="60">
        <v>3.1812541479999998</v>
      </c>
      <c r="V169" s="51" t="b">
        <v>1</v>
      </c>
      <c r="W169" s="60">
        <v>4.3012957570000001</v>
      </c>
      <c r="X169" s="60">
        <v>3.0061280730000002</v>
      </c>
      <c r="Y169" s="51" t="b">
        <v>1</v>
      </c>
      <c r="Z169" s="60">
        <v>1.949922919</v>
      </c>
      <c r="AA169" s="60">
        <v>2.3480858800000002</v>
      </c>
      <c r="AB169" s="60">
        <v>4.1183133129999998</v>
      </c>
      <c r="AC169" s="60">
        <v>6.5941343310000002</v>
      </c>
      <c r="AD169" s="60">
        <v>5.6414051059999997</v>
      </c>
      <c r="AE169" s="60">
        <v>7.4838328360000004</v>
      </c>
      <c r="AF169" s="60">
        <v>12.25890732</v>
      </c>
      <c r="AG169" s="60">
        <v>17.34701347</v>
      </c>
      <c r="AH169" s="60">
        <v>18.651575090000001</v>
      </c>
      <c r="AK169" s="41">
        <v>1</v>
      </c>
      <c r="AL169" s="41">
        <v>1</v>
      </c>
      <c r="AM169" s="41" t="s">
        <v>12272</v>
      </c>
      <c r="AO169" s="50"/>
    </row>
    <row r="170" spans="1:41" ht="13">
      <c r="A170" s="4" t="s">
        <v>841</v>
      </c>
      <c r="B170" s="50" t="s">
        <v>12894</v>
      </c>
      <c r="C170" s="4" t="s">
        <v>607</v>
      </c>
      <c r="D170" s="4" t="s">
        <v>4926</v>
      </c>
      <c r="E170" s="4" t="s">
        <v>108</v>
      </c>
      <c r="F170" s="4" t="s">
        <v>9</v>
      </c>
      <c r="G170" s="4" t="s">
        <v>5018</v>
      </c>
      <c r="H170" s="4" t="s">
        <v>726</v>
      </c>
      <c r="I170" s="4">
        <v>4.18</v>
      </c>
      <c r="J170" s="4">
        <v>1.06</v>
      </c>
      <c r="K170" s="4">
        <v>0.22278000000000001</v>
      </c>
      <c r="L170" s="4" t="s">
        <v>12272</v>
      </c>
      <c r="M170" s="4" t="s">
        <v>4929</v>
      </c>
      <c r="N170" s="60">
        <v>2.935126543</v>
      </c>
      <c r="O170" s="60">
        <v>5.5843472480000003</v>
      </c>
      <c r="P170" s="60">
        <v>9.1312055589999996</v>
      </c>
      <c r="Q170" s="60">
        <v>2.935126543</v>
      </c>
      <c r="R170" s="51" t="b">
        <v>1</v>
      </c>
      <c r="S170" s="60">
        <v>7.5585646630000003</v>
      </c>
      <c r="T170" s="60">
        <v>8.4998407359999995</v>
      </c>
      <c r="U170" s="60">
        <v>7.5585646630000003</v>
      </c>
      <c r="V170" s="51" t="b">
        <v>0</v>
      </c>
      <c r="W170" s="60">
        <v>4.2522587779999999</v>
      </c>
      <c r="X170" s="60">
        <v>3.133702993</v>
      </c>
      <c r="Y170" s="51" t="b">
        <v>1</v>
      </c>
      <c r="Z170" s="60">
        <v>2.2793755529999999</v>
      </c>
      <c r="AA170" s="60">
        <v>5.0208659170000001</v>
      </c>
      <c r="AB170" s="60">
        <v>1.0732655529999999</v>
      </c>
      <c r="AC170" s="60">
        <v>8.5753192899999995</v>
      </c>
      <c r="AD170" s="60">
        <v>6.7887420650000001</v>
      </c>
      <c r="AE170" s="60">
        <v>8.1861362460000002</v>
      </c>
      <c r="AF170" s="60">
        <v>12.82002735</v>
      </c>
      <c r="AG170" s="60">
        <v>18.254297260000001</v>
      </c>
      <c r="AH170" s="60">
        <v>19.134805679999999</v>
      </c>
      <c r="AI170" s="41">
        <v>2</v>
      </c>
      <c r="AJ170" s="41">
        <v>9</v>
      </c>
      <c r="AO170" s="50"/>
    </row>
    <row r="171" spans="1:41" ht="13">
      <c r="A171" s="4" t="s">
        <v>842</v>
      </c>
      <c r="B171" s="50" t="s">
        <v>12721</v>
      </c>
      <c r="C171" s="4" t="s">
        <v>608</v>
      </c>
      <c r="D171" s="4" t="s">
        <v>4926</v>
      </c>
      <c r="E171" s="4" t="s">
        <v>108</v>
      </c>
      <c r="F171" s="4" t="s">
        <v>9</v>
      </c>
      <c r="G171" s="4" t="s">
        <v>5106</v>
      </c>
      <c r="H171" s="4" t="s">
        <v>727</v>
      </c>
      <c r="I171" s="4">
        <v>4.22</v>
      </c>
      <c r="J171" s="4">
        <v>1.04</v>
      </c>
      <c r="K171" s="4">
        <v>0.19505</v>
      </c>
      <c r="L171" s="4" t="s">
        <v>12722</v>
      </c>
      <c r="M171" s="4" t="s">
        <v>4929</v>
      </c>
      <c r="N171" s="60">
        <v>4.6239190099999998</v>
      </c>
      <c r="O171" s="60">
        <v>3.374088526</v>
      </c>
      <c r="P171" s="60">
        <v>3.7614045140000001</v>
      </c>
      <c r="Q171" s="60">
        <v>3.374088526</v>
      </c>
      <c r="R171" s="51" t="b">
        <v>1</v>
      </c>
      <c r="S171" s="60">
        <v>2.4573214050000001</v>
      </c>
      <c r="T171" s="60">
        <v>4.3996229170000003</v>
      </c>
      <c r="U171" s="60">
        <v>2.4573214050000001</v>
      </c>
      <c r="V171" s="51" t="b">
        <v>1</v>
      </c>
      <c r="W171" s="60">
        <v>4.3049211500000002</v>
      </c>
      <c r="X171" s="60">
        <v>6.9038395880000003</v>
      </c>
      <c r="Y171" s="51" t="b">
        <v>0</v>
      </c>
      <c r="Z171" s="60">
        <v>0.48917201199999999</v>
      </c>
      <c r="AA171" s="60">
        <v>2.717061996</v>
      </c>
      <c r="AB171" s="60">
        <v>6.2102637290000002</v>
      </c>
      <c r="AC171" s="60">
        <v>7.0088553429999996</v>
      </c>
      <c r="AD171" s="60">
        <v>6.2003941539999996</v>
      </c>
      <c r="AE171" s="60">
        <v>8.5402641300000006</v>
      </c>
      <c r="AF171" s="60">
        <v>13.15182877</v>
      </c>
      <c r="AG171" s="60">
        <v>18.652925490000001</v>
      </c>
      <c r="AH171" s="60">
        <v>18.223543169999999</v>
      </c>
      <c r="AI171" s="41">
        <v>1</v>
      </c>
      <c r="AK171" s="41">
        <v>1</v>
      </c>
      <c r="AL171" s="41">
        <v>1</v>
      </c>
      <c r="AM171" s="41" t="s">
        <v>12272</v>
      </c>
      <c r="AO171" s="50"/>
    </row>
    <row r="172" spans="1:41" ht="13">
      <c r="A172" s="4" t="s">
        <v>843</v>
      </c>
      <c r="B172" s="50" t="s">
        <v>12805</v>
      </c>
      <c r="C172" s="4" t="s">
        <v>609</v>
      </c>
      <c r="D172" s="4" t="s">
        <v>4926</v>
      </c>
      <c r="E172" s="4" t="s">
        <v>108</v>
      </c>
      <c r="F172" s="4" t="s">
        <v>9</v>
      </c>
      <c r="G172" s="4" t="s">
        <v>5019</v>
      </c>
      <c r="H172" s="4" t="s">
        <v>728</v>
      </c>
      <c r="I172" s="4">
        <v>4.2300000000000004</v>
      </c>
      <c r="J172" s="4">
        <v>0.97</v>
      </c>
      <c r="K172" s="4">
        <v>0.20579</v>
      </c>
      <c r="L172" s="4" t="s">
        <v>12272</v>
      </c>
      <c r="M172" s="4" t="s">
        <v>4929</v>
      </c>
      <c r="N172" s="60">
        <v>2.9296474460000002</v>
      </c>
      <c r="O172" s="60">
        <v>2.788102388</v>
      </c>
      <c r="P172" s="60">
        <v>4.5109782220000003</v>
      </c>
      <c r="Q172" s="60">
        <v>2.788102388</v>
      </c>
      <c r="R172" s="51" t="b">
        <v>1</v>
      </c>
      <c r="S172" s="60">
        <v>3.9926435950000001</v>
      </c>
      <c r="T172" s="60">
        <v>6.1600489620000003</v>
      </c>
      <c r="U172" s="60">
        <v>3.9926435950000001</v>
      </c>
      <c r="V172" s="51" t="b">
        <v>0</v>
      </c>
      <c r="W172" s="60">
        <v>4.1254305840000001</v>
      </c>
      <c r="X172" s="60">
        <v>3.3505754470000002</v>
      </c>
      <c r="Y172" s="51" t="b">
        <v>1</v>
      </c>
      <c r="Z172" s="60">
        <v>0.46706879099999998</v>
      </c>
      <c r="AA172" s="60">
        <v>4.3359689709999998</v>
      </c>
      <c r="AB172" s="60">
        <v>2.204757452</v>
      </c>
      <c r="AC172" s="60">
        <v>8.1855983729999995</v>
      </c>
      <c r="AD172" s="60">
        <v>6.626552105</v>
      </c>
      <c r="AE172" s="60">
        <v>8.1466093060000002</v>
      </c>
      <c r="AF172" s="60">
        <v>12.8073473</v>
      </c>
      <c r="AG172" s="60">
        <v>18.1547451</v>
      </c>
      <c r="AH172" s="60">
        <v>18.43449974</v>
      </c>
      <c r="AI172" s="41">
        <v>1</v>
      </c>
      <c r="AO172" s="50"/>
    </row>
    <row r="173" spans="1:41" ht="13">
      <c r="A173" s="4" t="s">
        <v>844</v>
      </c>
      <c r="B173" s="50" t="s">
        <v>12932</v>
      </c>
      <c r="C173" s="4" t="s">
        <v>610</v>
      </c>
      <c r="D173" s="4" t="s">
        <v>4926</v>
      </c>
      <c r="E173" s="4" t="s">
        <v>108</v>
      </c>
      <c r="F173" s="4" t="s">
        <v>9</v>
      </c>
      <c r="G173" s="4" t="s">
        <v>5147</v>
      </c>
      <c r="H173" s="4" t="s">
        <v>729</v>
      </c>
      <c r="I173" s="4">
        <v>4.28</v>
      </c>
      <c r="J173" s="4">
        <v>0.97</v>
      </c>
      <c r="K173" s="4">
        <v>0.18825</v>
      </c>
      <c r="L173" s="4" t="s">
        <v>4955</v>
      </c>
      <c r="M173" s="4" t="s">
        <v>4955</v>
      </c>
      <c r="N173" s="60">
        <v>16.18507576</v>
      </c>
      <c r="O173" s="60">
        <v>15.56401157</v>
      </c>
      <c r="P173" s="60">
        <v>17.620004649999998</v>
      </c>
      <c r="Q173" s="60">
        <v>15.56401157</v>
      </c>
      <c r="R173" s="51" t="b">
        <v>0</v>
      </c>
      <c r="S173" s="60">
        <v>18.954889300000001</v>
      </c>
      <c r="T173" s="60">
        <v>20.897184370000002</v>
      </c>
      <c r="U173" s="60">
        <v>18.954889300000001</v>
      </c>
      <c r="V173" s="51" t="b">
        <v>0</v>
      </c>
      <c r="W173" s="60">
        <v>20.51749229</v>
      </c>
      <c r="X173" s="60">
        <v>23.00059319</v>
      </c>
      <c r="Y173" s="51" t="b">
        <v>0</v>
      </c>
      <c r="Z173" s="60">
        <v>19.631341930000001</v>
      </c>
      <c r="AA173" s="60">
        <v>24.010032649999999</v>
      </c>
      <c r="AB173" s="60">
        <v>19.54749107</v>
      </c>
      <c r="AC173" s="60">
        <v>27.39221191</v>
      </c>
      <c r="AD173" s="60">
        <v>26.353029249999999</v>
      </c>
      <c r="AE173" s="60">
        <v>28.582708360000002</v>
      </c>
      <c r="AF173" s="60">
        <v>31.885972979999998</v>
      </c>
      <c r="AG173" s="60">
        <v>37.564205170000001</v>
      </c>
      <c r="AH173" s="60">
        <v>16.936971660000001</v>
      </c>
      <c r="AO173" s="50"/>
    </row>
    <row r="174" spans="1:41" ht="13">
      <c r="A174" s="4" t="s">
        <v>845</v>
      </c>
      <c r="B174" s="50" t="s">
        <v>12730</v>
      </c>
      <c r="C174" s="4" t="s">
        <v>611</v>
      </c>
      <c r="D174" s="4" t="s">
        <v>4926</v>
      </c>
      <c r="E174" s="4" t="s">
        <v>108</v>
      </c>
      <c r="F174" s="4" t="s">
        <v>9</v>
      </c>
      <c r="G174" s="4" t="s">
        <v>5107</v>
      </c>
      <c r="H174" s="4" t="s">
        <v>730</v>
      </c>
      <c r="I174" s="4">
        <v>1.97</v>
      </c>
      <c r="J174" s="4">
        <v>1.01</v>
      </c>
      <c r="K174" s="4">
        <v>0.20727999999999999</v>
      </c>
      <c r="L174" s="4" t="s">
        <v>12722</v>
      </c>
      <c r="M174" s="4" t="s">
        <v>4929</v>
      </c>
      <c r="N174" s="60">
        <v>8.5704631809999992</v>
      </c>
      <c r="O174" s="60">
        <v>7.2302451129999996</v>
      </c>
      <c r="P174" s="60">
        <v>4.0175461769999998</v>
      </c>
      <c r="Q174" s="60">
        <v>4.0175461769999998</v>
      </c>
      <c r="R174" s="51" t="b">
        <v>0</v>
      </c>
      <c r="S174" s="60">
        <v>2.6752758029999999</v>
      </c>
      <c r="T174" s="60">
        <v>2.8590412139999999</v>
      </c>
      <c r="U174" s="60">
        <v>2.6752758029999999</v>
      </c>
      <c r="V174" s="51" t="b">
        <v>1</v>
      </c>
      <c r="W174" s="60">
        <v>6.2048220629999999</v>
      </c>
      <c r="X174" s="60">
        <v>10.627080919999999</v>
      </c>
      <c r="Y174" s="51" t="b">
        <v>0</v>
      </c>
      <c r="Z174" s="60">
        <v>4.0048217770000001</v>
      </c>
      <c r="AA174" s="60">
        <v>1.270710349</v>
      </c>
      <c r="AB174" s="60">
        <v>11.00695133</v>
      </c>
      <c r="AC174" s="60">
        <v>4.9907975200000001</v>
      </c>
      <c r="AD174" s="60">
        <v>3.6797449590000002</v>
      </c>
      <c r="AE174" s="60">
        <v>7.0656490329999997</v>
      </c>
      <c r="AF174" s="60">
        <v>12.03003979</v>
      </c>
      <c r="AG174" s="60">
        <v>16.321756359999998</v>
      </c>
      <c r="AH174" s="60">
        <v>20.384424209999999</v>
      </c>
      <c r="AK174" s="41">
        <v>2</v>
      </c>
      <c r="AL174" s="41">
        <v>1</v>
      </c>
      <c r="AM174" s="41" t="s">
        <v>12727</v>
      </c>
      <c r="AO174" s="50"/>
    </row>
    <row r="175" spans="1:41" ht="13">
      <c r="A175" s="4" t="s">
        <v>846</v>
      </c>
      <c r="B175" s="50" t="s">
        <v>12812</v>
      </c>
      <c r="C175" s="4" t="s">
        <v>612</v>
      </c>
      <c r="D175" s="4" t="s">
        <v>4926</v>
      </c>
      <c r="E175" s="4" t="s">
        <v>108</v>
      </c>
      <c r="F175" s="4" t="s">
        <v>9</v>
      </c>
      <c r="G175" s="4" t="s">
        <v>5020</v>
      </c>
      <c r="H175" s="4" t="s">
        <v>731</v>
      </c>
      <c r="I175" s="4">
        <v>2.02</v>
      </c>
      <c r="J175" s="4">
        <v>0.97</v>
      </c>
      <c r="K175" s="4">
        <v>0.19005</v>
      </c>
      <c r="L175" s="4" t="s">
        <v>4929</v>
      </c>
      <c r="M175" s="4" t="s">
        <v>4929</v>
      </c>
      <c r="N175" s="60">
        <v>3.2923009400000001</v>
      </c>
      <c r="O175" s="60">
        <v>4.0261707309999997</v>
      </c>
      <c r="P175" s="60">
        <v>5.0033245089999996</v>
      </c>
      <c r="Q175" s="60">
        <v>3.2923009400000001</v>
      </c>
      <c r="R175" s="51" t="b">
        <v>0</v>
      </c>
      <c r="S175" s="60">
        <v>4.2154097559999997</v>
      </c>
      <c r="T175" s="60">
        <v>5.8764686580000003</v>
      </c>
      <c r="U175" s="60">
        <v>4.2154097559999997</v>
      </c>
      <c r="V175" s="51" t="b">
        <v>0</v>
      </c>
      <c r="W175" s="60">
        <v>4.222988129</v>
      </c>
      <c r="X175" s="60">
        <v>6.9130420680000002</v>
      </c>
      <c r="Y175" s="51" t="b">
        <v>0</v>
      </c>
      <c r="Z175" s="60">
        <v>2.0699622629999999</v>
      </c>
      <c r="AA175" s="60">
        <v>2.3471925260000002</v>
      </c>
      <c r="AB175" s="60">
        <v>4.4534130100000002</v>
      </c>
      <c r="AC175" s="60">
        <v>6.2390918729999996</v>
      </c>
      <c r="AD175" s="60">
        <v>5.6055240629999998</v>
      </c>
      <c r="AE175" s="60">
        <v>8.0555934909999998</v>
      </c>
      <c r="AF175" s="60">
        <v>12.71712971</v>
      </c>
      <c r="AG175" s="60">
        <v>17.88390923</v>
      </c>
      <c r="AH175" s="60">
        <v>18.339487080000001</v>
      </c>
      <c r="AI175" s="41" t="s">
        <v>12785</v>
      </c>
      <c r="AO175" s="50"/>
    </row>
    <row r="176" spans="1:41" ht="13">
      <c r="A176" s="4" t="s">
        <v>847</v>
      </c>
      <c r="B176" s="50" t="s">
        <v>12751</v>
      </c>
      <c r="C176" s="4" t="s">
        <v>613</v>
      </c>
      <c r="D176" s="4" t="s">
        <v>4926</v>
      </c>
      <c r="E176" s="4" t="s">
        <v>108</v>
      </c>
      <c r="F176" s="4" t="s">
        <v>9</v>
      </c>
      <c r="G176" s="4" t="s">
        <v>5108</v>
      </c>
      <c r="H176" s="4" t="s">
        <v>732</v>
      </c>
      <c r="I176" s="4">
        <v>2.13</v>
      </c>
      <c r="J176" s="4">
        <v>1.01</v>
      </c>
      <c r="K176" s="4">
        <v>0.20275000000000001</v>
      </c>
      <c r="L176" s="4" t="s">
        <v>12722</v>
      </c>
      <c r="M176" s="4" t="s">
        <v>4929</v>
      </c>
      <c r="N176" s="60">
        <v>5.8730077740000004</v>
      </c>
      <c r="O176" s="60">
        <v>5.8499917979999996</v>
      </c>
      <c r="P176" s="60">
        <v>4.128071308</v>
      </c>
      <c r="Q176" s="60">
        <v>4.128071308</v>
      </c>
      <c r="R176" s="51" t="b">
        <v>0</v>
      </c>
      <c r="S176" s="60">
        <v>2.848345041</v>
      </c>
      <c r="T176" s="60">
        <v>2.9282484050000002</v>
      </c>
      <c r="U176" s="60">
        <v>2.848345041</v>
      </c>
      <c r="V176" s="51" t="b">
        <v>1</v>
      </c>
      <c r="W176" s="60">
        <v>4.3477511409999998</v>
      </c>
      <c r="X176" s="60">
        <v>3.4828922750000002</v>
      </c>
      <c r="Y176" s="51" t="b">
        <v>0</v>
      </c>
      <c r="Z176" s="60">
        <v>1.284825444</v>
      </c>
      <c r="AA176" s="60">
        <v>1.675024152</v>
      </c>
      <c r="AB176" s="60">
        <v>6.0884413720000001</v>
      </c>
      <c r="AC176" s="60">
        <v>4.7729835510000003</v>
      </c>
      <c r="AD176" s="60">
        <v>5.4237203599999999</v>
      </c>
      <c r="AE176" s="60">
        <v>8.0901365280000004</v>
      </c>
      <c r="AF176" s="60">
        <v>12.81016254</v>
      </c>
      <c r="AG176" s="60">
        <v>17.824180599999998</v>
      </c>
      <c r="AH176" s="60">
        <v>19.079305649999998</v>
      </c>
      <c r="AK176" s="41">
        <v>2</v>
      </c>
      <c r="AL176" s="41">
        <v>1</v>
      </c>
      <c r="AM176" s="41" t="s">
        <v>12272</v>
      </c>
      <c r="AO176" s="50"/>
    </row>
    <row r="177" spans="1:41" ht="13">
      <c r="A177" s="4" t="s">
        <v>848</v>
      </c>
      <c r="B177" s="50" t="s">
        <v>12821</v>
      </c>
      <c r="C177" s="4" t="s">
        <v>614</v>
      </c>
      <c r="D177" s="4" t="s">
        <v>4926</v>
      </c>
      <c r="E177" s="4" t="s">
        <v>108</v>
      </c>
      <c r="F177" s="4" t="s">
        <v>9</v>
      </c>
      <c r="G177" s="4" t="s">
        <v>5021</v>
      </c>
      <c r="H177" s="4" t="s">
        <v>733</v>
      </c>
      <c r="I177" s="4">
        <v>2.17</v>
      </c>
      <c r="J177" s="4">
        <v>0.96</v>
      </c>
      <c r="K177" s="4">
        <v>0.19211</v>
      </c>
      <c r="L177" s="4" t="s">
        <v>12272</v>
      </c>
      <c r="M177" s="4" t="s">
        <v>4929</v>
      </c>
      <c r="N177" s="60">
        <v>5.0671300889999999</v>
      </c>
      <c r="O177" s="60">
        <v>6.3088483809999998</v>
      </c>
      <c r="P177" s="60">
        <v>5.1072006229999998</v>
      </c>
      <c r="Q177" s="60">
        <v>5.0671300889999999</v>
      </c>
      <c r="R177" s="51" t="b">
        <v>0</v>
      </c>
      <c r="S177" s="60">
        <v>4.3302125929999997</v>
      </c>
      <c r="T177" s="60">
        <v>6.064220905</v>
      </c>
      <c r="U177" s="60">
        <v>4.3302125929999997</v>
      </c>
      <c r="V177" s="51" t="b">
        <v>0</v>
      </c>
      <c r="W177" s="60">
        <v>4.1014757160000004</v>
      </c>
      <c r="X177" s="60">
        <v>3.4200220109999999</v>
      </c>
      <c r="Y177" s="51" t="b">
        <v>1</v>
      </c>
      <c r="Z177" s="60">
        <v>2.1403758530000001</v>
      </c>
      <c r="AA177" s="60">
        <v>2.4753246309999999</v>
      </c>
      <c r="AB177" s="60">
        <v>4.6999011040000003</v>
      </c>
      <c r="AC177" s="60">
        <v>6.4614701270000001</v>
      </c>
      <c r="AD177" s="60">
        <v>5.4528350830000001</v>
      </c>
      <c r="AE177" s="60">
        <v>8.0716714859999996</v>
      </c>
      <c r="AF177" s="60">
        <v>12.752559659999999</v>
      </c>
      <c r="AG177" s="60">
        <v>17.830902099999999</v>
      </c>
      <c r="AH177" s="60">
        <v>19.776721949999999</v>
      </c>
      <c r="AO177" s="50"/>
    </row>
    <row r="178" spans="1:41" ht="13">
      <c r="A178" s="4" t="s">
        <v>849</v>
      </c>
      <c r="B178" s="50" t="s">
        <v>12868</v>
      </c>
      <c r="C178" s="4" t="s">
        <v>615</v>
      </c>
      <c r="D178" s="4" t="s">
        <v>4926</v>
      </c>
      <c r="E178" s="4" t="s">
        <v>108</v>
      </c>
      <c r="F178" s="4" t="s">
        <v>9</v>
      </c>
      <c r="G178" s="4" t="s">
        <v>5022</v>
      </c>
      <c r="H178" s="4" t="s">
        <v>734</v>
      </c>
      <c r="I178" s="4">
        <v>2.2799999999999998</v>
      </c>
      <c r="J178" s="4">
        <v>0.96</v>
      </c>
      <c r="K178" s="4">
        <v>0.18848999999999999</v>
      </c>
      <c r="L178" s="4" t="s">
        <v>12272</v>
      </c>
      <c r="M178" s="4" t="s">
        <v>4929</v>
      </c>
      <c r="N178" s="60">
        <v>4.1887331010000004</v>
      </c>
      <c r="O178" s="60">
        <v>6.0692944530000004</v>
      </c>
      <c r="P178" s="60">
        <v>6.9769058230000001</v>
      </c>
      <c r="Q178" s="60">
        <v>4.1887331010000004</v>
      </c>
      <c r="R178" s="51" t="b">
        <v>0</v>
      </c>
      <c r="S178" s="60">
        <v>5.9947853090000001</v>
      </c>
      <c r="T178" s="60">
        <v>6.9396200180000003</v>
      </c>
      <c r="U178" s="60">
        <v>5.9947853090000001</v>
      </c>
      <c r="V178" s="51" t="b">
        <v>0</v>
      </c>
      <c r="W178" s="60">
        <v>4.033809185</v>
      </c>
      <c r="X178" s="60">
        <v>3.1893975729999999</v>
      </c>
      <c r="Y178" s="51" t="b">
        <v>1</v>
      </c>
      <c r="Z178" s="60">
        <v>1.728757858</v>
      </c>
      <c r="AA178" s="60">
        <v>3.5669176579999999</v>
      </c>
      <c r="AB178" s="60">
        <v>3.5765643119999999</v>
      </c>
      <c r="AC178" s="60">
        <v>7.5229320529999999</v>
      </c>
      <c r="AD178" s="60">
        <v>5.7716407780000001</v>
      </c>
      <c r="AE178" s="60">
        <v>8.0833177569999997</v>
      </c>
      <c r="AF178" s="60">
        <v>12.94495392</v>
      </c>
      <c r="AG178" s="60">
        <v>17.977737430000001</v>
      </c>
      <c r="AH178" s="60">
        <v>18.93546104</v>
      </c>
      <c r="AO178" s="50"/>
    </row>
    <row r="179" spans="1:41" ht="13">
      <c r="A179" s="4" t="s">
        <v>850</v>
      </c>
      <c r="B179" s="50" t="s">
        <v>12850</v>
      </c>
      <c r="C179" s="4" t="s">
        <v>616</v>
      </c>
      <c r="D179" s="4" t="s">
        <v>4926</v>
      </c>
      <c r="E179" s="4" t="s">
        <v>108</v>
      </c>
      <c r="F179" s="4" t="s">
        <v>9</v>
      </c>
      <c r="G179" s="4" t="s">
        <v>5023</v>
      </c>
      <c r="H179" s="4" t="s">
        <v>735</v>
      </c>
      <c r="I179" s="4">
        <v>2.4</v>
      </c>
      <c r="J179" s="4">
        <v>0.94</v>
      </c>
      <c r="K179" s="4">
        <v>0.18504000000000001</v>
      </c>
      <c r="L179" s="4" t="s">
        <v>12272</v>
      </c>
      <c r="M179" s="4" t="s">
        <v>4929</v>
      </c>
      <c r="N179" s="60">
        <v>5.4949975010000003</v>
      </c>
      <c r="O179" s="60">
        <v>4.9759407040000001</v>
      </c>
      <c r="P179" s="60">
        <v>6.0933227539999999</v>
      </c>
      <c r="Q179" s="60">
        <v>4.9759407040000001</v>
      </c>
      <c r="R179" s="51" t="b">
        <v>0</v>
      </c>
      <c r="S179" s="60">
        <v>5.3055658340000003</v>
      </c>
      <c r="T179" s="60">
        <v>6.8385319710000001</v>
      </c>
      <c r="U179" s="60">
        <v>5.3055658340000003</v>
      </c>
      <c r="V179" s="51" t="b">
        <v>0</v>
      </c>
      <c r="W179" s="60">
        <v>3.3348400589999998</v>
      </c>
      <c r="X179" s="60">
        <v>5.1807065010000004</v>
      </c>
      <c r="Y179" s="51" t="b">
        <v>0</v>
      </c>
      <c r="Z179" s="60">
        <v>1.298742056</v>
      </c>
      <c r="AA179" s="60">
        <v>3.7478883270000001</v>
      </c>
      <c r="AB179" s="60">
        <v>5.4389443399999999</v>
      </c>
      <c r="AC179" s="60">
        <v>6.1626920700000003</v>
      </c>
      <c r="AD179" s="60">
        <v>6.4039211270000003</v>
      </c>
      <c r="AE179" s="60">
        <v>8.1733665470000005</v>
      </c>
      <c r="AF179" s="60">
        <v>12.886604309999999</v>
      </c>
      <c r="AG179" s="60">
        <v>18.247257229999999</v>
      </c>
      <c r="AH179" s="60">
        <v>19.128166199999999</v>
      </c>
      <c r="AO179" s="50"/>
    </row>
    <row r="180" spans="1:41" ht="13">
      <c r="A180" s="4" t="s">
        <v>851</v>
      </c>
      <c r="B180" s="50" t="s">
        <v>12854</v>
      </c>
      <c r="C180" s="4" t="s">
        <v>617</v>
      </c>
      <c r="D180" s="4" t="s">
        <v>4926</v>
      </c>
      <c r="E180" s="4" t="s">
        <v>108</v>
      </c>
      <c r="F180" s="4" t="s">
        <v>9</v>
      </c>
      <c r="G180" s="4" t="s">
        <v>4928</v>
      </c>
      <c r="H180" s="4" t="s">
        <v>736</v>
      </c>
      <c r="I180" s="4">
        <v>2.42</v>
      </c>
      <c r="J180" s="4">
        <v>0.99</v>
      </c>
      <c r="K180" s="4">
        <v>0.19111</v>
      </c>
      <c r="L180" s="4" t="s">
        <v>12272</v>
      </c>
      <c r="M180" s="4" t="s">
        <v>4929</v>
      </c>
      <c r="N180" s="60">
        <v>2.7922451499999998</v>
      </c>
      <c r="O180" s="60">
        <v>3.6181154250000001</v>
      </c>
      <c r="P180" s="60">
        <v>6.8511543269999997</v>
      </c>
      <c r="Q180" s="60">
        <v>2.7922451499999998</v>
      </c>
      <c r="R180" s="51" t="b">
        <v>1</v>
      </c>
      <c r="S180" s="60">
        <v>5.4890656470000003</v>
      </c>
      <c r="T180" s="60">
        <v>6.8026232719999999</v>
      </c>
      <c r="U180" s="60">
        <v>5.4890656470000003</v>
      </c>
      <c r="V180" s="51" t="b">
        <v>0</v>
      </c>
      <c r="W180" s="60">
        <v>3.799955368</v>
      </c>
      <c r="X180" s="60">
        <v>3.1130595209999998</v>
      </c>
      <c r="Y180" s="51" t="b">
        <v>1</v>
      </c>
      <c r="Z180" s="60">
        <v>2.0913167000000001</v>
      </c>
      <c r="AA180" s="60">
        <v>4.383508205</v>
      </c>
      <c r="AB180" s="60">
        <v>3.0294442180000001</v>
      </c>
      <c r="AC180" s="60">
        <v>7.9553956990000003</v>
      </c>
      <c r="AD180" s="60">
        <v>6.6959357260000001</v>
      </c>
      <c r="AE180" s="60">
        <v>8.1887445450000005</v>
      </c>
      <c r="AF180" s="60">
        <v>12.834144589999999</v>
      </c>
      <c r="AG180" s="60">
        <v>18.189069750000002</v>
      </c>
      <c r="AH180" s="60">
        <v>18.097202299999999</v>
      </c>
      <c r="AI180" s="41">
        <v>1</v>
      </c>
      <c r="AO180" s="50"/>
    </row>
    <row r="181" spans="1:41" ht="13">
      <c r="A181" s="4" t="s">
        <v>852</v>
      </c>
      <c r="B181" s="50" t="s">
        <v>12880</v>
      </c>
      <c r="C181" s="4" t="s">
        <v>618</v>
      </c>
      <c r="D181" s="4" t="s">
        <v>4926</v>
      </c>
      <c r="E181" s="4" t="s">
        <v>108</v>
      </c>
      <c r="F181" s="4" t="s">
        <v>9</v>
      </c>
      <c r="G181" s="4" t="s">
        <v>5024</v>
      </c>
      <c r="H181" s="4" t="s">
        <v>310</v>
      </c>
      <c r="I181" s="4">
        <v>2.4700000000000002</v>
      </c>
      <c r="J181" s="4">
        <v>1</v>
      </c>
      <c r="K181" s="4">
        <v>0.19517999999999999</v>
      </c>
      <c r="L181" s="4" t="s">
        <v>12272</v>
      </c>
      <c r="M181" s="4" t="s">
        <v>4929</v>
      </c>
      <c r="N181" s="60">
        <v>2.797899723</v>
      </c>
      <c r="O181" s="60">
        <v>4.8813014030000001</v>
      </c>
      <c r="P181" s="60">
        <v>8.0771493910000007</v>
      </c>
      <c r="Q181" s="60">
        <v>2.797899723</v>
      </c>
      <c r="R181" s="51" t="b">
        <v>1</v>
      </c>
      <c r="S181" s="60">
        <v>6.7719836239999998</v>
      </c>
      <c r="T181" s="60">
        <v>7.7111845020000001</v>
      </c>
      <c r="U181" s="60">
        <v>6.7719836239999998</v>
      </c>
      <c r="V181" s="51" t="b">
        <v>0</v>
      </c>
      <c r="W181" s="60">
        <v>3.700647354</v>
      </c>
      <c r="X181" s="60">
        <v>3.0636022089999999</v>
      </c>
      <c r="Y181" s="51" t="b">
        <v>1</v>
      </c>
      <c r="Z181" s="60">
        <v>1.174441099</v>
      </c>
      <c r="AA181" s="60">
        <v>3.974172115</v>
      </c>
      <c r="AB181" s="60">
        <v>2.0816082950000001</v>
      </c>
      <c r="AC181" s="60">
        <v>8.0356311799999993</v>
      </c>
      <c r="AD181" s="60">
        <v>6.3705520629999999</v>
      </c>
      <c r="AE181" s="60">
        <v>8.4409074779999997</v>
      </c>
      <c r="AF181" s="60">
        <v>13.057677269999999</v>
      </c>
      <c r="AG181" s="60">
        <v>18.498317719999999</v>
      </c>
      <c r="AH181" s="60">
        <v>18.82935715</v>
      </c>
      <c r="AI181" s="41">
        <v>1</v>
      </c>
      <c r="AO181" s="50"/>
    </row>
    <row r="182" spans="1:41" ht="13">
      <c r="A182" s="4" t="s">
        <v>853</v>
      </c>
      <c r="B182" s="50" t="s">
        <v>12970</v>
      </c>
      <c r="C182" s="4" t="s">
        <v>619</v>
      </c>
      <c r="D182" s="4" t="s">
        <v>4926</v>
      </c>
      <c r="E182" s="4" t="s">
        <v>108</v>
      </c>
      <c r="F182" s="4" t="s">
        <v>9</v>
      </c>
      <c r="G182" s="4" t="s">
        <v>5163</v>
      </c>
      <c r="H182" s="4" t="s">
        <v>737</v>
      </c>
      <c r="I182" s="4">
        <v>2.52</v>
      </c>
      <c r="J182" s="4">
        <v>0.96</v>
      </c>
      <c r="K182" s="4">
        <v>0.18784000000000001</v>
      </c>
      <c r="L182" s="4" t="s">
        <v>5164</v>
      </c>
      <c r="M182" s="4" t="s">
        <v>5164</v>
      </c>
      <c r="N182" s="60">
        <v>22.860792159999999</v>
      </c>
      <c r="O182" s="60">
        <v>21.873041149999999</v>
      </c>
      <c r="P182" s="60">
        <v>23.267177579999998</v>
      </c>
      <c r="Q182" s="60">
        <v>21.873041149999999</v>
      </c>
      <c r="R182" s="51" t="b">
        <v>0</v>
      </c>
      <c r="S182" s="60">
        <v>26.64016724</v>
      </c>
      <c r="T182" s="60">
        <v>29.440988539999999</v>
      </c>
      <c r="U182" s="60">
        <v>26.64016724</v>
      </c>
      <c r="V182" s="51" t="b">
        <v>0</v>
      </c>
      <c r="W182" s="60">
        <v>27.435449599999998</v>
      </c>
      <c r="X182" s="60">
        <v>34.073917389999998</v>
      </c>
      <c r="Y182" s="51" t="b">
        <v>0</v>
      </c>
      <c r="Z182" s="60">
        <v>22.376466749999999</v>
      </c>
      <c r="AA182" s="60">
        <v>26.412345890000001</v>
      </c>
      <c r="AB182" s="60">
        <v>22.821098330000002</v>
      </c>
      <c r="AC182" s="60">
        <v>30.634387969999999</v>
      </c>
      <c r="AD182" s="60">
        <v>21.707969670000001</v>
      </c>
      <c r="AE182" s="60">
        <v>20.401105879999999</v>
      </c>
      <c r="AF182" s="60">
        <v>18.332744600000002</v>
      </c>
      <c r="AG182" s="60">
        <v>21.49628448</v>
      </c>
      <c r="AH182" s="60">
        <v>7.524465084</v>
      </c>
      <c r="AO182" s="50"/>
    </row>
    <row r="183" spans="1:41" ht="13">
      <c r="A183" s="4" t="s">
        <v>854</v>
      </c>
      <c r="B183" s="50" t="s">
        <v>12759</v>
      </c>
      <c r="C183" s="4" t="s">
        <v>620</v>
      </c>
      <c r="D183" s="4" t="s">
        <v>4926</v>
      </c>
      <c r="E183" s="4" t="s">
        <v>108</v>
      </c>
      <c r="F183" s="4" t="s">
        <v>9</v>
      </c>
      <c r="G183" s="4" t="s">
        <v>5109</v>
      </c>
      <c r="H183" s="4" t="s">
        <v>738</v>
      </c>
      <c r="I183" s="4">
        <v>2.5299999999999998</v>
      </c>
      <c r="J183" s="4">
        <v>0.97</v>
      </c>
      <c r="K183" s="4">
        <v>0.19062000000000001</v>
      </c>
      <c r="L183" s="4" t="s">
        <v>12722</v>
      </c>
      <c r="M183" s="4" t="s">
        <v>4929</v>
      </c>
      <c r="N183" s="60">
        <v>9.3915519710000002</v>
      </c>
      <c r="O183" s="60">
        <v>7.9773440359999999</v>
      </c>
      <c r="P183" s="60">
        <v>3.9773843289999999</v>
      </c>
      <c r="Q183" s="60">
        <v>3.9773843289999999</v>
      </c>
      <c r="R183" s="51" t="b">
        <v>0</v>
      </c>
      <c r="S183" s="60">
        <v>2.88237524</v>
      </c>
      <c r="T183" s="60">
        <v>2.9880361560000002</v>
      </c>
      <c r="U183" s="60">
        <v>2.88237524</v>
      </c>
      <c r="V183" s="51" t="b">
        <v>1</v>
      </c>
      <c r="W183" s="60">
        <v>5.5439939499999999</v>
      </c>
      <c r="X183" s="60">
        <v>10.1520052</v>
      </c>
      <c r="Y183" s="51" t="b">
        <v>0</v>
      </c>
      <c r="Z183" s="60">
        <v>4.5138378140000004</v>
      </c>
      <c r="AA183" s="60">
        <v>1.407333374</v>
      </c>
      <c r="AB183" s="60">
        <v>12.099295619999999</v>
      </c>
      <c r="AC183" s="60">
        <v>0.57767450799999998</v>
      </c>
      <c r="AD183" s="60">
        <v>6.2861895560000001</v>
      </c>
      <c r="AE183" s="60">
        <v>10.205625530000001</v>
      </c>
      <c r="AF183" s="60">
        <v>15.085347179999999</v>
      </c>
      <c r="AG183" s="60">
        <v>18.746253970000001</v>
      </c>
      <c r="AH183" s="60">
        <v>21.672910689999998</v>
      </c>
      <c r="AK183" s="41">
        <v>2</v>
      </c>
      <c r="AL183" s="41">
        <v>4</v>
      </c>
      <c r="AM183" s="41" t="s">
        <v>12724</v>
      </c>
      <c r="AO183" s="50"/>
    </row>
    <row r="184" spans="1:41" ht="13">
      <c r="A184" s="4" t="s">
        <v>855</v>
      </c>
      <c r="B184" s="50" t="s">
        <v>12891</v>
      </c>
      <c r="C184" s="4" t="s">
        <v>621</v>
      </c>
      <c r="D184" s="4" t="s">
        <v>4926</v>
      </c>
      <c r="E184" s="4" t="s">
        <v>108</v>
      </c>
      <c r="F184" s="4" t="s">
        <v>9</v>
      </c>
      <c r="G184" s="4" t="s">
        <v>5025</v>
      </c>
      <c r="H184" s="4" t="s">
        <v>739</v>
      </c>
      <c r="I184" s="4">
        <v>2.5499999999999998</v>
      </c>
      <c r="J184" s="4">
        <v>0.96</v>
      </c>
      <c r="K184" s="4">
        <v>0.19031000000000001</v>
      </c>
      <c r="L184" s="4" t="s">
        <v>4929</v>
      </c>
      <c r="M184" s="4" t="s">
        <v>4929</v>
      </c>
      <c r="N184" s="60">
        <v>3.0897178649999999</v>
      </c>
      <c r="O184" s="60">
        <v>4.0125188830000003</v>
      </c>
      <c r="P184" s="60">
        <v>8.4123163220000006</v>
      </c>
      <c r="Q184" s="60">
        <v>3.0897178649999999</v>
      </c>
      <c r="R184" s="51" t="b">
        <v>0</v>
      </c>
      <c r="S184" s="60">
        <v>7.1714172359999999</v>
      </c>
      <c r="T184" s="60">
        <v>8.5105266569999998</v>
      </c>
      <c r="U184" s="60">
        <v>7.1714172359999999</v>
      </c>
      <c r="V184" s="51" t="b">
        <v>0</v>
      </c>
      <c r="W184" s="60">
        <v>4.3907704350000003</v>
      </c>
      <c r="X184" s="60">
        <v>3.30505228</v>
      </c>
      <c r="Y184" s="51" t="b">
        <v>1</v>
      </c>
      <c r="Z184" s="60">
        <v>2.7982168199999999</v>
      </c>
      <c r="AA184" s="60">
        <v>5.4977202419999998</v>
      </c>
      <c r="AB184" s="60">
        <v>3.5784592630000001</v>
      </c>
      <c r="AC184" s="60">
        <v>8.5126008990000006</v>
      </c>
      <c r="AD184" s="60">
        <v>6.9492740629999998</v>
      </c>
      <c r="AE184" s="60">
        <v>7.5524458890000004</v>
      </c>
      <c r="AF184" s="60">
        <v>12.067483899999999</v>
      </c>
      <c r="AG184" s="60">
        <v>17.40773201</v>
      </c>
      <c r="AH184" s="60">
        <v>18.27579308</v>
      </c>
      <c r="AI184" s="41" t="s">
        <v>12785</v>
      </c>
      <c r="AO184" s="50"/>
    </row>
    <row r="185" spans="1:41" ht="13">
      <c r="A185" s="4" t="s">
        <v>856</v>
      </c>
      <c r="B185" s="50" t="s">
        <v>12886</v>
      </c>
      <c r="C185" s="4" t="s">
        <v>622</v>
      </c>
      <c r="D185" s="4" t="s">
        <v>4926</v>
      </c>
      <c r="E185" s="4" t="s">
        <v>108</v>
      </c>
      <c r="F185" s="4" t="s">
        <v>9</v>
      </c>
      <c r="G185" s="4" t="s">
        <v>5026</v>
      </c>
      <c r="H185" s="4" t="s">
        <v>740</v>
      </c>
      <c r="I185" s="4">
        <v>2.57</v>
      </c>
      <c r="J185" s="4">
        <v>0.96</v>
      </c>
      <c r="K185" s="4">
        <v>0.19252</v>
      </c>
      <c r="L185" s="4" t="s">
        <v>12272</v>
      </c>
      <c r="M185" s="4" t="s">
        <v>4929</v>
      </c>
      <c r="N185" s="60">
        <v>4.4876799580000002</v>
      </c>
      <c r="O185" s="60">
        <v>7.264492035</v>
      </c>
      <c r="P185" s="60">
        <v>8.7898969650000005</v>
      </c>
      <c r="Q185" s="60">
        <v>4.4876799580000002</v>
      </c>
      <c r="R185" s="51" t="b">
        <v>0</v>
      </c>
      <c r="S185" s="60">
        <v>7.0654621119999996</v>
      </c>
      <c r="T185" s="60">
        <v>7.6467747690000003</v>
      </c>
      <c r="U185" s="60">
        <v>7.0654621119999996</v>
      </c>
      <c r="V185" s="51" t="b">
        <v>0</v>
      </c>
      <c r="W185" s="60">
        <v>3.8285539150000001</v>
      </c>
      <c r="X185" s="60">
        <v>2.7490575310000001</v>
      </c>
      <c r="Y185" s="51" t="b">
        <v>1</v>
      </c>
      <c r="Z185" s="60">
        <v>1.3388676639999999</v>
      </c>
      <c r="AA185" s="60">
        <v>5.0662531849999999</v>
      </c>
      <c r="AB185" s="60">
        <v>3.1502361300000001</v>
      </c>
      <c r="AC185" s="60">
        <v>8.3539714810000003</v>
      </c>
      <c r="AD185" s="60">
        <v>7.0264630319999997</v>
      </c>
      <c r="AE185" s="60">
        <v>8.2386512760000006</v>
      </c>
      <c r="AF185" s="60">
        <v>12.847492219999999</v>
      </c>
      <c r="AG185" s="60">
        <v>18.263015750000001</v>
      </c>
      <c r="AH185" s="60">
        <v>18.071956629999999</v>
      </c>
      <c r="AO185" s="50"/>
    </row>
    <row r="186" spans="1:41" ht="13">
      <c r="A186" s="4" t="s">
        <v>857</v>
      </c>
      <c r="B186" s="50" t="s">
        <v>12762</v>
      </c>
      <c r="C186" s="4" t="s">
        <v>623</v>
      </c>
      <c r="D186" s="4" t="s">
        <v>4926</v>
      </c>
      <c r="E186" s="4" t="s">
        <v>108</v>
      </c>
      <c r="F186" s="4" t="s">
        <v>9</v>
      </c>
      <c r="G186" s="41" t="s">
        <v>5027</v>
      </c>
      <c r="H186" s="4" t="s">
        <v>314</v>
      </c>
      <c r="I186" s="4">
        <v>2.58</v>
      </c>
      <c r="J186" s="4">
        <v>0.94</v>
      </c>
      <c r="K186" s="4">
        <v>0.17948</v>
      </c>
      <c r="L186" s="4" t="s">
        <v>12272</v>
      </c>
      <c r="M186" s="4" t="s">
        <v>4929</v>
      </c>
      <c r="N186" s="60">
        <v>8.8171234129999991</v>
      </c>
      <c r="O186" s="60">
        <v>6.8669958109999998</v>
      </c>
      <c r="P186" s="60">
        <v>3.8125238420000001</v>
      </c>
      <c r="Q186" s="60">
        <v>3.8125238420000001</v>
      </c>
      <c r="R186" s="51" t="b">
        <v>0</v>
      </c>
      <c r="S186" s="60">
        <v>2.8890795709999999</v>
      </c>
      <c r="T186" s="60">
        <v>4.9519734379999996</v>
      </c>
      <c r="U186" s="60">
        <v>2.8890795709999999</v>
      </c>
      <c r="V186" s="51" t="b">
        <v>1</v>
      </c>
      <c r="W186" s="60">
        <v>3.7291007039999999</v>
      </c>
      <c r="X186" s="60">
        <v>6.7363047600000003</v>
      </c>
      <c r="Y186" s="51" t="b">
        <v>0</v>
      </c>
      <c r="Z186" s="60">
        <v>1.9715563060000001</v>
      </c>
      <c r="AA186" s="60">
        <v>2.534868479</v>
      </c>
      <c r="AB186" s="60">
        <v>3.592847109</v>
      </c>
      <c r="AC186" s="60">
        <v>6.5212502480000003</v>
      </c>
      <c r="AD186" s="60">
        <v>5.1840085980000001</v>
      </c>
      <c r="AE186" s="60">
        <v>7.5128355029999998</v>
      </c>
      <c r="AF186" s="60">
        <v>12.48920822</v>
      </c>
      <c r="AG186" s="60">
        <v>17.25691986</v>
      </c>
      <c r="AH186" s="60">
        <v>18.41857529</v>
      </c>
      <c r="AK186" s="41">
        <v>1</v>
      </c>
      <c r="AL186" s="41">
        <v>1</v>
      </c>
      <c r="AM186" s="41" t="s">
        <v>12272</v>
      </c>
      <c r="AO186" s="50"/>
    </row>
    <row r="187" spans="1:41" ht="13">
      <c r="A187" s="4" t="s">
        <v>858</v>
      </c>
      <c r="B187" s="50" t="s">
        <v>12741</v>
      </c>
      <c r="C187" s="4" t="s">
        <v>624</v>
      </c>
      <c r="D187" s="4" t="s">
        <v>4926</v>
      </c>
      <c r="E187" s="4" t="s">
        <v>108</v>
      </c>
      <c r="F187" s="4" t="s">
        <v>9</v>
      </c>
      <c r="G187" s="41" t="s">
        <v>5110</v>
      </c>
      <c r="H187" s="4" t="s">
        <v>741</v>
      </c>
      <c r="I187" s="4">
        <v>2.6</v>
      </c>
      <c r="J187" s="4">
        <v>0.98</v>
      </c>
      <c r="K187" s="4">
        <v>0.19284999999999999</v>
      </c>
      <c r="L187" s="4" t="s">
        <v>12722</v>
      </c>
      <c r="M187" s="4" t="s">
        <v>4929</v>
      </c>
      <c r="N187" s="60">
        <v>8.6981143949999993</v>
      </c>
      <c r="O187" s="60">
        <v>7.2747926710000002</v>
      </c>
      <c r="P187" s="60">
        <v>3.8957145209999999</v>
      </c>
      <c r="Q187" s="60">
        <v>3.8957145209999999</v>
      </c>
      <c r="R187" s="51" t="b">
        <v>0</v>
      </c>
      <c r="S187" s="60">
        <v>2.7627487180000001</v>
      </c>
      <c r="T187" s="60">
        <v>2.981755733</v>
      </c>
      <c r="U187" s="60">
        <v>2.7627487180000001</v>
      </c>
      <c r="V187" s="51" t="b">
        <v>1</v>
      </c>
      <c r="W187" s="60">
        <v>5.6593689920000001</v>
      </c>
      <c r="X187" s="60">
        <v>9.9447879790000009</v>
      </c>
      <c r="Y187" s="51" t="b">
        <v>0</v>
      </c>
      <c r="Z187" s="60">
        <v>4.053542137</v>
      </c>
      <c r="AA187" s="60">
        <v>1.539436102</v>
      </c>
      <c r="AB187" s="60">
        <v>10.72204494</v>
      </c>
      <c r="AC187" s="60">
        <v>5.0630555150000003</v>
      </c>
      <c r="AD187" s="60">
        <v>1.4464455839999999</v>
      </c>
      <c r="AE187" s="60">
        <v>4.6301903720000004</v>
      </c>
      <c r="AF187" s="60">
        <v>9.7102661129999994</v>
      </c>
      <c r="AG187" s="60">
        <v>13.94614983</v>
      </c>
      <c r="AH187" s="60">
        <v>20.696338650000001</v>
      </c>
      <c r="AK187" s="41">
        <v>2</v>
      </c>
      <c r="AL187" s="41">
        <v>1</v>
      </c>
      <c r="AM187" s="41" t="s">
        <v>12727</v>
      </c>
      <c r="AO187" s="50"/>
    </row>
    <row r="188" spans="1:41" ht="13">
      <c r="A188" s="4" t="s">
        <v>859</v>
      </c>
      <c r="B188" s="50" t="s">
        <v>12733</v>
      </c>
      <c r="C188" s="4" t="s">
        <v>625</v>
      </c>
      <c r="D188" s="4" t="s">
        <v>4926</v>
      </c>
      <c r="E188" s="4" t="s">
        <v>108</v>
      </c>
      <c r="F188" s="4" t="s">
        <v>9</v>
      </c>
      <c r="G188" s="4" t="s">
        <v>5028</v>
      </c>
      <c r="H188" s="4" t="s">
        <v>742</v>
      </c>
      <c r="I188" s="4">
        <v>2.72</v>
      </c>
      <c r="J188" s="4">
        <v>0.97</v>
      </c>
      <c r="K188" s="4">
        <v>0.18720999999999999</v>
      </c>
      <c r="L188" s="4" t="s">
        <v>12272</v>
      </c>
      <c r="M188" s="4" t="s">
        <v>4929</v>
      </c>
      <c r="N188" s="60">
        <v>9.4160623549999993</v>
      </c>
      <c r="O188" s="60">
        <v>8.1773166659999994</v>
      </c>
      <c r="P188" s="60">
        <v>4.6268725399999999</v>
      </c>
      <c r="Q188" s="60">
        <v>4.6268725399999999</v>
      </c>
      <c r="R188" s="51" t="b">
        <v>0</v>
      </c>
      <c r="S188" s="60">
        <v>3.1772563460000001</v>
      </c>
      <c r="T188" s="60">
        <v>2.7163515089999999</v>
      </c>
      <c r="U188" s="60">
        <v>2.7163515089999999</v>
      </c>
      <c r="V188" s="51" t="b">
        <v>1</v>
      </c>
      <c r="W188" s="60">
        <v>5.661087513</v>
      </c>
      <c r="X188" s="60">
        <v>10.522371290000001</v>
      </c>
      <c r="Y188" s="51" t="b">
        <v>0</v>
      </c>
      <c r="Z188" s="60">
        <v>4.7980527879999997</v>
      </c>
      <c r="AA188" s="60">
        <v>2.157698393</v>
      </c>
      <c r="AB188" s="60">
        <v>12.14219284</v>
      </c>
      <c r="AC188" s="60">
        <v>1.0213122370000001</v>
      </c>
      <c r="AD188" s="60">
        <v>7.3301849370000003</v>
      </c>
      <c r="AE188" s="60">
        <v>11.177799220000001</v>
      </c>
      <c r="AF188" s="60">
        <v>15.98809719</v>
      </c>
      <c r="AG188" s="60">
        <v>18.850004200000001</v>
      </c>
      <c r="AH188" s="60">
        <v>22.344743730000001</v>
      </c>
      <c r="AK188" s="41">
        <v>2</v>
      </c>
      <c r="AL188" s="41">
        <v>1</v>
      </c>
      <c r="AM188" s="41" t="s">
        <v>12724</v>
      </c>
      <c r="AO188" s="50"/>
    </row>
    <row r="189" spans="1:41" ht="13">
      <c r="A189" s="4" t="s">
        <v>860</v>
      </c>
      <c r="B189" s="50" t="s">
        <v>12771</v>
      </c>
      <c r="C189" s="4" t="s">
        <v>626</v>
      </c>
      <c r="D189" s="4" t="s">
        <v>4926</v>
      </c>
      <c r="E189" s="4" t="s">
        <v>108</v>
      </c>
      <c r="F189" s="4" t="s">
        <v>9</v>
      </c>
      <c r="G189" s="4" t="s">
        <v>5111</v>
      </c>
      <c r="H189" s="4" t="s">
        <v>743</v>
      </c>
      <c r="I189" s="4">
        <v>2.77</v>
      </c>
      <c r="J189" s="4">
        <v>0.97</v>
      </c>
      <c r="K189" s="4">
        <v>0.18662999999999999</v>
      </c>
      <c r="L189" s="4" t="s">
        <v>12722</v>
      </c>
      <c r="M189" s="4" t="s">
        <v>4929</v>
      </c>
      <c r="N189" s="60">
        <v>4.0725684170000003</v>
      </c>
      <c r="O189" s="60">
        <v>2.7172682290000001</v>
      </c>
      <c r="P189" s="60">
        <v>3.8891434669999998</v>
      </c>
      <c r="Q189" s="60">
        <v>2.7172682290000001</v>
      </c>
      <c r="R189" s="51" t="b">
        <v>1</v>
      </c>
      <c r="S189" s="60">
        <v>2.9578087329999998</v>
      </c>
      <c r="T189" s="60">
        <v>4.4192085270000003</v>
      </c>
      <c r="U189" s="60">
        <v>2.9578087329999998</v>
      </c>
      <c r="V189" s="51" t="b">
        <v>1</v>
      </c>
      <c r="W189" s="60">
        <v>4.7666501999999999</v>
      </c>
      <c r="X189" s="60">
        <v>8.7704086300000004</v>
      </c>
      <c r="Y189" s="51" t="b">
        <v>0</v>
      </c>
      <c r="Z189" s="60">
        <v>0.59515196100000001</v>
      </c>
      <c r="AA189" s="60">
        <v>0.80827301699999998</v>
      </c>
      <c r="AB189" s="60">
        <v>6.2595653530000002</v>
      </c>
      <c r="AC189" s="60">
        <v>2.1698124409999999</v>
      </c>
      <c r="AD189" s="60">
        <v>4.8912210460000001</v>
      </c>
      <c r="AE189" s="60">
        <v>8.3256063460000007</v>
      </c>
      <c r="AF189" s="60">
        <v>13.61458492</v>
      </c>
      <c r="AG189" s="60">
        <v>17.67505646</v>
      </c>
      <c r="AH189" s="60">
        <v>17.553796770000002</v>
      </c>
      <c r="AI189" s="41">
        <v>1</v>
      </c>
      <c r="AK189" s="41">
        <v>1</v>
      </c>
      <c r="AL189" s="41">
        <v>1</v>
      </c>
      <c r="AM189" s="41" t="s">
        <v>12724</v>
      </c>
      <c r="AO189" s="50"/>
    </row>
    <row r="190" spans="1:41" ht="13">
      <c r="A190" s="4" t="s">
        <v>861</v>
      </c>
      <c r="B190" s="50" t="s">
        <v>12749</v>
      </c>
      <c r="C190" s="4" t="s">
        <v>627</v>
      </c>
      <c r="D190" s="4" t="s">
        <v>4926</v>
      </c>
      <c r="E190" s="4" t="s">
        <v>108</v>
      </c>
      <c r="F190" s="4" t="s">
        <v>9</v>
      </c>
      <c r="G190" s="4" t="s">
        <v>5112</v>
      </c>
      <c r="H190" s="4" t="s">
        <v>744</v>
      </c>
      <c r="I190" s="4">
        <v>2.78</v>
      </c>
      <c r="J190" s="4">
        <v>0.98</v>
      </c>
      <c r="K190" s="4">
        <v>0.19359999999999999</v>
      </c>
      <c r="L190" s="4" t="s">
        <v>12722</v>
      </c>
      <c r="M190" s="4" t="s">
        <v>4929</v>
      </c>
      <c r="N190" s="60">
        <v>8.932370186</v>
      </c>
      <c r="O190" s="60">
        <v>7.5330305099999997</v>
      </c>
      <c r="P190" s="60">
        <v>4.0235767359999999</v>
      </c>
      <c r="Q190" s="60">
        <v>4.0235767359999999</v>
      </c>
      <c r="R190" s="51" t="b">
        <v>0</v>
      </c>
      <c r="S190" s="60">
        <v>2.8293225770000001</v>
      </c>
      <c r="T190" s="60">
        <v>2.8816094400000001</v>
      </c>
      <c r="U190" s="60">
        <v>2.8293225770000001</v>
      </c>
      <c r="V190" s="51" t="b">
        <v>1</v>
      </c>
      <c r="W190" s="60">
        <v>5.4559364319999997</v>
      </c>
      <c r="X190" s="60">
        <v>9.0341482160000002</v>
      </c>
      <c r="Y190" s="51" t="b">
        <v>0</v>
      </c>
      <c r="Z190" s="60">
        <v>4.2152571679999999</v>
      </c>
      <c r="AA190" s="60">
        <v>0.99801033699999997</v>
      </c>
      <c r="AB190" s="60">
        <v>11.24887657</v>
      </c>
      <c r="AC190" s="60">
        <v>3.0216488840000002</v>
      </c>
      <c r="AD190" s="60">
        <v>4.4325032230000003</v>
      </c>
      <c r="AE190" s="60">
        <v>7.1275882719999997</v>
      </c>
      <c r="AF190" s="60">
        <v>12.094061849999999</v>
      </c>
      <c r="AG190" s="60">
        <v>16.377536769999999</v>
      </c>
      <c r="AH190" s="60">
        <v>21.61203957</v>
      </c>
      <c r="AK190" s="41">
        <v>2</v>
      </c>
      <c r="AL190" s="41">
        <v>1</v>
      </c>
      <c r="AM190" s="41" t="s">
        <v>12724</v>
      </c>
      <c r="AO190" s="50"/>
    </row>
    <row r="191" spans="1:41" ht="13">
      <c r="A191" s="4" t="s">
        <v>862</v>
      </c>
      <c r="B191" s="50" t="s">
        <v>12832</v>
      </c>
      <c r="C191" s="4" t="s">
        <v>628</v>
      </c>
      <c r="D191" s="4" t="s">
        <v>4926</v>
      </c>
      <c r="E191" s="4" t="s">
        <v>108</v>
      </c>
      <c r="F191" s="4" t="s">
        <v>9</v>
      </c>
      <c r="G191" s="4" t="s">
        <v>5029</v>
      </c>
      <c r="H191" s="4" t="s">
        <v>745</v>
      </c>
      <c r="I191" s="4">
        <v>2.82</v>
      </c>
      <c r="J191" s="4">
        <v>0.97</v>
      </c>
      <c r="K191" s="4">
        <v>0.18296000000000001</v>
      </c>
      <c r="L191" s="4" t="s">
        <v>12272</v>
      </c>
      <c r="M191" s="4" t="s">
        <v>4929</v>
      </c>
      <c r="N191" s="60">
        <v>4.6511335369999998</v>
      </c>
      <c r="O191" s="60">
        <v>4.4209499360000004</v>
      </c>
      <c r="P191" s="60">
        <v>6.4042415620000002</v>
      </c>
      <c r="Q191" s="60">
        <v>4.4209499360000004</v>
      </c>
      <c r="R191" s="51" t="b">
        <v>0</v>
      </c>
      <c r="S191" s="60">
        <v>5.5078301429999996</v>
      </c>
      <c r="T191" s="60">
        <v>4.79321003</v>
      </c>
      <c r="U191" s="60">
        <v>4.79321003</v>
      </c>
      <c r="V191" s="51" t="b">
        <v>0</v>
      </c>
      <c r="W191" s="60">
        <v>3.4028491970000001</v>
      </c>
      <c r="X191" s="60">
        <v>5.3690004350000002</v>
      </c>
      <c r="Y191" s="51" t="b">
        <v>0</v>
      </c>
      <c r="Z191" s="60">
        <v>1.67240572</v>
      </c>
      <c r="AA191" s="60">
        <v>3.8804876799999999</v>
      </c>
      <c r="AB191" s="60">
        <v>4.498498917</v>
      </c>
      <c r="AC191" s="60">
        <v>6.2841959000000003</v>
      </c>
      <c r="AD191" s="60">
        <v>6.8254923820000002</v>
      </c>
      <c r="AE191" s="60">
        <v>8.9995355610000001</v>
      </c>
      <c r="AF191" s="60">
        <v>13.37321281</v>
      </c>
      <c r="AG191" s="60">
        <v>18.995449069999999</v>
      </c>
      <c r="AH191" s="60">
        <v>18.794456480000001</v>
      </c>
      <c r="AO191" s="50"/>
    </row>
    <row r="192" spans="1:41" ht="13">
      <c r="A192" s="4" t="s">
        <v>863</v>
      </c>
      <c r="B192" s="50" t="s">
        <v>12876</v>
      </c>
      <c r="C192" s="4" t="s">
        <v>629</v>
      </c>
      <c r="D192" s="4" t="s">
        <v>4926</v>
      </c>
      <c r="E192" s="4" t="s">
        <v>108</v>
      </c>
      <c r="F192" s="4" t="s">
        <v>9</v>
      </c>
      <c r="G192" s="4" t="s">
        <v>5030</v>
      </c>
      <c r="H192" s="4" t="s">
        <v>308</v>
      </c>
      <c r="I192" s="4">
        <v>2.83</v>
      </c>
      <c r="J192" s="4">
        <v>0.98</v>
      </c>
      <c r="K192" s="4">
        <v>0.20352000000000001</v>
      </c>
      <c r="L192" s="4" t="s">
        <v>12272</v>
      </c>
      <c r="M192" s="4" t="s">
        <v>4929</v>
      </c>
      <c r="N192" s="60">
        <v>2.927341223</v>
      </c>
      <c r="O192" s="60">
        <v>5.6233854289999998</v>
      </c>
      <c r="P192" s="60">
        <v>7.1078333850000002</v>
      </c>
      <c r="Q192" s="60">
        <v>2.927341223</v>
      </c>
      <c r="R192" s="51" t="b">
        <v>1</v>
      </c>
      <c r="S192" s="60">
        <v>6.2438116069999996</v>
      </c>
      <c r="T192" s="60">
        <v>7.0561528210000004</v>
      </c>
      <c r="U192" s="60">
        <v>6.2438116069999996</v>
      </c>
      <c r="V192" s="51" t="b">
        <v>0</v>
      </c>
      <c r="W192" s="60">
        <v>3.9815638070000001</v>
      </c>
      <c r="X192" s="60">
        <v>3.3856496809999999</v>
      </c>
      <c r="Y192" s="51" t="b">
        <v>1</v>
      </c>
      <c r="Z192" s="60">
        <v>2.1884880070000001</v>
      </c>
      <c r="AA192" s="60">
        <v>3.1738786700000001</v>
      </c>
      <c r="AB192" s="60">
        <v>3.2143812180000002</v>
      </c>
      <c r="AC192" s="60">
        <v>7.101288319</v>
      </c>
      <c r="AD192" s="60">
        <v>5.4312062259999996</v>
      </c>
      <c r="AE192" s="60">
        <v>7.8967628479999998</v>
      </c>
      <c r="AF192" s="60">
        <v>12.55642319</v>
      </c>
      <c r="AG192" s="60">
        <v>17.6833992</v>
      </c>
      <c r="AH192" s="60">
        <v>19.192640300000001</v>
      </c>
      <c r="AI192" s="41">
        <v>1</v>
      </c>
      <c r="AO192" s="50"/>
    </row>
    <row r="193" spans="1:41" ht="13">
      <c r="A193" s="4" t="s">
        <v>864</v>
      </c>
      <c r="B193" s="50" t="s">
        <v>12820</v>
      </c>
      <c r="C193" s="4" t="s">
        <v>630</v>
      </c>
      <c r="D193" s="4" t="s">
        <v>4926</v>
      </c>
      <c r="E193" s="4" t="s">
        <v>108</v>
      </c>
      <c r="F193" s="4" t="s">
        <v>9</v>
      </c>
      <c r="G193" s="4" t="s">
        <v>5031</v>
      </c>
      <c r="H193" s="4" t="s">
        <v>746</v>
      </c>
      <c r="I193" s="4">
        <v>2.9</v>
      </c>
      <c r="J193" s="4">
        <v>0.99</v>
      </c>
      <c r="K193" s="4">
        <v>0.19552</v>
      </c>
      <c r="L193" s="4" t="s">
        <v>4929</v>
      </c>
      <c r="M193" s="4" t="s">
        <v>4929</v>
      </c>
      <c r="N193" s="60">
        <v>2.9103932380000002</v>
      </c>
      <c r="O193" s="60">
        <v>5.5987401009999997</v>
      </c>
      <c r="P193" s="60">
        <v>4.8164930339999996</v>
      </c>
      <c r="Q193" s="60">
        <v>2.9103932380000002</v>
      </c>
      <c r="R193" s="51" t="b">
        <v>0</v>
      </c>
      <c r="S193" s="60">
        <v>4.3162589069999999</v>
      </c>
      <c r="T193" s="60">
        <v>6.1228575709999999</v>
      </c>
      <c r="U193" s="60">
        <v>4.3162589069999999</v>
      </c>
      <c r="V193" s="51" t="b">
        <v>0</v>
      </c>
      <c r="W193" s="60">
        <v>4.0534319879999998</v>
      </c>
      <c r="X193" s="60">
        <v>3.0590617660000001</v>
      </c>
      <c r="Y193" s="51" t="b">
        <v>1</v>
      </c>
      <c r="Z193" s="60">
        <v>1.5920935869999999</v>
      </c>
      <c r="AA193" s="60">
        <v>2.6580829619999999</v>
      </c>
      <c r="AB193" s="60">
        <v>3.248034477</v>
      </c>
      <c r="AC193" s="60">
        <v>6.7176203729999999</v>
      </c>
      <c r="AD193" s="60">
        <v>5.5882720949999998</v>
      </c>
      <c r="AE193" s="60">
        <v>7.4306411739999998</v>
      </c>
      <c r="AF193" s="60">
        <v>12.26355457</v>
      </c>
      <c r="AG193" s="60">
        <v>17.257394789999999</v>
      </c>
      <c r="AH193" s="60">
        <v>19.095352170000002</v>
      </c>
      <c r="AI193" s="41" t="s">
        <v>12785</v>
      </c>
      <c r="AO193" s="50"/>
    </row>
    <row r="194" spans="1:41" ht="13">
      <c r="A194" s="4" t="s">
        <v>865</v>
      </c>
      <c r="B194" s="50" t="s">
        <v>12755</v>
      </c>
      <c r="C194" s="4" t="s">
        <v>631</v>
      </c>
      <c r="D194" s="4" t="s">
        <v>4926</v>
      </c>
      <c r="E194" s="4" t="s">
        <v>108</v>
      </c>
      <c r="F194" s="4" t="s">
        <v>9</v>
      </c>
      <c r="G194" s="4" t="s">
        <v>5113</v>
      </c>
      <c r="H194" s="4" t="s">
        <v>747</v>
      </c>
      <c r="I194" s="4">
        <v>3.22</v>
      </c>
      <c r="J194" s="4">
        <v>1</v>
      </c>
      <c r="K194" s="4">
        <v>0.18587999999999999</v>
      </c>
      <c r="L194" s="4" t="s">
        <v>12722</v>
      </c>
      <c r="M194" s="4" t="s">
        <v>4929</v>
      </c>
      <c r="N194" s="60">
        <v>8.7495574949999995</v>
      </c>
      <c r="O194" s="60">
        <v>7.2204270360000002</v>
      </c>
      <c r="P194" s="60">
        <v>4.5531377790000001</v>
      </c>
      <c r="Q194" s="60">
        <v>4.5531377790000001</v>
      </c>
      <c r="R194" s="51" t="b">
        <v>0</v>
      </c>
      <c r="S194" s="60">
        <v>2.9571685790000002</v>
      </c>
      <c r="T194" s="60">
        <v>2.8713040350000001</v>
      </c>
      <c r="U194" s="60">
        <v>2.8713040350000001</v>
      </c>
      <c r="V194" s="51" t="b">
        <v>1</v>
      </c>
      <c r="W194" s="60">
        <v>5.8569870000000002</v>
      </c>
      <c r="X194" s="60">
        <v>7.2393631940000001</v>
      </c>
      <c r="Y194" s="51" t="b">
        <v>0</v>
      </c>
      <c r="Z194" s="60">
        <v>3.9595587249999999</v>
      </c>
      <c r="AA194" s="60">
        <v>0.89155107700000003</v>
      </c>
      <c r="AB194" s="60">
        <v>10.218649859999999</v>
      </c>
      <c r="AC194" s="60">
        <v>4.3693876270000001</v>
      </c>
      <c r="AD194" s="60">
        <v>3.9121880529999999</v>
      </c>
      <c r="AE194" s="60">
        <v>7.5185317989999998</v>
      </c>
      <c r="AF194" s="60">
        <v>12.432092669999999</v>
      </c>
      <c r="AG194" s="60">
        <v>16.661100390000001</v>
      </c>
      <c r="AH194" s="60">
        <v>20.973712920000001</v>
      </c>
      <c r="AK194" s="41">
        <v>2</v>
      </c>
      <c r="AL194" s="41">
        <v>1</v>
      </c>
      <c r="AM194" s="41" t="s">
        <v>12727</v>
      </c>
      <c r="AO194" s="50"/>
    </row>
    <row r="195" spans="1:41" ht="13">
      <c r="A195" s="4" t="s">
        <v>865</v>
      </c>
      <c r="B195" s="50" t="s">
        <v>12950</v>
      </c>
      <c r="C195" s="4" t="s">
        <v>631</v>
      </c>
      <c r="D195" s="4" t="s">
        <v>4926</v>
      </c>
      <c r="E195" s="4" t="s">
        <v>108</v>
      </c>
      <c r="F195" s="4" t="s">
        <v>9</v>
      </c>
      <c r="G195" s="4" t="s">
        <v>5113</v>
      </c>
      <c r="H195" s="4" t="s">
        <v>748</v>
      </c>
      <c r="I195" s="4">
        <v>3.22</v>
      </c>
      <c r="J195" s="4">
        <v>1</v>
      </c>
      <c r="K195" s="4">
        <v>0.18587999999999999</v>
      </c>
      <c r="L195" s="4" t="s">
        <v>4995</v>
      </c>
      <c r="M195" s="4" t="s">
        <v>4995</v>
      </c>
      <c r="N195" s="60">
        <v>21.92549515</v>
      </c>
      <c r="O195" s="60">
        <v>21.343721389999999</v>
      </c>
      <c r="P195" s="60">
        <v>20.39105988</v>
      </c>
      <c r="Q195" s="60">
        <v>20.39105988</v>
      </c>
      <c r="R195" s="51" t="b">
        <v>0</v>
      </c>
      <c r="S195" s="60">
        <v>21.723590850000001</v>
      </c>
      <c r="T195" s="60">
        <v>22.893903730000002</v>
      </c>
      <c r="U195" s="60">
        <v>21.723590850000001</v>
      </c>
      <c r="V195" s="51" t="b">
        <v>0</v>
      </c>
      <c r="W195" s="60">
        <v>22.074260710000001</v>
      </c>
      <c r="X195" s="60">
        <v>27.967155460000001</v>
      </c>
      <c r="Y195" s="51" t="b">
        <v>0</v>
      </c>
      <c r="Z195" s="60">
        <v>17.998006820000001</v>
      </c>
      <c r="AA195" s="60">
        <v>17.208446500000001</v>
      </c>
      <c r="AB195" s="60">
        <v>19.772817610000001</v>
      </c>
      <c r="AC195" s="60">
        <v>18.953762050000002</v>
      </c>
      <c r="AD195" s="60">
        <v>10.7037096</v>
      </c>
      <c r="AE195" s="60">
        <v>7.4831643100000003</v>
      </c>
      <c r="AF195" s="60">
        <v>3.4629125599999999</v>
      </c>
      <c r="AG195" s="60">
        <v>0.83485978800000005</v>
      </c>
      <c r="AH195" s="60">
        <v>24.887233729999998</v>
      </c>
      <c r="AO195" s="50"/>
    </row>
    <row r="196" spans="1:41" ht="13">
      <c r="A196" s="4" t="s">
        <v>866</v>
      </c>
      <c r="B196" s="50" t="s">
        <v>12770</v>
      </c>
      <c r="C196" s="4" t="s">
        <v>632</v>
      </c>
      <c r="D196" s="4" t="s">
        <v>4926</v>
      </c>
      <c r="E196" s="4" t="s">
        <v>108</v>
      </c>
      <c r="F196" s="4" t="s">
        <v>9</v>
      </c>
      <c r="G196" s="4" t="s">
        <v>5114</v>
      </c>
      <c r="H196" s="4" t="s">
        <v>748</v>
      </c>
      <c r="I196" s="4">
        <v>3.25</v>
      </c>
      <c r="J196" s="4">
        <v>0.98</v>
      </c>
      <c r="K196" s="4">
        <v>0.19836999999999999</v>
      </c>
      <c r="L196" s="4" t="s">
        <v>12722</v>
      </c>
      <c r="M196" s="4" t="s">
        <v>4929</v>
      </c>
      <c r="N196" s="60">
        <v>7.5921702379999996</v>
      </c>
      <c r="O196" s="60">
        <v>6.6739563940000002</v>
      </c>
      <c r="P196" s="60">
        <v>4.0631456379999999</v>
      </c>
      <c r="Q196" s="60">
        <v>4.0631456379999999</v>
      </c>
      <c r="R196" s="51" t="b">
        <v>0</v>
      </c>
      <c r="S196" s="60">
        <v>2.947466135</v>
      </c>
      <c r="T196" s="60">
        <v>4.4796929360000002</v>
      </c>
      <c r="U196" s="60">
        <v>2.947466135</v>
      </c>
      <c r="V196" s="51" t="b">
        <v>1</v>
      </c>
      <c r="W196" s="60">
        <v>4.5274214739999996</v>
      </c>
      <c r="X196" s="60">
        <v>9.8957700729999996</v>
      </c>
      <c r="Y196" s="51" t="b">
        <v>0</v>
      </c>
      <c r="Z196" s="60">
        <v>1.1274763350000001</v>
      </c>
      <c r="AA196" s="60">
        <v>0.61141163099999996</v>
      </c>
      <c r="AB196" s="60">
        <v>5.7338986399999996</v>
      </c>
      <c r="AC196" s="60">
        <v>3.1165947909999998</v>
      </c>
      <c r="AD196" s="60">
        <v>6.0862879750000003</v>
      </c>
      <c r="AE196" s="60">
        <v>8.0502634050000008</v>
      </c>
      <c r="AF196" s="60">
        <v>12.711523059999999</v>
      </c>
      <c r="AG196" s="60">
        <v>18.132310870000001</v>
      </c>
      <c r="AH196" s="60">
        <v>18.785625459999999</v>
      </c>
      <c r="AK196" s="41">
        <v>1</v>
      </c>
      <c r="AL196" s="41">
        <v>1</v>
      </c>
      <c r="AM196" s="41" t="s">
        <v>12724</v>
      </c>
      <c r="AO196" s="50"/>
    </row>
    <row r="197" spans="1:41" ht="13">
      <c r="A197" s="4" t="s">
        <v>867</v>
      </c>
      <c r="B197" s="50" t="s">
        <v>12740</v>
      </c>
      <c r="C197" s="4" t="s">
        <v>633</v>
      </c>
      <c r="D197" s="4" t="s">
        <v>4926</v>
      </c>
      <c r="E197" s="4" t="s">
        <v>108</v>
      </c>
      <c r="F197" s="4" t="s">
        <v>9</v>
      </c>
      <c r="G197" s="4" t="s">
        <v>5115</v>
      </c>
      <c r="H197" s="4" t="s">
        <v>749</v>
      </c>
      <c r="I197" s="4">
        <v>3.28</v>
      </c>
      <c r="J197" s="4">
        <v>0.97</v>
      </c>
      <c r="K197" s="4">
        <v>0.21489</v>
      </c>
      <c r="L197" s="4" t="s">
        <v>12722</v>
      </c>
      <c r="M197" s="4" t="s">
        <v>4929</v>
      </c>
      <c r="N197" s="60">
        <v>9.4650678629999998</v>
      </c>
      <c r="O197" s="60">
        <v>8.0062541960000004</v>
      </c>
      <c r="P197" s="60">
        <v>4.383930683</v>
      </c>
      <c r="Q197" s="60">
        <v>4.383930683</v>
      </c>
      <c r="R197" s="51" t="b">
        <v>0</v>
      </c>
      <c r="S197" s="60">
        <v>2.7518076900000001</v>
      </c>
      <c r="T197" s="60">
        <v>2.8172886369999999</v>
      </c>
      <c r="U197" s="60">
        <v>2.7518076900000001</v>
      </c>
      <c r="V197" s="51" t="b">
        <v>1</v>
      </c>
      <c r="W197" s="60">
        <v>5.4999580379999999</v>
      </c>
      <c r="X197" s="60">
        <v>10.86357784</v>
      </c>
      <c r="Y197" s="51" t="b">
        <v>0</v>
      </c>
      <c r="Z197" s="60">
        <v>4.5561728480000001</v>
      </c>
      <c r="AA197" s="60">
        <v>1.606060147</v>
      </c>
      <c r="AB197" s="60">
        <v>12.02481461</v>
      </c>
      <c r="AC197" s="60">
        <v>0.86606979399999995</v>
      </c>
      <c r="AD197" s="60">
        <v>6.9925398830000001</v>
      </c>
      <c r="AE197" s="60">
        <v>10.63718796</v>
      </c>
      <c r="AF197" s="60">
        <v>15.578914640000001</v>
      </c>
      <c r="AG197" s="60">
        <v>19.253370289999999</v>
      </c>
      <c r="AH197" s="60">
        <v>21.945474619999999</v>
      </c>
      <c r="AK197" s="41">
        <v>2</v>
      </c>
      <c r="AL197" s="41">
        <v>1</v>
      </c>
      <c r="AM197" s="41" t="s">
        <v>12724</v>
      </c>
      <c r="AO197" s="50"/>
    </row>
    <row r="198" spans="1:41" ht="13">
      <c r="A198" s="4" t="s">
        <v>868</v>
      </c>
      <c r="B198" s="50" t="s">
        <v>12946</v>
      </c>
      <c r="C198" s="4" t="s">
        <v>634</v>
      </c>
      <c r="D198" s="4" t="s">
        <v>4926</v>
      </c>
      <c r="E198" s="4" t="s">
        <v>108</v>
      </c>
      <c r="F198" s="4" t="s">
        <v>9</v>
      </c>
      <c r="G198" s="4" t="s">
        <v>5165</v>
      </c>
      <c r="H198" s="4" t="s">
        <v>750</v>
      </c>
      <c r="I198" s="4">
        <v>3.33</v>
      </c>
      <c r="J198" s="4">
        <v>0.94</v>
      </c>
      <c r="K198" s="4">
        <v>0.18559</v>
      </c>
      <c r="L198" s="4" t="s">
        <v>4955</v>
      </c>
      <c r="M198" s="4" t="s">
        <v>4955</v>
      </c>
      <c r="N198" s="60">
        <v>26.752388</v>
      </c>
      <c r="O198" s="60">
        <v>23.921289439999999</v>
      </c>
      <c r="P198" s="60">
        <v>18.580289839999999</v>
      </c>
      <c r="Q198" s="60">
        <v>18.580289839999999</v>
      </c>
      <c r="R198" s="51" t="b">
        <v>0</v>
      </c>
      <c r="S198" s="60">
        <v>21.412252429999999</v>
      </c>
      <c r="T198" s="60">
        <v>22.73774147</v>
      </c>
      <c r="U198" s="60">
        <v>21.412252429999999</v>
      </c>
      <c r="V198" s="51" t="b">
        <v>0</v>
      </c>
      <c r="W198" s="60">
        <v>25.74987411</v>
      </c>
      <c r="X198" s="60">
        <v>32.808750150000002</v>
      </c>
      <c r="Y198" s="51" t="b">
        <v>0</v>
      </c>
      <c r="Z198" s="60">
        <v>21.243055340000002</v>
      </c>
      <c r="AA198" s="60">
        <v>19.105846410000002</v>
      </c>
      <c r="AB198" s="60">
        <v>28.698198319999999</v>
      </c>
      <c r="AC198" s="60">
        <v>19.960939410000002</v>
      </c>
      <c r="AD198" s="60">
        <v>16.586675639999999</v>
      </c>
      <c r="AE198" s="60">
        <v>19.617284770000001</v>
      </c>
      <c r="AF198" s="60">
        <v>21.573764799999999</v>
      </c>
      <c r="AG198" s="60">
        <v>20.559490199999999</v>
      </c>
      <c r="AH198" s="60">
        <v>27.87967682</v>
      </c>
      <c r="AO198" s="50"/>
    </row>
    <row r="199" spans="1:41" ht="13">
      <c r="A199" s="4" t="s">
        <v>869</v>
      </c>
      <c r="B199" s="50" t="s">
        <v>12831</v>
      </c>
      <c r="C199" s="4" t="s">
        <v>635</v>
      </c>
      <c r="D199" s="4" t="s">
        <v>4926</v>
      </c>
      <c r="E199" s="4" t="s">
        <v>108</v>
      </c>
      <c r="F199" s="4" t="s">
        <v>9</v>
      </c>
      <c r="G199" s="4" t="s">
        <v>5032</v>
      </c>
      <c r="H199" s="4" t="s">
        <v>751</v>
      </c>
      <c r="I199" s="4">
        <v>3.35</v>
      </c>
      <c r="J199" s="4">
        <v>0.94</v>
      </c>
      <c r="K199" s="4">
        <v>0.18088000000000001</v>
      </c>
      <c r="L199" s="4" t="s">
        <v>12272</v>
      </c>
      <c r="M199" s="4" t="s">
        <v>4929</v>
      </c>
      <c r="N199" s="60">
        <v>6.2035675049999996</v>
      </c>
      <c r="O199" s="60">
        <v>5.5934195520000003</v>
      </c>
      <c r="P199" s="60">
        <v>5.01994133</v>
      </c>
      <c r="Q199" s="60">
        <v>5.01994133</v>
      </c>
      <c r="R199" s="51" t="b">
        <v>0</v>
      </c>
      <c r="S199" s="60">
        <v>4.6809720989999999</v>
      </c>
      <c r="T199" s="60">
        <v>6.5762305259999998</v>
      </c>
      <c r="U199" s="60">
        <v>4.6809720989999999</v>
      </c>
      <c r="V199" s="51" t="b">
        <v>0</v>
      </c>
      <c r="W199" s="60">
        <v>3.9301433559999999</v>
      </c>
      <c r="X199" s="60">
        <v>5.1547765730000004</v>
      </c>
      <c r="Y199" s="51" t="b">
        <v>0</v>
      </c>
      <c r="Z199" s="60">
        <v>1.6249175069999999</v>
      </c>
      <c r="AA199" s="60">
        <v>2.2760832309999999</v>
      </c>
      <c r="AB199" s="60">
        <v>4.9091439250000004</v>
      </c>
      <c r="AC199" s="60">
        <v>6.2223172189999998</v>
      </c>
      <c r="AD199" s="60">
        <v>5.0081019400000004</v>
      </c>
      <c r="AE199" s="60">
        <v>7.9813132290000004</v>
      </c>
      <c r="AF199" s="60">
        <v>12.78381824</v>
      </c>
      <c r="AG199" s="60">
        <v>17.497013089999999</v>
      </c>
      <c r="AH199" s="60">
        <v>19.407255169999999</v>
      </c>
      <c r="AO199" s="50"/>
    </row>
    <row r="200" spans="1:41" ht="13">
      <c r="A200" s="4" t="s">
        <v>870</v>
      </c>
      <c r="B200" s="50" t="s">
        <v>12835</v>
      </c>
      <c r="C200" s="4" t="s">
        <v>636</v>
      </c>
      <c r="D200" s="4" t="s">
        <v>4926</v>
      </c>
      <c r="E200" s="4" t="s">
        <v>108</v>
      </c>
      <c r="F200" s="4" t="s">
        <v>9</v>
      </c>
      <c r="G200" s="4" t="s">
        <v>5033</v>
      </c>
      <c r="H200" s="4" t="s">
        <v>752</v>
      </c>
      <c r="I200" s="4">
        <v>3.37</v>
      </c>
      <c r="J200" s="4">
        <v>0.94</v>
      </c>
      <c r="K200" s="4">
        <v>0.18415999999999999</v>
      </c>
      <c r="L200" s="4" t="s">
        <v>12272</v>
      </c>
      <c r="M200" s="4" t="s">
        <v>4929</v>
      </c>
      <c r="N200" s="60">
        <v>2.5482032299999999</v>
      </c>
      <c r="O200" s="60">
        <v>5.1981134410000003</v>
      </c>
      <c r="P200" s="60">
        <v>6.1011815069999997</v>
      </c>
      <c r="Q200" s="60">
        <v>2.5482032299999999</v>
      </c>
      <c r="R200" s="51" t="b">
        <v>1</v>
      </c>
      <c r="S200" s="60">
        <v>4.8888421060000002</v>
      </c>
      <c r="T200" s="60">
        <v>6.25353241</v>
      </c>
      <c r="U200" s="60">
        <v>4.8888421060000002</v>
      </c>
      <c r="V200" s="51" t="b">
        <v>0</v>
      </c>
      <c r="W200" s="60">
        <v>4.1890864370000003</v>
      </c>
      <c r="X200" s="60">
        <v>3.3865249159999999</v>
      </c>
      <c r="Y200" s="51" t="b">
        <v>1</v>
      </c>
      <c r="Z200" s="60">
        <v>1.5747196670000001</v>
      </c>
      <c r="AA200" s="60">
        <v>2.9298129080000002</v>
      </c>
      <c r="AB200" s="60">
        <v>1.324456096</v>
      </c>
      <c r="AC200" s="60">
        <v>7.1589832309999997</v>
      </c>
      <c r="AD200" s="60">
        <v>5.5238962169999999</v>
      </c>
      <c r="AE200" s="60">
        <v>7.44902277</v>
      </c>
      <c r="AF200" s="60">
        <v>12.358902929999999</v>
      </c>
      <c r="AG200" s="60">
        <v>17.268478389999999</v>
      </c>
      <c r="AH200" s="60">
        <v>18.730550770000001</v>
      </c>
      <c r="AI200" s="41">
        <v>1</v>
      </c>
      <c r="AO200" s="50"/>
    </row>
    <row r="201" spans="1:41" ht="13">
      <c r="A201" s="4" t="s">
        <v>871</v>
      </c>
      <c r="B201" s="50" t="s">
        <v>12913</v>
      </c>
      <c r="C201" s="4" t="s">
        <v>637</v>
      </c>
      <c r="D201" s="4" t="s">
        <v>4926</v>
      </c>
      <c r="E201" s="4" t="s">
        <v>108</v>
      </c>
      <c r="F201" s="4" t="s">
        <v>9</v>
      </c>
      <c r="G201" s="4" t="s">
        <v>5148</v>
      </c>
      <c r="H201" s="4" t="s">
        <v>753</v>
      </c>
      <c r="I201" s="4">
        <v>3.38</v>
      </c>
      <c r="J201" s="4">
        <v>0.96</v>
      </c>
      <c r="K201" s="4">
        <v>0.18809000000000001</v>
      </c>
      <c r="L201" s="4" t="s">
        <v>12272</v>
      </c>
      <c r="M201" s="4" t="s">
        <v>4929</v>
      </c>
      <c r="N201" s="60">
        <v>2.5275852680000002</v>
      </c>
      <c r="O201" s="60">
        <v>5.8435487750000004</v>
      </c>
      <c r="P201" s="60">
        <v>10.84061337</v>
      </c>
      <c r="Q201" s="60">
        <v>2.5275852680000002</v>
      </c>
      <c r="R201" s="51" t="b">
        <v>1</v>
      </c>
      <c r="S201" s="60">
        <v>9.4213838580000004</v>
      </c>
      <c r="T201" s="60">
        <v>9.9380779270000001</v>
      </c>
      <c r="U201" s="60">
        <v>9.4213838580000004</v>
      </c>
      <c r="V201" s="51" t="b">
        <v>0</v>
      </c>
      <c r="W201" s="60">
        <v>5.5717744830000004</v>
      </c>
      <c r="X201" s="60">
        <v>8.6053056720000001</v>
      </c>
      <c r="Y201" s="51" t="b">
        <v>0</v>
      </c>
      <c r="Z201" s="60">
        <v>6.983166218</v>
      </c>
      <c r="AA201" s="60">
        <v>11.141434670000001</v>
      </c>
      <c r="AB201" s="60">
        <v>0.81498539400000003</v>
      </c>
      <c r="AC201" s="60">
        <v>13.92540073</v>
      </c>
      <c r="AD201" s="60">
        <v>12.804180150000001</v>
      </c>
      <c r="AE201" s="60">
        <v>11.594061849999999</v>
      </c>
      <c r="AF201" s="60">
        <v>14.436331750000001</v>
      </c>
      <c r="AG201" s="60">
        <v>20.692962649999998</v>
      </c>
      <c r="AH201" s="60">
        <v>18.024990079999998</v>
      </c>
      <c r="AI201" s="41">
        <v>2</v>
      </c>
      <c r="AJ201" s="41" t="s">
        <v>12768</v>
      </c>
      <c r="AO201" s="50"/>
    </row>
    <row r="202" spans="1:41" ht="13">
      <c r="A202" s="4" t="s">
        <v>872</v>
      </c>
      <c r="B202" s="50" t="s">
        <v>12828</v>
      </c>
      <c r="C202" s="4" t="s">
        <v>638</v>
      </c>
      <c r="D202" s="4" t="s">
        <v>4926</v>
      </c>
      <c r="E202" s="4" t="s">
        <v>108</v>
      </c>
      <c r="F202" s="4" t="s">
        <v>9</v>
      </c>
      <c r="G202" s="4" t="s">
        <v>5034</v>
      </c>
      <c r="H202" s="4" t="s">
        <v>754</v>
      </c>
      <c r="I202" s="4">
        <v>3.98</v>
      </c>
      <c r="J202" s="4">
        <v>0.94</v>
      </c>
      <c r="K202" s="4">
        <v>0.18198</v>
      </c>
      <c r="L202" s="4" t="s">
        <v>12272</v>
      </c>
      <c r="M202" s="4" t="s">
        <v>4929</v>
      </c>
      <c r="N202" s="60">
        <v>2.960927248</v>
      </c>
      <c r="O202" s="60">
        <v>3.4565753940000001</v>
      </c>
      <c r="P202" s="60">
        <v>5.046377659</v>
      </c>
      <c r="Q202" s="60">
        <v>2.960927248</v>
      </c>
      <c r="R202" s="51" t="b">
        <v>1</v>
      </c>
      <c r="S202" s="60">
        <v>4.5421476360000002</v>
      </c>
      <c r="T202" s="60">
        <v>6.4171204570000002</v>
      </c>
      <c r="U202" s="60">
        <v>4.5421476360000002</v>
      </c>
      <c r="V202" s="51" t="b">
        <v>0</v>
      </c>
      <c r="W202" s="60">
        <v>3.9331727029999999</v>
      </c>
      <c r="X202" s="60">
        <v>3.1215238570000001</v>
      </c>
      <c r="Y202" s="51" t="b">
        <v>1</v>
      </c>
      <c r="Z202" s="60">
        <v>0.51274400899999995</v>
      </c>
      <c r="AA202" s="60">
        <v>4.3544645309999996</v>
      </c>
      <c r="AB202" s="60">
        <v>3.5066494939999999</v>
      </c>
      <c r="AC202" s="60">
        <v>8.4806270599999998</v>
      </c>
      <c r="AD202" s="60">
        <v>6.8495645520000004</v>
      </c>
      <c r="AE202" s="60">
        <v>8.9723510740000005</v>
      </c>
      <c r="AF202" s="60">
        <v>13.486098289999999</v>
      </c>
      <c r="AG202" s="60">
        <v>18.998636250000001</v>
      </c>
      <c r="AH202" s="60">
        <v>18.025228500000001</v>
      </c>
      <c r="AI202" s="41">
        <v>2</v>
      </c>
      <c r="AJ202" s="41">
        <v>1</v>
      </c>
      <c r="AO202" s="50"/>
    </row>
    <row r="203" spans="1:41" ht="13">
      <c r="A203" s="4" t="s">
        <v>873</v>
      </c>
      <c r="B203" s="50" t="s">
        <v>12825</v>
      </c>
      <c r="C203" s="4" t="s">
        <v>639</v>
      </c>
      <c r="D203" s="4" t="s">
        <v>4926</v>
      </c>
      <c r="E203" s="4" t="s">
        <v>108</v>
      </c>
      <c r="F203" s="4" t="s">
        <v>9</v>
      </c>
      <c r="G203" s="4" t="s">
        <v>5035</v>
      </c>
      <c r="H203" s="4" t="s">
        <v>311</v>
      </c>
      <c r="I203" s="4">
        <v>4.0199999999999996</v>
      </c>
      <c r="J203" s="4">
        <v>0.94</v>
      </c>
      <c r="K203" s="4">
        <v>0.17848</v>
      </c>
      <c r="L203" s="4" t="s">
        <v>12272</v>
      </c>
      <c r="M203" s="4" t="s">
        <v>4929</v>
      </c>
      <c r="N203" s="60">
        <v>3.468833923</v>
      </c>
      <c r="O203" s="60">
        <v>3.0501346589999998</v>
      </c>
      <c r="P203" s="60">
        <v>4.6074233060000003</v>
      </c>
      <c r="Q203" s="60">
        <v>3.0501346589999998</v>
      </c>
      <c r="R203" s="51" t="b">
        <v>1</v>
      </c>
      <c r="S203" s="60">
        <v>4.450014114</v>
      </c>
      <c r="T203" s="60">
        <v>6.7484383579999996</v>
      </c>
      <c r="U203" s="60">
        <v>4.450014114</v>
      </c>
      <c r="V203" s="51" t="b">
        <v>0</v>
      </c>
      <c r="W203" s="60">
        <v>4.9595627779999996</v>
      </c>
      <c r="X203" s="60">
        <v>7.5753889079999999</v>
      </c>
      <c r="Y203" s="51" t="b">
        <v>0</v>
      </c>
      <c r="Z203" s="60">
        <v>1.100996852</v>
      </c>
      <c r="AA203" s="60">
        <v>3.067319393</v>
      </c>
      <c r="AB203" s="60">
        <v>5.1562047</v>
      </c>
      <c r="AC203" s="60">
        <v>7.0733542439999999</v>
      </c>
      <c r="AD203" s="60">
        <v>5.8389701839999999</v>
      </c>
      <c r="AE203" s="60">
        <v>8.2983598710000006</v>
      </c>
      <c r="AF203" s="60">
        <v>13.047259329999999</v>
      </c>
      <c r="AG203" s="60">
        <v>18.136989589999999</v>
      </c>
      <c r="AH203" s="60">
        <v>17.68327141</v>
      </c>
      <c r="AI203" s="41">
        <v>2</v>
      </c>
      <c r="AJ203" s="41">
        <v>1</v>
      </c>
      <c r="AO203" s="50"/>
    </row>
    <row r="204" spans="1:41" ht="13">
      <c r="A204" s="4" t="s">
        <v>874</v>
      </c>
      <c r="B204" s="50" t="s">
        <v>12786</v>
      </c>
      <c r="C204" s="4" t="s">
        <v>640</v>
      </c>
      <c r="D204" s="4" t="s">
        <v>4926</v>
      </c>
      <c r="E204" s="4" t="s">
        <v>108</v>
      </c>
      <c r="F204" s="4" t="s">
        <v>9</v>
      </c>
      <c r="G204" s="4" t="s">
        <v>5036</v>
      </c>
      <c r="H204" s="4" t="s">
        <v>755</v>
      </c>
      <c r="I204" s="4">
        <v>4.0999999999999996</v>
      </c>
      <c r="J204" s="4">
        <v>0.98</v>
      </c>
      <c r="K204" s="4">
        <v>0.19649</v>
      </c>
      <c r="L204" s="4" t="s">
        <v>12272</v>
      </c>
      <c r="M204" s="4" t="s">
        <v>4929</v>
      </c>
      <c r="N204" s="60">
        <v>3.7231891159999999</v>
      </c>
      <c r="O204" s="60">
        <v>4.3711862559999997</v>
      </c>
      <c r="P204" s="60">
        <v>3.0367016790000001</v>
      </c>
      <c r="Q204" s="60">
        <v>3.0367016790000001</v>
      </c>
      <c r="R204" s="51" t="b">
        <v>1</v>
      </c>
      <c r="S204" s="60">
        <v>3.3664374349999999</v>
      </c>
      <c r="T204" s="60">
        <v>5.9956903459999999</v>
      </c>
      <c r="U204" s="60">
        <v>3.3664374349999999</v>
      </c>
      <c r="V204" s="51" t="b">
        <v>0</v>
      </c>
      <c r="W204" s="60">
        <v>4.1960940359999999</v>
      </c>
      <c r="X204" s="60">
        <v>7.4606828690000002</v>
      </c>
      <c r="Y204" s="51" t="b">
        <v>0</v>
      </c>
      <c r="Z204" s="60">
        <v>0.48162791100000002</v>
      </c>
      <c r="AA204" s="60">
        <v>2.5383450980000002</v>
      </c>
      <c r="AB204" s="60">
        <v>5.9700455669999997</v>
      </c>
      <c r="AC204" s="60">
        <v>6.6223869320000004</v>
      </c>
      <c r="AD204" s="60">
        <v>5.671646118</v>
      </c>
      <c r="AE204" s="60">
        <v>8.4412965769999992</v>
      </c>
      <c r="AF204" s="60">
        <v>13.391348839999999</v>
      </c>
      <c r="AG204" s="60">
        <v>18.060226440000001</v>
      </c>
      <c r="AH204" s="60">
        <v>18.42991829</v>
      </c>
      <c r="AI204" s="41">
        <v>1</v>
      </c>
      <c r="AK204" s="41" t="s">
        <v>12785</v>
      </c>
      <c r="AO204" s="50"/>
    </row>
    <row r="205" spans="1:41" ht="13">
      <c r="A205" s="4" t="s">
        <v>875</v>
      </c>
      <c r="B205" s="50" t="s">
        <v>12734</v>
      </c>
      <c r="C205" s="4" t="s">
        <v>641</v>
      </c>
      <c r="D205" s="4" t="s">
        <v>4926</v>
      </c>
      <c r="E205" s="4" t="s">
        <v>108</v>
      </c>
      <c r="F205" s="4" t="s">
        <v>9</v>
      </c>
      <c r="G205" s="4" t="s">
        <v>5116</v>
      </c>
      <c r="H205" s="4" t="s">
        <v>756</v>
      </c>
      <c r="I205" s="4">
        <v>4.13</v>
      </c>
      <c r="J205" s="4">
        <v>0.96</v>
      </c>
      <c r="K205" s="4">
        <v>0.19852</v>
      </c>
      <c r="L205" s="4" t="s">
        <v>12722</v>
      </c>
      <c r="M205" s="4" t="s">
        <v>4929</v>
      </c>
      <c r="N205" s="60">
        <v>8.3246011729999996</v>
      </c>
      <c r="O205" s="60">
        <v>7.1220936779999997</v>
      </c>
      <c r="P205" s="60">
        <v>4.1845173840000003</v>
      </c>
      <c r="Q205" s="60">
        <v>4.1845173840000003</v>
      </c>
      <c r="R205" s="51" t="b">
        <v>0</v>
      </c>
      <c r="S205" s="60">
        <v>2.727283001</v>
      </c>
      <c r="T205" s="60">
        <v>2.9785575870000001</v>
      </c>
      <c r="U205" s="60">
        <v>2.727283001</v>
      </c>
      <c r="V205" s="51" t="b">
        <v>1</v>
      </c>
      <c r="W205" s="60">
        <v>6.0240941049999996</v>
      </c>
      <c r="X205" s="60">
        <v>6.1775703430000002</v>
      </c>
      <c r="Y205" s="51" t="b">
        <v>0</v>
      </c>
      <c r="Z205" s="60">
        <v>3.7015018460000002</v>
      </c>
      <c r="AA205" s="60">
        <v>1.9124075169999999</v>
      </c>
      <c r="AB205" s="60">
        <v>10.803568840000001</v>
      </c>
      <c r="AC205" s="60">
        <v>4.831087589</v>
      </c>
      <c r="AD205" s="60">
        <v>2.5645086770000001</v>
      </c>
      <c r="AE205" s="60">
        <v>6.2940826420000002</v>
      </c>
      <c r="AF205" s="60">
        <v>10.95952988</v>
      </c>
      <c r="AG205" s="60">
        <v>15.0280056</v>
      </c>
      <c r="AH205" s="60">
        <v>20.117179870000001</v>
      </c>
      <c r="AK205" s="41">
        <v>2</v>
      </c>
      <c r="AL205" s="41">
        <v>1</v>
      </c>
      <c r="AM205" s="41" t="s">
        <v>12727</v>
      </c>
      <c r="AO205" s="50"/>
    </row>
    <row r="206" spans="1:41" ht="13">
      <c r="A206" s="4" t="s">
        <v>876</v>
      </c>
      <c r="B206" s="41" t="s">
        <v>12844</v>
      </c>
      <c r="C206" s="4" t="s">
        <v>642</v>
      </c>
      <c r="D206" s="4" t="s">
        <v>4926</v>
      </c>
      <c r="E206" s="4" t="s">
        <v>108</v>
      </c>
      <c r="F206" s="4" t="s">
        <v>9</v>
      </c>
      <c r="G206" s="4" t="s">
        <v>5037</v>
      </c>
      <c r="H206" s="4" t="s">
        <v>757</v>
      </c>
      <c r="I206" s="4">
        <v>4.18</v>
      </c>
      <c r="J206" s="4">
        <v>0.97</v>
      </c>
      <c r="K206" s="4">
        <v>0.18876999999999999</v>
      </c>
      <c r="L206" s="4" t="s">
        <v>12272</v>
      </c>
      <c r="M206" s="4" t="s">
        <v>4929</v>
      </c>
      <c r="N206" s="60">
        <v>3.1038217540000002</v>
      </c>
      <c r="O206" s="60">
        <v>3.8371334080000001</v>
      </c>
      <c r="P206" s="60">
        <v>6.1916999820000003</v>
      </c>
      <c r="Q206" s="60">
        <v>3.1038217540000002</v>
      </c>
      <c r="R206" s="51" t="b">
        <v>1</v>
      </c>
      <c r="S206" s="60">
        <v>5.2178750039999997</v>
      </c>
      <c r="T206" s="60">
        <v>6.6021990779999999</v>
      </c>
      <c r="U206" s="60">
        <v>5.2178750039999997</v>
      </c>
      <c r="V206" s="51" t="b">
        <v>0</v>
      </c>
      <c r="W206" s="60">
        <v>3.8927304739999999</v>
      </c>
      <c r="X206" s="60">
        <v>2.9059295650000001</v>
      </c>
      <c r="Y206" s="51" t="b">
        <v>1</v>
      </c>
      <c r="Z206" s="60">
        <v>1.6269011499999999</v>
      </c>
      <c r="AA206" s="60">
        <v>4.757396698</v>
      </c>
      <c r="AB206" s="60">
        <v>2.939425945</v>
      </c>
      <c r="AC206" s="60">
        <v>8.4570627209999998</v>
      </c>
      <c r="AD206" s="60">
        <v>7.1770844460000003</v>
      </c>
      <c r="AE206" s="60">
        <v>8.8548574450000004</v>
      </c>
      <c r="AF206" s="60">
        <v>13.47147846</v>
      </c>
      <c r="AG206" s="60">
        <v>18.895429610000001</v>
      </c>
      <c r="AH206" s="60">
        <v>18.38293839</v>
      </c>
      <c r="AI206" s="41">
        <v>1</v>
      </c>
      <c r="AO206" s="50"/>
    </row>
    <row r="207" spans="1:41" ht="13">
      <c r="A207" s="4" t="s">
        <v>877</v>
      </c>
      <c r="B207" s="50" t="s">
        <v>12867</v>
      </c>
      <c r="C207" s="4" t="s">
        <v>643</v>
      </c>
      <c r="D207" s="4" t="s">
        <v>4926</v>
      </c>
      <c r="E207" s="4" t="s">
        <v>108</v>
      </c>
      <c r="F207" s="4" t="s">
        <v>9</v>
      </c>
      <c r="G207" s="4" t="s">
        <v>5038</v>
      </c>
      <c r="H207" s="4" t="s">
        <v>758</v>
      </c>
      <c r="I207" s="4">
        <v>4.2</v>
      </c>
      <c r="J207" s="4">
        <v>0.96</v>
      </c>
      <c r="K207" s="4">
        <v>0.18758</v>
      </c>
      <c r="L207" s="4" t="s">
        <v>12272</v>
      </c>
      <c r="M207" s="4" t="s">
        <v>4929</v>
      </c>
      <c r="N207" s="60">
        <v>2.9296061990000002</v>
      </c>
      <c r="O207" s="60">
        <v>3.7641270160000002</v>
      </c>
      <c r="P207" s="60">
        <v>7.2979478840000001</v>
      </c>
      <c r="Q207" s="60">
        <v>2.9296061990000002</v>
      </c>
      <c r="R207" s="51" t="b">
        <v>1</v>
      </c>
      <c r="S207" s="60">
        <v>5.9157352449999996</v>
      </c>
      <c r="T207" s="60">
        <v>7.4412789339999996</v>
      </c>
      <c r="U207" s="60">
        <v>5.9157352449999996</v>
      </c>
      <c r="V207" s="51" t="b">
        <v>0</v>
      </c>
      <c r="W207" s="60">
        <v>3.8351147170000002</v>
      </c>
      <c r="X207" s="60">
        <v>3.0946650509999998</v>
      </c>
      <c r="Y207" s="51" t="b">
        <v>1</v>
      </c>
      <c r="Z207" s="60">
        <v>1.395184398</v>
      </c>
      <c r="AA207" s="60">
        <v>4.0223112109999999</v>
      </c>
      <c r="AB207" s="60">
        <v>2.1388578410000001</v>
      </c>
      <c r="AC207" s="60">
        <v>7.9861178400000004</v>
      </c>
      <c r="AD207" s="60">
        <v>6.6962194439999996</v>
      </c>
      <c r="AE207" s="60">
        <v>8.2362766270000005</v>
      </c>
      <c r="AF207" s="60">
        <v>12.58618736</v>
      </c>
      <c r="AG207" s="60">
        <v>18.292469019999999</v>
      </c>
      <c r="AH207" s="60">
        <v>18.536247249999999</v>
      </c>
      <c r="AI207" s="41">
        <v>1</v>
      </c>
      <c r="AO207" s="50"/>
    </row>
    <row r="208" spans="1:41" ht="13">
      <c r="A208" s="4" t="s">
        <v>878</v>
      </c>
      <c r="B208" s="50" t="s">
        <v>12861</v>
      </c>
      <c r="C208" s="4" t="s">
        <v>644</v>
      </c>
      <c r="D208" s="4" t="s">
        <v>4926</v>
      </c>
      <c r="E208" s="4" t="s">
        <v>108</v>
      </c>
      <c r="F208" s="4" t="s">
        <v>9</v>
      </c>
      <c r="G208" s="4" t="s">
        <v>5039</v>
      </c>
      <c r="H208" s="4" t="s">
        <v>759</v>
      </c>
      <c r="I208" s="4">
        <v>4.2300000000000004</v>
      </c>
      <c r="J208" s="4">
        <v>1.02</v>
      </c>
      <c r="K208" s="4">
        <v>0.19713</v>
      </c>
      <c r="L208" s="4" t="s">
        <v>12272</v>
      </c>
      <c r="M208" s="4" t="s">
        <v>4929</v>
      </c>
      <c r="N208" s="60">
        <v>3.0384244919999999</v>
      </c>
      <c r="O208" s="60">
        <v>5.6424860949999998</v>
      </c>
      <c r="P208" s="60">
        <v>6.7870297429999997</v>
      </c>
      <c r="Q208" s="60">
        <v>3.0384244919999999</v>
      </c>
      <c r="R208" s="51" t="b">
        <v>1</v>
      </c>
      <c r="S208" s="60">
        <v>5.8097400669999999</v>
      </c>
      <c r="T208" s="60">
        <v>6.692825794</v>
      </c>
      <c r="U208" s="60">
        <v>5.8097400669999999</v>
      </c>
      <c r="V208" s="51" t="b">
        <v>0</v>
      </c>
      <c r="W208" s="60">
        <v>4.090223312</v>
      </c>
      <c r="X208" s="60">
        <v>3.247222662</v>
      </c>
      <c r="Y208" s="51" t="b">
        <v>1</v>
      </c>
      <c r="Z208" s="60">
        <v>2.0945661069999999</v>
      </c>
      <c r="AA208" s="60">
        <v>3.4006066320000001</v>
      </c>
      <c r="AB208" s="60">
        <v>2.7070109840000001</v>
      </c>
      <c r="AC208" s="60">
        <v>7.4496006970000002</v>
      </c>
      <c r="AD208" s="60">
        <v>5.7962980269999997</v>
      </c>
      <c r="AE208" s="60">
        <v>7.5206398959999996</v>
      </c>
      <c r="AF208" s="60">
        <v>12.296311380000001</v>
      </c>
      <c r="AG208" s="60">
        <v>17.394964219999999</v>
      </c>
      <c r="AH208" s="60">
        <v>18.94540405</v>
      </c>
      <c r="AI208" s="41">
        <v>1</v>
      </c>
      <c r="AO208" s="50"/>
    </row>
    <row r="209" spans="1:41" ht="13">
      <c r="A209" s="4" t="s">
        <v>879</v>
      </c>
      <c r="B209" s="50" t="s">
        <v>12860</v>
      </c>
      <c r="C209" s="4" t="s">
        <v>645</v>
      </c>
      <c r="D209" s="4" t="s">
        <v>4926</v>
      </c>
      <c r="E209" s="4" t="s">
        <v>108</v>
      </c>
      <c r="F209" s="4" t="s">
        <v>9</v>
      </c>
      <c r="G209" s="4" t="s">
        <v>5040</v>
      </c>
      <c r="H209" s="4" t="s">
        <v>760</v>
      </c>
      <c r="I209" s="4">
        <v>4.32</v>
      </c>
      <c r="J209" s="4">
        <v>0.98</v>
      </c>
      <c r="K209" s="4">
        <v>0.19086</v>
      </c>
      <c r="L209" s="4" t="s">
        <v>12272</v>
      </c>
      <c r="M209" s="4" t="s">
        <v>4929</v>
      </c>
      <c r="N209" s="60">
        <v>2.6761693950000001</v>
      </c>
      <c r="O209" s="60">
        <v>4.0021572110000001</v>
      </c>
      <c r="P209" s="60">
        <v>6.9086513519999997</v>
      </c>
      <c r="Q209" s="60">
        <v>2.6761693950000001</v>
      </c>
      <c r="R209" s="51" t="b">
        <v>1</v>
      </c>
      <c r="S209" s="60">
        <v>5.7692136759999997</v>
      </c>
      <c r="T209" s="60">
        <v>6.6647667879999997</v>
      </c>
      <c r="U209" s="60">
        <v>5.7692136759999997</v>
      </c>
      <c r="V209" s="51" t="b">
        <v>0</v>
      </c>
      <c r="W209" s="60">
        <v>3.927461863</v>
      </c>
      <c r="X209" s="60">
        <v>4.9085936549999998</v>
      </c>
      <c r="Y209" s="51" t="b">
        <v>0</v>
      </c>
      <c r="Z209" s="60">
        <v>1.8071068530000001</v>
      </c>
      <c r="AA209" s="60">
        <v>2.7664856910000002</v>
      </c>
      <c r="AB209" s="60">
        <v>2.0273435119999998</v>
      </c>
      <c r="AC209" s="60">
        <v>6.7630043029999998</v>
      </c>
      <c r="AD209" s="60">
        <v>5.635449886</v>
      </c>
      <c r="AE209" s="60">
        <v>8.223175049</v>
      </c>
      <c r="AF209" s="60">
        <v>12.846150400000001</v>
      </c>
      <c r="AG209" s="60">
        <v>17.978652950000001</v>
      </c>
      <c r="AH209" s="60">
        <v>18.50461769</v>
      </c>
      <c r="AI209" s="41">
        <v>1</v>
      </c>
      <c r="AO209" s="50"/>
    </row>
    <row r="210" spans="1:41" ht="13">
      <c r="A210" s="4" t="s">
        <v>880</v>
      </c>
      <c r="B210" s="50" t="s">
        <v>12742</v>
      </c>
      <c r="C210" s="4" t="s">
        <v>646</v>
      </c>
      <c r="D210" s="4" t="s">
        <v>4926</v>
      </c>
      <c r="E210" s="4" t="s">
        <v>108</v>
      </c>
      <c r="F210" s="4" t="s">
        <v>9</v>
      </c>
      <c r="G210" s="4" t="s">
        <v>5117</v>
      </c>
      <c r="H210" s="4" t="s">
        <v>761</v>
      </c>
      <c r="I210" s="4">
        <v>4.37</v>
      </c>
      <c r="J210" s="4">
        <v>0.98</v>
      </c>
      <c r="K210" s="4">
        <v>0.21248</v>
      </c>
      <c r="L210" s="4" t="s">
        <v>12722</v>
      </c>
      <c r="M210" s="4" t="s">
        <v>4929</v>
      </c>
      <c r="N210" s="60">
        <v>8.7376165389999993</v>
      </c>
      <c r="O210" s="60">
        <v>7.3571853640000002</v>
      </c>
      <c r="P210" s="60">
        <v>4.101858139</v>
      </c>
      <c r="Q210" s="60">
        <v>4.101858139</v>
      </c>
      <c r="R210" s="51" t="b">
        <v>0</v>
      </c>
      <c r="S210" s="60">
        <v>2.7747368809999999</v>
      </c>
      <c r="T210" s="60">
        <v>3.079398394</v>
      </c>
      <c r="U210" s="60">
        <v>2.7747368809999999</v>
      </c>
      <c r="V210" s="51" t="b">
        <v>1</v>
      </c>
      <c r="W210" s="60">
        <v>6.1466126440000002</v>
      </c>
      <c r="X210" s="60">
        <v>10.257113459999999</v>
      </c>
      <c r="Y210" s="51" t="b">
        <v>0</v>
      </c>
      <c r="Z210" s="60">
        <v>3.9629967210000001</v>
      </c>
      <c r="AA210" s="60">
        <v>1.2375211719999999</v>
      </c>
      <c r="AB210" s="60">
        <v>11.155886649999999</v>
      </c>
      <c r="AC210" s="60">
        <v>4.9954490659999999</v>
      </c>
      <c r="AD210" s="60">
        <v>1.23028636</v>
      </c>
      <c r="AE210" s="60">
        <v>5.0346503260000004</v>
      </c>
      <c r="AF210" s="60">
        <v>9.7692308430000008</v>
      </c>
      <c r="AG210" s="60">
        <v>13.991503720000001</v>
      </c>
      <c r="AH210" s="60">
        <v>20.49452209</v>
      </c>
      <c r="AK210" s="41">
        <v>2</v>
      </c>
      <c r="AL210" s="41">
        <v>1</v>
      </c>
      <c r="AM210" s="41" t="s">
        <v>12727</v>
      </c>
      <c r="AO210" s="50"/>
    </row>
    <row r="211" spans="1:41" ht="13">
      <c r="A211" s="4" t="s">
        <v>881</v>
      </c>
      <c r="B211" s="50" t="s">
        <v>12739</v>
      </c>
      <c r="C211" s="4" t="s">
        <v>647</v>
      </c>
      <c r="D211" s="4" t="s">
        <v>4926</v>
      </c>
      <c r="E211" s="4" t="s">
        <v>108</v>
      </c>
      <c r="F211" s="4" t="s">
        <v>9</v>
      </c>
      <c r="G211" s="4" t="s">
        <v>5118</v>
      </c>
      <c r="H211" s="4" t="s">
        <v>762</v>
      </c>
      <c r="I211" s="4">
        <v>2.25</v>
      </c>
      <c r="J211" s="4">
        <v>0.94</v>
      </c>
      <c r="K211" s="4">
        <v>0.18715999999999999</v>
      </c>
      <c r="L211" s="4" t="s">
        <v>12722</v>
      </c>
      <c r="M211" s="4" t="s">
        <v>4929</v>
      </c>
      <c r="N211" s="60">
        <v>9.4790773389999998</v>
      </c>
      <c r="O211" s="60">
        <v>8.1744070050000008</v>
      </c>
      <c r="P211" s="60">
        <v>4.3504009249999998</v>
      </c>
      <c r="Q211" s="60">
        <v>4.3504009249999998</v>
      </c>
      <c r="R211" s="51" t="b">
        <v>0</v>
      </c>
      <c r="S211" s="60">
        <v>2.7844269279999998</v>
      </c>
      <c r="T211" s="60">
        <v>2.7514112000000002</v>
      </c>
      <c r="U211" s="60">
        <v>2.7514112000000002</v>
      </c>
      <c r="V211" s="51" t="b">
        <v>1</v>
      </c>
      <c r="W211" s="60">
        <v>5.1903905869999996</v>
      </c>
      <c r="X211" s="60">
        <v>7.9884819980000001</v>
      </c>
      <c r="Y211" s="51" t="b">
        <v>0</v>
      </c>
      <c r="Z211" s="60">
        <v>4.713369846</v>
      </c>
      <c r="AA211" s="60">
        <v>1.061199784</v>
      </c>
      <c r="AB211" s="60">
        <v>11.219775200000001</v>
      </c>
      <c r="AC211" s="60">
        <v>0.921408534</v>
      </c>
      <c r="AD211" s="60">
        <v>6.9654984469999999</v>
      </c>
      <c r="AE211" s="60">
        <v>9.7763614650000008</v>
      </c>
      <c r="AF211" s="60">
        <v>14.72529697</v>
      </c>
      <c r="AG211" s="60">
        <v>18.936201100000002</v>
      </c>
      <c r="AH211" s="60">
        <v>22.1516819</v>
      </c>
      <c r="AK211" s="41">
        <v>2</v>
      </c>
      <c r="AL211" s="41">
        <v>1</v>
      </c>
      <c r="AM211" s="41" t="s">
        <v>12724</v>
      </c>
      <c r="AO211" s="50"/>
    </row>
    <row r="212" spans="1:41" ht="13">
      <c r="A212" s="4" t="s">
        <v>882</v>
      </c>
      <c r="B212" s="50" t="s">
        <v>12910</v>
      </c>
      <c r="C212" s="4" t="s">
        <v>648</v>
      </c>
      <c r="D212" s="4" t="s">
        <v>4926</v>
      </c>
      <c r="E212" s="4" t="s">
        <v>108</v>
      </c>
      <c r="F212" s="4" t="s">
        <v>9</v>
      </c>
      <c r="G212" s="4" t="s">
        <v>5041</v>
      </c>
      <c r="H212" s="4" t="s">
        <v>763</v>
      </c>
      <c r="I212" s="4">
        <v>2.2799999999999998</v>
      </c>
      <c r="J212" s="4">
        <v>0.94</v>
      </c>
      <c r="K212" s="4">
        <v>0.18595999999999999</v>
      </c>
      <c r="L212" s="4" t="s">
        <v>12272</v>
      </c>
      <c r="M212" s="4" t="s">
        <v>4929</v>
      </c>
      <c r="N212" s="60">
        <v>4.5004811289999997</v>
      </c>
      <c r="O212" s="60">
        <v>6.2968525890000002</v>
      </c>
      <c r="P212" s="60">
        <v>10.27186489</v>
      </c>
      <c r="Q212" s="60">
        <v>4.5004811289999997</v>
      </c>
      <c r="R212" s="51" t="b">
        <v>0</v>
      </c>
      <c r="S212" s="60">
        <v>8.7224197389999993</v>
      </c>
      <c r="T212" s="60">
        <v>9.5743217470000008</v>
      </c>
      <c r="U212" s="60">
        <v>8.7224197389999993</v>
      </c>
      <c r="V212" s="51" t="b">
        <v>0</v>
      </c>
      <c r="W212" s="60">
        <v>3.95269227</v>
      </c>
      <c r="X212" s="60">
        <v>2.9896354679999999</v>
      </c>
      <c r="Y212" s="51" t="b">
        <v>1</v>
      </c>
      <c r="Z212" s="60">
        <v>1.817821264</v>
      </c>
      <c r="AA212" s="60">
        <v>4.4917125699999998</v>
      </c>
      <c r="AB212" s="60">
        <v>2.759624004</v>
      </c>
      <c r="AC212" s="60">
        <v>8.2334690090000002</v>
      </c>
      <c r="AD212" s="60">
        <v>6.851903439</v>
      </c>
      <c r="AE212" s="60">
        <v>8.2749977109999993</v>
      </c>
      <c r="AF212" s="60">
        <v>12.93005466</v>
      </c>
      <c r="AG212" s="60">
        <v>18.31738472</v>
      </c>
      <c r="AH212" s="60">
        <v>18.427627560000001</v>
      </c>
      <c r="AO212" s="50"/>
    </row>
    <row r="213" spans="1:41" ht="13">
      <c r="A213" s="4" t="s">
        <v>883</v>
      </c>
      <c r="B213" s="50" t="s">
        <v>12758</v>
      </c>
      <c r="C213" s="4" t="s">
        <v>649</v>
      </c>
      <c r="D213" s="4" t="s">
        <v>4926</v>
      </c>
      <c r="E213" s="4" t="s">
        <v>108</v>
      </c>
      <c r="F213" s="4" t="s">
        <v>9</v>
      </c>
      <c r="G213" s="4" t="s">
        <v>5119</v>
      </c>
      <c r="H213" s="4" t="s">
        <v>764</v>
      </c>
      <c r="I213" s="4">
        <v>2.35</v>
      </c>
      <c r="J213" s="4">
        <v>1.01</v>
      </c>
      <c r="K213" s="4">
        <v>0.2046</v>
      </c>
      <c r="L213" s="4" t="s">
        <v>12722</v>
      </c>
      <c r="M213" s="4" t="s">
        <v>4929</v>
      </c>
      <c r="N213" s="60">
        <v>8.7785415649999994</v>
      </c>
      <c r="O213" s="60">
        <v>7.3938565250000003</v>
      </c>
      <c r="P213" s="60">
        <v>4.133228302</v>
      </c>
      <c r="Q213" s="60">
        <v>4.133228302</v>
      </c>
      <c r="R213" s="51" t="b">
        <v>0</v>
      </c>
      <c r="S213" s="60">
        <v>2.8823351860000002</v>
      </c>
      <c r="T213" s="60">
        <v>3.1029329300000001</v>
      </c>
      <c r="U213" s="60">
        <v>2.8823351860000002</v>
      </c>
      <c r="V213" s="51" t="b">
        <v>1</v>
      </c>
      <c r="W213" s="60">
        <v>5.7960877420000001</v>
      </c>
      <c r="X213" s="60">
        <v>5.6366014480000004</v>
      </c>
      <c r="Y213" s="51" t="b">
        <v>0</v>
      </c>
      <c r="Z213" s="60">
        <v>3.9323589800000001</v>
      </c>
      <c r="AA213" s="60">
        <v>1.7590538259999999</v>
      </c>
      <c r="AB213" s="60">
        <v>10.694199559999999</v>
      </c>
      <c r="AC213" s="60">
        <v>4.9649548530000001</v>
      </c>
      <c r="AD213" s="60">
        <v>2.206054688</v>
      </c>
      <c r="AE213" s="60">
        <v>5.4474067689999996</v>
      </c>
      <c r="AF213" s="60">
        <v>10.42034054</v>
      </c>
      <c r="AG213" s="60">
        <v>14.93878746</v>
      </c>
      <c r="AH213" s="60">
        <v>20.91366386</v>
      </c>
      <c r="AK213" s="41">
        <v>2</v>
      </c>
      <c r="AL213" s="41">
        <v>1</v>
      </c>
      <c r="AM213" s="41" t="s">
        <v>12727</v>
      </c>
      <c r="AO213" s="50"/>
    </row>
    <row r="214" spans="1:41" ht="13">
      <c r="A214" s="4" t="s">
        <v>884</v>
      </c>
      <c r="B214" s="50" t="s">
        <v>12732</v>
      </c>
      <c r="C214" s="4" t="s">
        <v>650</v>
      </c>
      <c r="D214" s="4" t="s">
        <v>4926</v>
      </c>
      <c r="E214" s="4" t="s">
        <v>108</v>
      </c>
      <c r="F214" s="4" t="s">
        <v>9</v>
      </c>
      <c r="G214" s="4" t="s">
        <v>5120</v>
      </c>
      <c r="H214" s="4" t="s">
        <v>765</v>
      </c>
      <c r="I214" s="4">
        <v>2.38</v>
      </c>
      <c r="J214" s="4">
        <v>1.05</v>
      </c>
      <c r="K214" s="4">
        <v>0.20136999999999999</v>
      </c>
      <c r="L214" s="4" t="s">
        <v>12722</v>
      </c>
      <c r="M214" s="4" t="s">
        <v>4929</v>
      </c>
      <c r="N214" s="60">
        <v>9.7188215259999993</v>
      </c>
      <c r="O214" s="60">
        <v>7.7909913059999996</v>
      </c>
      <c r="P214" s="60">
        <v>4.1353859899999996</v>
      </c>
      <c r="Q214" s="60">
        <v>4.1353859899999996</v>
      </c>
      <c r="R214" s="51" t="b">
        <v>0</v>
      </c>
      <c r="S214" s="60">
        <v>2.701712847</v>
      </c>
      <c r="T214" s="60">
        <v>2.8270936010000001</v>
      </c>
      <c r="U214" s="60">
        <v>2.701712847</v>
      </c>
      <c r="V214" s="51" t="b">
        <v>1</v>
      </c>
      <c r="W214" s="60">
        <v>6.0469083789999996</v>
      </c>
      <c r="X214" s="60">
        <v>10.72634315</v>
      </c>
      <c r="Y214" s="51" t="b">
        <v>0</v>
      </c>
      <c r="Z214" s="60">
        <v>4.407181263</v>
      </c>
      <c r="AA214" s="60">
        <v>1.114273906</v>
      </c>
      <c r="AB214" s="60">
        <v>11.85698318</v>
      </c>
      <c r="AC214" s="60">
        <v>0.53749066599999995</v>
      </c>
      <c r="AD214" s="60">
        <v>6.9202561380000001</v>
      </c>
      <c r="AE214" s="60">
        <v>10.44613743</v>
      </c>
      <c r="AF214" s="60">
        <v>15.42691422</v>
      </c>
      <c r="AG214" s="60">
        <v>19.199056630000001</v>
      </c>
      <c r="AH214" s="60">
        <v>21.921510699999999</v>
      </c>
      <c r="AK214" s="41">
        <v>2</v>
      </c>
      <c r="AL214" s="41">
        <v>1</v>
      </c>
      <c r="AM214" s="41" t="s">
        <v>12724</v>
      </c>
      <c r="AO214" s="50"/>
    </row>
    <row r="215" spans="1:41" ht="13">
      <c r="A215" s="4" t="s">
        <v>885</v>
      </c>
      <c r="B215" s="50" t="s">
        <v>12889</v>
      </c>
      <c r="C215" s="4" t="s">
        <v>651</v>
      </c>
      <c r="D215" s="4" t="s">
        <v>4926</v>
      </c>
      <c r="E215" s="4" t="s">
        <v>108</v>
      </c>
      <c r="F215" s="4" t="s">
        <v>9</v>
      </c>
      <c r="G215" s="4" t="s">
        <v>5042</v>
      </c>
      <c r="H215" s="4" t="s">
        <v>766</v>
      </c>
      <c r="I215" s="4">
        <v>2.82</v>
      </c>
      <c r="J215" s="4">
        <v>0.97</v>
      </c>
      <c r="K215" s="4">
        <v>0.19081999999999999</v>
      </c>
      <c r="L215" s="4" t="s">
        <v>12272</v>
      </c>
      <c r="M215" s="4" t="s">
        <v>4929</v>
      </c>
      <c r="N215" s="60">
        <v>5.323552608</v>
      </c>
      <c r="O215" s="60">
        <v>6.6849131579999996</v>
      </c>
      <c r="P215" s="60">
        <v>8.3190622330000004</v>
      </c>
      <c r="Q215" s="60">
        <v>5.323552608</v>
      </c>
      <c r="R215" s="51" t="b">
        <v>0</v>
      </c>
      <c r="S215" s="60">
        <v>7.0927324299999999</v>
      </c>
      <c r="T215" s="60">
        <v>8.0237455369999999</v>
      </c>
      <c r="U215" s="60">
        <v>7.0927324299999999</v>
      </c>
      <c r="V215" s="51" t="b">
        <v>0</v>
      </c>
      <c r="W215" s="60">
        <v>4.1625862119999999</v>
      </c>
      <c r="X215" s="60">
        <v>3.1585018630000001</v>
      </c>
      <c r="Y215" s="51" t="b">
        <v>1</v>
      </c>
      <c r="Z215" s="60">
        <v>1.603239179</v>
      </c>
      <c r="AA215" s="60">
        <v>5.8007893560000001</v>
      </c>
      <c r="AB215" s="60">
        <v>3.3568694589999999</v>
      </c>
      <c r="AC215" s="60">
        <v>8.9561767579999998</v>
      </c>
      <c r="AD215" s="60">
        <v>7.2834815979999998</v>
      </c>
      <c r="AE215" s="60">
        <v>7.6529836649999998</v>
      </c>
      <c r="AF215" s="60">
        <v>12.048296929999999</v>
      </c>
      <c r="AG215" s="60">
        <v>17.494152069999998</v>
      </c>
      <c r="AH215" s="60">
        <v>18.59358215</v>
      </c>
      <c r="AO215" s="50"/>
    </row>
    <row r="216" spans="1:41" ht="13">
      <c r="A216" s="4" t="s">
        <v>886</v>
      </c>
      <c r="B216" s="50" t="s">
        <v>12731</v>
      </c>
      <c r="C216" s="4" t="s">
        <v>652</v>
      </c>
      <c r="D216" s="4" t="s">
        <v>4926</v>
      </c>
      <c r="E216" s="4" t="s">
        <v>108</v>
      </c>
      <c r="F216" s="4" t="s">
        <v>9</v>
      </c>
      <c r="G216" s="4" t="s">
        <v>5121</v>
      </c>
      <c r="H216" s="4" t="s">
        <v>767</v>
      </c>
      <c r="I216" s="4">
        <v>2.88</v>
      </c>
      <c r="J216" s="4">
        <v>0.97</v>
      </c>
      <c r="K216" s="4">
        <v>0.19277</v>
      </c>
      <c r="L216" s="4" t="s">
        <v>12722</v>
      </c>
      <c r="M216" s="4" t="s">
        <v>4929</v>
      </c>
      <c r="N216" s="60">
        <v>8.8591804500000002</v>
      </c>
      <c r="O216" s="60">
        <v>7.4781723019999999</v>
      </c>
      <c r="P216" s="60">
        <v>4.0186300279999996</v>
      </c>
      <c r="Q216" s="60">
        <v>4.0186300279999996</v>
      </c>
      <c r="R216" s="51" t="b">
        <v>0</v>
      </c>
      <c r="S216" s="60">
        <v>2.6946012970000002</v>
      </c>
      <c r="T216" s="60">
        <v>2.8650705809999999</v>
      </c>
      <c r="U216" s="60">
        <v>2.6946012970000002</v>
      </c>
      <c r="V216" s="51" t="b">
        <v>1</v>
      </c>
      <c r="W216" s="60">
        <v>4.8910474779999999</v>
      </c>
      <c r="X216" s="60">
        <v>7.4922571180000004</v>
      </c>
      <c r="Y216" s="51" t="b">
        <v>0</v>
      </c>
      <c r="Z216" s="60">
        <v>4.1583070759999998</v>
      </c>
      <c r="AA216" s="60">
        <v>1.159195304</v>
      </c>
      <c r="AB216" s="60">
        <v>10.60519981</v>
      </c>
      <c r="AC216" s="60">
        <v>0.89835012000000003</v>
      </c>
      <c r="AD216" s="60">
        <v>6.2790412900000003</v>
      </c>
      <c r="AE216" s="60">
        <v>9.8418159480000007</v>
      </c>
      <c r="AF216" s="60">
        <v>14.768045430000001</v>
      </c>
      <c r="AG216" s="60">
        <v>18.519838329999999</v>
      </c>
      <c r="AH216" s="60">
        <v>21.52334595</v>
      </c>
      <c r="AK216" s="41">
        <v>2</v>
      </c>
      <c r="AL216" s="41">
        <v>1</v>
      </c>
      <c r="AM216" s="41" t="s">
        <v>12724</v>
      </c>
      <c r="AO216" s="50"/>
    </row>
    <row r="217" spans="1:41" ht="13">
      <c r="A217" s="4" t="s">
        <v>887</v>
      </c>
      <c r="B217" s="50" t="s">
        <v>12728</v>
      </c>
      <c r="C217" s="4" t="s">
        <v>653</v>
      </c>
      <c r="D217" s="4" t="s">
        <v>4926</v>
      </c>
      <c r="E217" s="4" t="s">
        <v>108</v>
      </c>
      <c r="F217" s="4" t="s">
        <v>9</v>
      </c>
      <c r="G217" s="4" t="s">
        <v>5122</v>
      </c>
      <c r="H217" s="4" t="s">
        <v>768</v>
      </c>
      <c r="I217" s="4">
        <v>2.9</v>
      </c>
      <c r="J217" s="4">
        <v>0.95</v>
      </c>
      <c r="K217" s="4">
        <v>0.18737999999999999</v>
      </c>
      <c r="L217" s="4" t="s">
        <v>12722</v>
      </c>
      <c r="M217" s="4" t="s">
        <v>4929</v>
      </c>
      <c r="N217" s="60">
        <v>9.024486542</v>
      </c>
      <c r="O217" s="60">
        <v>7.6925196649999998</v>
      </c>
      <c r="P217" s="60">
        <v>4.1325402259999997</v>
      </c>
      <c r="Q217" s="60">
        <v>4.1325402259999997</v>
      </c>
      <c r="R217" s="51" t="b">
        <v>0</v>
      </c>
      <c r="S217" s="60">
        <v>2.6669950490000001</v>
      </c>
      <c r="T217" s="60">
        <v>2.7484891409999999</v>
      </c>
      <c r="U217" s="60">
        <v>2.6669950490000001</v>
      </c>
      <c r="V217" s="51" t="b">
        <v>1</v>
      </c>
      <c r="W217" s="60">
        <v>5.5478200910000002</v>
      </c>
      <c r="X217" s="60">
        <v>8.6058950420000002</v>
      </c>
      <c r="Y217" s="51" t="b">
        <v>0</v>
      </c>
      <c r="Z217" s="60">
        <v>4.2881288529999999</v>
      </c>
      <c r="AA217" s="60">
        <v>1.284122467</v>
      </c>
      <c r="AB217" s="60">
        <v>11.795648570000001</v>
      </c>
      <c r="AC217" s="60">
        <v>0.61582803699999999</v>
      </c>
      <c r="AD217" s="60">
        <v>6.2527604099999996</v>
      </c>
      <c r="AE217" s="60">
        <v>9.8116312029999992</v>
      </c>
      <c r="AF217" s="60">
        <v>14.77738094</v>
      </c>
      <c r="AG217" s="60">
        <v>18.437810899999999</v>
      </c>
      <c r="AH217" s="60">
        <v>21.70809174</v>
      </c>
      <c r="AK217" s="41">
        <v>2</v>
      </c>
      <c r="AL217" s="41">
        <v>1</v>
      </c>
      <c r="AM217" s="41" t="s">
        <v>12724</v>
      </c>
      <c r="AO217" s="50"/>
    </row>
    <row r="218" spans="1:41" ht="13">
      <c r="A218" s="4" t="s">
        <v>888</v>
      </c>
      <c r="B218" s="50" t="s">
        <v>12748</v>
      </c>
      <c r="C218" s="4" t="s">
        <v>654</v>
      </c>
      <c r="D218" s="4" t="s">
        <v>4926</v>
      </c>
      <c r="E218" s="4" t="s">
        <v>108</v>
      </c>
      <c r="F218" s="4" t="s">
        <v>9</v>
      </c>
      <c r="G218" s="4" t="s">
        <v>5123</v>
      </c>
      <c r="H218" s="4" t="s">
        <v>769</v>
      </c>
      <c r="I218" s="4">
        <v>2.95</v>
      </c>
      <c r="J218" s="4">
        <v>0.97</v>
      </c>
      <c r="K218" s="4">
        <v>0.19001999999999999</v>
      </c>
      <c r="L218" s="4" t="s">
        <v>12722</v>
      </c>
      <c r="M218" s="4" t="s">
        <v>4929</v>
      </c>
      <c r="N218" s="60">
        <v>8.7539920809999998</v>
      </c>
      <c r="O218" s="60">
        <v>7.3757162090000001</v>
      </c>
      <c r="P218" s="60">
        <v>4.108512878</v>
      </c>
      <c r="Q218" s="60">
        <v>4.108512878</v>
      </c>
      <c r="R218" s="51" t="b">
        <v>0</v>
      </c>
      <c r="S218" s="60">
        <v>2.813355923</v>
      </c>
      <c r="T218" s="60">
        <v>4.6578149800000004</v>
      </c>
      <c r="U218" s="60">
        <v>2.813355923</v>
      </c>
      <c r="V218" s="51" t="b">
        <v>1</v>
      </c>
      <c r="W218" s="60">
        <v>6.3415894509999999</v>
      </c>
      <c r="X218" s="60">
        <v>6.7440619469999996</v>
      </c>
      <c r="Y218" s="51" t="b">
        <v>0</v>
      </c>
      <c r="Z218" s="60">
        <v>3.8761141299999999</v>
      </c>
      <c r="AA218" s="60">
        <v>2.595060825</v>
      </c>
      <c r="AB218" s="60">
        <v>10.862323760000001</v>
      </c>
      <c r="AC218" s="60">
        <v>6.6717438700000002</v>
      </c>
      <c r="AD218" s="60">
        <v>0.81175172299999998</v>
      </c>
      <c r="AE218" s="60">
        <v>4.6937851909999999</v>
      </c>
      <c r="AF218" s="60">
        <v>9.5065259930000003</v>
      </c>
      <c r="AG218" s="60">
        <v>13.577027319999999</v>
      </c>
      <c r="AH218" s="60">
        <v>20.577299119999999</v>
      </c>
      <c r="AK218" s="41">
        <v>1</v>
      </c>
      <c r="AL218" s="41">
        <v>1</v>
      </c>
      <c r="AM218" s="41" t="s">
        <v>12727</v>
      </c>
      <c r="AO218" s="50"/>
    </row>
    <row r="219" spans="1:41" ht="13">
      <c r="A219" s="4" t="s">
        <v>889</v>
      </c>
      <c r="B219" s="50" t="s">
        <v>12729</v>
      </c>
      <c r="C219" s="4" t="s">
        <v>655</v>
      </c>
      <c r="D219" s="4" t="s">
        <v>4926</v>
      </c>
      <c r="E219" s="4" t="s">
        <v>108</v>
      </c>
      <c r="F219" s="4" t="s">
        <v>9</v>
      </c>
      <c r="G219" s="4" t="s">
        <v>5124</v>
      </c>
      <c r="H219" s="4" t="s">
        <v>770</v>
      </c>
      <c r="I219" s="4">
        <v>2.98</v>
      </c>
      <c r="J219" s="4">
        <v>0.94</v>
      </c>
      <c r="K219" s="4">
        <v>0.18367</v>
      </c>
      <c r="L219" s="4" t="s">
        <v>12722</v>
      </c>
      <c r="M219" s="4" t="s">
        <v>4929</v>
      </c>
      <c r="N219" s="60">
        <v>9.6315965650000006</v>
      </c>
      <c r="O219" s="60">
        <v>7.8407258989999997</v>
      </c>
      <c r="P219" s="60">
        <v>4.146770954</v>
      </c>
      <c r="Q219" s="60">
        <v>4.146770954</v>
      </c>
      <c r="R219" s="51" t="b">
        <v>0</v>
      </c>
      <c r="S219" s="60">
        <v>2.674631357</v>
      </c>
      <c r="T219" s="60">
        <v>2.9183135029999998</v>
      </c>
      <c r="U219" s="60">
        <v>2.674631357</v>
      </c>
      <c r="V219" s="51" t="b">
        <v>1</v>
      </c>
      <c r="W219" s="60">
        <v>5.647593498</v>
      </c>
      <c r="X219" s="60">
        <v>10.3981142</v>
      </c>
      <c r="Y219" s="51" t="b">
        <v>0</v>
      </c>
      <c r="Z219" s="60">
        <v>4.4581246380000001</v>
      </c>
      <c r="AA219" s="60">
        <v>1.0821696519999999</v>
      </c>
      <c r="AB219" s="60">
        <v>11.924077029999999</v>
      </c>
      <c r="AC219" s="60">
        <v>0.50917798299999995</v>
      </c>
      <c r="AD219" s="60">
        <v>6.854549885</v>
      </c>
      <c r="AE219" s="60">
        <v>10.37195492</v>
      </c>
      <c r="AF219" s="60">
        <v>15.30101204</v>
      </c>
      <c r="AG219" s="60">
        <v>18.626276019999999</v>
      </c>
      <c r="AH219" s="60">
        <v>21.9183445</v>
      </c>
      <c r="AK219" s="41">
        <v>2</v>
      </c>
      <c r="AL219" s="41">
        <v>1</v>
      </c>
      <c r="AM219" s="41" t="s">
        <v>12724</v>
      </c>
      <c r="AO219" s="50"/>
    </row>
    <row r="220" spans="1:41" ht="13">
      <c r="A220" s="4" t="s">
        <v>890</v>
      </c>
      <c r="B220" s="50" t="s">
        <v>12965</v>
      </c>
      <c r="C220" s="4" t="s">
        <v>656</v>
      </c>
      <c r="D220" s="4" t="s">
        <v>4926</v>
      </c>
      <c r="E220" s="4" t="s">
        <v>108</v>
      </c>
      <c r="F220" s="4" t="s">
        <v>9</v>
      </c>
      <c r="G220" s="4" t="s">
        <v>5166</v>
      </c>
      <c r="H220" s="4" t="s">
        <v>771</v>
      </c>
      <c r="I220" s="4">
        <v>3.25</v>
      </c>
      <c r="J220" s="4">
        <v>0.96</v>
      </c>
      <c r="K220" s="4">
        <v>0.1837</v>
      </c>
      <c r="L220" s="4" t="s">
        <v>5164</v>
      </c>
      <c r="M220" s="4" t="s">
        <v>5164</v>
      </c>
      <c r="N220" s="60">
        <v>27.59852982</v>
      </c>
      <c r="O220" s="60">
        <v>24.758483890000001</v>
      </c>
      <c r="P220" s="60">
        <v>22.008695599999999</v>
      </c>
      <c r="Q220" s="60">
        <v>22.008695599999999</v>
      </c>
      <c r="R220" s="51" t="b">
        <v>0</v>
      </c>
      <c r="S220" s="60">
        <v>26.05051804</v>
      </c>
      <c r="T220" s="60">
        <v>28.583702089999999</v>
      </c>
      <c r="U220" s="60">
        <v>26.05051804</v>
      </c>
      <c r="V220" s="51" t="b">
        <v>0</v>
      </c>
      <c r="W220" s="60">
        <v>29.378416059999999</v>
      </c>
      <c r="X220" s="60">
        <v>32.959785459999999</v>
      </c>
      <c r="Y220" s="51" t="b">
        <v>0</v>
      </c>
      <c r="Z220" s="60">
        <v>24.722269059999999</v>
      </c>
      <c r="AA220" s="60">
        <v>26.634122850000001</v>
      </c>
      <c r="AB220" s="60">
        <v>30.275615689999999</v>
      </c>
      <c r="AC220" s="60">
        <v>29.753147129999999</v>
      </c>
      <c r="AD220" s="60">
        <v>24.474014279999999</v>
      </c>
      <c r="AE220" s="60">
        <v>26.87185478</v>
      </c>
      <c r="AF220" s="60">
        <v>27.955926900000001</v>
      </c>
      <c r="AG220" s="60">
        <v>29.462799069999999</v>
      </c>
      <c r="AH220" s="60">
        <v>19.368621829999999</v>
      </c>
      <c r="AO220" s="50"/>
    </row>
    <row r="221" spans="1:41" ht="13">
      <c r="A221" s="4" t="s">
        <v>891</v>
      </c>
      <c r="B221" s="50" t="s">
        <v>12858</v>
      </c>
      <c r="C221" s="4" t="s">
        <v>657</v>
      </c>
      <c r="D221" s="4" t="s">
        <v>4926</v>
      </c>
      <c r="E221" s="4" t="s">
        <v>108</v>
      </c>
      <c r="F221" s="4" t="s">
        <v>9</v>
      </c>
      <c r="G221" s="4" t="s">
        <v>5043</v>
      </c>
      <c r="H221" s="4" t="s">
        <v>772</v>
      </c>
      <c r="I221" s="4">
        <v>3.4</v>
      </c>
      <c r="J221" s="4">
        <v>0.99</v>
      </c>
      <c r="K221" s="4">
        <v>0.19341</v>
      </c>
      <c r="L221" s="4" t="s">
        <v>12272</v>
      </c>
      <c r="M221" s="4" t="s">
        <v>4929</v>
      </c>
      <c r="N221" s="60">
        <v>3.0005145070000001</v>
      </c>
      <c r="O221" s="60">
        <v>3.9628176690000001</v>
      </c>
      <c r="P221" s="60">
        <v>6.3818888659999997</v>
      </c>
      <c r="Q221" s="60">
        <v>3.0005145070000001</v>
      </c>
      <c r="R221" s="51" t="b">
        <v>1</v>
      </c>
      <c r="S221" s="60">
        <v>5.5841412540000004</v>
      </c>
      <c r="T221" s="60">
        <v>6.6714663510000003</v>
      </c>
      <c r="U221" s="60">
        <v>5.5841412540000004</v>
      </c>
      <c r="V221" s="51" t="b">
        <v>0</v>
      </c>
      <c r="W221" s="60">
        <v>4.0969285959999997</v>
      </c>
      <c r="X221" s="60">
        <v>4.8345751760000004</v>
      </c>
      <c r="Y221" s="51" t="b">
        <v>0</v>
      </c>
      <c r="Z221" s="60">
        <v>1.5722156759999999</v>
      </c>
      <c r="AA221" s="60">
        <v>3.282904625</v>
      </c>
      <c r="AB221" s="60">
        <v>2.0602748389999999</v>
      </c>
      <c r="AC221" s="60">
        <v>7.4202299119999999</v>
      </c>
      <c r="AD221" s="60">
        <v>5.8494048120000004</v>
      </c>
      <c r="AE221" s="60">
        <v>8.1950397489999993</v>
      </c>
      <c r="AF221" s="60">
        <v>12.857956890000001</v>
      </c>
      <c r="AG221" s="60">
        <v>18.240068440000002</v>
      </c>
      <c r="AH221" s="60">
        <v>18.52407646</v>
      </c>
      <c r="AI221" s="41">
        <v>1</v>
      </c>
      <c r="AO221" s="50"/>
    </row>
    <row r="222" spans="1:41" ht="13">
      <c r="A222" s="4" t="s">
        <v>892</v>
      </c>
      <c r="B222" s="50" t="s">
        <v>12841</v>
      </c>
      <c r="C222" s="4" t="s">
        <v>658</v>
      </c>
      <c r="D222" s="4" t="s">
        <v>4926</v>
      </c>
      <c r="E222" s="4" t="s">
        <v>108</v>
      </c>
      <c r="F222" s="4" t="s">
        <v>9</v>
      </c>
      <c r="G222" s="4" t="s">
        <v>12468</v>
      </c>
      <c r="H222" s="4" t="s">
        <v>5045</v>
      </c>
      <c r="I222" s="4">
        <v>3.45</v>
      </c>
      <c r="J222" s="4">
        <v>0.94</v>
      </c>
      <c r="K222" s="4">
        <v>0.18309</v>
      </c>
      <c r="L222" s="4" t="s">
        <v>12272</v>
      </c>
      <c r="M222" s="4" t="s">
        <v>4929</v>
      </c>
      <c r="N222" s="60">
        <v>2.8186497689999999</v>
      </c>
      <c r="O222" s="60">
        <v>6.0626583099999998</v>
      </c>
      <c r="P222" s="60">
        <v>6.3473196029999999</v>
      </c>
      <c r="Q222" s="60">
        <v>2.8186497689999999</v>
      </c>
      <c r="R222" s="51" t="b">
        <v>1</v>
      </c>
      <c r="S222" s="60">
        <v>5.0761404040000002</v>
      </c>
      <c r="T222" s="60">
        <v>6.2528138159999997</v>
      </c>
      <c r="U222" s="60">
        <v>5.0761404040000002</v>
      </c>
      <c r="V222" s="51" t="b">
        <v>0</v>
      </c>
      <c r="W222" s="60">
        <v>3.580399275</v>
      </c>
      <c r="X222" s="60">
        <v>5.0781116490000002</v>
      </c>
      <c r="Y222" s="51" t="b">
        <v>0</v>
      </c>
      <c r="Z222" s="60">
        <v>1.599768758</v>
      </c>
      <c r="AA222" s="60">
        <v>4.1798996930000003</v>
      </c>
      <c r="AB222" s="60">
        <v>2.624969482</v>
      </c>
      <c r="AC222" s="60">
        <v>8.096516609</v>
      </c>
      <c r="AD222" s="60">
        <v>6.9274954800000001</v>
      </c>
      <c r="AE222" s="60">
        <v>8.6255779270000001</v>
      </c>
      <c r="AF222" s="60">
        <v>13.318383219999999</v>
      </c>
      <c r="AG222" s="60">
        <v>18.68043518</v>
      </c>
      <c r="AH222" s="60">
        <v>19.046010970000001</v>
      </c>
      <c r="AI222" s="41">
        <v>1</v>
      </c>
      <c r="AO222" s="50"/>
    </row>
    <row r="223" spans="1:41" ht="13">
      <c r="A223" s="4" t="s">
        <v>893</v>
      </c>
      <c r="B223" s="50" t="s">
        <v>12772</v>
      </c>
      <c r="C223" s="4" t="s">
        <v>659</v>
      </c>
      <c r="D223" s="4" t="s">
        <v>4926</v>
      </c>
      <c r="E223" s="4" t="s">
        <v>108</v>
      </c>
      <c r="F223" s="4" t="s">
        <v>9</v>
      </c>
      <c r="G223" s="4" t="s">
        <v>5125</v>
      </c>
      <c r="H223" s="4" t="s">
        <v>774</v>
      </c>
      <c r="I223" s="4">
        <v>3.48</v>
      </c>
      <c r="J223" s="4">
        <v>0.98</v>
      </c>
      <c r="K223" s="4">
        <v>0.19297</v>
      </c>
      <c r="L223" s="4" t="s">
        <v>12722</v>
      </c>
      <c r="M223" s="4" t="s">
        <v>4929</v>
      </c>
      <c r="N223" s="60">
        <v>8.3221893310000006</v>
      </c>
      <c r="O223" s="60">
        <v>7.1051774019999998</v>
      </c>
      <c r="P223" s="60">
        <v>4.206793308</v>
      </c>
      <c r="Q223" s="60">
        <v>4.206793308</v>
      </c>
      <c r="R223" s="51" t="b">
        <v>0</v>
      </c>
      <c r="S223" s="60">
        <v>2.9874193670000002</v>
      </c>
      <c r="T223" s="60">
        <v>4.448224068</v>
      </c>
      <c r="U223" s="60">
        <v>2.9874193670000002</v>
      </c>
      <c r="V223" s="51" t="b">
        <v>1</v>
      </c>
      <c r="W223" s="60">
        <v>5.0216207500000003</v>
      </c>
      <c r="X223" s="60">
        <v>8.4912977220000005</v>
      </c>
      <c r="Y223" s="51" t="b">
        <v>0</v>
      </c>
      <c r="Z223" s="60">
        <v>2.9355170730000002</v>
      </c>
      <c r="AA223" s="60">
        <v>0.56010621800000004</v>
      </c>
      <c r="AB223" s="60">
        <v>9.0467681879999997</v>
      </c>
      <c r="AC223" s="60">
        <v>1.9781981710000001</v>
      </c>
      <c r="AD223" s="60">
        <v>4.5786442760000003</v>
      </c>
      <c r="AE223" s="60">
        <v>7.7425842290000002</v>
      </c>
      <c r="AF223" s="60">
        <v>12.701902390000001</v>
      </c>
      <c r="AG223" s="60">
        <v>17.167984010000001</v>
      </c>
      <c r="AH223" s="60">
        <v>19.94368935</v>
      </c>
      <c r="AK223" s="41">
        <v>1</v>
      </c>
      <c r="AL223" s="41">
        <v>1</v>
      </c>
      <c r="AM223" s="41" t="s">
        <v>12724</v>
      </c>
      <c r="AO223" s="50"/>
    </row>
    <row r="224" spans="1:41" ht="13">
      <c r="A224" s="4" t="s">
        <v>894</v>
      </c>
      <c r="B224" s="50" t="s">
        <v>12827</v>
      </c>
      <c r="C224" s="4" t="s">
        <v>660</v>
      </c>
      <c r="D224" s="4" t="s">
        <v>4926</v>
      </c>
      <c r="E224" s="4" t="s">
        <v>108</v>
      </c>
      <c r="F224" s="4" t="s">
        <v>8</v>
      </c>
      <c r="G224" s="4" t="s">
        <v>5126</v>
      </c>
      <c r="H224" s="4" t="s">
        <v>775</v>
      </c>
      <c r="I224" s="4">
        <v>4.2</v>
      </c>
      <c r="J224" s="4">
        <v>1.01</v>
      </c>
      <c r="K224" s="4">
        <v>0.19994999999999999</v>
      </c>
      <c r="L224" s="4" t="s">
        <v>12722</v>
      </c>
      <c r="M224" s="4" t="s">
        <v>4929</v>
      </c>
      <c r="N224" s="60">
        <v>3.6583490369999998</v>
      </c>
      <c r="O224" s="60">
        <v>3.0979676249999999</v>
      </c>
      <c r="P224" s="60">
        <v>4.810577393</v>
      </c>
      <c r="Q224" s="60">
        <v>3.0979676249999999</v>
      </c>
      <c r="R224" s="51" t="b">
        <v>1</v>
      </c>
      <c r="S224" s="60">
        <v>4.4673042299999999</v>
      </c>
      <c r="T224" s="60">
        <v>5.8017272950000001</v>
      </c>
      <c r="U224" s="60">
        <v>4.4673042299999999</v>
      </c>
      <c r="V224" s="51" t="b">
        <v>0</v>
      </c>
      <c r="W224" s="60">
        <v>4.5384125710000003</v>
      </c>
      <c r="X224" s="60">
        <v>5.0638256070000001</v>
      </c>
      <c r="Y224" s="51" t="b">
        <v>0</v>
      </c>
      <c r="Z224" s="60">
        <v>0.74916327000000005</v>
      </c>
      <c r="AA224" s="60">
        <v>2.8709099290000002</v>
      </c>
      <c r="AB224" s="60">
        <v>4.9709734919999997</v>
      </c>
      <c r="AC224" s="60">
        <v>5.8963384630000002</v>
      </c>
      <c r="AD224" s="60">
        <v>6.0316004750000003</v>
      </c>
      <c r="AE224" s="60">
        <v>8.0978803629999998</v>
      </c>
      <c r="AF224" s="60">
        <v>12.71439838</v>
      </c>
      <c r="AG224" s="60">
        <v>17.951631549999998</v>
      </c>
      <c r="AH224" s="60">
        <v>17.953781129999999</v>
      </c>
      <c r="AI224" s="41">
        <v>1</v>
      </c>
      <c r="AO224" s="50"/>
    </row>
    <row r="225" spans="1:41" ht="13">
      <c r="A225" s="4" t="s">
        <v>895</v>
      </c>
      <c r="B225" s="50" t="s">
        <v>12975</v>
      </c>
      <c r="C225" s="4" t="s">
        <v>661</v>
      </c>
      <c r="D225" s="4" t="s">
        <v>4926</v>
      </c>
      <c r="E225" s="4" t="s">
        <v>108</v>
      </c>
      <c r="F225" s="4" t="s">
        <v>8</v>
      </c>
      <c r="G225" s="4" t="s">
        <v>5149</v>
      </c>
      <c r="H225" s="4" t="s">
        <v>776</v>
      </c>
      <c r="I225" s="4">
        <v>4.37</v>
      </c>
      <c r="J225" s="4">
        <v>0.96</v>
      </c>
      <c r="K225" s="4">
        <v>0.18973999999999999</v>
      </c>
      <c r="L225" s="4" t="s">
        <v>4955</v>
      </c>
      <c r="M225" s="4" t="s">
        <v>4955</v>
      </c>
      <c r="N225" s="60">
        <v>31.799814219999998</v>
      </c>
      <c r="O225" s="60">
        <v>31.211284639999999</v>
      </c>
      <c r="P225" s="60">
        <v>31.035938260000002</v>
      </c>
      <c r="Q225" s="60">
        <v>31.035938260000002</v>
      </c>
      <c r="R225" s="51" t="b">
        <v>0</v>
      </c>
      <c r="S225" s="60">
        <v>33.409614560000001</v>
      </c>
      <c r="T225" s="60">
        <v>35.25843811</v>
      </c>
      <c r="U225" s="60">
        <v>33.409614560000001</v>
      </c>
      <c r="V225" s="51" t="b">
        <v>0</v>
      </c>
      <c r="W225" s="60">
        <v>33.202087400000003</v>
      </c>
      <c r="X225" s="60">
        <v>40.087821959999999</v>
      </c>
      <c r="Y225" s="51" t="b">
        <v>0</v>
      </c>
      <c r="Z225" s="60">
        <v>28.489610670000001</v>
      </c>
      <c r="AA225" s="60">
        <v>29.329637529999999</v>
      </c>
      <c r="AB225" s="60">
        <v>29.313159939999998</v>
      </c>
      <c r="AC225" s="60">
        <v>31.818328860000001</v>
      </c>
      <c r="AD225" s="60">
        <v>22.515417100000001</v>
      </c>
      <c r="AE225" s="60">
        <v>19.249843599999998</v>
      </c>
      <c r="AF225" s="60">
        <v>14.308053019999999</v>
      </c>
      <c r="AG225" s="60">
        <v>12.88586426</v>
      </c>
      <c r="AH225" s="60">
        <v>25.126258849999999</v>
      </c>
    </row>
    <row r="226" spans="1:41" ht="13">
      <c r="A226" s="4" t="s">
        <v>896</v>
      </c>
      <c r="B226" s="50" t="s">
        <v>12851</v>
      </c>
      <c r="C226" s="4" t="s">
        <v>662</v>
      </c>
      <c r="D226" s="4" t="s">
        <v>4926</v>
      </c>
      <c r="E226" s="4" t="s">
        <v>108</v>
      </c>
      <c r="F226" s="4" t="s">
        <v>8</v>
      </c>
      <c r="G226" s="4" t="s">
        <v>5127</v>
      </c>
      <c r="H226" s="4" t="s">
        <v>777</v>
      </c>
      <c r="I226" s="4">
        <v>2.35</v>
      </c>
      <c r="J226" s="4">
        <v>1</v>
      </c>
      <c r="K226" s="4">
        <v>0.19792000000000001</v>
      </c>
      <c r="L226" s="4" t="s">
        <v>4929</v>
      </c>
      <c r="M226" s="4" t="s">
        <v>4929</v>
      </c>
      <c r="N226" s="60">
        <v>3.9325766560000002</v>
      </c>
      <c r="O226" s="60">
        <v>6.9299883839999996</v>
      </c>
      <c r="P226" s="60">
        <v>6.1307458879999999</v>
      </c>
      <c r="Q226" s="60">
        <v>3.9325766560000002</v>
      </c>
      <c r="R226" s="51" t="b">
        <v>0</v>
      </c>
      <c r="S226" s="60">
        <v>5.3747968669999997</v>
      </c>
      <c r="T226" s="60">
        <v>6.5391507149999999</v>
      </c>
      <c r="U226" s="60">
        <v>5.3747968669999997</v>
      </c>
      <c r="V226" s="51" t="b">
        <v>0</v>
      </c>
      <c r="W226" s="60">
        <v>4.3030400279999999</v>
      </c>
      <c r="X226" s="60">
        <v>3.0484013559999998</v>
      </c>
      <c r="Y226" s="51" t="b">
        <v>1</v>
      </c>
      <c r="Z226" s="60">
        <v>1.1972711089999999</v>
      </c>
      <c r="AA226" s="60">
        <v>3.1587708000000001</v>
      </c>
      <c r="AB226" s="60">
        <v>1.330061913</v>
      </c>
      <c r="AC226" s="60">
        <v>7.3626203539999997</v>
      </c>
      <c r="AD226" s="60">
        <v>5.7874770160000004</v>
      </c>
      <c r="AE226" s="60">
        <v>7.5338559150000002</v>
      </c>
      <c r="AF226" s="60">
        <v>12.366173740000001</v>
      </c>
      <c r="AG226" s="60">
        <v>17.446353909999999</v>
      </c>
      <c r="AH226" s="60">
        <v>17.62844467</v>
      </c>
      <c r="AO226" s="50"/>
    </row>
    <row r="227" spans="1:41" ht="13">
      <c r="A227" s="4" t="s">
        <v>897</v>
      </c>
      <c r="B227" s="50" t="s">
        <v>12842</v>
      </c>
      <c r="C227" s="4" t="s">
        <v>663</v>
      </c>
      <c r="D227" s="4" t="s">
        <v>4926</v>
      </c>
      <c r="E227" s="4" t="s">
        <v>108</v>
      </c>
      <c r="F227" s="4" t="s">
        <v>8</v>
      </c>
      <c r="G227" s="4" t="s">
        <v>5150</v>
      </c>
      <c r="H227" s="4" t="s">
        <v>778</v>
      </c>
      <c r="I227" s="4">
        <v>2.68</v>
      </c>
      <c r="J227" s="4">
        <v>0.94</v>
      </c>
      <c r="K227" s="4">
        <v>0.18989</v>
      </c>
      <c r="L227" s="4" t="s">
        <v>12843</v>
      </c>
      <c r="M227" s="4" t="s">
        <v>4929</v>
      </c>
      <c r="N227" s="61">
        <v>12.36772633</v>
      </c>
      <c r="O227" s="61">
        <v>12.59762478</v>
      </c>
      <c r="P227" s="61">
        <v>10.783688550000001</v>
      </c>
      <c r="Q227" s="61">
        <v>10.783688550000001</v>
      </c>
      <c r="R227" s="51" t="b">
        <v>0</v>
      </c>
      <c r="S227" s="61">
        <v>7.4620666499999997</v>
      </c>
      <c r="T227" s="61">
        <v>5.2108621599999996</v>
      </c>
      <c r="U227" s="61">
        <v>5.2108621599999996</v>
      </c>
      <c r="V227" s="51" t="b">
        <v>0</v>
      </c>
      <c r="W227" s="61">
        <v>7.193344593</v>
      </c>
      <c r="X227" s="61">
        <v>10.175664899999999</v>
      </c>
      <c r="Y227" s="51" t="b">
        <v>0</v>
      </c>
      <c r="Z227" s="61">
        <v>9.2289047239999995</v>
      </c>
      <c r="AA227" s="61">
        <v>4.6133570669999999</v>
      </c>
      <c r="AB227" s="61">
        <v>13.733366970000001</v>
      </c>
      <c r="AC227" s="61">
        <v>0.788736463</v>
      </c>
      <c r="AD227" s="61">
        <v>9.7248620989999992</v>
      </c>
      <c r="AE227" s="61">
        <v>12.550945280000001</v>
      </c>
      <c r="AF227" s="61">
        <v>17.20519066</v>
      </c>
      <c r="AG227" s="61">
        <v>19.5082016</v>
      </c>
      <c r="AH227" s="61">
        <v>27.910005569999999</v>
      </c>
      <c r="AO227" s="50"/>
    </row>
    <row r="228" spans="1:41" ht="13">
      <c r="A228" s="4" t="s">
        <v>898</v>
      </c>
      <c r="B228" s="50" t="s">
        <v>12816</v>
      </c>
      <c r="C228" s="4" t="s">
        <v>664</v>
      </c>
      <c r="D228" s="4" t="s">
        <v>4926</v>
      </c>
      <c r="E228" s="4" t="s">
        <v>108</v>
      </c>
      <c r="F228" s="4" t="s">
        <v>8</v>
      </c>
      <c r="G228" s="4" t="s">
        <v>5046</v>
      </c>
      <c r="H228" s="4" t="s">
        <v>779</v>
      </c>
      <c r="I228" s="4">
        <v>2.7</v>
      </c>
      <c r="J228" s="4">
        <v>0.97</v>
      </c>
      <c r="K228" s="4">
        <v>0.21360000000000001</v>
      </c>
      <c r="L228" s="4" t="s">
        <v>12272</v>
      </c>
      <c r="M228" s="4" t="s">
        <v>4929</v>
      </c>
      <c r="N228" s="60">
        <v>2.7253601550000002</v>
      </c>
      <c r="O228" s="60">
        <v>2.8693878650000002</v>
      </c>
      <c r="P228" s="60">
        <v>4.2138752940000002</v>
      </c>
      <c r="Q228" s="60">
        <v>2.7253601550000002</v>
      </c>
      <c r="R228" s="51" t="b">
        <v>1</v>
      </c>
      <c r="S228" s="60">
        <v>4.2661771770000003</v>
      </c>
      <c r="T228" s="60">
        <v>6.1762733460000003</v>
      </c>
      <c r="U228" s="60">
        <v>4.2661771770000003</v>
      </c>
      <c r="V228" s="51" t="b">
        <v>0</v>
      </c>
      <c r="W228" s="60">
        <v>4.0746855740000001</v>
      </c>
      <c r="X228" s="60">
        <v>5.1582169530000002</v>
      </c>
      <c r="Y228" s="51" t="b">
        <v>0</v>
      </c>
      <c r="Z228" s="60">
        <v>1.067377448</v>
      </c>
      <c r="AA228" s="60">
        <v>4.3639659880000004</v>
      </c>
      <c r="AB228" s="60">
        <v>3.9526617530000001</v>
      </c>
      <c r="AC228" s="60">
        <v>8.1705312729999999</v>
      </c>
      <c r="AD228" s="60">
        <v>6.181041241</v>
      </c>
      <c r="AE228" s="60">
        <v>8.0286693570000001</v>
      </c>
      <c r="AF228" s="60">
        <v>12.7557478</v>
      </c>
      <c r="AG228" s="60">
        <v>18.035829540000002</v>
      </c>
      <c r="AH228" s="60">
        <v>17.954061509999999</v>
      </c>
      <c r="AI228" s="41">
        <v>2</v>
      </c>
      <c r="AJ228" s="41">
        <v>1</v>
      </c>
      <c r="AO228" s="50"/>
    </row>
    <row r="229" spans="1:41" ht="13">
      <c r="A229" s="4" t="s">
        <v>899</v>
      </c>
      <c r="B229" s="50" t="s">
        <v>12968</v>
      </c>
      <c r="C229" s="4" t="s">
        <v>665</v>
      </c>
      <c r="D229" s="4" t="s">
        <v>4926</v>
      </c>
      <c r="E229" s="4" t="s">
        <v>108</v>
      </c>
      <c r="F229" s="4" t="s">
        <v>8</v>
      </c>
      <c r="G229" s="4" t="s">
        <v>5167</v>
      </c>
      <c r="H229" s="4" t="s">
        <v>780</v>
      </c>
      <c r="I229" s="4">
        <v>2.73</v>
      </c>
      <c r="J229" s="4">
        <v>0.98</v>
      </c>
      <c r="K229" s="4">
        <v>0.19449</v>
      </c>
      <c r="L229" s="4" t="s">
        <v>5164</v>
      </c>
      <c r="M229" s="4" t="s">
        <v>5164</v>
      </c>
      <c r="N229" s="60">
        <v>23.934036249999998</v>
      </c>
      <c r="O229" s="60">
        <v>22.91383171</v>
      </c>
      <c r="P229" s="60">
        <v>23.424812320000001</v>
      </c>
      <c r="Q229" s="60">
        <v>22.91383171</v>
      </c>
      <c r="R229" s="51" t="b">
        <v>0</v>
      </c>
      <c r="S229" s="60">
        <v>26.503065110000001</v>
      </c>
      <c r="T229" s="60">
        <v>29.014402390000001</v>
      </c>
      <c r="U229" s="60">
        <v>26.503065110000001</v>
      </c>
      <c r="V229" s="51" t="b">
        <v>0</v>
      </c>
      <c r="W229" s="60">
        <v>27.78952026</v>
      </c>
      <c r="X229" s="60">
        <v>26.079170229999999</v>
      </c>
      <c r="Y229" s="51" t="b">
        <v>0</v>
      </c>
      <c r="Z229" s="60">
        <v>23.039037700000002</v>
      </c>
      <c r="AA229" s="60">
        <v>25.99602509</v>
      </c>
      <c r="AB229" s="60">
        <v>24.514690399999999</v>
      </c>
      <c r="AC229" s="60">
        <v>29.84347343</v>
      </c>
      <c r="AD229" s="60">
        <v>20.27705765</v>
      </c>
      <c r="AE229" s="60">
        <v>18.987646099999999</v>
      </c>
      <c r="AF229" s="60">
        <v>16.723352429999998</v>
      </c>
      <c r="AG229" s="60">
        <v>19.577465060000002</v>
      </c>
      <c r="AH229" s="60">
        <v>13.222774510000001</v>
      </c>
      <c r="AO229" s="50"/>
    </row>
    <row r="230" spans="1:41" ht="13">
      <c r="A230" s="4" t="s">
        <v>900</v>
      </c>
      <c r="B230" s="50" t="s">
        <v>12908</v>
      </c>
      <c r="C230" s="4" t="s">
        <v>666</v>
      </c>
      <c r="D230" s="4" t="s">
        <v>4926</v>
      </c>
      <c r="E230" s="4" t="s">
        <v>108</v>
      </c>
      <c r="F230" s="4" t="s">
        <v>8</v>
      </c>
      <c r="G230" s="4" t="s">
        <v>5151</v>
      </c>
      <c r="H230" s="4" t="s">
        <v>781</v>
      </c>
      <c r="I230" s="4">
        <v>2.95</v>
      </c>
      <c r="J230" s="4">
        <v>0.97</v>
      </c>
      <c r="K230" s="4">
        <v>0.18976999999999999</v>
      </c>
      <c r="L230" s="4" t="s">
        <v>12843</v>
      </c>
      <c r="M230" s="4" t="s">
        <v>4929</v>
      </c>
      <c r="N230" s="60">
        <v>16.334180830000001</v>
      </c>
      <c r="O230" s="60">
        <v>15.83272648</v>
      </c>
      <c r="P230" s="60">
        <v>12.339171410000001</v>
      </c>
      <c r="Q230" s="60">
        <v>12.339171410000001</v>
      </c>
      <c r="R230" s="51" t="b">
        <v>0</v>
      </c>
      <c r="S230" s="60">
        <v>10.167634960000001</v>
      </c>
      <c r="T230" s="60">
        <v>8.4449615480000002</v>
      </c>
      <c r="U230" s="60">
        <v>8.4449615480000002</v>
      </c>
      <c r="V230" s="51" t="b">
        <v>0</v>
      </c>
      <c r="W230" s="60">
        <v>11.18935585</v>
      </c>
      <c r="X230" s="60">
        <v>14.27438164</v>
      </c>
      <c r="Y230" s="51" t="b">
        <v>0</v>
      </c>
      <c r="Z230" s="60">
        <v>12.226679799999999</v>
      </c>
      <c r="AA230" s="60">
        <v>7.107427597</v>
      </c>
      <c r="AB230" s="60">
        <v>17.954954149999999</v>
      </c>
      <c r="AC230" s="60">
        <v>3.5122318269999999</v>
      </c>
      <c r="AD230" s="60">
        <v>11.178730010000001</v>
      </c>
      <c r="AE230" s="60">
        <v>14.163202289999999</v>
      </c>
      <c r="AF230" s="60">
        <v>18.23168373</v>
      </c>
      <c r="AG230" s="60">
        <v>18.417539600000001</v>
      </c>
      <c r="AH230" s="60">
        <v>30.214212419999999</v>
      </c>
      <c r="AO230" s="50"/>
    </row>
    <row r="231" spans="1:41" ht="13">
      <c r="A231" s="4" t="s">
        <v>902</v>
      </c>
      <c r="B231" s="50" t="s">
        <v>12846</v>
      </c>
      <c r="C231" s="4" t="s">
        <v>668</v>
      </c>
      <c r="D231" s="4" t="s">
        <v>4926</v>
      </c>
      <c r="E231" s="4" t="s">
        <v>108</v>
      </c>
      <c r="F231" s="4" t="s">
        <v>8</v>
      </c>
      <c r="G231" s="4" t="s">
        <v>5047</v>
      </c>
      <c r="H231" s="4" t="s">
        <v>783</v>
      </c>
      <c r="I231" s="4">
        <v>3.13</v>
      </c>
      <c r="J231" s="4">
        <v>1.01</v>
      </c>
      <c r="K231" s="4">
        <v>0.21945000000000001</v>
      </c>
      <c r="L231" s="4" t="s">
        <v>12272</v>
      </c>
      <c r="M231" s="4" t="s">
        <v>4929</v>
      </c>
      <c r="N231" s="60">
        <v>4.7469296459999999</v>
      </c>
      <c r="O231" s="60">
        <v>5.1642251010000004</v>
      </c>
      <c r="P231" s="60">
        <v>6.4432744980000001</v>
      </c>
      <c r="Q231" s="60">
        <v>4.7469296459999999</v>
      </c>
      <c r="R231" s="51" t="b">
        <v>0</v>
      </c>
      <c r="S231" s="60">
        <v>5.2359457020000004</v>
      </c>
      <c r="T231" s="60">
        <v>6.1752619739999997</v>
      </c>
      <c r="U231" s="60">
        <v>5.2359457020000004</v>
      </c>
      <c r="V231" s="51" t="b">
        <v>0</v>
      </c>
      <c r="W231" s="60">
        <v>4.1601309779999998</v>
      </c>
      <c r="X231" s="60">
        <v>4.6188688280000001</v>
      </c>
      <c r="Y231" s="51" t="b">
        <v>0</v>
      </c>
      <c r="Z231" s="60">
        <v>1.77854991</v>
      </c>
      <c r="AA231" s="60">
        <v>0.84349423599999995</v>
      </c>
      <c r="AB231" s="60">
        <v>4.4021015170000002</v>
      </c>
      <c r="AC231" s="60">
        <v>2.1554987429999999</v>
      </c>
      <c r="AD231" s="60">
        <v>5.2985010150000003</v>
      </c>
      <c r="AE231" s="60">
        <v>7.5864872930000002</v>
      </c>
      <c r="AF231" s="60">
        <v>12.41365433</v>
      </c>
      <c r="AG231" s="60">
        <v>17.451877589999999</v>
      </c>
      <c r="AH231" s="60">
        <v>18.71765327</v>
      </c>
      <c r="AO231" s="50"/>
    </row>
    <row r="232" spans="1:41" ht="13">
      <c r="A232" s="4" t="s">
        <v>903</v>
      </c>
      <c r="B232" s="50" t="s">
        <v>12753</v>
      </c>
      <c r="C232" s="4" t="s">
        <v>669</v>
      </c>
      <c r="D232" s="4" t="s">
        <v>4926</v>
      </c>
      <c r="E232" s="4" t="s">
        <v>108</v>
      </c>
      <c r="F232" s="4" t="s">
        <v>9</v>
      </c>
      <c r="G232" s="4" t="s">
        <v>5128</v>
      </c>
      <c r="H232" s="4" t="s">
        <v>784</v>
      </c>
      <c r="I232" s="4">
        <v>2.5499999999999998</v>
      </c>
      <c r="J232" s="4">
        <v>1.02</v>
      </c>
      <c r="K232" s="4">
        <v>0.20574000000000001</v>
      </c>
      <c r="L232" s="4" t="s">
        <v>12722</v>
      </c>
      <c r="M232" s="4" t="s">
        <v>4929</v>
      </c>
      <c r="N232" s="60">
        <v>8.6361436840000003</v>
      </c>
      <c r="O232" s="60">
        <v>7.3926448819999999</v>
      </c>
      <c r="P232" s="60">
        <v>4.2728753089999998</v>
      </c>
      <c r="Q232" s="60">
        <v>4.2728753089999998</v>
      </c>
      <c r="R232" s="51" t="b">
        <v>0</v>
      </c>
      <c r="S232" s="60">
        <v>2.8687913420000002</v>
      </c>
      <c r="T232" s="60">
        <v>2.9204995629999999</v>
      </c>
      <c r="U232" s="60">
        <v>2.8687913420000002</v>
      </c>
      <c r="V232" s="51" t="b">
        <v>1</v>
      </c>
      <c r="W232" s="60">
        <v>5.6942243579999996</v>
      </c>
      <c r="X232" s="60">
        <v>6.4159870149999998</v>
      </c>
      <c r="Y232" s="51" t="b">
        <v>0</v>
      </c>
      <c r="Z232" s="60">
        <v>3.9193313120000002</v>
      </c>
      <c r="AA232" s="60">
        <v>1.1168818469999999</v>
      </c>
      <c r="AB232" s="60">
        <v>10.44313526</v>
      </c>
      <c r="AC232" s="60">
        <v>4.6519112590000002</v>
      </c>
      <c r="AD232" s="60">
        <v>2.1943280700000001</v>
      </c>
      <c r="AE232" s="60">
        <v>5.2409863469999998</v>
      </c>
      <c r="AF232" s="60">
        <v>10.204048159999999</v>
      </c>
      <c r="AG232" s="60">
        <v>14.696711540000001</v>
      </c>
      <c r="AH232" s="60">
        <v>20.890707020000001</v>
      </c>
      <c r="AK232" s="41">
        <v>2</v>
      </c>
      <c r="AL232" s="41">
        <v>1</v>
      </c>
      <c r="AM232" s="41" t="s">
        <v>12727</v>
      </c>
      <c r="AO232" s="50"/>
    </row>
    <row r="233" spans="1:41" ht="13">
      <c r="A233" s="4" t="s">
        <v>904</v>
      </c>
      <c r="B233" s="50" t="s">
        <v>12909</v>
      </c>
      <c r="C233" s="4" t="s">
        <v>670</v>
      </c>
      <c r="D233" s="4" t="s">
        <v>4926</v>
      </c>
      <c r="E233" s="4" t="s">
        <v>108</v>
      </c>
      <c r="F233" s="4" t="s">
        <v>9</v>
      </c>
      <c r="G233" s="4" t="s">
        <v>5048</v>
      </c>
      <c r="H233" s="4" t="s">
        <v>785</v>
      </c>
      <c r="I233" s="4">
        <v>2.7</v>
      </c>
      <c r="J233" s="4">
        <v>0.98</v>
      </c>
      <c r="K233" s="4">
        <v>0.19527</v>
      </c>
      <c r="L233" s="4" t="s">
        <v>12272</v>
      </c>
      <c r="M233" s="4" t="s">
        <v>4929</v>
      </c>
      <c r="N233" s="60">
        <v>3.086858511</v>
      </c>
      <c r="O233" s="60">
        <v>6.6500730509999997</v>
      </c>
      <c r="P233" s="60">
        <v>10.581989289999999</v>
      </c>
      <c r="Q233" s="60">
        <v>3.086858511</v>
      </c>
      <c r="R233" s="51" t="b">
        <v>1</v>
      </c>
      <c r="S233" s="60">
        <v>8.4667119979999992</v>
      </c>
      <c r="T233" s="60">
        <v>8.9260292050000007</v>
      </c>
      <c r="U233" s="60">
        <v>8.4667119979999992</v>
      </c>
      <c r="V233" s="51" t="b">
        <v>0</v>
      </c>
      <c r="W233" s="60">
        <v>3.9040489200000001</v>
      </c>
      <c r="X233" s="60">
        <v>3.098875284</v>
      </c>
      <c r="Y233" s="51" t="b">
        <v>1</v>
      </c>
      <c r="Z233" s="60">
        <v>2.2838349340000001</v>
      </c>
      <c r="AA233" s="60">
        <v>4.9110317229999998</v>
      </c>
      <c r="AB233" s="60">
        <v>1.8959945439999999</v>
      </c>
      <c r="AC233" s="60">
        <v>8.4304962159999999</v>
      </c>
      <c r="AD233" s="60">
        <v>6.614188671</v>
      </c>
      <c r="AE233" s="60">
        <v>8.0046596529999992</v>
      </c>
      <c r="AF233" s="60">
        <v>12.64745426</v>
      </c>
      <c r="AG233" s="60">
        <v>18.06426811</v>
      </c>
      <c r="AH233" s="60">
        <v>19.238105770000001</v>
      </c>
      <c r="AI233" s="41">
        <v>1</v>
      </c>
      <c r="AO233" s="50"/>
    </row>
    <row r="234" spans="1:41" ht="13">
      <c r="A234" s="4" t="s">
        <v>905</v>
      </c>
      <c r="B234" s="50" t="s">
        <v>12767</v>
      </c>
      <c r="C234" s="4" t="s">
        <v>671</v>
      </c>
      <c r="D234" s="4" t="s">
        <v>4926</v>
      </c>
      <c r="E234" s="4" t="s">
        <v>108</v>
      </c>
      <c r="F234" s="4" t="s">
        <v>9</v>
      </c>
      <c r="G234" s="4" t="s">
        <v>5049</v>
      </c>
      <c r="H234" s="4" t="s">
        <v>786</v>
      </c>
      <c r="I234" s="4">
        <v>3.13</v>
      </c>
      <c r="J234" s="4">
        <v>0.98</v>
      </c>
      <c r="K234" s="4">
        <v>0.19397</v>
      </c>
      <c r="L234" s="4" t="s">
        <v>12272</v>
      </c>
      <c r="M234" s="4" t="s">
        <v>4929</v>
      </c>
      <c r="N234" s="60">
        <v>4.6534233089999999</v>
      </c>
      <c r="O234" s="60">
        <v>4.8228058819999999</v>
      </c>
      <c r="P234" s="60">
        <v>3.7214584350000002</v>
      </c>
      <c r="Q234" s="60">
        <v>3.7214584350000002</v>
      </c>
      <c r="R234" s="51" t="b">
        <v>0</v>
      </c>
      <c r="S234" s="60">
        <v>2.9316794869999998</v>
      </c>
      <c r="T234" s="60">
        <v>3.743311405</v>
      </c>
      <c r="U234" s="60">
        <v>2.9316794869999998</v>
      </c>
      <c r="V234" s="51" t="b">
        <v>1</v>
      </c>
      <c r="W234" s="60">
        <v>4.5125799180000001</v>
      </c>
      <c r="X234" s="60">
        <v>7.3508048060000002</v>
      </c>
      <c r="Y234" s="51" t="b">
        <v>0</v>
      </c>
      <c r="Z234" s="60">
        <v>1.277285099</v>
      </c>
      <c r="AA234" s="60">
        <v>1.2395020720000001</v>
      </c>
      <c r="AB234" s="60">
        <v>5.4827117919999999</v>
      </c>
      <c r="AC234" s="60">
        <v>0.70784729700000004</v>
      </c>
      <c r="AD234" s="60">
        <v>5.2363672259999996</v>
      </c>
      <c r="AE234" s="60">
        <v>7.8476271630000003</v>
      </c>
      <c r="AF234" s="60">
        <v>12.490640640000001</v>
      </c>
      <c r="AG234" s="60">
        <v>17.48480034</v>
      </c>
      <c r="AH234" s="60">
        <v>19.41470528</v>
      </c>
      <c r="AK234" s="41">
        <v>1</v>
      </c>
      <c r="AL234" s="41" t="s">
        <v>12768</v>
      </c>
      <c r="AO234" s="50"/>
    </row>
    <row r="235" spans="1:41" ht="13">
      <c r="A235" s="4" t="s">
        <v>906</v>
      </c>
      <c r="B235" s="50" t="s">
        <v>12826</v>
      </c>
      <c r="C235" s="4" t="s">
        <v>672</v>
      </c>
      <c r="D235" s="4" t="s">
        <v>4926</v>
      </c>
      <c r="E235" s="4" t="s">
        <v>108</v>
      </c>
      <c r="F235" s="4" t="s">
        <v>9</v>
      </c>
      <c r="G235" s="4" t="s">
        <v>5050</v>
      </c>
      <c r="H235" s="4" t="s">
        <v>787</v>
      </c>
      <c r="I235" s="4">
        <v>3.15</v>
      </c>
      <c r="J235" s="4">
        <v>0.96</v>
      </c>
      <c r="K235" s="4">
        <v>0.18240000000000001</v>
      </c>
      <c r="L235" s="4" t="s">
        <v>12272</v>
      </c>
      <c r="M235" s="4" t="s">
        <v>4929</v>
      </c>
      <c r="N235" s="60">
        <v>4.5279908180000001</v>
      </c>
      <c r="O235" s="60">
        <v>5.9234142299999997</v>
      </c>
      <c r="P235" s="60">
        <v>5.5251283649999996</v>
      </c>
      <c r="Q235" s="60">
        <v>4.5279908180000001</v>
      </c>
      <c r="R235" s="51" t="b">
        <v>0</v>
      </c>
      <c r="S235" s="60">
        <v>4.4648389819999998</v>
      </c>
      <c r="T235" s="60">
        <v>6.1857542990000001</v>
      </c>
      <c r="U235" s="60">
        <v>4.4648389819999998</v>
      </c>
      <c r="V235" s="51" t="b">
        <v>0</v>
      </c>
      <c r="W235" s="60">
        <v>3.8647961620000002</v>
      </c>
      <c r="X235" s="60">
        <v>3.1692669389999999</v>
      </c>
      <c r="Y235" s="51" t="b">
        <v>1</v>
      </c>
      <c r="Z235" s="60">
        <v>2.3544199469999998</v>
      </c>
      <c r="AA235" s="60">
        <v>2.6346917150000002</v>
      </c>
      <c r="AB235" s="60">
        <v>4.1727576260000001</v>
      </c>
      <c r="AC235" s="60">
        <v>6.4622945789999999</v>
      </c>
      <c r="AD235" s="60">
        <v>5.1800646779999999</v>
      </c>
      <c r="AE235" s="60">
        <v>7.6203360560000002</v>
      </c>
      <c r="AF235" s="60">
        <v>12.37130928</v>
      </c>
      <c r="AG235" s="60">
        <v>17.4661808</v>
      </c>
      <c r="AH235" s="60">
        <v>19.466808319999998</v>
      </c>
      <c r="AO235" s="50"/>
    </row>
    <row r="236" spans="1:41" ht="13">
      <c r="A236" s="4" t="s">
        <v>907</v>
      </c>
      <c r="B236" s="50" t="s">
        <v>12777</v>
      </c>
      <c r="C236" s="4" t="s">
        <v>673</v>
      </c>
      <c r="D236" s="4" t="s">
        <v>4926</v>
      </c>
      <c r="E236" s="4" t="s">
        <v>108</v>
      </c>
      <c r="F236" s="4" t="s">
        <v>9</v>
      </c>
      <c r="G236" s="4" t="s">
        <v>5051</v>
      </c>
      <c r="H236" s="4" t="s">
        <v>788</v>
      </c>
      <c r="I236" s="4">
        <v>3.18</v>
      </c>
      <c r="J236" s="4">
        <v>0.97</v>
      </c>
      <c r="K236" s="4">
        <v>0.1845</v>
      </c>
      <c r="L236" s="4" t="s">
        <v>12272</v>
      </c>
      <c r="M236" s="4" t="s">
        <v>4929</v>
      </c>
      <c r="N236" s="60">
        <v>3.1033885479999999</v>
      </c>
      <c r="O236" s="60">
        <v>2.7588276860000001</v>
      </c>
      <c r="P236" s="60">
        <v>2.8575382230000002</v>
      </c>
      <c r="Q236" s="60">
        <v>2.7588276860000001</v>
      </c>
      <c r="R236" s="51" t="b">
        <v>1</v>
      </c>
      <c r="S236" s="60">
        <v>3.1876480580000002</v>
      </c>
      <c r="T236" s="60">
        <v>5.4398021700000001</v>
      </c>
      <c r="U236" s="60">
        <v>3.1876480580000002</v>
      </c>
      <c r="V236" s="51" t="b">
        <v>0</v>
      </c>
      <c r="W236" s="60">
        <v>6.2649846079999998</v>
      </c>
      <c r="X236" s="60">
        <v>8.2733526229999992</v>
      </c>
      <c r="Y236" s="51" t="b">
        <v>0</v>
      </c>
      <c r="Z236" s="60">
        <v>0.65207946299999997</v>
      </c>
      <c r="AA236" s="60">
        <v>3.9583232399999999</v>
      </c>
      <c r="AB236" s="60">
        <v>5.6173272130000003</v>
      </c>
      <c r="AC236" s="60">
        <v>8.0288391109999999</v>
      </c>
      <c r="AD236" s="60">
        <v>6.6938824649999997</v>
      </c>
      <c r="AE236" s="60">
        <v>8.4364747999999992</v>
      </c>
      <c r="AF236" s="60">
        <v>13.151198389999999</v>
      </c>
      <c r="AG236" s="60">
        <v>18.50024986</v>
      </c>
      <c r="AH236" s="60">
        <v>17.93380737</v>
      </c>
      <c r="AI236" s="41">
        <v>3</v>
      </c>
      <c r="AJ236" s="41">
        <v>7</v>
      </c>
      <c r="AK236" s="41" t="s">
        <v>12272</v>
      </c>
      <c r="AO236" s="50"/>
    </row>
    <row r="237" spans="1:41" ht="13">
      <c r="A237" s="4" t="s">
        <v>908</v>
      </c>
      <c r="B237" s="50" t="s">
        <v>12838</v>
      </c>
      <c r="C237" s="4" t="s">
        <v>674</v>
      </c>
      <c r="D237" s="4" t="s">
        <v>4926</v>
      </c>
      <c r="E237" s="4" t="s">
        <v>108</v>
      </c>
      <c r="F237" s="4" t="s">
        <v>9</v>
      </c>
      <c r="G237" s="4" t="s">
        <v>5052</v>
      </c>
      <c r="H237" s="4" t="s">
        <v>789</v>
      </c>
      <c r="I237" s="4">
        <v>3.2</v>
      </c>
      <c r="J237" s="4">
        <v>1</v>
      </c>
      <c r="K237" s="4">
        <v>0.19747999999999999</v>
      </c>
      <c r="L237" s="4" t="s">
        <v>12272</v>
      </c>
      <c r="M237" s="4" t="s">
        <v>4929</v>
      </c>
      <c r="N237" s="60">
        <v>5.4603772160000004</v>
      </c>
      <c r="O237" s="60">
        <v>5.223053932</v>
      </c>
      <c r="P237" s="60">
        <v>5.7275285719999998</v>
      </c>
      <c r="Q237" s="60">
        <v>5.223053932</v>
      </c>
      <c r="R237" s="51" t="b">
        <v>0</v>
      </c>
      <c r="S237" s="60">
        <v>4.99241066</v>
      </c>
      <c r="T237" s="60">
        <v>6.5947241779999999</v>
      </c>
      <c r="U237" s="60">
        <v>4.99241066</v>
      </c>
      <c r="V237" s="51" t="b">
        <v>0</v>
      </c>
      <c r="W237" s="60">
        <v>3.8562326429999998</v>
      </c>
      <c r="X237" s="60">
        <v>3.347627401</v>
      </c>
      <c r="Y237" s="51" t="b">
        <v>1</v>
      </c>
      <c r="Z237" s="60">
        <v>1.162552118</v>
      </c>
      <c r="AA237" s="60">
        <v>4.4798054699999996</v>
      </c>
      <c r="AB237" s="60">
        <v>2.9188995360000001</v>
      </c>
      <c r="AC237" s="60">
        <v>8.1493854520000006</v>
      </c>
      <c r="AD237" s="60">
        <v>6.5755381579999996</v>
      </c>
      <c r="AE237" s="60">
        <v>8.2641458510000003</v>
      </c>
      <c r="AF237" s="60">
        <v>12.95713615</v>
      </c>
      <c r="AG237" s="60">
        <v>18.304517749999999</v>
      </c>
      <c r="AH237" s="60">
        <v>19.192256929999999</v>
      </c>
      <c r="AO237" s="50"/>
    </row>
    <row r="238" spans="1:41" ht="13">
      <c r="A238" s="4" t="s">
        <v>909</v>
      </c>
      <c r="B238" s="50" t="s">
        <v>12967</v>
      </c>
      <c r="C238" s="4" t="s">
        <v>675</v>
      </c>
      <c r="D238" s="4" t="s">
        <v>4926</v>
      </c>
      <c r="E238" s="4" t="s">
        <v>108</v>
      </c>
      <c r="F238" s="4" t="s">
        <v>9</v>
      </c>
      <c r="G238" s="4" t="s">
        <v>5168</v>
      </c>
      <c r="H238" s="4" t="s">
        <v>790</v>
      </c>
      <c r="I238" s="4">
        <v>3.23</v>
      </c>
      <c r="J238" s="4">
        <v>0.97</v>
      </c>
      <c r="K238" s="4">
        <v>0.18925</v>
      </c>
      <c r="L238" s="4" t="s">
        <v>5164</v>
      </c>
      <c r="M238" s="4" t="s">
        <v>5164</v>
      </c>
      <c r="N238" s="60">
        <v>23.542499540000001</v>
      </c>
      <c r="O238" s="60">
        <v>22.519899370000001</v>
      </c>
      <c r="P238" s="60">
        <v>23.015861510000001</v>
      </c>
      <c r="Q238" s="60">
        <v>22.519899370000001</v>
      </c>
      <c r="R238" s="51" t="b">
        <v>0</v>
      </c>
      <c r="S238" s="60">
        <v>26.074705120000001</v>
      </c>
      <c r="T238" s="60">
        <v>28.566789629999999</v>
      </c>
      <c r="U238" s="60">
        <v>26.074705120000001</v>
      </c>
      <c r="V238" s="51" t="b">
        <v>0</v>
      </c>
      <c r="W238" s="60">
        <v>26.885087970000001</v>
      </c>
      <c r="X238" s="60">
        <v>25.612014769999998</v>
      </c>
      <c r="Y238" s="51" t="b">
        <v>0</v>
      </c>
      <c r="Z238" s="60">
        <v>22.039249420000001</v>
      </c>
      <c r="AA238" s="60">
        <v>24.517938610000002</v>
      </c>
      <c r="AB238" s="60">
        <v>24.135650630000001</v>
      </c>
      <c r="AC238" s="60">
        <v>28.196659090000001</v>
      </c>
      <c r="AD238" s="60">
        <v>18.474054339999999</v>
      </c>
      <c r="AE238" s="60">
        <v>17.258132929999999</v>
      </c>
      <c r="AF238" s="60">
        <v>14.904887199999999</v>
      </c>
      <c r="AG238" s="60">
        <v>15.964223860000001</v>
      </c>
      <c r="AH238" s="60">
        <v>13.16182613</v>
      </c>
      <c r="AO238" s="50"/>
    </row>
    <row r="239" spans="1:41" ht="13">
      <c r="A239" s="4" t="s">
        <v>910</v>
      </c>
      <c r="B239" s="50" t="s">
        <v>12898</v>
      </c>
      <c r="C239" s="4" t="s">
        <v>676</v>
      </c>
      <c r="D239" s="4" t="s">
        <v>4926</v>
      </c>
      <c r="E239" s="4" t="s">
        <v>108</v>
      </c>
      <c r="F239" s="4" t="s">
        <v>9</v>
      </c>
      <c r="G239" s="4" t="s">
        <v>5053</v>
      </c>
      <c r="H239" s="4" t="s">
        <v>791</v>
      </c>
      <c r="I239" s="4">
        <v>3.27</v>
      </c>
      <c r="J239" s="4">
        <v>0.94</v>
      </c>
      <c r="K239" s="4">
        <v>0.1852</v>
      </c>
      <c r="L239" s="4" t="s">
        <v>12272</v>
      </c>
      <c r="M239" s="4" t="s">
        <v>4929</v>
      </c>
      <c r="N239" s="60">
        <v>3.0808746810000001</v>
      </c>
      <c r="O239" s="60">
        <v>5.1976203920000001</v>
      </c>
      <c r="P239" s="60">
        <v>9.1679363249999994</v>
      </c>
      <c r="Q239" s="60">
        <v>3.0808746810000001</v>
      </c>
      <c r="R239" s="51" t="b">
        <v>1</v>
      </c>
      <c r="S239" s="60">
        <v>7.779233456</v>
      </c>
      <c r="T239" s="60">
        <v>8.9039621350000004</v>
      </c>
      <c r="U239" s="60">
        <v>7.779233456</v>
      </c>
      <c r="V239" s="51" t="b">
        <v>0</v>
      </c>
      <c r="W239" s="60">
        <v>3.8215792180000001</v>
      </c>
      <c r="X239" s="60">
        <v>2.5544703009999998</v>
      </c>
      <c r="Y239" s="51" t="b">
        <v>1</v>
      </c>
      <c r="Z239" s="60">
        <v>1.5023039579999999</v>
      </c>
      <c r="AA239" s="60">
        <v>5.2316131590000001</v>
      </c>
      <c r="AB239" s="60">
        <v>1.1634641889999999</v>
      </c>
      <c r="AC239" s="60">
        <v>9.1425123209999999</v>
      </c>
      <c r="AD239" s="60">
        <v>7.1734161380000003</v>
      </c>
      <c r="AE239" s="60">
        <v>8.8757848740000007</v>
      </c>
      <c r="AF239" s="60">
        <v>13.401270869999999</v>
      </c>
      <c r="AG239" s="60">
        <v>19.007373810000001</v>
      </c>
      <c r="AH239" s="60">
        <v>18.162248609999999</v>
      </c>
      <c r="AI239" s="41">
        <v>1</v>
      </c>
      <c r="AO239" s="50"/>
    </row>
    <row r="240" spans="1:41" ht="13">
      <c r="A240" s="4" t="s">
        <v>911</v>
      </c>
      <c r="B240" s="50" t="s">
        <v>12784</v>
      </c>
      <c r="C240" s="4" t="s">
        <v>677</v>
      </c>
      <c r="D240" s="4" t="s">
        <v>4926</v>
      </c>
      <c r="E240" s="4" t="s">
        <v>108</v>
      </c>
      <c r="F240" s="4" t="s">
        <v>13122</v>
      </c>
      <c r="G240" s="4" t="s">
        <v>5054</v>
      </c>
      <c r="H240" s="4" t="s">
        <v>792</v>
      </c>
      <c r="I240" s="4">
        <v>3.53</v>
      </c>
      <c r="J240" s="4">
        <v>1</v>
      </c>
      <c r="K240" s="4">
        <v>0.19067999999999999</v>
      </c>
      <c r="L240" s="4" t="s">
        <v>12272</v>
      </c>
      <c r="M240" s="4" t="s">
        <v>4929</v>
      </c>
      <c r="N240" s="60">
        <v>2.9373922349999999</v>
      </c>
      <c r="O240" s="60">
        <v>3.318624496</v>
      </c>
      <c r="P240" s="60">
        <v>2.6777076719999999</v>
      </c>
      <c r="Q240" s="60">
        <v>2.6777076719999999</v>
      </c>
      <c r="R240" s="51" t="b">
        <v>1</v>
      </c>
      <c r="S240" s="60">
        <v>3.3391668800000001</v>
      </c>
      <c r="T240" s="60">
        <v>6.0116672519999996</v>
      </c>
      <c r="U240" s="60">
        <v>3.3391668800000001</v>
      </c>
      <c r="V240" s="51" t="b">
        <v>0</v>
      </c>
      <c r="W240" s="60">
        <v>4.3404669760000001</v>
      </c>
      <c r="X240" s="60">
        <v>5.3250637049999998</v>
      </c>
      <c r="Y240" s="51" t="b">
        <v>0</v>
      </c>
      <c r="Z240" s="60">
        <v>0.91569447500000001</v>
      </c>
      <c r="AA240" s="60">
        <v>3.4620215889999999</v>
      </c>
      <c r="AB240" s="60">
        <v>3.4511880869999998</v>
      </c>
      <c r="AC240" s="60">
        <v>7.6717991830000001</v>
      </c>
      <c r="AD240" s="60">
        <v>5.8474946020000003</v>
      </c>
      <c r="AE240" s="60">
        <v>8.5155687330000003</v>
      </c>
      <c r="AF240" s="60">
        <v>13.37708378</v>
      </c>
      <c r="AG240" s="60">
        <v>18.346376419999999</v>
      </c>
      <c r="AH240" s="60">
        <v>18.23552132</v>
      </c>
      <c r="AI240" s="41">
        <v>3</v>
      </c>
      <c r="AJ240" s="41">
        <v>6</v>
      </c>
      <c r="AK240" s="41" t="s">
        <v>12785</v>
      </c>
      <c r="AO240" s="50"/>
    </row>
    <row r="241" spans="1:41" ht="13">
      <c r="A241" s="4" t="s">
        <v>912</v>
      </c>
      <c r="B241" s="50" t="s">
        <v>12974</v>
      </c>
      <c r="C241" s="4" t="s">
        <v>678</v>
      </c>
      <c r="D241" s="4" t="s">
        <v>4926</v>
      </c>
      <c r="E241" s="4" t="s">
        <v>108</v>
      </c>
      <c r="F241" s="4" t="s">
        <v>13</v>
      </c>
      <c r="G241" s="4" t="s">
        <v>5152</v>
      </c>
      <c r="H241" s="4" t="s">
        <v>793</v>
      </c>
      <c r="I241" s="4">
        <v>3.67</v>
      </c>
      <c r="J241" s="4">
        <v>0.94</v>
      </c>
      <c r="K241" s="4">
        <v>0.18332000000000001</v>
      </c>
      <c r="L241" s="4" t="s">
        <v>4955</v>
      </c>
      <c r="M241" s="4" t="s">
        <v>4955</v>
      </c>
      <c r="N241" s="60">
        <v>30.15189552</v>
      </c>
      <c r="O241" s="60">
        <v>30.54586411</v>
      </c>
      <c r="P241" s="60">
        <v>31.682500839999999</v>
      </c>
      <c r="Q241" s="60">
        <v>30.15189552</v>
      </c>
      <c r="R241" s="51" t="b">
        <v>0</v>
      </c>
      <c r="S241" s="60">
        <v>33.248950960000002</v>
      </c>
      <c r="T241" s="60">
        <v>34.852340699999999</v>
      </c>
      <c r="U241" s="60">
        <v>33.248950960000002</v>
      </c>
      <c r="V241" s="51" t="b">
        <v>0</v>
      </c>
      <c r="W241" s="60">
        <v>32.530780790000001</v>
      </c>
      <c r="X241" s="60">
        <v>27.368101119999999</v>
      </c>
      <c r="Y241" s="51" t="b">
        <v>0</v>
      </c>
      <c r="Z241" s="60">
        <v>29.043432240000001</v>
      </c>
      <c r="AA241" s="60">
        <v>30.43364906</v>
      </c>
      <c r="AB241" s="60">
        <v>28.757514950000001</v>
      </c>
      <c r="AC241" s="60">
        <v>33.153373719999998</v>
      </c>
      <c r="AD241" s="60">
        <v>23.73974419</v>
      </c>
      <c r="AE241" s="60">
        <v>20.386911390000002</v>
      </c>
      <c r="AF241" s="60">
        <v>15.529397960000001</v>
      </c>
      <c r="AG241" s="60">
        <v>15.249391559999999</v>
      </c>
      <c r="AH241" s="60">
        <v>25.67508698</v>
      </c>
      <c r="AO241" s="50"/>
    </row>
    <row r="242" spans="1:41" ht="13">
      <c r="A242" s="4" t="s">
        <v>913</v>
      </c>
      <c r="B242" s="50" t="s">
        <v>12798</v>
      </c>
      <c r="C242" s="4" t="s">
        <v>679</v>
      </c>
      <c r="D242" s="4" t="s">
        <v>4926</v>
      </c>
      <c r="E242" s="4" t="s">
        <v>108</v>
      </c>
      <c r="F242" s="4" t="s">
        <v>13</v>
      </c>
      <c r="G242" s="4" t="s">
        <v>5055</v>
      </c>
      <c r="H242" s="4" t="s">
        <v>794</v>
      </c>
      <c r="I242" s="4">
        <v>3.7</v>
      </c>
      <c r="J242" s="4">
        <v>0.96</v>
      </c>
      <c r="K242" s="4">
        <v>0.19893</v>
      </c>
      <c r="L242" s="4" t="s">
        <v>12272</v>
      </c>
      <c r="M242" s="4" t="s">
        <v>4929</v>
      </c>
      <c r="N242" s="60">
        <v>2.7628376480000001</v>
      </c>
      <c r="O242" s="60">
        <v>2.876121044</v>
      </c>
      <c r="P242" s="60">
        <v>3.77755332</v>
      </c>
      <c r="Q242" s="60">
        <v>2.7628376480000001</v>
      </c>
      <c r="R242" s="51" t="b">
        <v>1</v>
      </c>
      <c r="S242" s="60">
        <v>3.781419992</v>
      </c>
      <c r="T242" s="60">
        <v>6.141634464</v>
      </c>
      <c r="U242" s="60">
        <v>3.781419992</v>
      </c>
      <c r="V242" s="51" t="b">
        <v>0</v>
      </c>
      <c r="W242" s="60">
        <v>4.131187916</v>
      </c>
      <c r="X242" s="60">
        <v>7.2433457370000003</v>
      </c>
      <c r="Y242" s="51" t="b">
        <v>0</v>
      </c>
      <c r="Z242" s="60">
        <v>1.044250846</v>
      </c>
      <c r="AA242" s="60">
        <v>0.86111354799999995</v>
      </c>
      <c r="AB242" s="60">
        <v>5.3099141120000004</v>
      </c>
      <c r="AC242" s="60">
        <v>4.3060269360000003</v>
      </c>
      <c r="AD242" s="60">
        <v>4.4899406429999997</v>
      </c>
      <c r="AE242" s="60">
        <v>7.2724647520000003</v>
      </c>
      <c r="AF242" s="60">
        <v>12.236361499999999</v>
      </c>
      <c r="AG242" s="60">
        <v>16.60421753</v>
      </c>
      <c r="AH242" s="60">
        <v>17.84770584</v>
      </c>
      <c r="AI242" s="41">
        <v>2</v>
      </c>
      <c r="AJ242" s="41">
        <v>1</v>
      </c>
      <c r="AO242" s="50"/>
    </row>
    <row r="243" spans="1:41" ht="13">
      <c r="A243" s="4" t="s">
        <v>914</v>
      </c>
      <c r="B243" s="50" t="s">
        <v>12738</v>
      </c>
      <c r="C243" s="4" t="s">
        <v>680</v>
      </c>
      <c r="D243" s="4" t="s">
        <v>4926</v>
      </c>
      <c r="E243" s="4" t="s">
        <v>108</v>
      </c>
      <c r="F243" s="4" t="s">
        <v>13</v>
      </c>
      <c r="G243" s="4" t="s">
        <v>5056</v>
      </c>
      <c r="H243" s="4" t="s">
        <v>795</v>
      </c>
      <c r="I243" s="4">
        <v>3.77</v>
      </c>
      <c r="J243" s="4">
        <v>0.94</v>
      </c>
      <c r="K243" s="4">
        <v>0.18521000000000001</v>
      </c>
      <c r="L243" s="4" t="s">
        <v>12272</v>
      </c>
      <c r="M243" s="4" t="s">
        <v>4929</v>
      </c>
      <c r="N243" s="60">
        <v>5.4562344549999997</v>
      </c>
      <c r="O243" s="60">
        <v>4.7048578259999996</v>
      </c>
      <c r="P243" s="60">
        <v>4.3263340000000001</v>
      </c>
      <c r="Q243" s="60">
        <v>4.3263340000000001</v>
      </c>
      <c r="R243" s="51" t="b">
        <v>0</v>
      </c>
      <c r="S243" s="60">
        <v>2.7496139999999998</v>
      </c>
      <c r="T243" s="60">
        <v>2.8127138610000002</v>
      </c>
      <c r="U243" s="60">
        <v>2.7496139999999998</v>
      </c>
      <c r="V243" s="51" t="b">
        <v>1</v>
      </c>
      <c r="W243" s="60">
        <v>3.8926904200000001</v>
      </c>
      <c r="X243" s="60">
        <v>6.4811935419999998</v>
      </c>
      <c r="Y243" s="51" t="b">
        <v>0</v>
      </c>
      <c r="Z243" s="60">
        <v>1.138860464</v>
      </c>
      <c r="AA243" s="60">
        <v>0.90532308800000005</v>
      </c>
      <c r="AB243" s="60">
        <v>6.1938300130000004</v>
      </c>
      <c r="AC243" s="60">
        <v>4.1717343329999999</v>
      </c>
      <c r="AD243" s="60">
        <v>4.0065908429999997</v>
      </c>
      <c r="AE243" s="60">
        <v>7.4048843379999996</v>
      </c>
      <c r="AF243" s="60">
        <v>12.34271431</v>
      </c>
      <c r="AG243" s="60">
        <v>16.801042559999999</v>
      </c>
      <c r="AH243" s="60">
        <v>18.93853378</v>
      </c>
      <c r="AK243" s="41">
        <v>2</v>
      </c>
      <c r="AL243" s="41">
        <v>1</v>
      </c>
      <c r="AM243" s="41" t="s">
        <v>12272</v>
      </c>
      <c r="AO243" s="50"/>
    </row>
    <row r="244" spans="1:41" ht="13">
      <c r="A244" s="4" t="s">
        <v>915</v>
      </c>
      <c r="B244" s="50" t="s">
        <v>12794</v>
      </c>
      <c r="C244" s="4" t="s">
        <v>681</v>
      </c>
      <c r="D244" s="4" t="s">
        <v>4926</v>
      </c>
      <c r="E244" s="4" t="s">
        <v>108</v>
      </c>
      <c r="F244" s="4" t="s">
        <v>13</v>
      </c>
      <c r="G244" s="40" t="s">
        <v>5057</v>
      </c>
      <c r="H244" s="4" t="s">
        <v>796</v>
      </c>
      <c r="I244" s="4">
        <v>3.78</v>
      </c>
      <c r="J244" s="4">
        <v>0.94</v>
      </c>
      <c r="K244" s="4">
        <v>0.18484999999999999</v>
      </c>
      <c r="L244" s="4" t="s">
        <v>12272</v>
      </c>
      <c r="M244" s="4" t="s">
        <v>4929</v>
      </c>
      <c r="N244" s="60">
        <v>2.806905746</v>
      </c>
      <c r="O244" s="60">
        <v>2.8909864430000001</v>
      </c>
      <c r="P244" s="60">
        <v>3.6559939379999999</v>
      </c>
      <c r="Q244" s="60">
        <v>2.806905746</v>
      </c>
      <c r="R244" s="51" t="b">
        <v>1</v>
      </c>
      <c r="S244" s="60">
        <v>3.5891003609999999</v>
      </c>
      <c r="T244" s="60">
        <v>3.548790216</v>
      </c>
      <c r="U244" s="60">
        <v>3.548790216</v>
      </c>
      <c r="V244" s="51" t="b">
        <v>0</v>
      </c>
      <c r="W244" s="60">
        <v>4.3921041489999997</v>
      </c>
      <c r="X244" s="60">
        <v>5.5902123450000003</v>
      </c>
      <c r="Y244" s="51" t="b">
        <v>0</v>
      </c>
      <c r="Z244" s="60">
        <v>0.64629405699999998</v>
      </c>
      <c r="AA244" s="60">
        <v>0.96244776200000004</v>
      </c>
      <c r="AB244" s="60">
        <v>4.9101319309999996</v>
      </c>
      <c r="AC244" s="60">
        <v>4.8043689729999999</v>
      </c>
      <c r="AD244" s="60">
        <v>1.9576278920000001</v>
      </c>
      <c r="AE244" s="60">
        <v>5.3239493370000002</v>
      </c>
      <c r="AF244" s="60">
        <v>10.14402962</v>
      </c>
      <c r="AG244" s="60">
        <v>14.56783199</v>
      </c>
      <c r="AH244" s="60">
        <v>17.92278671</v>
      </c>
      <c r="AI244" s="41">
        <v>2</v>
      </c>
      <c r="AJ244" s="41">
        <v>2</v>
      </c>
      <c r="AO244" s="50"/>
    </row>
    <row r="245" spans="1:41" ht="13">
      <c r="A245" s="4" t="s">
        <v>916</v>
      </c>
      <c r="B245" s="50" t="s">
        <v>12802</v>
      </c>
      <c r="C245" s="4" t="s">
        <v>682</v>
      </c>
      <c r="D245" s="4" t="s">
        <v>4926</v>
      </c>
      <c r="E245" s="4" t="s">
        <v>108</v>
      </c>
      <c r="F245" s="4" t="s">
        <v>13</v>
      </c>
      <c r="G245" s="40" t="s">
        <v>5058</v>
      </c>
      <c r="H245" s="4" t="s">
        <v>797</v>
      </c>
      <c r="I245" s="4">
        <v>3.83</v>
      </c>
      <c r="J245" s="4">
        <v>0.98</v>
      </c>
      <c r="K245" s="4">
        <v>0.19825999999999999</v>
      </c>
      <c r="L245" s="4" t="s">
        <v>12272</v>
      </c>
      <c r="M245" s="4" t="s">
        <v>4929</v>
      </c>
      <c r="N245" s="60">
        <v>2.7146599290000002</v>
      </c>
      <c r="O245" s="60">
        <v>2.762749672</v>
      </c>
      <c r="P245" s="60">
        <v>3.6232364179999998</v>
      </c>
      <c r="Q245" s="60">
        <v>2.7146599290000002</v>
      </c>
      <c r="R245" s="51" t="b">
        <v>1</v>
      </c>
      <c r="S245" s="60">
        <v>3.8604605200000002</v>
      </c>
      <c r="T245" s="60">
        <v>4.9786310199999999</v>
      </c>
      <c r="U245" s="60">
        <v>3.8604605200000002</v>
      </c>
      <c r="V245" s="51" t="b">
        <v>0</v>
      </c>
      <c r="W245" s="60">
        <v>4.6180443760000003</v>
      </c>
      <c r="X245" s="60">
        <v>5.6264672280000001</v>
      </c>
      <c r="Y245" s="51" t="b">
        <v>0</v>
      </c>
      <c r="Z245" s="60">
        <v>0.881794631</v>
      </c>
      <c r="AA245" s="60">
        <v>0.985455215</v>
      </c>
      <c r="AB245" s="60">
        <v>4.7078304290000004</v>
      </c>
      <c r="AC245" s="60">
        <v>3.9482142929999999</v>
      </c>
      <c r="AD245" s="60">
        <v>5.5744609829999998</v>
      </c>
      <c r="AE245" s="60">
        <v>8.3880863189999992</v>
      </c>
      <c r="AF245" s="60">
        <v>13.10302448</v>
      </c>
      <c r="AG245" s="60">
        <v>14.9752779</v>
      </c>
      <c r="AH245" s="60">
        <v>17.988529209999999</v>
      </c>
      <c r="AI245" s="41">
        <v>2</v>
      </c>
      <c r="AJ245" s="41">
        <v>2</v>
      </c>
      <c r="AO245" s="50"/>
    </row>
    <row r="246" spans="1:41" ht="13">
      <c r="A246" s="4" t="s">
        <v>917</v>
      </c>
      <c r="B246" s="50" t="s">
        <v>12824</v>
      </c>
      <c r="C246" s="4" t="s">
        <v>683</v>
      </c>
      <c r="D246" s="4" t="s">
        <v>4926</v>
      </c>
      <c r="E246" s="4" t="s">
        <v>108</v>
      </c>
      <c r="F246" s="4" t="s">
        <v>9</v>
      </c>
      <c r="G246" s="4" t="s">
        <v>5060</v>
      </c>
      <c r="H246" s="4" t="s">
        <v>798</v>
      </c>
      <c r="I246" s="4">
        <v>3.6</v>
      </c>
      <c r="J246" s="4">
        <v>0.98</v>
      </c>
      <c r="K246" s="4">
        <v>0.19872999999999999</v>
      </c>
      <c r="L246" s="4" t="s">
        <v>12272</v>
      </c>
      <c r="M246" s="4" t="s">
        <v>4929</v>
      </c>
      <c r="N246" s="60">
        <v>7.2807211880000002</v>
      </c>
      <c r="O246" s="60">
        <v>6.4156551359999998</v>
      </c>
      <c r="P246" s="60">
        <v>5.2388281819999998</v>
      </c>
      <c r="Q246" s="60">
        <v>5.2388281819999998</v>
      </c>
      <c r="R246" s="51" t="b">
        <v>0</v>
      </c>
      <c r="S246" s="60">
        <v>4.401083946</v>
      </c>
      <c r="T246" s="60">
        <v>6.092686176</v>
      </c>
      <c r="U246" s="60">
        <v>4.401083946</v>
      </c>
      <c r="V246" s="51" t="b">
        <v>0</v>
      </c>
      <c r="W246" s="60">
        <v>3.9157960410000001</v>
      </c>
      <c r="X246" s="60">
        <v>3.2885799410000001</v>
      </c>
      <c r="Y246" s="51" t="b">
        <v>1</v>
      </c>
      <c r="Z246" s="60">
        <v>2.0138170720000002</v>
      </c>
      <c r="AA246" s="60">
        <v>2.9750373360000002</v>
      </c>
      <c r="AB246" s="60">
        <v>2.6574325559999998</v>
      </c>
      <c r="AC246" s="60">
        <v>6.8831577299999998</v>
      </c>
      <c r="AD246" s="60">
        <v>5.4763612750000004</v>
      </c>
      <c r="AE246" s="60">
        <v>8.0046644209999993</v>
      </c>
      <c r="AF246" s="60">
        <v>12.93586159</v>
      </c>
      <c r="AG246" s="60">
        <v>17.728321080000001</v>
      </c>
      <c r="AH246" s="60">
        <v>18.605472559999999</v>
      </c>
      <c r="AO246" s="50"/>
    </row>
    <row r="247" spans="1:41" ht="13">
      <c r="A247" s="4" t="s">
        <v>918</v>
      </c>
      <c r="B247" s="50" t="s">
        <v>12852</v>
      </c>
      <c r="C247" s="4" t="s">
        <v>684</v>
      </c>
      <c r="D247" s="4" t="s">
        <v>4926</v>
      </c>
      <c r="E247" s="4" t="s">
        <v>108</v>
      </c>
      <c r="F247" s="4" t="s">
        <v>9</v>
      </c>
      <c r="G247" s="4" t="s">
        <v>5061</v>
      </c>
      <c r="H247" s="4" t="s">
        <v>799</v>
      </c>
      <c r="I247" s="4">
        <v>3.9</v>
      </c>
      <c r="J247" s="4">
        <v>0.94</v>
      </c>
      <c r="K247" s="4">
        <v>0.18987000000000001</v>
      </c>
      <c r="L247" s="4" t="s">
        <v>4929</v>
      </c>
      <c r="M247" s="4" t="s">
        <v>4929</v>
      </c>
      <c r="N247" s="60">
        <v>3.1713633539999999</v>
      </c>
      <c r="O247" s="60">
        <v>4.0382776260000002</v>
      </c>
      <c r="P247" s="60">
        <v>6.556203365</v>
      </c>
      <c r="Q247" s="60">
        <v>3.1713633539999999</v>
      </c>
      <c r="R247" s="51" t="b">
        <v>0</v>
      </c>
      <c r="S247" s="60">
        <v>5.4013571740000001</v>
      </c>
      <c r="T247" s="60">
        <v>6.931016445</v>
      </c>
      <c r="U247" s="60">
        <v>5.4013571740000001</v>
      </c>
      <c r="V247" s="51" t="b">
        <v>0</v>
      </c>
      <c r="W247" s="60">
        <v>4.1228079800000001</v>
      </c>
      <c r="X247" s="60">
        <v>5.1301817889999999</v>
      </c>
      <c r="Y247" s="51" t="b">
        <v>0</v>
      </c>
      <c r="Z247" s="60">
        <v>1.776446462</v>
      </c>
      <c r="AA247" s="60">
        <v>2.414293528</v>
      </c>
      <c r="AB247" s="60">
        <v>4.1994862560000001</v>
      </c>
      <c r="AC247" s="60">
        <v>5.941104889</v>
      </c>
      <c r="AD247" s="60">
        <v>5.3040094379999996</v>
      </c>
      <c r="AE247" s="60">
        <v>7.654926777</v>
      </c>
      <c r="AF247" s="60">
        <v>12.432017330000001</v>
      </c>
      <c r="AG247" s="60">
        <v>17.40293312</v>
      </c>
      <c r="AH247" s="60">
        <v>18.049095149999999</v>
      </c>
      <c r="AI247" s="41" t="s">
        <v>12785</v>
      </c>
      <c r="AO247" s="50"/>
    </row>
    <row r="248" spans="1:41" ht="13">
      <c r="A248" s="4" t="s">
        <v>918</v>
      </c>
      <c r="B248" s="50" t="s">
        <v>12919</v>
      </c>
      <c r="C248" s="4" t="s">
        <v>684</v>
      </c>
      <c r="D248" s="4" t="s">
        <v>4926</v>
      </c>
      <c r="E248" s="4" t="s">
        <v>108</v>
      </c>
      <c r="F248" s="4" t="s">
        <v>9</v>
      </c>
      <c r="G248" s="4" t="s">
        <v>5061</v>
      </c>
      <c r="H248" s="4" t="s">
        <v>799</v>
      </c>
      <c r="I248" s="4">
        <v>3.9</v>
      </c>
      <c r="J248" s="4">
        <v>0.94</v>
      </c>
      <c r="K248" s="4">
        <v>0.18987000000000001</v>
      </c>
      <c r="L248" s="4" t="s">
        <v>12779</v>
      </c>
      <c r="M248" s="4" t="s">
        <v>4995</v>
      </c>
      <c r="N248" s="60">
        <v>13.367872240000001</v>
      </c>
      <c r="O248" s="60">
        <v>13.14510632</v>
      </c>
      <c r="P248" s="60">
        <v>12.68400478</v>
      </c>
      <c r="Q248" s="60">
        <v>12.68400478</v>
      </c>
      <c r="R248" s="51" t="b">
        <v>0</v>
      </c>
      <c r="S248" s="60">
        <v>12.568554880000001</v>
      </c>
      <c r="T248" s="60">
        <v>13.277179719999999</v>
      </c>
      <c r="U248" s="60">
        <v>12.568554880000001</v>
      </c>
      <c r="V248" s="51" t="b">
        <v>0</v>
      </c>
      <c r="W248" s="60">
        <v>11.859081270000001</v>
      </c>
      <c r="X248" s="60">
        <v>18.037849430000001</v>
      </c>
      <c r="Y248" s="51" t="b">
        <v>0</v>
      </c>
      <c r="Z248" s="60">
        <v>9.2451200490000005</v>
      </c>
      <c r="AA248" s="60">
        <v>8.1227807999999992</v>
      </c>
      <c r="AB248" s="60">
        <v>11.882406230000001</v>
      </c>
      <c r="AC248" s="60">
        <v>10.01359272</v>
      </c>
      <c r="AD248" s="60">
        <v>3.7292923930000001</v>
      </c>
      <c r="AE248" s="60">
        <v>1.289163351</v>
      </c>
      <c r="AF248" s="60">
        <v>5.9660844800000001</v>
      </c>
      <c r="AG248" s="60">
        <v>10.902036669999999</v>
      </c>
      <c r="AH248" s="60">
        <v>21.64336205</v>
      </c>
      <c r="AO248" s="50"/>
    </row>
  </sheetData>
  <sortState xmlns:xlrd2="http://schemas.microsoft.com/office/spreadsheetml/2017/richdata2" ref="A3:AM248">
    <sortCondition ref="A1:A248"/>
  </sortState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41B38-8E48-0A44-B9A8-531F27504B42}">
  <dimension ref="A1:U91"/>
  <sheetViews>
    <sheetView topLeftCell="B1" workbookViewId="0">
      <selection activeCell="E18" sqref="E18"/>
    </sheetView>
  </sheetViews>
  <sheetFormatPr baseColWidth="10" defaultRowHeight="13"/>
  <cols>
    <col min="1" max="1" width="16" style="50" customWidth="1"/>
    <col min="2" max="2" width="24.83203125" style="50" customWidth="1"/>
    <col min="3" max="3" width="25.6640625" style="50" customWidth="1"/>
    <col min="4" max="6" width="10.83203125" style="50"/>
    <col min="7" max="7" width="12.6640625" style="50" customWidth="1"/>
    <col min="8" max="8" width="12.1640625" style="50" customWidth="1"/>
    <col min="9" max="9" width="10.83203125" style="50"/>
    <col min="10" max="10" width="11.6640625" style="50" customWidth="1"/>
    <col min="11" max="14" width="10.83203125" style="50"/>
    <col min="15" max="15" width="12.5" style="50" customWidth="1"/>
    <col min="16" max="18" width="10.83203125" style="50"/>
    <col min="19" max="19" width="12.1640625" style="50" customWidth="1"/>
    <col min="20" max="20" width="12.33203125" style="50" customWidth="1"/>
    <col min="21" max="16384" width="10.83203125" style="50"/>
  </cols>
  <sheetData>
    <row r="1" spans="1:21">
      <c r="A1" s="95" t="s">
        <v>13131</v>
      </c>
      <c r="B1" s="86"/>
      <c r="C1" s="86"/>
      <c r="D1" s="86"/>
      <c r="E1" s="86"/>
      <c r="F1" s="89"/>
      <c r="G1" s="96" t="s">
        <v>13132</v>
      </c>
      <c r="H1" s="87"/>
      <c r="I1" s="87"/>
      <c r="J1" s="94"/>
      <c r="K1" s="87"/>
      <c r="L1" s="87"/>
      <c r="M1" s="87"/>
      <c r="N1" s="90"/>
      <c r="O1" s="98" t="s">
        <v>13133</v>
      </c>
      <c r="P1" s="92"/>
      <c r="Q1" s="97" t="s">
        <v>13134</v>
      </c>
      <c r="R1" s="97"/>
      <c r="S1" s="88"/>
      <c r="T1" s="91"/>
      <c r="U1" s="93"/>
    </row>
    <row r="2" spans="1:21" ht="84">
      <c r="A2" s="71" t="s">
        <v>13070</v>
      </c>
      <c r="B2" s="71" t="s">
        <v>13071</v>
      </c>
      <c r="C2" s="71" t="s">
        <v>13072</v>
      </c>
      <c r="D2" s="72" t="s">
        <v>13073</v>
      </c>
      <c r="E2" s="71" t="s">
        <v>13074</v>
      </c>
      <c r="F2" s="71" t="s">
        <v>13075</v>
      </c>
      <c r="G2" s="73" t="s">
        <v>13141</v>
      </c>
      <c r="H2" s="73" t="s">
        <v>13142</v>
      </c>
      <c r="I2" s="73" t="s">
        <v>13129</v>
      </c>
      <c r="J2" s="73" t="s">
        <v>13128</v>
      </c>
      <c r="K2" s="73" t="s">
        <v>13144</v>
      </c>
      <c r="L2" s="73" t="s">
        <v>13145</v>
      </c>
      <c r="M2" s="73" t="s">
        <v>13143</v>
      </c>
      <c r="N2" s="73" t="s">
        <v>13146</v>
      </c>
      <c r="O2" s="71" t="s">
        <v>13135</v>
      </c>
      <c r="P2" s="73" t="s">
        <v>13136</v>
      </c>
      <c r="Q2" s="73" t="s">
        <v>13137</v>
      </c>
      <c r="R2" s="73" t="s">
        <v>13138</v>
      </c>
      <c r="S2" s="73" t="s">
        <v>13139</v>
      </c>
      <c r="T2" s="73" t="s">
        <v>13140</v>
      </c>
      <c r="U2" s="71" t="s">
        <v>13119</v>
      </c>
    </row>
    <row r="3" spans="1:21">
      <c r="A3" s="102" t="s">
        <v>13076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4"/>
    </row>
    <row r="4" spans="1:21">
      <c r="A4" s="74" t="s">
        <v>13077</v>
      </c>
      <c r="B4" s="75" t="s">
        <v>4931</v>
      </c>
      <c r="C4" s="74" t="s">
        <v>13078</v>
      </c>
      <c r="D4" s="76">
        <v>507</v>
      </c>
      <c r="E4" s="74">
        <v>-35.119999999999997</v>
      </c>
      <c r="F4" s="74">
        <v>4.79</v>
      </c>
      <c r="G4" s="77">
        <v>3</v>
      </c>
      <c r="H4" s="99">
        <v>0.4</v>
      </c>
      <c r="I4" s="85">
        <v>4.8999999999999998E-3</v>
      </c>
      <c r="J4" s="85" t="s">
        <v>13130</v>
      </c>
      <c r="K4" s="77">
        <v>51.17</v>
      </c>
      <c r="L4" s="77">
        <v>0.11</v>
      </c>
      <c r="M4" s="77">
        <v>61.27</v>
      </c>
      <c r="N4" s="77">
        <v>0.72</v>
      </c>
      <c r="O4" s="74" t="s">
        <v>13079</v>
      </c>
      <c r="P4" s="74" t="s">
        <v>13082</v>
      </c>
      <c r="Q4" s="74" t="s">
        <v>13079</v>
      </c>
      <c r="R4" s="74" t="s">
        <v>13082</v>
      </c>
      <c r="S4" s="74">
        <v>2.2000000000000002</v>
      </c>
      <c r="T4" s="74">
        <v>2</v>
      </c>
      <c r="U4" s="75" t="s">
        <v>568</v>
      </c>
    </row>
    <row r="5" spans="1:21">
      <c r="A5" s="74" t="s">
        <v>13077</v>
      </c>
      <c r="B5" s="75" t="s">
        <v>4930</v>
      </c>
      <c r="C5" s="74" t="s">
        <v>13080</v>
      </c>
      <c r="D5" s="76">
        <v>2601</v>
      </c>
      <c r="E5" s="74">
        <v>-29.28</v>
      </c>
      <c r="F5" s="74">
        <v>2.23</v>
      </c>
      <c r="G5" s="74">
        <v>3</v>
      </c>
      <c r="H5" s="99">
        <v>-0.3</v>
      </c>
      <c r="I5" s="85">
        <v>1.4999999999999999E-4</v>
      </c>
      <c r="J5" s="85" t="s">
        <v>13130</v>
      </c>
      <c r="K5" s="74">
        <v>50.41</v>
      </c>
      <c r="L5" s="74">
        <v>0.1</v>
      </c>
      <c r="M5" s="74">
        <v>62.84</v>
      </c>
      <c r="N5" s="74">
        <v>0.93</v>
      </c>
      <c r="O5" s="74" t="s">
        <v>13079</v>
      </c>
      <c r="P5" s="74" t="s">
        <v>13082</v>
      </c>
      <c r="Q5" s="74" t="s">
        <v>13079</v>
      </c>
      <c r="R5" s="74" t="s">
        <v>13082</v>
      </c>
      <c r="S5" s="74">
        <v>9.1999999999999993</v>
      </c>
      <c r="T5" s="74">
        <v>2</v>
      </c>
      <c r="U5" s="75" t="s">
        <v>567</v>
      </c>
    </row>
    <row r="6" spans="1:21">
      <c r="A6" s="74" t="s">
        <v>13077</v>
      </c>
      <c r="B6" s="75" t="s">
        <v>5054</v>
      </c>
      <c r="C6" s="74" t="s">
        <v>13081</v>
      </c>
      <c r="D6" s="76">
        <v>6186</v>
      </c>
      <c r="E6" s="74">
        <v>-24.8</v>
      </c>
      <c r="F6" s="74">
        <v>2.69</v>
      </c>
      <c r="G6" s="74" t="s">
        <v>13082</v>
      </c>
      <c r="H6" s="99" t="s">
        <v>13082</v>
      </c>
      <c r="I6" s="85" t="s">
        <v>13082</v>
      </c>
      <c r="J6" s="85" t="s">
        <v>13082</v>
      </c>
      <c r="K6" s="74" t="s">
        <v>13082</v>
      </c>
      <c r="L6" s="74" t="s">
        <v>13082</v>
      </c>
      <c r="M6" s="74" t="s">
        <v>13082</v>
      </c>
      <c r="N6" s="74" t="s">
        <v>13082</v>
      </c>
      <c r="O6" s="74" t="s">
        <v>13079</v>
      </c>
      <c r="P6" s="74" t="s">
        <v>13082</v>
      </c>
      <c r="Q6" s="74" t="s">
        <v>13079</v>
      </c>
      <c r="R6" s="74" t="s">
        <v>13082</v>
      </c>
      <c r="S6" s="74">
        <v>16.2</v>
      </c>
      <c r="T6" s="74">
        <v>1</v>
      </c>
      <c r="U6" s="75" t="s">
        <v>677</v>
      </c>
    </row>
    <row r="7" spans="1:21">
      <c r="A7" s="74" t="s">
        <v>13083</v>
      </c>
      <c r="B7" s="75" t="s">
        <v>5055</v>
      </c>
      <c r="C7" s="74" t="s">
        <v>794</v>
      </c>
      <c r="D7" s="76">
        <v>215</v>
      </c>
      <c r="E7" s="74">
        <v>-40.869999999999997</v>
      </c>
      <c r="F7" s="74">
        <v>1.5</v>
      </c>
      <c r="G7" s="74">
        <v>3</v>
      </c>
      <c r="H7" s="99">
        <v>-0.8</v>
      </c>
      <c r="I7" s="85">
        <v>6.7000000000000002E-4</v>
      </c>
      <c r="J7" s="85" t="s">
        <v>13130</v>
      </c>
      <c r="K7" s="74">
        <v>49.97</v>
      </c>
      <c r="L7" s="74">
        <v>0.06</v>
      </c>
      <c r="M7" s="74">
        <v>63.88</v>
      </c>
      <c r="N7" s="74">
        <v>1.19</v>
      </c>
      <c r="O7" s="74" t="s">
        <v>13079</v>
      </c>
      <c r="P7" s="74" t="s">
        <v>13082</v>
      </c>
      <c r="Q7" s="74" t="s">
        <v>13079</v>
      </c>
      <c r="R7" s="74" t="s">
        <v>13082</v>
      </c>
      <c r="S7" s="74">
        <v>-1.2</v>
      </c>
      <c r="T7" s="74">
        <v>2</v>
      </c>
      <c r="U7" s="75" t="s">
        <v>679</v>
      </c>
    </row>
    <row r="8" spans="1:21">
      <c r="A8" s="74" t="s">
        <v>13083</v>
      </c>
      <c r="B8" s="75" t="s">
        <v>4939</v>
      </c>
      <c r="C8" s="74" t="s">
        <v>696</v>
      </c>
      <c r="D8" s="76">
        <v>1139</v>
      </c>
      <c r="E8" s="74">
        <v>-38.880000000000003</v>
      </c>
      <c r="F8" s="74">
        <v>1.54</v>
      </c>
      <c r="G8" s="74">
        <v>3</v>
      </c>
      <c r="H8" s="99">
        <v>0.2</v>
      </c>
      <c r="I8" s="85">
        <v>0.23</v>
      </c>
      <c r="J8" s="85"/>
      <c r="K8" s="74">
        <v>50.97</v>
      </c>
      <c r="L8" s="74">
        <v>0.06</v>
      </c>
      <c r="M8" s="74">
        <v>62.34</v>
      </c>
      <c r="N8" s="74">
        <v>0.63</v>
      </c>
      <c r="O8" s="74" t="s">
        <v>13079</v>
      </c>
      <c r="P8" s="74" t="s">
        <v>13082</v>
      </c>
      <c r="Q8" s="74" t="s">
        <v>13079</v>
      </c>
      <c r="R8" s="74" t="s">
        <v>13082</v>
      </c>
      <c r="S8" s="74">
        <v>13.2</v>
      </c>
      <c r="T8" s="74">
        <v>1</v>
      </c>
      <c r="U8" s="75" t="s">
        <v>576</v>
      </c>
    </row>
    <row r="9" spans="1:21">
      <c r="A9" s="74" t="s">
        <v>13083</v>
      </c>
      <c r="B9" s="75" t="s">
        <v>4934</v>
      </c>
      <c r="C9" s="74" t="s">
        <v>691</v>
      </c>
      <c r="D9" s="76">
        <v>1224</v>
      </c>
      <c r="E9" s="74">
        <v>-38.78</v>
      </c>
      <c r="F9" s="74">
        <v>2.3199999999999998</v>
      </c>
      <c r="G9" s="74">
        <v>3</v>
      </c>
      <c r="H9" s="99">
        <v>0.2</v>
      </c>
      <c r="I9" s="85">
        <v>0.16</v>
      </c>
      <c r="J9" s="85"/>
      <c r="K9" s="74">
        <v>50.97</v>
      </c>
      <c r="L9" s="74">
        <v>0.11</v>
      </c>
      <c r="M9" s="74">
        <v>65.209999999999994</v>
      </c>
      <c r="N9" s="74">
        <v>1.42</v>
      </c>
      <c r="O9" s="74" t="s">
        <v>13079</v>
      </c>
      <c r="P9" s="74" t="s">
        <v>13082</v>
      </c>
      <c r="Q9" s="74">
        <v>370</v>
      </c>
      <c r="R9" s="74">
        <v>32.9</v>
      </c>
      <c r="S9" s="74">
        <v>68.099999999999994</v>
      </c>
      <c r="T9" s="74">
        <v>2</v>
      </c>
      <c r="U9" s="75" t="s">
        <v>571</v>
      </c>
    </row>
    <row r="10" spans="1:21">
      <c r="A10" s="74" t="s">
        <v>13083</v>
      </c>
      <c r="B10" s="75" t="s">
        <v>4940</v>
      </c>
      <c r="C10" s="74" t="s">
        <v>697</v>
      </c>
      <c r="D10" s="76">
        <v>1312</v>
      </c>
      <c r="E10" s="74">
        <v>-38.700000000000003</v>
      </c>
      <c r="F10" s="74">
        <v>1.47</v>
      </c>
      <c r="G10" s="74">
        <v>3</v>
      </c>
      <c r="H10" s="99">
        <v>0.4</v>
      </c>
      <c r="I10" s="85">
        <v>5.4999999999999997E-3</v>
      </c>
      <c r="J10" s="85" t="s">
        <v>13130</v>
      </c>
      <c r="K10" s="74">
        <v>51.14</v>
      </c>
      <c r="L10" s="74">
        <v>0.06</v>
      </c>
      <c r="M10" s="74">
        <v>62.04</v>
      </c>
      <c r="N10" s="74">
        <v>0.59</v>
      </c>
      <c r="O10" s="74" t="s">
        <v>13079</v>
      </c>
      <c r="P10" s="74" t="s">
        <v>13082</v>
      </c>
      <c r="Q10" s="74" t="s">
        <v>13079</v>
      </c>
      <c r="R10" s="74" t="s">
        <v>13082</v>
      </c>
      <c r="S10" s="74">
        <v>29.7</v>
      </c>
      <c r="T10" s="74">
        <v>2</v>
      </c>
      <c r="U10" s="75" t="s">
        <v>577</v>
      </c>
    </row>
    <row r="11" spans="1:21">
      <c r="A11" s="74" t="s">
        <v>13083</v>
      </c>
      <c r="B11" s="75" t="s">
        <v>13084</v>
      </c>
      <c r="C11" s="74" t="s">
        <v>13085</v>
      </c>
      <c r="D11" s="76">
        <v>6654</v>
      </c>
      <c r="E11" s="74">
        <v>-36.65</v>
      </c>
      <c r="F11" s="74" t="s">
        <v>13082</v>
      </c>
      <c r="G11" s="74" t="s">
        <v>13082</v>
      </c>
      <c r="H11" s="99" t="s">
        <v>13082</v>
      </c>
      <c r="I11" s="85" t="s">
        <v>13082</v>
      </c>
      <c r="J11" s="85" t="s">
        <v>13082</v>
      </c>
      <c r="K11" s="74" t="s">
        <v>13082</v>
      </c>
      <c r="L11" s="74" t="s">
        <v>13082</v>
      </c>
      <c r="M11" s="74" t="s">
        <v>13082</v>
      </c>
      <c r="N11" s="74" t="s">
        <v>13082</v>
      </c>
      <c r="O11" s="74" t="s">
        <v>13082</v>
      </c>
      <c r="P11" s="74" t="s">
        <v>13082</v>
      </c>
      <c r="Q11" s="74" t="s">
        <v>13082</v>
      </c>
      <c r="R11" s="74" t="s">
        <v>13082</v>
      </c>
      <c r="S11" s="74" t="s">
        <v>13082</v>
      </c>
      <c r="T11" s="67" t="s">
        <v>13082</v>
      </c>
      <c r="U11" s="75" t="s">
        <v>13082</v>
      </c>
    </row>
    <row r="12" spans="1:21">
      <c r="A12" s="74" t="s">
        <v>13082</v>
      </c>
      <c r="B12" s="75" t="s">
        <v>13086</v>
      </c>
      <c r="C12" s="74" t="s">
        <v>797</v>
      </c>
      <c r="D12" s="76" t="s">
        <v>13082</v>
      </c>
      <c r="E12" s="74" t="s">
        <v>13082</v>
      </c>
      <c r="F12" s="74" t="s">
        <v>13082</v>
      </c>
      <c r="G12" s="74">
        <v>3</v>
      </c>
      <c r="H12" s="99">
        <v>0.1</v>
      </c>
      <c r="I12" s="85">
        <v>0.63</v>
      </c>
      <c r="J12" s="85"/>
      <c r="K12" s="74">
        <v>50.87</v>
      </c>
      <c r="L12" s="74">
        <v>0.06</v>
      </c>
      <c r="M12" s="74">
        <v>63.27</v>
      </c>
      <c r="N12" s="74">
        <v>1.67</v>
      </c>
      <c r="O12" s="74" t="s">
        <v>13079</v>
      </c>
      <c r="P12" s="74" t="s">
        <v>13082</v>
      </c>
      <c r="Q12" s="74" t="s">
        <v>13079</v>
      </c>
      <c r="R12" s="74" t="s">
        <v>13082</v>
      </c>
      <c r="S12" s="74">
        <v>11.6</v>
      </c>
      <c r="T12" s="74">
        <v>1</v>
      </c>
      <c r="U12" s="75" t="s">
        <v>682</v>
      </c>
    </row>
    <row r="13" spans="1:21">
      <c r="A13" s="74" t="s">
        <v>13083</v>
      </c>
      <c r="B13" s="75" t="s">
        <v>4943</v>
      </c>
      <c r="C13" s="74" t="s">
        <v>700</v>
      </c>
      <c r="D13" s="76">
        <v>6707</v>
      </c>
      <c r="E13" s="74">
        <v>-36.64</v>
      </c>
      <c r="F13" s="74">
        <v>1.03</v>
      </c>
      <c r="G13" s="74">
        <v>3</v>
      </c>
      <c r="H13" s="99">
        <v>-1</v>
      </c>
      <c r="I13" s="85">
        <v>3.0000000000000001E-5</v>
      </c>
      <c r="J13" s="85" t="s">
        <v>13130</v>
      </c>
      <c r="K13" s="74">
        <v>49.77</v>
      </c>
      <c r="L13" s="74">
        <v>0.06</v>
      </c>
      <c r="M13" s="74">
        <v>62.31</v>
      </c>
      <c r="N13" s="74">
        <v>0.69</v>
      </c>
      <c r="O13" s="74" t="s">
        <v>13079</v>
      </c>
      <c r="P13" s="74" t="s">
        <v>13082</v>
      </c>
      <c r="Q13" s="74" t="s">
        <v>13079</v>
      </c>
      <c r="R13" s="74" t="s">
        <v>13082</v>
      </c>
      <c r="S13" s="74">
        <v>27.4</v>
      </c>
      <c r="T13" s="74">
        <v>2</v>
      </c>
      <c r="U13" s="75" t="s">
        <v>580</v>
      </c>
    </row>
    <row r="14" spans="1:21">
      <c r="A14" s="74" t="s">
        <v>13083</v>
      </c>
      <c r="B14" s="75" t="s">
        <v>13087</v>
      </c>
      <c r="C14" s="74" t="s">
        <v>13088</v>
      </c>
      <c r="D14" s="76">
        <v>28465</v>
      </c>
      <c r="E14" s="74">
        <v>-34.53</v>
      </c>
      <c r="F14" s="74" t="s">
        <v>13082</v>
      </c>
      <c r="G14" s="74" t="s">
        <v>13082</v>
      </c>
      <c r="H14" s="99" t="s">
        <v>13082</v>
      </c>
      <c r="I14" s="85" t="s">
        <v>13082</v>
      </c>
      <c r="J14" s="85" t="s">
        <v>13082</v>
      </c>
      <c r="K14" s="74" t="s">
        <v>13082</v>
      </c>
      <c r="L14" s="74" t="s">
        <v>13082</v>
      </c>
      <c r="M14" s="74" t="s">
        <v>13082</v>
      </c>
      <c r="N14" s="74" t="s">
        <v>13082</v>
      </c>
      <c r="O14" s="74" t="s">
        <v>13082</v>
      </c>
      <c r="P14" s="74" t="s">
        <v>13082</v>
      </c>
      <c r="Q14" s="74" t="s">
        <v>13082</v>
      </c>
      <c r="R14" s="74" t="s">
        <v>13082</v>
      </c>
      <c r="S14" s="74" t="s">
        <v>13082</v>
      </c>
      <c r="T14" s="74" t="s">
        <v>13082</v>
      </c>
      <c r="U14" s="75" t="s">
        <v>13082</v>
      </c>
    </row>
    <row r="15" spans="1:21">
      <c r="A15" s="74" t="s">
        <v>13082</v>
      </c>
      <c r="B15" s="74" t="s">
        <v>4941</v>
      </c>
      <c r="C15" s="74" t="s">
        <v>698</v>
      </c>
      <c r="D15" s="76" t="s">
        <v>13082</v>
      </c>
      <c r="E15" s="74" t="s">
        <v>13082</v>
      </c>
      <c r="F15" s="74" t="s">
        <v>13082</v>
      </c>
      <c r="G15" s="74">
        <v>3</v>
      </c>
      <c r="H15" s="99">
        <v>-0.4</v>
      </c>
      <c r="I15" s="85">
        <v>2.5000000000000001E-3</v>
      </c>
      <c r="J15" s="85" t="s">
        <v>13130</v>
      </c>
      <c r="K15" s="74">
        <v>50.3</v>
      </c>
      <c r="L15" s="74">
        <v>0.1</v>
      </c>
      <c r="M15" s="74">
        <v>63.94</v>
      </c>
      <c r="N15" s="74">
        <v>0.95</v>
      </c>
      <c r="O15" s="75" t="s">
        <v>13079</v>
      </c>
      <c r="P15" s="74" t="s">
        <v>13082</v>
      </c>
      <c r="Q15" s="74" t="s">
        <v>13082</v>
      </c>
      <c r="R15" s="74" t="s">
        <v>13082</v>
      </c>
      <c r="S15" s="74" t="s">
        <v>13082</v>
      </c>
      <c r="T15" s="74" t="s">
        <v>13082</v>
      </c>
      <c r="U15" s="75" t="s">
        <v>578</v>
      </c>
    </row>
    <row r="16" spans="1:21">
      <c r="A16" s="74" t="s">
        <v>13083</v>
      </c>
      <c r="B16" s="75" t="s">
        <v>13089</v>
      </c>
      <c r="C16" s="74" t="s">
        <v>800</v>
      </c>
      <c r="D16" s="76">
        <v>70569</v>
      </c>
      <c r="E16" s="74">
        <v>-33.08</v>
      </c>
      <c r="F16" s="74">
        <v>3.07</v>
      </c>
      <c r="G16" s="74">
        <v>3</v>
      </c>
      <c r="H16" s="99">
        <v>0.7</v>
      </c>
      <c r="I16" s="85">
        <v>4.1999999999999997E-3</v>
      </c>
      <c r="J16" s="85" t="s">
        <v>13130</v>
      </c>
      <c r="K16" s="74">
        <v>51.43</v>
      </c>
      <c r="L16" s="74">
        <v>0.12</v>
      </c>
      <c r="M16" s="74">
        <v>60.9</v>
      </c>
      <c r="N16" s="74">
        <v>1.04</v>
      </c>
      <c r="O16" s="75" t="s">
        <v>13082</v>
      </c>
      <c r="P16" s="75" t="s">
        <v>13082</v>
      </c>
      <c r="Q16" s="74" t="s">
        <v>13079</v>
      </c>
      <c r="R16" s="74" t="s">
        <v>13082</v>
      </c>
      <c r="S16" s="74">
        <v>34.700000000000003</v>
      </c>
      <c r="T16" s="74">
        <v>2</v>
      </c>
      <c r="U16" s="75" t="s">
        <v>685</v>
      </c>
    </row>
    <row r="17" spans="1:21">
      <c r="A17" s="74" t="s">
        <v>13082</v>
      </c>
      <c r="B17" s="75" t="s">
        <v>4942</v>
      </c>
      <c r="C17" s="74" t="s">
        <v>699</v>
      </c>
      <c r="D17" s="76" t="s">
        <v>13082</v>
      </c>
      <c r="E17" s="74" t="s">
        <v>13082</v>
      </c>
      <c r="F17" s="74" t="s">
        <v>13082</v>
      </c>
      <c r="G17" s="74">
        <v>3</v>
      </c>
      <c r="H17" s="99">
        <v>0.7</v>
      </c>
      <c r="I17" s="85">
        <v>0.01</v>
      </c>
      <c r="J17" s="85" t="s">
        <v>13130</v>
      </c>
      <c r="K17" s="74">
        <v>51.44</v>
      </c>
      <c r="L17" s="74">
        <v>0.21</v>
      </c>
      <c r="M17" s="74">
        <v>62.67</v>
      </c>
      <c r="N17" s="74">
        <v>0.95</v>
      </c>
      <c r="O17" s="75" t="s">
        <v>13079</v>
      </c>
      <c r="P17" s="74" t="s">
        <v>13082</v>
      </c>
      <c r="Q17" s="74" t="s">
        <v>13082</v>
      </c>
      <c r="R17" s="74" t="s">
        <v>13082</v>
      </c>
      <c r="S17" s="74" t="s">
        <v>13082</v>
      </c>
      <c r="T17" s="74" t="s">
        <v>13082</v>
      </c>
      <c r="U17" s="75" t="s">
        <v>579</v>
      </c>
    </row>
    <row r="18" spans="1:21">
      <c r="A18" s="74" t="s">
        <v>13083</v>
      </c>
      <c r="B18" s="75" t="s">
        <v>13090</v>
      </c>
      <c r="C18" s="74" t="s">
        <v>13091</v>
      </c>
      <c r="D18" s="76">
        <v>101442</v>
      </c>
      <c r="E18" s="74">
        <v>-32.47</v>
      </c>
      <c r="F18" s="74" t="s">
        <v>13082</v>
      </c>
      <c r="G18" s="74" t="s">
        <v>13082</v>
      </c>
      <c r="H18" s="99" t="s">
        <v>13082</v>
      </c>
      <c r="I18" s="85" t="s">
        <v>13082</v>
      </c>
      <c r="J18" s="85" t="s">
        <v>13082</v>
      </c>
      <c r="K18" s="74" t="s">
        <v>13082</v>
      </c>
      <c r="L18" s="74" t="s">
        <v>13082</v>
      </c>
      <c r="M18" s="74" t="s">
        <v>13082</v>
      </c>
      <c r="N18" s="74" t="s">
        <v>13082</v>
      </c>
      <c r="O18" s="75" t="s">
        <v>13082</v>
      </c>
      <c r="P18" s="75" t="s">
        <v>13082</v>
      </c>
      <c r="Q18" s="74" t="s">
        <v>13082</v>
      </c>
      <c r="R18" s="74" t="s">
        <v>13082</v>
      </c>
      <c r="S18" s="74" t="s">
        <v>13082</v>
      </c>
      <c r="T18" s="74" t="s">
        <v>13082</v>
      </c>
      <c r="U18" s="75" t="s">
        <v>13082</v>
      </c>
    </row>
    <row r="19" spans="1:21">
      <c r="A19" s="74" t="s">
        <v>13082</v>
      </c>
      <c r="B19" s="75" t="s">
        <v>13092</v>
      </c>
      <c r="C19" s="74" t="s">
        <v>796</v>
      </c>
      <c r="D19" s="76" t="s">
        <v>13082</v>
      </c>
      <c r="E19" s="74" t="s">
        <v>13082</v>
      </c>
      <c r="F19" s="74" t="s">
        <v>13082</v>
      </c>
      <c r="G19" s="74">
        <v>3</v>
      </c>
      <c r="H19" s="99">
        <v>0.2</v>
      </c>
      <c r="I19" s="85">
        <v>0.76</v>
      </c>
      <c r="J19" s="85"/>
      <c r="K19" s="74">
        <v>50.91</v>
      </c>
      <c r="L19" s="74">
        <v>0</v>
      </c>
      <c r="M19" s="74">
        <v>61.67</v>
      </c>
      <c r="N19" s="74">
        <v>0.81</v>
      </c>
      <c r="O19" s="75" t="s">
        <v>13079</v>
      </c>
      <c r="P19" s="74" t="s">
        <v>13082</v>
      </c>
      <c r="Q19" s="74" t="s">
        <v>13082</v>
      </c>
      <c r="R19" s="74" t="s">
        <v>13082</v>
      </c>
      <c r="S19" s="74" t="s">
        <v>13082</v>
      </c>
      <c r="T19" s="74" t="s">
        <v>13082</v>
      </c>
      <c r="U19" s="75" t="s">
        <v>681</v>
      </c>
    </row>
    <row r="20" spans="1:21">
      <c r="A20" s="74" t="s">
        <v>13083</v>
      </c>
      <c r="B20" s="75" t="s">
        <v>4932</v>
      </c>
      <c r="C20" s="74" t="s">
        <v>689</v>
      </c>
      <c r="D20" s="76">
        <v>221495</v>
      </c>
      <c r="E20" s="74">
        <v>-31.05</v>
      </c>
      <c r="F20" s="74">
        <v>3.78</v>
      </c>
      <c r="G20" s="74">
        <v>3</v>
      </c>
      <c r="H20" s="99">
        <v>0.3</v>
      </c>
      <c r="I20" s="85">
        <v>0.15</v>
      </c>
      <c r="J20" s="85"/>
      <c r="K20" s="74">
        <v>51.01</v>
      </c>
      <c r="L20" s="74">
        <v>0</v>
      </c>
      <c r="M20" s="74">
        <v>66.44</v>
      </c>
      <c r="N20" s="74">
        <v>1.4</v>
      </c>
      <c r="O20" s="74" t="s">
        <v>13079</v>
      </c>
      <c r="P20" s="74" t="s">
        <v>13082</v>
      </c>
      <c r="Q20" s="74" t="s">
        <v>13079</v>
      </c>
      <c r="R20" s="74" t="s">
        <v>13082</v>
      </c>
      <c r="S20" s="74">
        <v>15</v>
      </c>
      <c r="T20" s="74">
        <v>2</v>
      </c>
      <c r="U20" s="75" t="s">
        <v>569</v>
      </c>
    </row>
    <row r="21" spans="1:21">
      <c r="A21" s="74" t="s">
        <v>13083</v>
      </c>
      <c r="B21" s="75" t="s">
        <v>5056</v>
      </c>
      <c r="C21" s="74" t="s">
        <v>795</v>
      </c>
      <c r="D21" s="76">
        <v>377816</v>
      </c>
      <c r="E21" s="74">
        <v>-29.99</v>
      </c>
      <c r="F21" s="74">
        <v>3.27</v>
      </c>
      <c r="G21" s="74">
        <v>3</v>
      </c>
      <c r="H21" s="99">
        <v>-0.5</v>
      </c>
      <c r="I21" s="85">
        <v>4.1999999999999996E-6</v>
      </c>
      <c r="J21" s="85" t="s">
        <v>13130</v>
      </c>
      <c r="K21" s="74">
        <v>50.21</v>
      </c>
      <c r="L21" s="74">
        <v>0.1</v>
      </c>
      <c r="M21" s="74">
        <v>63.51</v>
      </c>
      <c r="N21" s="74">
        <v>1.21</v>
      </c>
      <c r="O21" s="74" t="s">
        <v>13079</v>
      </c>
      <c r="P21" s="74" t="s">
        <v>13082</v>
      </c>
      <c r="Q21" s="74" t="s">
        <v>13079</v>
      </c>
      <c r="R21" s="74" t="s">
        <v>13082</v>
      </c>
      <c r="S21" s="74">
        <v>9.9</v>
      </c>
      <c r="T21" s="74">
        <v>2</v>
      </c>
      <c r="U21" s="75" t="s">
        <v>680</v>
      </c>
    </row>
    <row r="22" spans="1:21">
      <c r="A22" s="74" t="s">
        <v>13083</v>
      </c>
      <c r="B22" s="75" t="s">
        <v>4933</v>
      </c>
      <c r="C22" s="74" t="s">
        <v>690</v>
      </c>
      <c r="D22" s="76">
        <v>424306</v>
      </c>
      <c r="E22" s="74">
        <v>-29.75</v>
      </c>
      <c r="F22" s="74">
        <v>1.33</v>
      </c>
      <c r="G22" s="74">
        <v>3</v>
      </c>
      <c r="H22" s="99">
        <v>0.4</v>
      </c>
      <c r="I22" s="85">
        <v>1.2E-2</v>
      </c>
      <c r="J22" s="85" t="s">
        <v>13130</v>
      </c>
      <c r="K22" s="74">
        <v>51.11</v>
      </c>
      <c r="L22" s="74">
        <v>0.1</v>
      </c>
      <c r="M22" s="74">
        <v>63.97</v>
      </c>
      <c r="N22" s="74">
        <v>1.68</v>
      </c>
      <c r="O22" s="74" t="s">
        <v>13079</v>
      </c>
      <c r="P22" s="74" t="s">
        <v>13082</v>
      </c>
      <c r="Q22" s="74" t="s">
        <v>13079</v>
      </c>
      <c r="R22" s="74" t="s">
        <v>13082</v>
      </c>
      <c r="S22" s="74">
        <v>26.2</v>
      </c>
      <c r="T22" s="74">
        <v>2</v>
      </c>
      <c r="U22" s="75" t="s">
        <v>570</v>
      </c>
    </row>
    <row r="23" spans="1:21">
      <c r="A23" s="74" t="s">
        <v>13083</v>
      </c>
      <c r="B23" s="75" t="s">
        <v>4935</v>
      </c>
      <c r="C23" s="74" t="s">
        <v>692</v>
      </c>
      <c r="D23" s="76">
        <v>479883</v>
      </c>
      <c r="E23" s="74">
        <v>-29.49</v>
      </c>
      <c r="F23" s="74">
        <v>3.97</v>
      </c>
      <c r="G23" s="74">
        <v>3</v>
      </c>
      <c r="H23" s="99">
        <v>0.6</v>
      </c>
      <c r="I23" s="85">
        <v>5.8E-4</v>
      </c>
      <c r="J23" s="85" t="s">
        <v>13130</v>
      </c>
      <c r="K23" s="74">
        <v>51.31</v>
      </c>
      <c r="L23" s="74">
        <v>0.2</v>
      </c>
      <c r="M23" s="74">
        <v>62.51</v>
      </c>
      <c r="N23" s="74">
        <v>1.54</v>
      </c>
      <c r="O23" s="74">
        <v>4.9000000000000004</v>
      </c>
      <c r="P23" s="78">
        <v>0.7</v>
      </c>
      <c r="Q23" s="74">
        <v>786</v>
      </c>
      <c r="R23" s="74">
        <v>43.9</v>
      </c>
      <c r="S23" s="74">
        <v>71.599999999999994</v>
      </c>
      <c r="T23" s="74">
        <v>2</v>
      </c>
      <c r="U23" s="75" t="s">
        <v>572</v>
      </c>
    </row>
    <row r="24" spans="1:21">
      <c r="A24" s="74" t="s">
        <v>13083</v>
      </c>
      <c r="B24" s="75" t="s">
        <v>5152</v>
      </c>
      <c r="C24" s="74" t="s">
        <v>793</v>
      </c>
      <c r="D24" s="76">
        <v>422831</v>
      </c>
      <c r="E24" s="74">
        <v>-29.76</v>
      </c>
      <c r="F24" s="74" t="s">
        <v>13082</v>
      </c>
      <c r="G24" s="74">
        <v>3</v>
      </c>
      <c r="H24" s="99">
        <v>0.7</v>
      </c>
      <c r="I24" s="85">
        <v>2.3E-3</v>
      </c>
      <c r="J24" s="85" t="s">
        <v>13130</v>
      </c>
      <c r="K24" s="74">
        <v>51.41</v>
      </c>
      <c r="L24" s="74">
        <v>0.27</v>
      </c>
      <c r="M24" s="74">
        <v>63.31</v>
      </c>
      <c r="N24" s="74">
        <v>0.7</v>
      </c>
      <c r="O24" s="74" t="s">
        <v>13082</v>
      </c>
      <c r="P24" s="74" t="s">
        <v>13082</v>
      </c>
      <c r="Q24" s="78" t="s">
        <v>13079</v>
      </c>
      <c r="R24" s="74" t="s">
        <v>13082</v>
      </c>
      <c r="S24" s="74">
        <v>9.6999999999999993</v>
      </c>
      <c r="T24" s="74">
        <v>2</v>
      </c>
      <c r="U24" s="75" t="s">
        <v>678</v>
      </c>
    </row>
    <row r="25" spans="1:21">
      <c r="A25" s="74" t="s">
        <v>13093</v>
      </c>
      <c r="B25" s="75" t="s">
        <v>4936</v>
      </c>
      <c r="C25" s="74" t="s">
        <v>693</v>
      </c>
      <c r="D25" s="76">
        <v>467</v>
      </c>
      <c r="E25" s="74">
        <v>-35.96</v>
      </c>
      <c r="F25" s="74">
        <v>1.47</v>
      </c>
      <c r="G25" s="74">
        <v>3</v>
      </c>
      <c r="H25" s="99">
        <v>1.5</v>
      </c>
      <c r="I25" s="85">
        <v>3.7E-12</v>
      </c>
      <c r="J25" s="85" t="s">
        <v>13130</v>
      </c>
      <c r="K25" s="74">
        <v>52.21</v>
      </c>
      <c r="L25" s="74">
        <v>0.2</v>
      </c>
      <c r="M25" s="74">
        <v>64.739999999999995</v>
      </c>
      <c r="N25" s="74">
        <v>1.76</v>
      </c>
      <c r="O25" s="74">
        <v>1.1000000000000001</v>
      </c>
      <c r="P25" s="78">
        <v>0.5</v>
      </c>
      <c r="Q25" s="74">
        <v>492</v>
      </c>
      <c r="R25" s="74">
        <v>27.5</v>
      </c>
      <c r="S25" s="74">
        <v>80.3</v>
      </c>
      <c r="T25" s="74">
        <v>2</v>
      </c>
      <c r="U25" s="75" t="s">
        <v>573</v>
      </c>
    </row>
    <row r="26" spans="1:21">
      <c r="A26" s="74" t="s">
        <v>13093</v>
      </c>
      <c r="B26" s="75" t="s">
        <v>12736</v>
      </c>
      <c r="C26" s="74" t="s">
        <v>695</v>
      </c>
      <c r="D26" s="76">
        <v>7739</v>
      </c>
      <c r="E26" s="74">
        <v>-31.42</v>
      </c>
      <c r="F26" s="74">
        <v>2.29</v>
      </c>
      <c r="G26" s="74">
        <v>3</v>
      </c>
      <c r="H26" s="99">
        <v>0.4</v>
      </c>
      <c r="I26" s="85">
        <v>7.9000000000000008E-3</v>
      </c>
      <c r="J26" s="85" t="s">
        <v>13130</v>
      </c>
      <c r="K26" s="74">
        <v>51.14</v>
      </c>
      <c r="L26" s="74">
        <v>0.06</v>
      </c>
      <c r="M26" s="74">
        <v>62.44</v>
      </c>
      <c r="N26" s="74">
        <v>1.41</v>
      </c>
      <c r="O26" s="76">
        <v>4</v>
      </c>
      <c r="P26" s="76">
        <v>1</v>
      </c>
      <c r="Q26" s="74">
        <v>183</v>
      </c>
      <c r="R26" s="74">
        <v>2.6</v>
      </c>
      <c r="S26" s="74">
        <v>91.6</v>
      </c>
      <c r="T26" s="74">
        <v>2</v>
      </c>
      <c r="U26" s="75" t="s">
        <v>575</v>
      </c>
    </row>
    <row r="27" spans="1:21">
      <c r="A27" s="74" t="s">
        <v>13093</v>
      </c>
      <c r="B27" s="75" t="s">
        <v>4937</v>
      </c>
      <c r="C27" s="74" t="s">
        <v>694</v>
      </c>
      <c r="D27" s="76">
        <v>68147</v>
      </c>
      <c r="E27" s="74">
        <v>-26.44</v>
      </c>
      <c r="F27" s="74">
        <v>1.27</v>
      </c>
      <c r="G27" s="74">
        <v>3</v>
      </c>
      <c r="H27" s="99">
        <v>0.6</v>
      </c>
      <c r="I27" s="85">
        <v>5.0000000000000001E-4</v>
      </c>
      <c r="J27" s="85" t="s">
        <v>13130</v>
      </c>
      <c r="K27" s="74">
        <v>51.31</v>
      </c>
      <c r="L27" s="74">
        <v>0.17</v>
      </c>
      <c r="M27" s="74">
        <v>62.64</v>
      </c>
      <c r="N27" s="74">
        <v>0.93</v>
      </c>
      <c r="O27" s="74">
        <v>2.9</v>
      </c>
      <c r="P27" s="74">
        <v>0.7</v>
      </c>
      <c r="Q27" s="74">
        <v>2978</v>
      </c>
      <c r="R27" s="74">
        <v>213.8</v>
      </c>
      <c r="S27" s="74">
        <v>40.4</v>
      </c>
      <c r="T27" s="74">
        <v>2</v>
      </c>
      <c r="U27" s="75" t="s">
        <v>574</v>
      </c>
    </row>
    <row r="28" spans="1:21">
      <c r="A28" s="105" t="s">
        <v>13094</v>
      </c>
      <c r="B28" s="104"/>
      <c r="C28" s="75" t="s">
        <v>66</v>
      </c>
      <c r="D28" s="79" t="s">
        <v>13082</v>
      </c>
      <c r="E28" s="75" t="s">
        <v>13082</v>
      </c>
      <c r="F28" s="75" t="s">
        <v>13082</v>
      </c>
      <c r="G28" s="74">
        <v>0.3</v>
      </c>
      <c r="H28" s="99">
        <v>3.1</v>
      </c>
      <c r="I28" s="85">
        <v>5.8E-11</v>
      </c>
      <c r="J28" s="85" t="s">
        <v>13130</v>
      </c>
      <c r="K28" s="74">
        <v>53.78</v>
      </c>
      <c r="L28" s="74">
        <v>0.5</v>
      </c>
      <c r="M28" s="74">
        <v>80.040000000000006</v>
      </c>
      <c r="N28" s="74">
        <v>24.19</v>
      </c>
      <c r="O28" s="80">
        <v>7.1999999999999998E-3</v>
      </c>
      <c r="P28" s="81">
        <v>8.0000000000000004E-4</v>
      </c>
      <c r="Q28" s="82">
        <v>0.161</v>
      </c>
      <c r="R28" s="82">
        <v>5.0000000000000001E-3</v>
      </c>
      <c r="S28" s="74">
        <v>100</v>
      </c>
      <c r="T28" s="74">
        <v>2</v>
      </c>
      <c r="U28" s="83" t="s">
        <v>111</v>
      </c>
    </row>
    <row r="29" spans="1:21">
      <c r="A29" s="106" t="s">
        <v>13095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4"/>
    </row>
    <row r="30" spans="1:21">
      <c r="A30" s="74" t="s">
        <v>13077</v>
      </c>
      <c r="B30" s="75" t="s">
        <v>5220</v>
      </c>
      <c r="C30" s="74" t="s">
        <v>13096</v>
      </c>
      <c r="D30" s="76">
        <v>1390</v>
      </c>
      <c r="E30" s="74">
        <v>-31.73</v>
      </c>
      <c r="F30" s="75" t="s">
        <v>13082</v>
      </c>
      <c r="G30" s="74">
        <v>0.3</v>
      </c>
      <c r="H30" s="74">
        <v>0.6</v>
      </c>
      <c r="I30" s="74"/>
      <c r="J30" s="74"/>
      <c r="K30" s="74">
        <v>51.3</v>
      </c>
      <c r="L30" s="74">
        <v>0.17</v>
      </c>
      <c r="M30" s="74">
        <v>63.73</v>
      </c>
      <c r="N30" s="74">
        <v>26.22</v>
      </c>
      <c r="O30" s="75" t="s">
        <v>13082</v>
      </c>
      <c r="P30" s="75" t="s">
        <v>13082</v>
      </c>
      <c r="Q30" s="75" t="s">
        <v>13079</v>
      </c>
      <c r="R30" s="75" t="s">
        <v>13079</v>
      </c>
      <c r="S30" s="74" t="s">
        <v>13097</v>
      </c>
      <c r="T30" s="74">
        <v>2</v>
      </c>
      <c r="U30" s="75" t="s">
        <v>13082</v>
      </c>
    </row>
    <row r="31" spans="1:21">
      <c r="A31" s="74" t="s">
        <v>13077</v>
      </c>
      <c r="B31" s="75" t="s">
        <v>5214</v>
      </c>
      <c r="C31" s="74" t="s">
        <v>13098</v>
      </c>
      <c r="D31" s="76">
        <v>966</v>
      </c>
      <c r="E31" s="74">
        <v>-33.03</v>
      </c>
      <c r="F31" s="75" t="s">
        <v>13082</v>
      </c>
      <c r="G31" s="74">
        <v>3</v>
      </c>
      <c r="H31" s="74">
        <v>0.5</v>
      </c>
      <c r="I31" s="74"/>
      <c r="J31" s="74"/>
      <c r="K31" s="74">
        <v>51.27</v>
      </c>
      <c r="L31" s="74">
        <v>0.06</v>
      </c>
      <c r="M31" s="74">
        <v>64.14</v>
      </c>
      <c r="N31" s="74">
        <v>0.68</v>
      </c>
      <c r="O31" s="75" t="s">
        <v>13082</v>
      </c>
      <c r="P31" s="75" t="s">
        <v>13082</v>
      </c>
      <c r="Q31" s="75" t="s">
        <v>13079</v>
      </c>
      <c r="R31" s="75" t="s">
        <v>13079</v>
      </c>
      <c r="S31" s="74">
        <v>9.6999999999999993</v>
      </c>
      <c r="T31" s="74">
        <v>1</v>
      </c>
      <c r="U31" s="75" t="s">
        <v>13082</v>
      </c>
    </row>
    <row r="32" spans="1:21">
      <c r="A32" s="74" t="s">
        <v>13077</v>
      </c>
      <c r="B32" s="75" t="s">
        <v>5211</v>
      </c>
      <c r="C32" s="74" t="s">
        <v>13099</v>
      </c>
      <c r="D32" s="76">
        <v>470</v>
      </c>
      <c r="E32" s="74">
        <v>-35.26</v>
      </c>
      <c r="F32" s="75" t="s">
        <v>13082</v>
      </c>
      <c r="G32" s="74">
        <v>3</v>
      </c>
      <c r="H32" s="74">
        <v>-0.2</v>
      </c>
      <c r="I32" s="74"/>
      <c r="J32" s="74"/>
      <c r="K32" s="74">
        <v>50.54</v>
      </c>
      <c r="L32" s="74">
        <v>0.06</v>
      </c>
      <c r="M32" s="74">
        <v>63.27</v>
      </c>
      <c r="N32" s="74">
        <v>0.55000000000000004</v>
      </c>
      <c r="O32" s="75" t="s">
        <v>13082</v>
      </c>
      <c r="P32" s="75" t="s">
        <v>13082</v>
      </c>
      <c r="Q32" s="75" t="s">
        <v>13079</v>
      </c>
      <c r="R32" s="75" t="s">
        <v>13079</v>
      </c>
      <c r="S32" s="74">
        <v>8.3000000000000007</v>
      </c>
      <c r="T32" s="74">
        <v>2</v>
      </c>
      <c r="U32" s="75" t="s">
        <v>13082</v>
      </c>
    </row>
    <row r="33" spans="1:21">
      <c r="A33" s="74" t="s">
        <v>13077</v>
      </c>
      <c r="B33" s="75" t="s">
        <v>5217</v>
      </c>
      <c r="C33" s="74" t="s">
        <v>13100</v>
      </c>
      <c r="D33" s="76">
        <v>303</v>
      </c>
      <c r="E33" s="74">
        <v>-36.29</v>
      </c>
      <c r="F33" s="75" t="s">
        <v>13082</v>
      </c>
      <c r="G33" s="74">
        <v>3</v>
      </c>
      <c r="H33" s="74">
        <v>1.1000000000000001</v>
      </c>
      <c r="I33" s="74"/>
      <c r="J33" s="74"/>
      <c r="K33" s="74">
        <v>51.8</v>
      </c>
      <c r="L33" s="74">
        <v>0</v>
      </c>
      <c r="M33" s="74">
        <v>64.510000000000005</v>
      </c>
      <c r="N33" s="74">
        <v>0.7</v>
      </c>
      <c r="O33" s="75" t="s">
        <v>13082</v>
      </c>
      <c r="P33" s="75" t="s">
        <v>13082</v>
      </c>
      <c r="Q33" s="75" t="s">
        <v>13079</v>
      </c>
      <c r="R33" s="75" t="s">
        <v>13079</v>
      </c>
      <c r="S33" s="74">
        <v>26.8</v>
      </c>
      <c r="T33" s="74">
        <v>2</v>
      </c>
      <c r="U33" s="75" t="s">
        <v>13082</v>
      </c>
    </row>
    <row r="34" spans="1:21">
      <c r="A34" s="74" t="s">
        <v>13077</v>
      </c>
      <c r="B34" s="75" t="s">
        <v>6167</v>
      </c>
      <c r="C34" s="74" t="s">
        <v>13101</v>
      </c>
      <c r="D34" s="76">
        <v>485</v>
      </c>
      <c r="E34" s="74">
        <v>-35.21</v>
      </c>
      <c r="F34" s="75" t="s">
        <v>13082</v>
      </c>
      <c r="G34" s="74">
        <v>3</v>
      </c>
      <c r="H34" s="74">
        <v>0.1</v>
      </c>
      <c r="I34" s="74"/>
      <c r="J34" s="74"/>
      <c r="K34" s="74">
        <v>50.87</v>
      </c>
      <c r="L34" s="74">
        <v>0.06</v>
      </c>
      <c r="M34" s="74">
        <v>69.14</v>
      </c>
      <c r="N34" s="74">
        <v>0.59</v>
      </c>
      <c r="O34" s="75" t="s">
        <v>13082</v>
      </c>
      <c r="P34" s="75" t="s">
        <v>13082</v>
      </c>
      <c r="Q34" s="75" t="s">
        <v>13079</v>
      </c>
      <c r="R34" s="75" t="s">
        <v>13079</v>
      </c>
      <c r="S34" s="74">
        <v>2.7</v>
      </c>
      <c r="T34" s="74">
        <v>1</v>
      </c>
      <c r="U34" s="75" t="s">
        <v>13082</v>
      </c>
    </row>
    <row r="35" spans="1:21">
      <c r="A35" s="74" t="s">
        <v>13077</v>
      </c>
      <c r="B35" s="75" t="s">
        <v>5208</v>
      </c>
      <c r="C35" s="74" t="s">
        <v>13102</v>
      </c>
      <c r="D35" s="76">
        <v>6853</v>
      </c>
      <c r="E35" s="74">
        <v>-24.06</v>
      </c>
      <c r="F35" s="75" t="s">
        <v>13082</v>
      </c>
      <c r="G35" s="74" t="s">
        <v>13082</v>
      </c>
      <c r="H35" s="74" t="s">
        <v>13082</v>
      </c>
      <c r="I35" s="74"/>
      <c r="J35" s="74"/>
      <c r="K35" s="74" t="s">
        <v>13082</v>
      </c>
      <c r="L35" s="74" t="s">
        <v>13082</v>
      </c>
      <c r="M35" s="74" t="s">
        <v>13082</v>
      </c>
      <c r="N35" s="74" t="s">
        <v>13082</v>
      </c>
      <c r="O35" s="75" t="s">
        <v>13082</v>
      </c>
      <c r="P35" s="75" t="s">
        <v>13082</v>
      </c>
      <c r="Q35" s="74">
        <v>784</v>
      </c>
      <c r="R35" s="74">
        <v>52.377580000000002</v>
      </c>
      <c r="S35" s="74">
        <v>58.6</v>
      </c>
      <c r="T35" s="74">
        <v>1</v>
      </c>
      <c r="U35" s="75" t="s">
        <v>13082</v>
      </c>
    </row>
    <row r="36" spans="1:21">
      <c r="A36" s="74" t="s">
        <v>13077</v>
      </c>
      <c r="B36" s="75" t="s">
        <v>6254</v>
      </c>
      <c r="C36" s="74" t="s">
        <v>13103</v>
      </c>
      <c r="D36" s="76">
        <v>8249</v>
      </c>
      <c r="E36" s="74">
        <v>-22.59</v>
      </c>
      <c r="F36" s="75" t="s">
        <v>13082</v>
      </c>
      <c r="G36" s="74">
        <v>3</v>
      </c>
      <c r="H36" s="74">
        <v>0.7</v>
      </c>
      <c r="I36" s="74"/>
      <c r="J36" s="74"/>
      <c r="K36" s="74">
        <v>51.47</v>
      </c>
      <c r="L36" s="74">
        <v>0.15</v>
      </c>
      <c r="M36" s="74">
        <v>64.47</v>
      </c>
      <c r="N36" s="74">
        <v>2.4</v>
      </c>
      <c r="O36" s="75" t="s">
        <v>13082</v>
      </c>
      <c r="P36" s="75" t="s">
        <v>13082</v>
      </c>
      <c r="Q36" s="75" t="s">
        <v>13079</v>
      </c>
      <c r="R36" s="75" t="s">
        <v>13079</v>
      </c>
      <c r="S36" s="74" t="s">
        <v>13104</v>
      </c>
      <c r="T36" s="74">
        <v>2</v>
      </c>
      <c r="U36" s="75" t="s">
        <v>13082</v>
      </c>
    </row>
    <row r="37" spans="1:21">
      <c r="A37" s="74" t="s">
        <v>13083</v>
      </c>
      <c r="B37" s="75" t="s">
        <v>5223</v>
      </c>
      <c r="C37" s="74" t="s">
        <v>5224</v>
      </c>
      <c r="D37" s="76">
        <v>119117</v>
      </c>
      <c r="E37" s="74">
        <v>-32.19</v>
      </c>
      <c r="F37" s="75" t="s">
        <v>13082</v>
      </c>
      <c r="G37" s="74">
        <v>3</v>
      </c>
      <c r="H37" s="74">
        <v>1.1000000000000001</v>
      </c>
      <c r="I37" s="74"/>
      <c r="J37" s="74"/>
      <c r="K37" s="74">
        <v>51.87</v>
      </c>
      <c r="L37" s="74">
        <v>0.06</v>
      </c>
      <c r="M37" s="74">
        <v>65.27</v>
      </c>
      <c r="N37" s="74">
        <v>0.75</v>
      </c>
      <c r="O37" s="75" t="s">
        <v>13082</v>
      </c>
      <c r="P37" s="75" t="s">
        <v>13082</v>
      </c>
      <c r="Q37" s="75" t="s">
        <v>13079</v>
      </c>
      <c r="R37" s="75" t="s">
        <v>13079</v>
      </c>
      <c r="S37" s="74">
        <v>22.1</v>
      </c>
      <c r="T37" s="74">
        <v>1</v>
      </c>
      <c r="U37" s="75" t="s">
        <v>13082</v>
      </c>
    </row>
    <row r="38" spans="1:21">
      <c r="A38" s="74" t="s">
        <v>13083</v>
      </c>
      <c r="B38" s="75" t="s">
        <v>5235</v>
      </c>
      <c r="C38" s="74" t="s">
        <v>5236</v>
      </c>
      <c r="D38" s="76">
        <v>159904</v>
      </c>
      <c r="E38" s="74">
        <v>-31.66</v>
      </c>
      <c r="F38" s="75" t="s">
        <v>13082</v>
      </c>
      <c r="G38" s="74">
        <v>3</v>
      </c>
      <c r="H38" s="74" t="s">
        <v>13079</v>
      </c>
      <c r="I38" s="74"/>
      <c r="J38" s="74"/>
      <c r="K38" s="74" t="s">
        <v>13079</v>
      </c>
      <c r="L38" s="74" t="s">
        <v>13082</v>
      </c>
      <c r="M38" s="74">
        <v>60.21</v>
      </c>
      <c r="N38" s="74">
        <v>29.45</v>
      </c>
      <c r="O38" s="75" t="s">
        <v>13082</v>
      </c>
      <c r="P38" s="75" t="s">
        <v>13082</v>
      </c>
      <c r="Q38" s="75" t="s">
        <v>13079</v>
      </c>
      <c r="R38" s="75" t="s">
        <v>13079</v>
      </c>
      <c r="S38" s="74">
        <v>7.1</v>
      </c>
      <c r="T38" s="74">
        <v>1</v>
      </c>
      <c r="U38" s="75" t="s">
        <v>13082</v>
      </c>
    </row>
    <row r="39" spans="1:21">
      <c r="A39" s="74" t="s">
        <v>13083</v>
      </c>
      <c r="B39" s="75" t="s">
        <v>5226</v>
      </c>
      <c r="C39" s="74" t="s">
        <v>5227</v>
      </c>
      <c r="D39" s="76">
        <v>109424</v>
      </c>
      <c r="E39" s="74">
        <v>-32.340000000000003</v>
      </c>
      <c r="F39" s="75" t="s">
        <v>13082</v>
      </c>
      <c r="G39" s="74">
        <v>3</v>
      </c>
      <c r="H39" s="74">
        <v>-4</v>
      </c>
      <c r="I39" s="74"/>
      <c r="J39" s="74"/>
      <c r="K39" s="74">
        <v>46.74</v>
      </c>
      <c r="L39" s="74">
        <v>1.59</v>
      </c>
      <c r="M39" s="74">
        <v>57.2</v>
      </c>
      <c r="N39" s="74">
        <v>19.489999999999998</v>
      </c>
      <c r="O39" s="75" t="s">
        <v>13082</v>
      </c>
      <c r="P39" s="75" t="s">
        <v>13082</v>
      </c>
      <c r="Q39" s="75" t="s">
        <v>13079</v>
      </c>
      <c r="R39" s="75" t="s">
        <v>13079</v>
      </c>
      <c r="S39" s="74">
        <v>-39.5</v>
      </c>
      <c r="T39" s="74">
        <v>2</v>
      </c>
      <c r="U39" s="75" t="s">
        <v>13082</v>
      </c>
    </row>
    <row r="40" spans="1:21">
      <c r="A40" s="74" t="s">
        <v>13083</v>
      </c>
      <c r="B40" s="75" t="s">
        <v>5232</v>
      </c>
      <c r="C40" s="74" t="s">
        <v>5233</v>
      </c>
      <c r="D40" s="76">
        <v>385271</v>
      </c>
      <c r="E40" s="74">
        <v>-29.95</v>
      </c>
      <c r="F40" s="75" t="s">
        <v>13082</v>
      </c>
      <c r="G40" s="74">
        <v>3</v>
      </c>
      <c r="H40" s="74">
        <v>0.7</v>
      </c>
      <c r="I40" s="74"/>
      <c r="J40" s="74"/>
      <c r="K40" s="74">
        <v>51.44</v>
      </c>
      <c r="L40" s="74">
        <v>0.25</v>
      </c>
      <c r="M40" s="74">
        <v>63.71</v>
      </c>
      <c r="N40" s="74">
        <v>0.7</v>
      </c>
      <c r="O40" s="75" t="s">
        <v>13082</v>
      </c>
      <c r="P40" s="75" t="s">
        <v>13082</v>
      </c>
      <c r="Q40" s="75" t="s">
        <v>13079</v>
      </c>
      <c r="R40" s="75" t="s">
        <v>13079</v>
      </c>
      <c r="S40" s="74">
        <v>10.5</v>
      </c>
      <c r="T40" s="74">
        <v>2</v>
      </c>
      <c r="U40" s="75" t="s">
        <v>13082</v>
      </c>
    </row>
    <row r="41" spans="1:21">
      <c r="A41" s="74" t="s">
        <v>13083</v>
      </c>
      <c r="B41" s="75" t="s">
        <v>5292</v>
      </c>
      <c r="C41" s="74" t="s">
        <v>5293</v>
      </c>
      <c r="D41" s="76">
        <v>719</v>
      </c>
      <c r="E41" s="74">
        <v>-39.42</v>
      </c>
      <c r="F41" s="75" t="s">
        <v>13082</v>
      </c>
      <c r="G41" s="74">
        <v>3</v>
      </c>
      <c r="H41" s="74">
        <v>0.3</v>
      </c>
      <c r="I41" s="74"/>
      <c r="J41" s="74"/>
      <c r="K41" s="74">
        <v>51.04</v>
      </c>
      <c r="L41" s="74">
        <v>0.21</v>
      </c>
      <c r="M41" s="74">
        <v>63.47</v>
      </c>
      <c r="N41" s="74">
        <v>1.28</v>
      </c>
      <c r="O41" s="75" t="s">
        <v>13082</v>
      </c>
      <c r="P41" s="75" t="s">
        <v>13082</v>
      </c>
      <c r="Q41" s="75" t="s">
        <v>13079</v>
      </c>
      <c r="R41" s="75" t="s">
        <v>13079</v>
      </c>
      <c r="S41" s="74">
        <v>10.6</v>
      </c>
      <c r="T41" s="74">
        <v>2</v>
      </c>
      <c r="U41" s="75" t="s">
        <v>13082</v>
      </c>
    </row>
    <row r="42" spans="1:21">
      <c r="A42" s="74" t="s">
        <v>13083</v>
      </c>
      <c r="B42" s="75" t="s">
        <v>5229</v>
      </c>
      <c r="C42" s="74" t="s">
        <v>5230</v>
      </c>
      <c r="D42" s="76">
        <v>105691</v>
      </c>
      <c r="E42" s="74">
        <v>-32.4</v>
      </c>
      <c r="F42" s="75" t="s">
        <v>13082</v>
      </c>
      <c r="G42" s="74">
        <v>3</v>
      </c>
      <c r="H42" s="74">
        <v>0.6</v>
      </c>
      <c r="I42" s="74"/>
      <c r="J42" s="74"/>
      <c r="K42" s="74">
        <v>51.31</v>
      </c>
      <c r="L42" s="74">
        <v>0.1</v>
      </c>
      <c r="M42" s="74">
        <v>60.57</v>
      </c>
      <c r="N42" s="74">
        <v>1.79</v>
      </c>
      <c r="O42" s="75" t="s">
        <v>13082</v>
      </c>
      <c r="P42" s="75" t="s">
        <v>13082</v>
      </c>
      <c r="Q42" s="75" t="s">
        <v>13079</v>
      </c>
      <c r="R42" s="75" t="s">
        <v>13079</v>
      </c>
      <c r="S42" s="74">
        <v>15.3</v>
      </c>
      <c r="T42" s="74">
        <v>2</v>
      </c>
      <c r="U42" s="75" t="s">
        <v>13082</v>
      </c>
    </row>
    <row r="43" spans="1:21">
      <c r="A43" s="74" t="s">
        <v>13083</v>
      </c>
      <c r="B43" s="75" t="s">
        <v>6170</v>
      </c>
      <c r="C43" s="74" t="s">
        <v>6171</v>
      </c>
      <c r="D43" s="76">
        <v>398975</v>
      </c>
      <c r="E43" s="74">
        <v>-29.88</v>
      </c>
      <c r="F43" s="75" t="s">
        <v>13082</v>
      </c>
      <c r="G43" s="74">
        <v>3</v>
      </c>
      <c r="H43" s="74">
        <v>0.5</v>
      </c>
      <c r="I43" s="74"/>
      <c r="J43" s="74"/>
      <c r="K43" s="74">
        <v>51.2</v>
      </c>
      <c r="L43" s="74">
        <v>0.18</v>
      </c>
      <c r="M43" s="74">
        <v>65.040000000000006</v>
      </c>
      <c r="N43" s="74">
        <v>0.51</v>
      </c>
      <c r="O43" s="75" t="s">
        <v>13082</v>
      </c>
      <c r="P43" s="75" t="s">
        <v>13082</v>
      </c>
      <c r="Q43" s="75" t="s">
        <v>13079</v>
      </c>
      <c r="R43" s="75" t="s">
        <v>13079</v>
      </c>
      <c r="S43" s="74">
        <v>17.7</v>
      </c>
      <c r="T43" s="74">
        <v>2</v>
      </c>
      <c r="U43" s="75" t="s">
        <v>13082</v>
      </c>
    </row>
    <row r="44" spans="1:21">
      <c r="A44" s="74" t="s">
        <v>13083</v>
      </c>
      <c r="B44" s="75" t="s">
        <v>5262</v>
      </c>
      <c r="C44" s="74" t="s">
        <v>5263</v>
      </c>
      <c r="D44" s="76">
        <v>81817</v>
      </c>
      <c r="E44" s="74">
        <v>-32.840000000000003</v>
      </c>
      <c r="F44" s="75" t="s">
        <v>13082</v>
      </c>
      <c r="G44" s="74">
        <v>3</v>
      </c>
      <c r="H44" s="74">
        <v>-0.8</v>
      </c>
      <c r="I44" s="74"/>
      <c r="J44" s="74"/>
      <c r="K44" s="74">
        <v>49.97</v>
      </c>
      <c r="L44" s="74">
        <v>0.06</v>
      </c>
      <c r="M44" s="74">
        <v>65</v>
      </c>
      <c r="N44" s="74">
        <v>0.5</v>
      </c>
      <c r="O44" s="75" t="s">
        <v>13082</v>
      </c>
      <c r="P44" s="75" t="s">
        <v>13082</v>
      </c>
      <c r="Q44" s="75" t="s">
        <v>13079</v>
      </c>
      <c r="R44" s="75" t="s">
        <v>13079</v>
      </c>
      <c r="S44" s="74">
        <v>4</v>
      </c>
      <c r="T44" s="74">
        <v>2</v>
      </c>
      <c r="U44" s="75" t="s">
        <v>13082</v>
      </c>
    </row>
    <row r="45" spans="1:21">
      <c r="A45" s="74" t="s">
        <v>13083</v>
      </c>
      <c r="B45" s="75" t="s">
        <v>5271</v>
      </c>
      <c r="C45" s="74" t="s">
        <v>5272</v>
      </c>
      <c r="D45" s="76">
        <v>129273</v>
      </c>
      <c r="E45" s="74">
        <v>-32.049999999999997</v>
      </c>
      <c r="F45" s="75" t="s">
        <v>13082</v>
      </c>
      <c r="G45" s="74">
        <v>3</v>
      </c>
      <c r="H45" s="74">
        <v>-0.1</v>
      </c>
      <c r="I45" s="74"/>
      <c r="J45" s="74"/>
      <c r="K45" s="74">
        <v>50.64</v>
      </c>
      <c r="L45" s="74">
        <v>0.05</v>
      </c>
      <c r="M45" s="74">
        <v>64.94</v>
      </c>
      <c r="N45" s="74">
        <v>1.1499999999999999</v>
      </c>
      <c r="O45" s="75" t="s">
        <v>13082</v>
      </c>
      <c r="P45" s="75" t="s">
        <v>13082</v>
      </c>
      <c r="Q45" s="75" t="s">
        <v>13079</v>
      </c>
      <c r="R45" s="75" t="s">
        <v>13079</v>
      </c>
      <c r="S45" s="74">
        <v>1.5</v>
      </c>
      <c r="T45" s="74">
        <v>2</v>
      </c>
      <c r="U45" s="75" t="s">
        <v>13082</v>
      </c>
    </row>
    <row r="46" spans="1:21">
      <c r="A46" s="74" t="s">
        <v>13083</v>
      </c>
      <c r="B46" s="75" t="s">
        <v>5265</v>
      </c>
      <c r="C46" s="74" t="s">
        <v>5266</v>
      </c>
      <c r="D46" s="76">
        <v>135576</v>
      </c>
      <c r="E46" s="74">
        <v>-31.96</v>
      </c>
      <c r="F46" s="75" t="s">
        <v>13082</v>
      </c>
      <c r="G46" s="74">
        <v>3</v>
      </c>
      <c r="H46" s="74">
        <v>1</v>
      </c>
      <c r="I46" s="74"/>
      <c r="J46" s="74"/>
      <c r="K46" s="74">
        <v>51.71</v>
      </c>
      <c r="L46" s="74">
        <v>0.1</v>
      </c>
      <c r="M46" s="74">
        <v>64.31</v>
      </c>
      <c r="N46" s="74">
        <v>0.3</v>
      </c>
      <c r="O46" s="75" t="s">
        <v>13082</v>
      </c>
      <c r="P46" s="75" t="s">
        <v>13082</v>
      </c>
      <c r="Q46" s="75" t="s">
        <v>13079</v>
      </c>
      <c r="R46" s="75" t="s">
        <v>13079</v>
      </c>
      <c r="S46" s="74">
        <v>-6</v>
      </c>
      <c r="T46" s="74">
        <v>2</v>
      </c>
      <c r="U46" s="75" t="s">
        <v>13082</v>
      </c>
    </row>
    <row r="47" spans="1:21">
      <c r="A47" s="74" t="s">
        <v>13083</v>
      </c>
      <c r="B47" s="75" t="s">
        <v>5259</v>
      </c>
      <c r="C47" s="74" t="s">
        <v>5260</v>
      </c>
      <c r="D47" s="76">
        <v>32157</v>
      </c>
      <c r="E47" s="74">
        <v>-34.35</v>
      </c>
      <c r="F47" s="75" t="s">
        <v>13082</v>
      </c>
      <c r="G47" s="74">
        <v>3</v>
      </c>
      <c r="H47" s="74">
        <v>1</v>
      </c>
      <c r="I47" s="74"/>
      <c r="J47" s="74"/>
      <c r="K47" s="74">
        <v>51.77</v>
      </c>
      <c r="L47" s="74">
        <v>0.06</v>
      </c>
      <c r="M47" s="74">
        <v>64.34</v>
      </c>
      <c r="N47" s="74">
        <v>1.04</v>
      </c>
      <c r="O47" s="75" t="s">
        <v>13082</v>
      </c>
      <c r="P47" s="75" t="s">
        <v>13082</v>
      </c>
      <c r="Q47" s="75" t="s">
        <v>13079</v>
      </c>
      <c r="R47" s="75" t="s">
        <v>13079</v>
      </c>
      <c r="S47" s="74">
        <v>11.7</v>
      </c>
      <c r="T47" s="74">
        <v>1</v>
      </c>
      <c r="U47" s="75" t="s">
        <v>13082</v>
      </c>
    </row>
    <row r="48" spans="1:21">
      <c r="A48" s="74" t="s">
        <v>13083</v>
      </c>
      <c r="B48" s="75" t="s">
        <v>6251</v>
      </c>
      <c r="C48" s="74" t="s">
        <v>6252</v>
      </c>
      <c r="D48" s="76">
        <v>567</v>
      </c>
      <c r="E48" s="74">
        <v>-39.700000000000003</v>
      </c>
      <c r="F48" s="75" t="s">
        <v>13082</v>
      </c>
      <c r="G48" s="74">
        <v>3</v>
      </c>
      <c r="H48" s="74">
        <v>0.5</v>
      </c>
      <c r="I48" s="74"/>
      <c r="J48" s="74"/>
      <c r="K48" s="74">
        <v>51.21</v>
      </c>
      <c r="L48" s="74">
        <v>0.1</v>
      </c>
      <c r="M48" s="74">
        <v>66.400000000000006</v>
      </c>
      <c r="N48" s="74">
        <v>1.64</v>
      </c>
      <c r="O48" s="75" t="s">
        <v>13082</v>
      </c>
      <c r="P48" s="75" t="s">
        <v>13082</v>
      </c>
      <c r="Q48" s="75" t="s">
        <v>13079</v>
      </c>
      <c r="R48" s="75" t="s">
        <v>13079</v>
      </c>
      <c r="S48" s="74">
        <v>22.4</v>
      </c>
      <c r="T48" s="74">
        <v>1</v>
      </c>
      <c r="U48" s="75" t="s">
        <v>13082</v>
      </c>
    </row>
    <row r="49" spans="1:21">
      <c r="A49" s="74" t="s">
        <v>13083</v>
      </c>
      <c r="B49" s="75" t="s">
        <v>5253</v>
      </c>
      <c r="C49" s="74" t="s">
        <v>5254</v>
      </c>
      <c r="D49" s="76">
        <v>304527</v>
      </c>
      <c r="E49" s="74">
        <v>-30.43</v>
      </c>
      <c r="F49" s="75" t="s">
        <v>13082</v>
      </c>
      <c r="G49" s="74">
        <v>3</v>
      </c>
      <c r="H49" s="74">
        <v>0.9</v>
      </c>
      <c r="I49" s="74"/>
      <c r="J49" s="74"/>
      <c r="K49" s="74">
        <v>51.67</v>
      </c>
      <c r="L49" s="74">
        <v>0.15</v>
      </c>
      <c r="M49" s="74">
        <v>62.67</v>
      </c>
      <c r="N49" s="74">
        <v>0.65</v>
      </c>
      <c r="O49" s="75" t="s">
        <v>13082</v>
      </c>
      <c r="P49" s="75" t="s">
        <v>13082</v>
      </c>
      <c r="Q49" s="75" t="s">
        <v>13079</v>
      </c>
      <c r="R49" s="75" t="s">
        <v>13079</v>
      </c>
      <c r="S49" s="74">
        <v>-10.4</v>
      </c>
      <c r="T49" s="74">
        <v>2</v>
      </c>
      <c r="U49" s="75" t="s">
        <v>13082</v>
      </c>
    </row>
    <row r="50" spans="1:21">
      <c r="A50" s="74" t="s">
        <v>13083</v>
      </c>
      <c r="B50" s="75" t="s">
        <v>5289</v>
      </c>
      <c r="C50" s="74" t="s">
        <v>5290</v>
      </c>
      <c r="D50" s="76">
        <v>118520</v>
      </c>
      <c r="E50" s="74">
        <v>-32.200000000000003</v>
      </c>
      <c r="F50" s="75" t="s">
        <v>13082</v>
      </c>
      <c r="G50" s="74">
        <v>3</v>
      </c>
      <c r="H50" s="74">
        <v>0.3</v>
      </c>
      <c r="I50" s="74"/>
      <c r="J50" s="74"/>
      <c r="K50" s="74">
        <v>51.04</v>
      </c>
      <c r="L50" s="74">
        <v>0.06</v>
      </c>
      <c r="M50" s="74">
        <v>64.34</v>
      </c>
      <c r="N50" s="74">
        <v>1.19</v>
      </c>
      <c r="O50" s="75" t="s">
        <v>13082</v>
      </c>
      <c r="P50" s="75" t="s">
        <v>13082</v>
      </c>
      <c r="Q50" s="75" t="s">
        <v>13079</v>
      </c>
      <c r="R50" s="75" t="s">
        <v>13079</v>
      </c>
      <c r="S50" s="74">
        <v>3.6</v>
      </c>
      <c r="T50" s="74">
        <v>1</v>
      </c>
      <c r="U50" s="75" t="s">
        <v>13082</v>
      </c>
    </row>
    <row r="51" spans="1:21">
      <c r="A51" s="74" t="s">
        <v>13083</v>
      </c>
      <c r="B51" s="75" t="s">
        <v>6173</v>
      </c>
      <c r="C51" s="74" t="s">
        <v>6174</v>
      </c>
      <c r="D51" s="76">
        <v>127556</v>
      </c>
      <c r="E51" s="74">
        <v>-32.07</v>
      </c>
      <c r="F51" s="75" t="s">
        <v>13082</v>
      </c>
      <c r="G51" s="74">
        <v>3</v>
      </c>
      <c r="H51" s="74">
        <v>-0.2</v>
      </c>
      <c r="I51" s="74"/>
      <c r="J51" s="74"/>
      <c r="K51" s="74">
        <v>50.54</v>
      </c>
      <c r="L51" s="74">
        <v>0.64</v>
      </c>
      <c r="M51" s="74">
        <v>67.739999999999995</v>
      </c>
      <c r="N51" s="74">
        <v>2.74</v>
      </c>
      <c r="O51" s="75" t="s">
        <v>13082</v>
      </c>
      <c r="P51" s="75" t="s">
        <v>13082</v>
      </c>
      <c r="Q51" s="75" t="s">
        <v>13079</v>
      </c>
      <c r="R51" s="75" t="s">
        <v>13079</v>
      </c>
      <c r="S51" s="74">
        <v>6.9</v>
      </c>
      <c r="T51" s="74">
        <v>2</v>
      </c>
      <c r="U51" s="75" t="s">
        <v>13082</v>
      </c>
    </row>
    <row r="52" spans="1:21">
      <c r="A52" s="74" t="s">
        <v>13083</v>
      </c>
      <c r="B52" s="75" t="s">
        <v>6176</v>
      </c>
      <c r="C52" s="74" t="s">
        <v>6177</v>
      </c>
      <c r="D52" s="76">
        <v>422380</v>
      </c>
      <c r="E52" s="74">
        <v>-29.76</v>
      </c>
      <c r="F52" s="75" t="s">
        <v>13082</v>
      </c>
      <c r="G52" s="74">
        <v>3</v>
      </c>
      <c r="H52" s="74">
        <v>0.7</v>
      </c>
      <c r="I52" s="74"/>
      <c r="J52" s="74"/>
      <c r="K52" s="74">
        <v>51.41</v>
      </c>
      <c r="L52" s="74">
        <v>0.17</v>
      </c>
      <c r="M52" s="74">
        <v>63.4</v>
      </c>
      <c r="N52" s="74">
        <v>0.78</v>
      </c>
      <c r="O52" s="75" t="s">
        <v>13082</v>
      </c>
      <c r="P52" s="75" t="s">
        <v>13082</v>
      </c>
      <c r="Q52" s="75" t="s">
        <v>13079</v>
      </c>
      <c r="R52" s="75" t="s">
        <v>13079</v>
      </c>
      <c r="S52" s="74">
        <v>14.8</v>
      </c>
      <c r="T52" s="74">
        <v>2</v>
      </c>
      <c r="U52" s="75" t="s">
        <v>13082</v>
      </c>
    </row>
    <row r="53" spans="1:21">
      <c r="A53" s="74" t="s">
        <v>13083</v>
      </c>
      <c r="B53" s="75" t="s">
        <v>5283</v>
      </c>
      <c r="C53" s="74" t="s">
        <v>5284</v>
      </c>
      <c r="D53" s="76">
        <v>482303</v>
      </c>
      <c r="E53" s="74">
        <v>-29.48</v>
      </c>
      <c r="F53" s="75" t="s">
        <v>13082</v>
      </c>
      <c r="G53" s="74">
        <v>3</v>
      </c>
      <c r="H53" s="74">
        <v>0.8</v>
      </c>
      <c r="I53" s="74"/>
      <c r="J53" s="74"/>
      <c r="K53" s="74">
        <v>51.57</v>
      </c>
      <c r="L53" s="74">
        <v>0.21</v>
      </c>
      <c r="M53" s="74">
        <v>64.64</v>
      </c>
      <c r="N53" s="74">
        <v>0.47</v>
      </c>
      <c r="O53" s="75" t="s">
        <v>13082</v>
      </c>
      <c r="P53" s="75" t="s">
        <v>13082</v>
      </c>
      <c r="Q53" s="75" t="s">
        <v>13079</v>
      </c>
      <c r="R53" s="75" t="s">
        <v>13079</v>
      </c>
      <c r="S53" s="74">
        <v>-1.7</v>
      </c>
      <c r="T53" s="74">
        <v>1</v>
      </c>
      <c r="U53" s="75" t="s">
        <v>13082</v>
      </c>
    </row>
    <row r="54" spans="1:21">
      <c r="A54" s="74" t="s">
        <v>13083</v>
      </c>
      <c r="B54" s="75" t="s">
        <v>5280</v>
      </c>
      <c r="C54" s="74" t="s">
        <v>5281</v>
      </c>
      <c r="D54" s="76">
        <v>424471</v>
      </c>
      <c r="E54" s="74">
        <v>-29.75</v>
      </c>
      <c r="F54" s="75" t="s">
        <v>13082</v>
      </c>
      <c r="G54" s="74">
        <v>3</v>
      </c>
      <c r="H54" s="74">
        <v>0.7</v>
      </c>
      <c r="I54" s="74"/>
      <c r="J54" s="74"/>
      <c r="K54" s="74">
        <v>51.41</v>
      </c>
      <c r="L54" s="74">
        <v>0.26</v>
      </c>
      <c r="M54" s="74">
        <v>67.41</v>
      </c>
      <c r="N54" s="74">
        <v>1.1499999999999999</v>
      </c>
      <c r="O54" s="75" t="s">
        <v>13082</v>
      </c>
      <c r="P54" s="75" t="s">
        <v>13082</v>
      </c>
      <c r="Q54" s="75" t="s">
        <v>13079</v>
      </c>
      <c r="R54" s="75" t="s">
        <v>13079</v>
      </c>
      <c r="S54" s="74">
        <v>-16.600000000000001</v>
      </c>
      <c r="T54" s="74">
        <v>2</v>
      </c>
      <c r="U54" s="75" t="s">
        <v>13082</v>
      </c>
    </row>
    <row r="55" spans="1:21">
      <c r="A55" s="74" t="s">
        <v>13083</v>
      </c>
      <c r="B55" s="75" t="s">
        <v>6182</v>
      </c>
      <c r="C55" s="74" t="s">
        <v>6183</v>
      </c>
      <c r="D55" s="76">
        <v>432912</v>
      </c>
      <c r="E55" s="74">
        <v>-29.71</v>
      </c>
      <c r="F55" s="75" t="s">
        <v>13082</v>
      </c>
      <c r="G55" s="74">
        <v>3</v>
      </c>
      <c r="H55" s="74">
        <v>0.3</v>
      </c>
      <c r="I55" s="74"/>
      <c r="J55" s="74"/>
      <c r="K55" s="74">
        <v>51.04</v>
      </c>
      <c r="L55" s="74">
        <v>0.06</v>
      </c>
      <c r="M55" s="74">
        <v>63.74</v>
      </c>
      <c r="N55" s="74">
        <v>1.52</v>
      </c>
      <c r="O55" s="75" t="s">
        <v>13082</v>
      </c>
      <c r="P55" s="75" t="s">
        <v>13082</v>
      </c>
      <c r="Q55" s="75" t="s">
        <v>13079</v>
      </c>
      <c r="R55" s="75" t="s">
        <v>13079</v>
      </c>
      <c r="S55" s="74">
        <v>8.8000000000000007</v>
      </c>
      <c r="T55" s="74">
        <v>2</v>
      </c>
      <c r="U55" s="75" t="s">
        <v>13082</v>
      </c>
    </row>
    <row r="56" spans="1:21">
      <c r="A56" s="74" t="s">
        <v>13083</v>
      </c>
      <c r="B56" s="75" t="s">
        <v>5268</v>
      </c>
      <c r="C56" s="74" t="s">
        <v>6180</v>
      </c>
      <c r="D56" s="76">
        <v>155839</v>
      </c>
      <c r="E56" s="74">
        <v>-31.71</v>
      </c>
      <c r="F56" s="75" t="s">
        <v>13082</v>
      </c>
      <c r="G56" s="74">
        <v>3</v>
      </c>
      <c r="H56" s="74">
        <v>-0.1</v>
      </c>
      <c r="I56" s="74"/>
      <c r="J56" s="74"/>
      <c r="K56" s="74">
        <v>50.67</v>
      </c>
      <c r="L56" s="74">
        <v>0.12</v>
      </c>
      <c r="M56" s="74">
        <v>65</v>
      </c>
      <c r="N56" s="74">
        <v>4.66</v>
      </c>
      <c r="O56" s="75" t="s">
        <v>13082</v>
      </c>
      <c r="P56" s="75" t="s">
        <v>13082</v>
      </c>
      <c r="Q56" s="75" t="s">
        <v>13079</v>
      </c>
      <c r="R56" s="75" t="s">
        <v>13079</v>
      </c>
      <c r="S56" s="74">
        <v>50.3</v>
      </c>
      <c r="T56" s="74">
        <v>2</v>
      </c>
      <c r="U56" s="75" t="s">
        <v>13082</v>
      </c>
    </row>
    <row r="57" spans="1:21">
      <c r="A57" s="74" t="s">
        <v>13083</v>
      </c>
      <c r="B57" s="67" t="s">
        <v>5268</v>
      </c>
      <c r="C57" s="74" t="s">
        <v>5269</v>
      </c>
      <c r="D57" s="76">
        <v>13137</v>
      </c>
      <c r="E57" s="74">
        <v>-35.69</v>
      </c>
      <c r="F57" s="75" t="s">
        <v>13082</v>
      </c>
      <c r="G57" s="74">
        <v>3</v>
      </c>
      <c r="H57" s="74">
        <v>0.8</v>
      </c>
      <c r="I57" s="74"/>
      <c r="J57" s="74"/>
      <c r="K57" s="74">
        <v>51.54</v>
      </c>
      <c r="L57" s="74">
        <v>0.12</v>
      </c>
      <c r="M57" s="74">
        <v>63.7</v>
      </c>
      <c r="N57" s="74">
        <v>1.06</v>
      </c>
      <c r="O57" s="75" t="s">
        <v>13082</v>
      </c>
      <c r="P57" s="75" t="s">
        <v>13082</v>
      </c>
      <c r="Q57" s="75" t="s">
        <v>13079</v>
      </c>
      <c r="R57" s="75" t="s">
        <v>13079</v>
      </c>
      <c r="S57" s="74">
        <v>-3.1</v>
      </c>
      <c r="T57" s="74">
        <v>2</v>
      </c>
      <c r="U57" s="75" t="s">
        <v>13082</v>
      </c>
    </row>
    <row r="58" spans="1:21">
      <c r="A58" s="74" t="s">
        <v>13083</v>
      </c>
      <c r="B58" s="75" t="s">
        <v>6185</v>
      </c>
      <c r="C58" s="74" t="s">
        <v>6186</v>
      </c>
      <c r="D58" s="76">
        <v>177155</v>
      </c>
      <c r="E58" s="74">
        <v>-31.47</v>
      </c>
      <c r="F58" s="75" t="s">
        <v>13082</v>
      </c>
      <c r="G58" s="74">
        <v>3</v>
      </c>
      <c r="H58" s="74">
        <v>0.8</v>
      </c>
      <c r="I58" s="74"/>
      <c r="J58" s="74"/>
      <c r="K58" s="74">
        <v>51.51</v>
      </c>
      <c r="L58" s="74">
        <v>0.1</v>
      </c>
      <c r="M58" s="74">
        <v>63.87</v>
      </c>
      <c r="N58" s="74">
        <v>1.47</v>
      </c>
      <c r="O58" s="75" t="s">
        <v>13082</v>
      </c>
      <c r="P58" s="75" t="s">
        <v>13082</v>
      </c>
      <c r="Q58" s="75" t="s">
        <v>13079</v>
      </c>
      <c r="R58" s="75" t="s">
        <v>13079</v>
      </c>
      <c r="S58" s="74">
        <v>-2</v>
      </c>
      <c r="T58" s="74">
        <v>2</v>
      </c>
      <c r="U58" s="75" t="s">
        <v>13082</v>
      </c>
    </row>
    <row r="59" spans="1:21">
      <c r="A59" s="74" t="s">
        <v>13083</v>
      </c>
      <c r="B59" s="75" t="s">
        <v>6188</v>
      </c>
      <c r="C59" s="74" t="s">
        <v>6189</v>
      </c>
      <c r="D59" s="76">
        <v>277982</v>
      </c>
      <c r="E59" s="74">
        <v>-30.61</v>
      </c>
      <c r="F59" s="75" t="s">
        <v>13082</v>
      </c>
      <c r="G59" s="74">
        <v>3</v>
      </c>
      <c r="H59" s="74">
        <v>0.1</v>
      </c>
      <c r="I59" s="74"/>
      <c r="J59" s="74"/>
      <c r="K59" s="74">
        <v>50.81</v>
      </c>
      <c r="L59" s="74">
        <v>0.1</v>
      </c>
      <c r="M59" s="74">
        <v>65.8</v>
      </c>
      <c r="N59" s="74">
        <v>0.96</v>
      </c>
      <c r="O59" s="75" t="s">
        <v>13082</v>
      </c>
      <c r="P59" s="75" t="s">
        <v>13082</v>
      </c>
      <c r="Q59" s="75" t="s">
        <v>13079</v>
      </c>
      <c r="R59" s="75" t="s">
        <v>13079</v>
      </c>
      <c r="S59" s="74">
        <v>-4.8</v>
      </c>
      <c r="T59" s="74">
        <v>2</v>
      </c>
      <c r="U59" s="75" t="s">
        <v>13082</v>
      </c>
    </row>
    <row r="60" spans="1:21">
      <c r="A60" s="74" t="s">
        <v>13083</v>
      </c>
      <c r="B60" s="75" t="s">
        <v>5256</v>
      </c>
      <c r="C60" s="74" t="s">
        <v>5257</v>
      </c>
      <c r="D60" s="76">
        <v>23700</v>
      </c>
      <c r="E60" s="74">
        <v>-34.81</v>
      </c>
      <c r="F60" s="75" t="s">
        <v>13082</v>
      </c>
      <c r="G60" s="74">
        <v>3</v>
      </c>
      <c r="H60" s="74">
        <v>0.8</v>
      </c>
      <c r="I60" s="74"/>
      <c r="J60" s="74"/>
      <c r="K60" s="74">
        <v>51.54</v>
      </c>
      <c r="L60" s="74">
        <v>0.25</v>
      </c>
      <c r="M60" s="74">
        <v>61.14</v>
      </c>
      <c r="N60" s="74">
        <v>2.27</v>
      </c>
      <c r="O60" s="75" t="s">
        <v>13082</v>
      </c>
      <c r="P60" s="75" t="s">
        <v>13082</v>
      </c>
      <c r="Q60" s="75" t="s">
        <v>13079</v>
      </c>
      <c r="R60" s="75" t="s">
        <v>13079</v>
      </c>
      <c r="S60" s="74">
        <v>3.5</v>
      </c>
      <c r="T60" s="74">
        <v>2</v>
      </c>
      <c r="U60" s="75" t="s">
        <v>13082</v>
      </c>
    </row>
    <row r="61" spans="1:21">
      <c r="A61" s="74" t="s">
        <v>13083</v>
      </c>
      <c r="B61" s="75" t="s">
        <v>5277</v>
      </c>
      <c r="C61" s="74" t="s">
        <v>5278</v>
      </c>
      <c r="D61" s="76">
        <v>315728</v>
      </c>
      <c r="E61" s="74">
        <v>-30.36</v>
      </c>
      <c r="F61" s="75" t="s">
        <v>13082</v>
      </c>
      <c r="G61" s="74">
        <v>3</v>
      </c>
      <c r="H61" s="74">
        <v>1.2</v>
      </c>
      <c r="I61" s="74"/>
      <c r="J61" s="74"/>
      <c r="K61" s="74">
        <v>51.91</v>
      </c>
      <c r="L61" s="74">
        <v>0.1</v>
      </c>
      <c r="M61" s="74">
        <v>50.54</v>
      </c>
      <c r="N61" s="74">
        <v>22.12</v>
      </c>
      <c r="O61" s="75" t="s">
        <v>13082</v>
      </c>
      <c r="P61" s="75" t="s">
        <v>13082</v>
      </c>
      <c r="Q61" s="75" t="s">
        <v>13079</v>
      </c>
      <c r="R61" s="75" t="s">
        <v>13079</v>
      </c>
      <c r="S61" s="74">
        <v>55.4</v>
      </c>
      <c r="T61" s="74">
        <v>2</v>
      </c>
      <c r="U61" s="75" t="s">
        <v>13082</v>
      </c>
    </row>
    <row r="62" spans="1:21">
      <c r="A62" s="74" t="s">
        <v>13083</v>
      </c>
      <c r="B62" s="75" t="s">
        <v>5274</v>
      </c>
      <c r="C62" s="74" t="s">
        <v>5275</v>
      </c>
      <c r="D62" s="76">
        <v>738</v>
      </c>
      <c r="E62" s="74">
        <v>-39.4</v>
      </c>
      <c r="F62" s="75" t="s">
        <v>13082</v>
      </c>
      <c r="G62" s="74">
        <v>3</v>
      </c>
      <c r="H62" s="74">
        <v>0.9</v>
      </c>
      <c r="I62" s="74"/>
      <c r="J62" s="74"/>
      <c r="K62" s="74">
        <v>51.64</v>
      </c>
      <c r="L62" s="74">
        <v>0.15</v>
      </c>
      <c r="M62" s="74">
        <v>64.34</v>
      </c>
      <c r="N62" s="74">
        <v>0.9</v>
      </c>
      <c r="O62" s="75" t="s">
        <v>13082</v>
      </c>
      <c r="P62" s="75" t="s">
        <v>13082</v>
      </c>
      <c r="Q62" s="74" t="s">
        <v>13079</v>
      </c>
      <c r="R62" s="74" t="s">
        <v>13079</v>
      </c>
      <c r="S62" s="74">
        <v>63.6</v>
      </c>
      <c r="T62" s="74">
        <v>1</v>
      </c>
      <c r="U62" s="75" t="s">
        <v>13082</v>
      </c>
    </row>
    <row r="63" spans="1:21">
      <c r="A63" s="74" t="s">
        <v>13083</v>
      </c>
      <c r="B63" s="75" t="s">
        <v>6248</v>
      </c>
      <c r="C63" s="74" t="s">
        <v>6249</v>
      </c>
      <c r="D63" s="76">
        <v>276692</v>
      </c>
      <c r="E63" s="74">
        <v>-30.62</v>
      </c>
      <c r="F63" s="75" t="s">
        <v>13082</v>
      </c>
      <c r="G63" s="74">
        <v>3</v>
      </c>
      <c r="H63" s="74">
        <v>0.1</v>
      </c>
      <c r="I63" s="74"/>
      <c r="J63" s="74"/>
      <c r="K63" s="74">
        <v>50.87</v>
      </c>
      <c r="L63" s="74">
        <v>0.06</v>
      </c>
      <c r="M63" s="74">
        <v>65.3</v>
      </c>
      <c r="N63" s="74">
        <v>1.32</v>
      </c>
      <c r="O63" s="75" t="s">
        <v>13082</v>
      </c>
      <c r="P63" s="75" t="s">
        <v>13082</v>
      </c>
      <c r="Q63" s="74">
        <v>971</v>
      </c>
      <c r="R63" s="74">
        <v>48.8</v>
      </c>
      <c r="S63" s="74">
        <v>59.7</v>
      </c>
      <c r="T63" s="74">
        <v>2</v>
      </c>
      <c r="U63" s="75" t="s">
        <v>13082</v>
      </c>
    </row>
    <row r="64" spans="1:21">
      <c r="A64" s="74" t="s">
        <v>13083</v>
      </c>
      <c r="B64" s="75" t="s">
        <v>5286</v>
      </c>
      <c r="C64" s="74" t="s">
        <v>5287</v>
      </c>
      <c r="D64" s="76">
        <v>47751</v>
      </c>
      <c r="E64" s="74">
        <v>-33.729999999999997</v>
      </c>
      <c r="F64" s="75" t="s">
        <v>13082</v>
      </c>
      <c r="G64" s="74">
        <v>3</v>
      </c>
      <c r="H64" s="74">
        <v>-0.1</v>
      </c>
      <c r="I64" s="74"/>
      <c r="J64" s="74"/>
      <c r="K64" s="74">
        <v>50.67</v>
      </c>
      <c r="L64" s="74">
        <v>0.25</v>
      </c>
      <c r="M64" s="74">
        <v>65.81</v>
      </c>
      <c r="N64" s="74">
        <v>1.97</v>
      </c>
      <c r="O64" s="75" t="s">
        <v>13082</v>
      </c>
      <c r="P64" s="75" t="s">
        <v>13082</v>
      </c>
      <c r="Q64" s="75" t="s">
        <v>13079</v>
      </c>
      <c r="R64" s="75" t="s">
        <v>13079</v>
      </c>
      <c r="S64" s="74">
        <v>55.7</v>
      </c>
      <c r="T64" s="74">
        <v>2</v>
      </c>
      <c r="U64" s="75" t="s">
        <v>13082</v>
      </c>
    </row>
    <row r="65" spans="1:21">
      <c r="A65" s="74" t="s">
        <v>13093</v>
      </c>
      <c r="B65" s="75" t="s">
        <v>5241</v>
      </c>
      <c r="C65" s="74" t="s">
        <v>5242</v>
      </c>
      <c r="D65" s="76">
        <v>21094</v>
      </c>
      <c r="E65" s="74">
        <v>-29.35</v>
      </c>
      <c r="F65" s="75" t="s">
        <v>13082</v>
      </c>
      <c r="G65" s="74">
        <v>3</v>
      </c>
      <c r="H65" s="74">
        <v>0.6</v>
      </c>
      <c r="I65" s="74"/>
      <c r="J65" s="74"/>
      <c r="K65" s="74">
        <v>51.31</v>
      </c>
      <c r="L65" s="74">
        <v>0.1</v>
      </c>
      <c r="M65" s="74">
        <v>64.040000000000006</v>
      </c>
      <c r="N65" s="74">
        <v>1.17</v>
      </c>
      <c r="O65" s="75" t="s">
        <v>13082</v>
      </c>
      <c r="P65" s="75" t="s">
        <v>13082</v>
      </c>
      <c r="Q65" s="75" t="s">
        <v>13079</v>
      </c>
      <c r="R65" s="75" t="s">
        <v>13079</v>
      </c>
      <c r="S65" s="74">
        <v>-1.7</v>
      </c>
      <c r="T65" s="74">
        <v>1</v>
      </c>
      <c r="U65" s="75" t="s">
        <v>13082</v>
      </c>
    </row>
    <row r="66" spans="1:21">
      <c r="A66" s="74" t="s">
        <v>13093</v>
      </c>
      <c r="B66" s="75" t="s">
        <v>5250</v>
      </c>
      <c r="C66" s="74" t="s">
        <v>5251</v>
      </c>
      <c r="D66" s="76">
        <v>199692</v>
      </c>
      <c r="E66" s="74">
        <v>-22.91</v>
      </c>
      <c r="F66" s="75" t="s">
        <v>13082</v>
      </c>
      <c r="G66" s="74">
        <v>3</v>
      </c>
      <c r="H66" s="74">
        <v>0.7</v>
      </c>
      <c r="I66" s="74"/>
      <c r="J66" s="74"/>
      <c r="K66" s="74">
        <v>51.47</v>
      </c>
      <c r="L66" s="74">
        <v>0.15</v>
      </c>
      <c r="M66" s="74">
        <v>64.040000000000006</v>
      </c>
      <c r="N66" s="74">
        <v>0.52</v>
      </c>
      <c r="O66" s="75" t="s">
        <v>13082</v>
      </c>
      <c r="P66" s="75" t="s">
        <v>13082</v>
      </c>
      <c r="Q66" s="75" t="s">
        <v>13079</v>
      </c>
      <c r="R66" s="75" t="s">
        <v>13079</v>
      </c>
      <c r="S66" s="74">
        <v>7</v>
      </c>
      <c r="T66" s="74">
        <v>2</v>
      </c>
      <c r="U66" s="75" t="s">
        <v>13082</v>
      </c>
    </row>
    <row r="67" spans="1:21">
      <c r="A67" s="74" t="s">
        <v>13093</v>
      </c>
      <c r="B67" s="75" t="s">
        <v>5238</v>
      </c>
      <c r="C67" s="74" t="s">
        <v>5239</v>
      </c>
      <c r="D67" s="76">
        <v>68176</v>
      </c>
      <c r="E67" s="74">
        <v>-26.44</v>
      </c>
      <c r="F67" s="75" t="s">
        <v>13082</v>
      </c>
      <c r="G67" s="74">
        <v>3</v>
      </c>
      <c r="H67" s="74">
        <v>0.6</v>
      </c>
      <c r="I67" s="74"/>
      <c r="J67" s="74"/>
      <c r="K67" s="74">
        <v>51.37</v>
      </c>
      <c r="L67" s="74">
        <v>0.16</v>
      </c>
      <c r="M67" s="74">
        <v>63.21</v>
      </c>
      <c r="N67" s="74">
        <v>1.35</v>
      </c>
      <c r="O67" s="75" t="s">
        <v>13082</v>
      </c>
      <c r="P67" s="75" t="s">
        <v>13082</v>
      </c>
      <c r="Q67" s="75" t="s">
        <v>13079</v>
      </c>
      <c r="R67" s="75" t="s">
        <v>13079</v>
      </c>
      <c r="S67" s="74">
        <v>6.3</v>
      </c>
      <c r="T67" s="74">
        <v>2</v>
      </c>
      <c r="U67" s="75" t="s">
        <v>13082</v>
      </c>
    </row>
    <row r="68" spans="1:21">
      <c r="A68" s="74" t="s">
        <v>13093</v>
      </c>
      <c r="B68" s="75" t="s">
        <v>5244</v>
      </c>
      <c r="C68" s="74" t="s">
        <v>5245</v>
      </c>
      <c r="D68" s="76">
        <v>150998</v>
      </c>
      <c r="E68" s="74">
        <v>-23.98</v>
      </c>
      <c r="F68" s="75" t="s">
        <v>13082</v>
      </c>
      <c r="G68" s="74">
        <v>3</v>
      </c>
      <c r="H68" s="74">
        <v>0.5</v>
      </c>
      <c r="I68" s="74"/>
      <c r="J68" s="74"/>
      <c r="K68" s="74">
        <v>51.27</v>
      </c>
      <c r="L68" s="74">
        <v>0.06</v>
      </c>
      <c r="M68" s="74">
        <v>64.739999999999995</v>
      </c>
      <c r="N68" s="74">
        <v>0.85</v>
      </c>
      <c r="O68" s="75" t="s">
        <v>13082</v>
      </c>
      <c r="P68" s="75" t="s">
        <v>13082</v>
      </c>
      <c r="Q68" s="75" t="s">
        <v>13079</v>
      </c>
      <c r="R68" s="75" t="s">
        <v>13079</v>
      </c>
      <c r="S68" s="74">
        <v>8.4</v>
      </c>
      <c r="T68" s="74">
        <v>2</v>
      </c>
      <c r="U68" s="75" t="s">
        <v>13082</v>
      </c>
    </row>
    <row r="69" spans="1:21">
      <c r="A69" s="74" t="s">
        <v>13093</v>
      </c>
      <c r="B69" s="75" t="s">
        <v>5247</v>
      </c>
      <c r="C69" s="74" t="s">
        <v>5248</v>
      </c>
      <c r="D69" s="76">
        <v>3660</v>
      </c>
      <c r="E69" s="74">
        <v>-32.799999999999997</v>
      </c>
      <c r="F69" s="75" t="s">
        <v>13082</v>
      </c>
      <c r="G69" s="74">
        <v>3</v>
      </c>
      <c r="H69" s="74">
        <v>0.7</v>
      </c>
      <c r="I69" s="74"/>
      <c r="J69" s="74"/>
      <c r="K69" s="74">
        <v>51.44</v>
      </c>
      <c r="L69" s="74">
        <v>0.15</v>
      </c>
      <c r="M69" s="74">
        <v>64.37</v>
      </c>
      <c r="N69" s="74">
        <v>2.15</v>
      </c>
      <c r="O69" s="75" t="s">
        <v>13082</v>
      </c>
      <c r="P69" s="75" t="s">
        <v>13082</v>
      </c>
      <c r="Q69" s="75" t="s">
        <v>13079</v>
      </c>
      <c r="R69" s="75" t="s">
        <v>13079</v>
      </c>
      <c r="S69" s="74">
        <v>3.5</v>
      </c>
      <c r="T69" s="74">
        <v>2</v>
      </c>
      <c r="U69" s="75" t="s">
        <v>13082</v>
      </c>
    </row>
    <row r="70" spans="1:21">
      <c r="A70" s="106" t="s">
        <v>13105</v>
      </c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/>
    </row>
    <row r="71" spans="1:21">
      <c r="A71" s="74" t="s">
        <v>2911</v>
      </c>
      <c r="B71" s="75" t="s">
        <v>4972</v>
      </c>
      <c r="C71" s="74" t="s">
        <v>13106</v>
      </c>
      <c r="D71" s="76" t="s">
        <v>13082</v>
      </c>
      <c r="E71" s="74" t="s">
        <v>13082</v>
      </c>
      <c r="F71" s="74" t="s">
        <v>13082</v>
      </c>
      <c r="G71" s="74" t="s">
        <v>13082</v>
      </c>
      <c r="H71" s="74" t="s">
        <v>13082</v>
      </c>
      <c r="I71" s="74"/>
      <c r="J71" s="74"/>
      <c r="K71" s="74" t="s">
        <v>13082</v>
      </c>
      <c r="L71" s="74" t="s">
        <v>13082</v>
      </c>
      <c r="M71" s="74" t="s">
        <v>13082</v>
      </c>
      <c r="N71" s="74" t="s">
        <v>13082</v>
      </c>
      <c r="O71" s="74" t="s">
        <v>13082</v>
      </c>
      <c r="P71" s="74" t="s">
        <v>13082</v>
      </c>
      <c r="Q71" s="75" t="s">
        <v>13079</v>
      </c>
      <c r="R71" s="75" t="s">
        <v>13079</v>
      </c>
      <c r="S71" s="74">
        <v>8.5</v>
      </c>
      <c r="T71" s="74">
        <v>2</v>
      </c>
      <c r="U71" s="74" t="s">
        <v>2941</v>
      </c>
    </row>
    <row r="72" spans="1:21">
      <c r="A72" s="74" t="s">
        <v>2911</v>
      </c>
      <c r="B72" s="75" t="s">
        <v>4978</v>
      </c>
      <c r="C72" s="74" t="s">
        <v>13107</v>
      </c>
      <c r="D72" s="76" t="s">
        <v>13082</v>
      </c>
      <c r="E72" s="74" t="s">
        <v>13082</v>
      </c>
      <c r="F72" s="74" t="s">
        <v>13082</v>
      </c>
      <c r="G72" s="74" t="s">
        <v>13082</v>
      </c>
      <c r="H72" s="74" t="s">
        <v>13082</v>
      </c>
      <c r="I72" s="74"/>
      <c r="J72" s="74"/>
      <c r="K72" s="74" t="s">
        <v>13082</v>
      </c>
      <c r="L72" s="74" t="s">
        <v>13082</v>
      </c>
      <c r="M72" s="74" t="s">
        <v>13082</v>
      </c>
      <c r="N72" s="74" t="s">
        <v>13082</v>
      </c>
      <c r="O72" s="74" t="s">
        <v>13082</v>
      </c>
      <c r="P72" s="74" t="s">
        <v>13082</v>
      </c>
      <c r="Q72" s="75" t="s">
        <v>13079</v>
      </c>
      <c r="R72" s="75" t="s">
        <v>13079</v>
      </c>
      <c r="S72" s="74">
        <v>10</v>
      </c>
      <c r="T72" s="74">
        <v>2</v>
      </c>
      <c r="U72" s="74" t="s">
        <v>2956</v>
      </c>
    </row>
    <row r="73" spans="1:21">
      <c r="A73" s="74" t="s">
        <v>2911</v>
      </c>
      <c r="B73" s="75" t="s">
        <v>4979</v>
      </c>
      <c r="C73" s="74" t="s">
        <v>13108</v>
      </c>
      <c r="D73" s="76" t="s">
        <v>13082</v>
      </c>
      <c r="E73" s="74" t="s">
        <v>13082</v>
      </c>
      <c r="F73" s="74" t="s">
        <v>13082</v>
      </c>
      <c r="G73" s="74" t="s">
        <v>13082</v>
      </c>
      <c r="H73" s="74" t="s">
        <v>13082</v>
      </c>
      <c r="I73" s="74"/>
      <c r="J73" s="74"/>
      <c r="K73" s="74" t="s">
        <v>13082</v>
      </c>
      <c r="L73" s="74" t="s">
        <v>13082</v>
      </c>
      <c r="M73" s="74" t="s">
        <v>13082</v>
      </c>
      <c r="N73" s="74" t="s">
        <v>13082</v>
      </c>
      <c r="O73" s="74" t="s">
        <v>13082</v>
      </c>
      <c r="P73" s="74" t="s">
        <v>13082</v>
      </c>
      <c r="Q73" s="75" t="s">
        <v>13079</v>
      </c>
      <c r="R73" s="75" t="s">
        <v>13079</v>
      </c>
      <c r="S73" s="74">
        <v>9.9</v>
      </c>
      <c r="T73" s="74">
        <v>2</v>
      </c>
      <c r="U73" s="74" t="s">
        <v>2959</v>
      </c>
    </row>
    <row r="74" spans="1:21">
      <c r="A74" s="74" t="s">
        <v>2911</v>
      </c>
      <c r="B74" s="75" t="s">
        <v>4982</v>
      </c>
      <c r="C74" s="74" t="s">
        <v>13109</v>
      </c>
      <c r="D74" s="76" t="s">
        <v>13082</v>
      </c>
      <c r="E74" s="74" t="s">
        <v>13082</v>
      </c>
      <c r="F74" s="74" t="s">
        <v>13082</v>
      </c>
      <c r="G74" s="74" t="s">
        <v>13082</v>
      </c>
      <c r="H74" s="74" t="s">
        <v>13082</v>
      </c>
      <c r="I74" s="74"/>
      <c r="J74" s="74"/>
      <c r="K74" s="74" t="s">
        <v>13082</v>
      </c>
      <c r="L74" s="74" t="s">
        <v>13082</v>
      </c>
      <c r="M74" s="74" t="s">
        <v>13082</v>
      </c>
      <c r="N74" s="74" t="s">
        <v>13082</v>
      </c>
      <c r="O74" s="74" t="s">
        <v>13082</v>
      </c>
      <c r="P74" s="74" t="s">
        <v>13082</v>
      </c>
      <c r="Q74" s="75" t="s">
        <v>13079</v>
      </c>
      <c r="R74" s="75" t="s">
        <v>13079</v>
      </c>
      <c r="S74" s="74">
        <v>13.9</v>
      </c>
      <c r="T74" s="74">
        <v>2</v>
      </c>
      <c r="U74" s="74" t="s">
        <v>2970</v>
      </c>
    </row>
    <row r="75" spans="1:21">
      <c r="A75" s="74" t="s">
        <v>2911</v>
      </c>
      <c r="B75" s="75" t="s">
        <v>4986</v>
      </c>
      <c r="C75" s="74" t="s">
        <v>13110</v>
      </c>
      <c r="D75" s="76" t="s">
        <v>13082</v>
      </c>
      <c r="E75" s="74" t="s">
        <v>13082</v>
      </c>
      <c r="F75" s="74" t="s">
        <v>13082</v>
      </c>
      <c r="G75" s="74" t="s">
        <v>13082</v>
      </c>
      <c r="H75" s="74" t="s">
        <v>13082</v>
      </c>
      <c r="I75" s="74"/>
      <c r="J75" s="74"/>
      <c r="K75" s="74" t="s">
        <v>13082</v>
      </c>
      <c r="L75" s="74" t="s">
        <v>13082</v>
      </c>
      <c r="M75" s="74" t="s">
        <v>13082</v>
      </c>
      <c r="N75" s="74" t="s">
        <v>13082</v>
      </c>
      <c r="O75" s="74" t="s">
        <v>13082</v>
      </c>
      <c r="P75" s="74" t="s">
        <v>13082</v>
      </c>
      <c r="Q75" s="75" t="s">
        <v>13079</v>
      </c>
      <c r="R75" s="75" t="s">
        <v>13079</v>
      </c>
      <c r="S75" s="74">
        <v>12</v>
      </c>
      <c r="T75" s="74">
        <v>2</v>
      </c>
      <c r="U75" s="74" t="s">
        <v>2976</v>
      </c>
    </row>
    <row r="76" spans="1:21">
      <c r="A76" s="74" t="s">
        <v>2911</v>
      </c>
      <c r="B76" s="75" t="s">
        <v>4990</v>
      </c>
      <c r="C76" s="74" t="s">
        <v>13111</v>
      </c>
      <c r="D76" s="76" t="s">
        <v>13082</v>
      </c>
      <c r="E76" s="74" t="s">
        <v>13082</v>
      </c>
      <c r="F76" s="74" t="s">
        <v>13082</v>
      </c>
      <c r="G76" s="74" t="s">
        <v>13082</v>
      </c>
      <c r="H76" s="74" t="s">
        <v>13082</v>
      </c>
      <c r="I76" s="74"/>
      <c r="J76" s="74"/>
      <c r="K76" s="74" t="s">
        <v>13082</v>
      </c>
      <c r="L76" s="74" t="s">
        <v>13082</v>
      </c>
      <c r="M76" s="74" t="s">
        <v>13082</v>
      </c>
      <c r="N76" s="74" t="s">
        <v>13082</v>
      </c>
      <c r="O76" s="74" t="s">
        <v>13082</v>
      </c>
      <c r="P76" s="74" t="s">
        <v>13082</v>
      </c>
      <c r="Q76" s="75" t="s">
        <v>13079</v>
      </c>
      <c r="R76" s="75" t="s">
        <v>13079</v>
      </c>
      <c r="S76" s="74">
        <v>13.3</v>
      </c>
      <c r="T76" s="74">
        <v>2</v>
      </c>
      <c r="U76" s="74" t="s">
        <v>2985</v>
      </c>
    </row>
    <row r="77" spans="1:21">
      <c r="A77" s="74" t="s">
        <v>2911</v>
      </c>
      <c r="B77" s="75" t="s">
        <v>5132</v>
      </c>
      <c r="C77" s="74" t="s">
        <v>13112</v>
      </c>
      <c r="D77" s="76" t="s">
        <v>13082</v>
      </c>
      <c r="E77" s="74" t="s">
        <v>13082</v>
      </c>
      <c r="F77" s="74" t="s">
        <v>13082</v>
      </c>
      <c r="G77" s="74" t="s">
        <v>13082</v>
      </c>
      <c r="H77" s="74" t="s">
        <v>13082</v>
      </c>
      <c r="I77" s="74"/>
      <c r="J77" s="74"/>
      <c r="K77" s="74" t="s">
        <v>13082</v>
      </c>
      <c r="L77" s="74" t="s">
        <v>13082</v>
      </c>
      <c r="M77" s="74" t="s">
        <v>13082</v>
      </c>
      <c r="N77" s="74" t="s">
        <v>13082</v>
      </c>
      <c r="O77" s="74" t="s">
        <v>13082</v>
      </c>
      <c r="P77" s="74" t="s">
        <v>13082</v>
      </c>
      <c r="Q77" s="75" t="s">
        <v>13079</v>
      </c>
      <c r="R77" s="75" t="s">
        <v>13079</v>
      </c>
      <c r="S77" s="74">
        <v>13.5</v>
      </c>
      <c r="T77" s="74">
        <v>2</v>
      </c>
      <c r="U77" s="74" t="s">
        <v>2988</v>
      </c>
    </row>
    <row r="78" spans="1:21">
      <c r="A78" s="74" t="s">
        <v>13113</v>
      </c>
      <c r="B78" s="75" t="s">
        <v>4993</v>
      </c>
      <c r="C78" s="74" t="s">
        <v>3095</v>
      </c>
      <c r="D78" s="76" t="s">
        <v>13082</v>
      </c>
      <c r="E78" s="74" t="s">
        <v>13082</v>
      </c>
      <c r="F78" s="74" t="s">
        <v>13082</v>
      </c>
      <c r="G78" s="74" t="s">
        <v>13082</v>
      </c>
      <c r="H78" s="74" t="s">
        <v>13082</v>
      </c>
      <c r="I78" s="74"/>
      <c r="J78" s="74"/>
      <c r="K78" s="74" t="s">
        <v>13082</v>
      </c>
      <c r="L78" s="74" t="s">
        <v>13082</v>
      </c>
      <c r="M78" s="74" t="s">
        <v>13082</v>
      </c>
      <c r="N78" s="74" t="s">
        <v>13082</v>
      </c>
      <c r="O78" s="74" t="s">
        <v>13082</v>
      </c>
      <c r="P78" s="74" t="s">
        <v>13082</v>
      </c>
      <c r="Q78" s="75" t="s">
        <v>13079</v>
      </c>
      <c r="R78" s="75" t="s">
        <v>13079</v>
      </c>
      <c r="S78" s="74">
        <v>8.3000000000000007</v>
      </c>
      <c r="T78" s="74">
        <v>2</v>
      </c>
      <c r="U78" s="74" t="s">
        <v>2991</v>
      </c>
    </row>
    <row r="79" spans="1:21">
      <c r="A79" s="74" t="s">
        <v>13113</v>
      </c>
      <c r="B79" s="75" t="s">
        <v>4996</v>
      </c>
      <c r="C79" s="74" t="s">
        <v>3100</v>
      </c>
      <c r="D79" s="76" t="s">
        <v>13082</v>
      </c>
      <c r="E79" s="74" t="s">
        <v>13082</v>
      </c>
      <c r="F79" s="74" t="s">
        <v>13082</v>
      </c>
      <c r="G79" s="74" t="s">
        <v>13082</v>
      </c>
      <c r="H79" s="74" t="s">
        <v>13082</v>
      </c>
      <c r="I79" s="74"/>
      <c r="J79" s="74"/>
      <c r="K79" s="74" t="s">
        <v>13082</v>
      </c>
      <c r="L79" s="74" t="s">
        <v>13082</v>
      </c>
      <c r="M79" s="74" t="s">
        <v>13082</v>
      </c>
      <c r="N79" s="74" t="s">
        <v>13082</v>
      </c>
      <c r="O79" s="74" t="s">
        <v>13082</v>
      </c>
      <c r="P79" s="74" t="s">
        <v>13082</v>
      </c>
      <c r="Q79" s="75" t="s">
        <v>13079</v>
      </c>
      <c r="R79" s="75" t="s">
        <v>13079</v>
      </c>
      <c r="S79" s="74">
        <v>11.6</v>
      </c>
      <c r="T79" s="74">
        <v>2</v>
      </c>
      <c r="U79" s="74" t="s">
        <v>2996</v>
      </c>
    </row>
    <row r="80" spans="1:21">
      <c r="A80" s="74" t="s">
        <v>13113</v>
      </c>
      <c r="B80" s="75" t="s">
        <v>5134</v>
      </c>
      <c r="C80" s="74" t="s">
        <v>13114</v>
      </c>
      <c r="D80" s="76" t="s">
        <v>13082</v>
      </c>
      <c r="E80" s="74" t="s">
        <v>13082</v>
      </c>
      <c r="F80" s="74" t="s">
        <v>13082</v>
      </c>
      <c r="G80" s="74" t="s">
        <v>13082</v>
      </c>
      <c r="H80" s="74" t="s">
        <v>13082</v>
      </c>
      <c r="I80" s="74"/>
      <c r="J80" s="74"/>
      <c r="K80" s="74" t="s">
        <v>13082</v>
      </c>
      <c r="L80" s="74" t="s">
        <v>13082</v>
      </c>
      <c r="M80" s="74" t="s">
        <v>13082</v>
      </c>
      <c r="N80" s="74" t="s">
        <v>13082</v>
      </c>
      <c r="O80" s="74" t="s">
        <v>13082</v>
      </c>
      <c r="P80" s="74" t="s">
        <v>13082</v>
      </c>
      <c r="Q80" s="75" t="s">
        <v>13079</v>
      </c>
      <c r="R80" s="75" t="s">
        <v>13079</v>
      </c>
      <c r="S80" s="74">
        <v>8.1</v>
      </c>
      <c r="T80" s="74">
        <v>2</v>
      </c>
      <c r="U80" s="74" t="s">
        <v>3004</v>
      </c>
    </row>
    <row r="81" spans="1:21">
      <c r="A81" s="74" t="s">
        <v>13113</v>
      </c>
      <c r="B81" s="75" t="s">
        <v>5084</v>
      </c>
      <c r="C81" s="74" t="s">
        <v>3099</v>
      </c>
      <c r="D81" s="76" t="s">
        <v>13082</v>
      </c>
      <c r="E81" s="74" t="s">
        <v>13082</v>
      </c>
      <c r="F81" s="74" t="s">
        <v>13082</v>
      </c>
      <c r="G81" s="74" t="s">
        <v>13082</v>
      </c>
      <c r="H81" s="74" t="s">
        <v>13082</v>
      </c>
      <c r="I81" s="74"/>
      <c r="J81" s="74"/>
      <c r="K81" s="74" t="s">
        <v>13082</v>
      </c>
      <c r="L81" s="74" t="s">
        <v>13082</v>
      </c>
      <c r="M81" s="74" t="s">
        <v>13082</v>
      </c>
      <c r="N81" s="74" t="s">
        <v>13082</v>
      </c>
      <c r="O81" s="74" t="s">
        <v>13082</v>
      </c>
      <c r="P81" s="74" t="s">
        <v>13082</v>
      </c>
      <c r="Q81" s="74">
        <v>881</v>
      </c>
      <c r="R81" s="74">
        <v>28.5</v>
      </c>
      <c r="S81" s="74">
        <v>23</v>
      </c>
      <c r="T81" s="74">
        <v>2</v>
      </c>
      <c r="U81" s="74" t="s">
        <v>2995</v>
      </c>
    </row>
    <row r="82" spans="1:21">
      <c r="A82" s="74" t="s">
        <v>13113</v>
      </c>
      <c r="B82" s="75" t="s">
        <v>13115</v>
      </c>
      <c r="C82" s="74" t="s">
        <v>3096</v>
      </c>
      <c r="D82" s="76" t="s">
        <v>13082</v>
      </c>
      <c r="E82" s="74" t="s">
        <v>13082</v>
      </c>
      <c r="F82" s="74" t="s">
        <v>13082</v>
      </c>
      <c r="G82" s="74" t="s">
        <v>13082</v>
      </c>
      <c r="H82" s="74" t="s">
        <v>13082</v>
      </c>
      <c r="I82" s="74"/>
      <c r="J82" s="74"/>
      <c r="K82" s="74" t="s">
        <v>13082</v>
      </c>
      <c r="L82" s="74" t="s">
        <v>13082</v>
      </c>
      <c r="M82" s="74" t="s">
        <v>13082</v>
      </c>
      <c r="N82" s="74" t="s">
        <v>13082</v>
      </c>
      <c r="O82" s="74" t="s">
        <v>13082</v>
      </c>
      <c r="P82" s="74" t="s">
        <v>13082</v>
      </c>
      <c r="Q82" s="75" t="s">
        <v>13079</v>
      </c>
      <c r="R82" s="75" t="s">
        <v>13079</v>
      </c>
      <c r="S82" s="74">
        <v>78.099999999999994</v>
      </c>
      <c r="T82" s="74">
        <v>2</v>
      </c>
      <c r="U82" s="74" t="s">
        <v>2992</v>
      </c>
    </row>
    <row r="83" spans="1:21">
      <c r="A83" s="74" t="s">
        <v>2911</v>
      </c>
      <c r="B83" s="75" t="s">
        <v>4988</v>
      </c>
      <c r="C83" s="74" t="s">
        <v>13116</v>
      </c>
      <c r="D83" s="76" t="s">
        <v>13082</v>
      </c>
      <c r="E83" s="74" t="s">
        <v>13082</v>
      </c>
      <c r="F83" s="74" t="s">
        <v>13082</v>
      </c>
      <c r="G83" s="74" t="s">
        <v>13082</v>
      </c>
      <c r="H83" s="74" t="s">
        <v>13082</v>
      </c>
      <c r="I83" s="74"/>
      <c r="J83" s="74"/>
      <c r="K83" s="74" t="s">
        <v>13082</v>
      </c>
      <c r="L83" s="74" t="s">
        <v>13082</v>
      </c>
      <c r="M83" s="74" t="s">
        <v>13082</v>
      </c>
      <c r="N83" s="74" t="s">
        <v>13082</v>
      </c>
      <c r="O83" s="74" t="s">
        <v>13082</v>
      </c>
      <c r="P83" s="74" t="s">
        <v>13082</v>
      </c>
      <c r="Q83" s="75" t="s">
        <v>13079</v>
      </c>
      <c r="R83" s="75" t="s">
        <v>13079</v>
      </c>
      <c r="S83" s="74">
        <v>49.3</v>
      </c>
      <c r="T83" s="74">
        <v>2</v>
      </c>
      <c r="U83" s="74" t="s">
        <v>2983</v>
      </c>
    </row>
    <row r="84" spans="1:21">
      <c r="A84" s="74" t="s">
        <v>13117</v>
      </c>
      <c r="B84" s="75" t="s">
        <v>5007</v>
      </c>
      <c r="C84" s="74" t="s">
        <v>3118</v>
      </c>
      <c r="D84" s="76" t="s">
        <v>13082</v>
      </c>
      <c r="E84" s="74" t="s">
        <v>13082</v>
      </c>
      <c r="F84" s="74" t="s">
        <v>13082</v>
      </c>
      <c r="G84" s="74" t="s">
        <v>13082</v>
      </c>
      <c r="H84" s="74" t="s">
        <v>13082</v>
      </c>
      <c r="I84" s="74"/>
      <c r="J84" s="74"/>
      <c r="K84" s="74" t="s">
        <v>13082</v>
      </c>
      <c r="L84" s="74" t="s">
        <v>13082</v>
      </c>
      <c r="M84" s="74" t="s">
        <v>13082</v>
      </c>
      <c r="N84" s="74" t="s">
        <v>13082</v>
      </c>
      <c r="O84" s="74" t="s">
        <v>13082</v>
      </c>
      <c r="P84" s="74" t="s">
        <v>13082</v>
      </c>
      <c r="Q84" s="75" t="s">
        <v>13079</v>
      </c>
      <c r="R84" s="75" t="s">
        <v>13079</v>
      </c>
      <c r="S84" s="74">
        <v>5.8</v>
      </c>
      <c r="T84" s="74">
        <v>5</v>
      </c>
      <c r="U84" s="74" t="s">
        <v>3014</v>
      </c>
    </row>
    <row r="85" spans="1:21">
      <c r="A85" s="74" t="s">
        <v>13117</v>
      </c>
      <c r="B85" s="75" t="s">
        <v>5008</v>
      </c>
      <c r="C85" s="74" t="s">
        <v>3119</v>
      </c>
      <c r="D85" s="76" t="s">
        <v>13082</v>
      </c>
      <c r="E85" s="74" t="s">
        <v>13082</v>
      </c>
      <c r="F85" s="74" t="s">
        <v>13082</v>
      </c>
      <c r="G85" s="74" t="s">
        <v>13082</v>
      </c>
      <c r="H85" s="74" t="s">
        <v>13082</v>
      </c>
      <c r="I85" s="74"/>
      <c r="J85" s="74"/>
      <c r="K85" s="74" t="s">
        <v>13082</v>
      </c>
      <c r="L85" s="74" t="s">
        <v>13082</v>
      </c>
      <c r="M85" s="74" t="s">
        <v>13082</v>
      </c>
      <c r="N85" s="74" t="s">
        <v>13082</v>
      </c>
      <c r="O85" s="74" t="s">
        <v>13082</v>
      </c>
      <c r="P85" s="74" t="s">
        <v>13082</v>
      </c>
      <c r="Q85" s="74">
        <v>568</v>
      </c>
      <c r="R85" s="74">
        <v>35.299999999999997</v>
      </c>
      <c r="S85" s="74">
        <v>74.8</v>
      </c>
      <c r="T85" s="74">
        <v>5</v>
      </c>
      <c r="U85" s="74" t="s">
        <v>3015</v>
      </c>
    </row>
    <row r="86" spans="1:21">
      <c r="A86" s="74" t="s">
        <v>13117</v>
      </c>
      <c r="B86" s="75" t="s">
        <v>5136</v>
      </c>
      <c r="C86" s="74" t="s">
        <v>3120</v>
      </c>
      <c r="D86" s="76" t="s">
        <v>13082</v>
      </c>
      <c r="E86" s="74" t="s">
        <v>13082</v>
      </c>
      <c r="F86" s="74" t="s">
        <v>13082</v>
      </c>
      <c r="G86" s="74" t="s">
        <v>13082</v>
      </c>
      <c r="H86" s="74" t="s">
        <v>13082</v>
      </c>
      <c r="I86" s="74"/>
      <c r="J86" s="74"/>
      <c r="K86" s="74" t="s">
        <v>13082</v>
      </c>
      <c r="L86" s="74" t="s">
        <v>13082</v>
      </c>
      <c r="M86" s="74" t="s">
        <v>13082</v>
      </c>
      <c r="N86" s="74" t="s">
        <v>13082</v>
      </c>
      <c r="O86" s="74" t="s">
        <v>13082</v>
      </c>
      <c r="P86" s="74" t="s">
        <v>13082</v>
      </c>
      <c r="Q86" s="74" t="s">
        <v>13118</v>
      </c>
      <c r="R86" s="75" t="s">
        <v>13079</v>
      </c>
      <c r="S86" s="74">
        <v>102.3</v>
      </c>
      <c r="T86" s="74">
        <v>12.5</v>
      </c>
      <c r="U86" s="74" t="s">
        <v>3016</v>
      </c>
    </row>
    <row r="87" spans="1:21">
      <c r="A87" s="74" t="s">
        <v>13117</v>
      </c>
      <c r="B87" s="75" t="s">
        <v>5137</v>
      </c>
      <c r="C87" s="74" t="s">
        <v>3121</v>
      </c>
      <c r="D87" s="76" t="s">
        <v>13082</v>
      </c>
      <c r="E87" s="74" t="s">
        <v>13082</v>
      </c>
      <c r="F87" s="74" t="s">
        <v>13082</v>
      </c>
      <c r="G87" s="74" t="s">
        <v>13082</v>
      </c>
      <c r="H87" s="74" t="s">
        <v>13082</v>
      </c>
      <c r="I87" s="74"/>
      <c r="J87" s="74"/>
      <c r="K87" s="74" t="s">
        <v>13082</v>
      </c>
      <c r="L87" s="74" t="s">
        <v>13082</v>
      </c>
      <c r="M87" s="74" t="s">
        <v>13082</v>
      </c>
      <c r="N87" s="74" t="s">
        <v>13082</v>
      </c>
      <c r="O87" s="74" t="s">
        <v>13082</v>
      </c>
      <c r="P87" s="74" t="s">
        <v>13082</v>
      </c>
      <c r="Q87" s="75" t="s">
        <v>13079</v>
      </c>
      <c r="R87" s="75" t="s">
        <v>13079</v>
      </c>
      <c r="S87" s="74">
        <v>2.8</v>
      </c>
      <c r="T87" s="74">
        <v>5</v>
      </c>
      <c r="U87" s="74" t="s">
        <v>3017</v>
      </c>
    </row>
    <row r="88" spans="1:21">
      <c r="A88" s="74" t="s">
        <v>13117</v>
      </c>
      <c r="B88" s="75" t="s">
        <v>5009</v>
      </c>
      <c r="C88" s="74" t="s">
        <v>3122</v>
      </c>
      <c r="D88" s="76" t="s">
        <v>13082</v>
      </c>
      <c r="E88" s="74" t="s">
        <v>13082</v>
      </c>
      <c r="F88" s="74" t="s">
        <v>13082</v>
      </c>
      <c r="G88" s="74" t="s">
        <v>13082</v>
      </c>
      <c r="H88" s="74" t="s">
        <v>13082</v>
      </c>
      <c r="I88" s="74"/>
      <c r="J88" s="74"/>
      <c r="K88" s="74" t="s">
        <v>13082</v>
      </c>
      <c r="L88" s="74" t="s">
        <v>13082</v>
      </c>
      <c r="M88" s="74" t="s">
        <v>13082</v>
      </c>
      <c r="N88" s="74" t="s">
        <v>13082</v>
      </c>
      <c r="O88" s="74" t="s">
        <v>13082</v>
      </c>
      <c r="P88" s="74" t="s">
        <v>13082</v>
      </c>
      <c r="Q88" s="75" t="s">
        <v>13079</v>
      </c>
      <c r="R88" s="75" t="s">
        <v>13079</v>
      </c>
      <c r="S88" s="74">
        <v>-16.600000000000001</v>
      </c>
      <c r="T88" s="74">
        <v>5</v>
      </c>
      <c r="U88" s="74" t="s">
        <v>3018</v>
      </c>
    </row>
    <row r="91" spans="1:21">
      <c r="A91" s="84"/>
    </row>
  </sheetData>
  <mergeCells count="4">
    <mergeCell ref="A3:U3"/>
    <mergeCell ref="A28:B28"/>
    <mergeCell ref="A29:U29"/>
    <mergeCell ref="A70:U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1. fragment_summary</vt:lpstr>
      <vt:lpstr>2. sequences</vt:lpstr>
      <vt:lpstr>3. x-ray_strategy</vt:lpstr>
      <vt:lpstr>4. x-ray_stats_non-fragments</vt:lpstr>
      <vt:lpstr>5. x-ray_stats_C2@UCSF</vt:lpstr>
      <vt:lpstr>6. x-ray_stats_P43@UCSF</vt:lpstr>
      <vt:lpstr>7. x-ray_stats_P43@XChem</vt:lpstr>
      <vt:lpstr>8. P43_all_datasets</vt:lpstr>
      <vt:lpstr>9. P43_duplicate_compounds</vt:lpstr>
      <vt:lpstr>10. C2_all_datasets</vt:lpstr>
      <vt:lpstr>11. fragment_hits_classified</vt:lpstr>
      <vt:lpstr>12. solution_binding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Correy, Galen</cp:lastModifiedBy>
  <dcterms:modified xsi:type="dcterms:W3CDTF">2021-01-20T07:27:17Z</dcterms:modified>
</cp:coreProperties>
</file>